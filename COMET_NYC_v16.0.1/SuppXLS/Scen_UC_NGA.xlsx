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activeX/activeX9.xml" ContentType="application/vnd.ms-office.activeX+xml"/>
  <Override PartName="/xl/activeX/activeX9.bin" ContentType="application/vnd.ms-office.activeX"/>
  <Override PartName="/xl/activeX/activeX10.xml" ContentType="application/vnd.ms-office.activeX+xml"/>
  <Override PartName="/xl/activeX/activeX10.bin" ContentType="application/vnd.ms-office.activeX"/>
  <Override PartName="/xl/activeX/activeX11.xml" ContentType="application/vnd.ms-office.activeX+xml"/>
  <Override PartName="/xl/activeX/activeX11.bin" ContentType="application/vnd.ms-office.activeX"/>
  <Override PartName="/xl/activeX/activeX12.xml" ContentType="application/vnd.ms-office.activeX+xml"/>
  <Override PartName="/xl/activeX/activeX12.bin" ContentType="application/vnd.ms-office.activeX"/>
  <Override PartName="/xl/activeX/activeX13.xml" ContentType="application/vnd.ms-office.activeX+xml"/>
  <Override PartName="/xl/activeX/activeX13.bin" ContentType="application/vnd.ms-office.activeX"/>
  <Override PartName="/xl/drawings/drawing3.xml" ContentType="application/vnd.openxmlformats-officedocument.drawing+xml"/>
  <Override PartName="/xl/activeX/activeX14.xml" ContentType="application/vnd.ms-office.activeX+xml"/>
  <Override PartName="/xl/activeX/activeX14.bin" ContentType="application/vnd.ms-office.activeX"/>
  <Override PartName="/xl/activeX/activeX15.xml" ContentType="application/vnd.ms-office.activeX+xml"/>
  <Override PartName="/xl/activeX/activeX15.bin" ContentType="application/vnd.ms-office.activeX"/>
  <Override PartName="/xl/activeX/activeX16.xml" ContentType="application/vnd.ms-office.activeX+xml"/>
  <Override PartName="/xl/activeX/activeX16.bin" ContentType="application/vnd.ms-office.activeX"/>
  <Override PartName="/xl/activeX/activeX17.xml" ContentType="application/vnd.ms-office.activeX+xml"/>
  <Override PartName="/xl/activeX/activeX17.bin" ContentType="application/vnd.ms-office.activeX"/>
  <Override PartName="/xl/drawings/drawing4.xml" ContentType="application/vnd.openxmlformats-officedocument.drawing+xml"/>
  <Override PartName="/xl/activeX/activeX18.xml" ContentType="application/vnd.ms-office.activeX+xml"/>
  <Override PartName="/xl/activeX/activeX18.bin" ContentType="application/vnd.ms-office.activeX"/>
  <Override PartName="/xl/activeX/activeX19.xml" ContentType="application/vnd.ms-office.activeX+xml"/>
  <Override PartName="/xl/activeX/activeX19.bin" ContentType="application/vnd.ms-office.activeX"/>
  <Override PartName="/xl/activeX/activeX20.xml" ContentType="application/vnd.ms-office.activeX+xml"/>
  <Override PartName="/xl/activeX/activeX20.bin" ContentType="application/vnd.ms-office.activeX"/>
  <Override PartName="/xl/activeX/activeX21.xml" ContentType="application/vnd.ms-office.activeX+xml"/>
  <Override PartName="/xl/activeX/activeX21.bin" ContentType="application/vnd.ms-office.activeX"/>
  <Override PartName="/xl/activeX/activeX22.xml" ContentType="application/vnd.ms-office.activeX+xml"/>
  <Override PartName="/xl/activeX/activeX22.bin" ContentType="application/vnd.ms-office.activeX"/>
  <Override PartName="/xl/drawings/drawing5.xml" ContentType="application/vnd.openxmlformats-officedocument.drawing+xml"/>
  <Override PartName="/xl/activeX/activeX23.xml" ContentType="application/vnd.ms-office.activeX+xml"/>
  <Override PartName="/xl/activeX/activeX23.bin" ContentType="application/vnd.ms-office.activeX"/>
  <Override PartName="/xl/activeX/activeX24.xml" ContentType="application/vnd.ms-office.activeX+xml"/>
  <Override PartName="/xl/activeX/activeX24.bin" ContentType="application/vnd.ms-office.activeX"/>
  <Override PartName="/xl/activeX/activeX25.xml" ContentType="application/vnd.ms-office.activeX+xml"/>
  <Override PartName="/xl/activeX/activeX25.bin" ContentType="application/vnd.ms-office.activeX"/>
  <Override PartName="/xl/activeX/activeX26.xml" ContentType="application/vnd.ms-office.activeX+xml"/>
  <Override PartName="/xl/activeX/activeX26.bin" ContentType="application/vnd.ms-office.activeX"/>
  <Override PartName="/xl/activeX/activeX27.xml" ContentType="application/vnd.ms-office.activeX+xml"/>
  <Override PartName="/xl/activeX/activeX27.bin" ContentType="application/vnd.ms-office.activeX"/>
  <Override PartName="/xl/activeX/activeX28.xml" ContentType="application/vnd.ms-office.activeX+xml"/>
  <Override PartName="/xl/activeX/activeX28.bin" ContentType="application/vnd.ms-office.activeX"/>
  <Override PartName="/xl/activeX/activeX29.xml" ContentType="application/vnd.ms-office.activeX+xml"/>
  <Override PartName="/xl/activeX/activeX29.bin" ContentType="application/vnd.ms-office.activeX"/>
  <Override PartName="/xl/drawings/drawing6.xml" ContentType="application/vnd.openxmlformats-officedocument.drawing+xml"/>
  <Override PartName="/xl/activeX/activeX30.xml" ContentType="application/vnd.ms-office.activeX+xml"/>
  <Override PartName="/xl/activeX/activeX30.bin" ContentType="application/vnd.ms-office.activeX"/>
  <Override PartName="/xl/activeX/activeX31.xml" ContentType="application/vnd.ms-office.activeX+xml"/>
  <Override PartName="/xl/activeX/activeX31.bin" ContentType="application/vnd.ms-office.activeX"/>
  <Override PartName="/xl/activeX/activeX32.xml" ContentType="application/vnd.ms-office.activeX+xml"/>
  <Override PartName="/xl/activeX/activeX32.bin" ContentType="application/vnd.ms-office.activeX"/>
  <Override PartName="/xl/activeX/activeX33.xml" ContentType="application/vnd.ms-office.activeX+xml"/>
  <Override PartName="/xl/activeX/activeX33.bin" ContentType="application/vnd.ms-office.activeX"/>
  <Override PartName="/xl/activeX/activeX34.xml" ContentType="application/vnd.ms-office.activeX+xml"/>
  <Override PartName="/xl/activeX/activeX34.bin" ContentType="application/vnd.ms-office.activeX"/>
  <Override PartName="/xl/activeX/activeX35.xml" ContentType="application/vnd.ms-office.activeX+xml"/>
  <Override PartName="/xl/activeX/activeX35.bin" ContentType="application/vnd.ms-office.activeX"/>
  <Override PartName="/xl/drawings/drawing7.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drawings/drawing8.xml" ContentType="application/vnd.openxmlformats-officedocument.drawing+xml"/>
  <Override PartName="/xl/activeX/activeX36.xml" ContentType="application/vnd.ms-office.activeX+xml"/>
  <Override PartName="/xl/activeX/activeX36.bin" ContentType="application/vnd.ms-office.activeX"/>
  <Override PartName="/xl/activeX/activeX37.xml" ContentType="application/vnd.ms-office.activeX+xml"/>
  <Override PartName="/xl/activeX/activeX37.bin" ContentType="application/vnd.ms-office.activeX"/>
  <Override PartName="/xl/activeX/activeX38.xml" ContentType="application/vnd.ms-office.activeX+xml"/>
  <Override PartName="/xl/activeX/activeX38.bin" ContentType="application/vnd.ms-office.activeX"/>
  <Override PartName="/xl/activeX/activeX39.xml" ContentType="application/vnd.ms-office.activeX+xml"/>
  <Override PartName="/xl/activeX/activeX39.bin" ContentType="application/vnd.ms-office.activeX"/>
  <Override PartName="/xl/activeX/activeX40.xml" ContentType="application/vnd.ms-office.activeX+xml"/>
  <Override PartName="/xl/activeX/activeX40.bin" ContentType="application/vnd.ms-office.activeX"/>
  <Override PartName="/xl/activeX/activeX41.xml" ContentType="application/vnd.ms-office.activeX+xml"/>
  <Override PartName="/xl/activeX/activeX41.bin" ContentType="application/vnd.ms-office.activeX"/>
  <Override PartName="/xl/drawings/drawing9.xml" ContentType="application/vnd.openxmlformats-officedocument.drawing+xml"/>
  <Override PartName="/xl/activeX/activeX42.xml" ContentType="application/vnd.ms-office.activeX+xml"/>
  <Override PartName="/xl/activeX/activeX42.bin" ContentType="application/vnd.ms-office.activeX"/>
  <Override PartName="/xl/activeX/activeX43.xml" ContentType="application/vnd.ms-office.activeX+xml"/>
  <Override PartName="/xl/activeX/activeX43.bin" ContentType="application/vnd.ms-office.activeX"/>
  <Override PartName="/xl/activeX/activeX44.xml" ContentType="application/vnd.ms-office.activeX+xml"/>
  <Override PartName="/xl/activeX/activeX44.bin" ContentType="application/vnd.ms-office.activeX"/>
  <Override PartName="/xl/activeX/activeX45.xml" ContentType="application/vnd.ms-office.activeX+xml"/>
  <Override PartName="/xl/activeX/activeX45.bin" ContentType="application/vnd.ms-office.activeX"/>
  <Override PartName="/xl/activeX/activeX46.xml" ContentType="application/vnd.ms-office.activeX+xml"/>
  <Override PartName="/xl/activeX/activeX46.bin" ContentType="application/vnd.ms-office.activeX"/>
  <Override PartName="/xl/activeX/activeX47.xml" ContentType="application/vnd.ms-office.activeX+xml"/>
  <Override PartName="/xl/activeX/activeX47.bin" ContentType="application/vnd.ms-office.activeX"/>
  <Override PartName="/xl/activeX/activeX48.xml" ContentType="application/vnd.ms-office.activeX+xml"/>
  <Override PartName="/xl/activeX/activeX48.bin" ContentType="application/vnd.ms-office.activeX"/>
  <Override PartName="/xl/drawings/drawing10.xml" ContentType="application/vnd.openxmlformats-officedocument.drawing+xml"/>
  <Override PartName="/xl/activeX/activeX49.xml" ContentType="application/vnd.ms-office.activeX+xml"/>
  <Override PartName="/xl/activeX/activeX49.bin" ContentType="application/vnd.ms-office.activeX"/>
  <Override PartName="/xl/activeX/activeX50.xml" ContentType="application/vnd.ms-office.activeX+xml"/>
  <Override PartName="/xl/activeX/activeX50.bin" ContentType="application/vnd.ms-office.activeX"/>
  <Override PartName="/xl/activeX/activeX51.xml" ContentType="application/vnd.ms-office.activeX+xml"/>
  <Override PartName="/xl/activeX/activeX51.bin" ContentType="application/vnd.ms-office.activeX"/>
  <Override PartName="/xl/activeX/activeX52.xml" ContentType="application/vnd.ms-office.activeX+xml"/>
  <Override PartName="/xl/activeX/activeX52.bin" ContentType="application/vnd.ms-office.activeX"/>
  <Override PartName="/xl/activeX/activeX53.xml" ContentType="application/vnd.ms-office.activeX+xml"/>
  <Override PartName="/xl/activeX/activeX53.bin" ContentType="application/vnd.ms-office.activeX"/>
  <Override PartName="/xl/drawings/drawing11.xml" ContentType="application/vnd.openxmlformats-officedocument.drawing+xml"/>
  <Override PartName="/xl/activeX/activeX54.xml" ContentType="application/vnd.ms-office.activeX+xml"/>
  <Override PartName="/xl/activeX/activeX54.bin" ContentType="application/vnd.ms-office.activeX"/>
  <Override PartName="/xl/activeX/activeX55.xml" ContentType="application/vnd.ms-office.activeX+xml"/>
  <Override PartName="/xl/activeX/activeX55.bin" ContentType="application/vnd.ms-office.activeX"/>
  <Override PartName="/xl/activeX/activeX56.xml" ContentType="application/vnd.ms-office.activeX+xml"/>
  <Override PartName="/xl/activeX/activeX56.bin" ContentType="application/vnd.ms-office.activeX"/>
  <Override PartName="/xl/activeX/activeX57.xml" ContentType="application/vnd.ms-office.activeX+xml"/>
  <Override PartName="/xl/activeX/activeX57.bin" ContentType="application/vnd.ms-office.activeX"/>
  <Override PartName="/xl/drawings/drawing12.xml" ContentType="application/vnd.openxmlformats-officedocument.drawing+xml"/>
  <Override PartName="/xl/activeX/activeX58.xml" ContentType="application/vnd.ms-office.activeX+xml"/>
  <Override PartName="/xl/activeX/activeX58.bin" ContentType="application/vnd.ms-office.activeX"/>
  <Override PartName="/xl/activeX/activeX59.xml" ContentType="application/vnd.ms-office.activeX+xml"/>
  <Override PartName="/xl/activeX/activeX59.bin" ContentType="application/vnd.ms-office.activeX"/>
  <Override PartName="/xl/activeX/activeX60.xml" ContentType="application/vnd.ms-office.activeX+xml"/>
  <Override PartName="/xl/activeX/activeX60.bin" ContentType="application/vnd.ms-office.activeX"/>
  <Override PartName="/xl/activeX/activeX61.xml" ContentType="application/vnd.ms-office.activeX+xml"/>
  <Override PartName="/xl/activeX/activeX61.bin" ContentType="application/vnd.ms-office.activeX"/>
  <Override PartName="/xl/activeX/activeX62.xml" ContentType="application/vnd.ms-office.activeX+xml"/>
  <Override PartName="/xl/activeX/activeX62.bin" ContentType="application/vnd.ms-office.activeX"/>
  <Override PartName="/xl/drawings/drawing13.xml" ContentType="application/vnd.openxmlformats-officedocument.drawing+xml"/>
  <Override PartName="/xl/activeX/activeX63.xml" ContentType="application/vnd.ms-office.activeX+xml"/>
  <Override PartName="/xl/activeX/activeX63.bin" ContentType="application/vnd.ms-office.activeX"/>
  <Override PartName="/xl/activeX/activeX64.xml" ContentType="application/vnd.ms-office.activeX+xml"/>
  <Override PartName="/xl/activeX/activeX64.bin" ContentType="application/vnd.ms-office.activeX"/>
  <Override PartName="/xl/activeX/activeX65.xml" ContentType="application/vnd.ms-office.activeX+xml"/>
  <Override PartName="/xl/activeX/activeX65.bin" ContentType="application/vnd.ms-office.activeX"/>
  <Override PartName="/xl/activeX/activeX66.xml" ContentType="application/vnd.ms-office.activeX+xml"/>
  <Override PartName="/xl/activeX/activeX66.bin" ContentType="application/vnd.ms-office.activeX"/>
  <Override PartName="/xl/activeX/activeX67.xml" ContentType="application/vnd.ms-office.activeX+xml"/>
  <Override PartName="/xl/activeX/activeX67.bin" ContentType="application/vnd.ms-office.activeX"/>
  <Override PartName="/xl/activeX/activeX68.xml" ContentType="application/vnd.ms-office.activeX+xml"/>
  <Override PartName="/xl/activeX/activeX68.bin" ContentType="application/vnd.ms-office.activeX"/>
  <Override PartName="/xl/activeX/activeX69.xml" ContentType="application/vnd.ms-office.activeX+xml"/>
  <Override PartName="/xl/activeX/activeX69.bin" ContentType="application/vnd.ms-office.activeX"/>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mc:AlternateContent xmlns:mc="http://schemas.openxmlformats.org/markup-compatibility/2006">
    <mc:Choice Requires="x15">
      <x15ac:absPath xmlns:x15ac="http://schemas.microsoft.com/office/spreadsheetml/2010/11/ac" url="https://usepa-my.sharepoint.com/personal/carroll_zane_epa_gov/Documents/ORD/COMET/COMET_NYC_v16.0.1/COMET_NYC_v16.0.1/SuppXLS/"/>
    </mc:Choice>
  </mc:AlternateContent>
  <xr:revisionPtr revIDLastSave="12" documentId="13_ncr:1_{22AE0C37-04F6-44C2-A0AF-90668BF7994D}" xr6:coauthVersionLast="47" xr6:coauthVersionMax="47" xr10:uidLastSave="{850F5862-D73F-4747-9782-E513468CAA80}"/>
  <bookViews>
    <workbookView xWindow="53880" yWindow="-120" windowWidth="29040" windowHeight="15720" tabRatio="779" firstSheet="1" activeTab="23" xr2:uid="{00000000-000D-0000-FFFF-FFFF00000000}"/>
  </bookViews>
  <sheets>
    <sheet name="ANSv6.1-Commodities" sheetId="1" state="veryHidden" r:id="rId1"/>
    <sheet name="UC_NGAa" sheetId="119" r:id="rId2"/>
    <sheet name="UC_NGAb" sheetId="120" r:id="rId3"/>
    <sheet name="TechData_R0" sheetId="12" r:id="rId4"/>
    <sheet name="&gt;&gt; Not used" sheetId="117" r:id="rId5"/>
    <sheet name="Commodities" sheetId="10" r:id="rId6"/>
    <sheet name="ANSv6.1-Technologies" sheetId="2" state="veryHidden" r:id="rId7"/>
    <sheet name="Technologies" sheetId="11" r:id="rId8"/>
    <sheet name="ANSv6.1-Constraints" sheetId="7" state="veryHidden" r:id="rId9"/>
    <sheet name="ANSv6.1-CommData" sheetId="4" state="veryHidden" r:id="rId10"/>
    <sheet name="ANSv6.1-TechData" sheetId="3" state="veryHidden" r:id="rId11"/>
    <sheet name="ANSv6.1-ConstrData" sheetId="8" state="veryHidden" r:id="rId12"/>
    <sheet name="Domestic NG Prices" sheetId="99" r:id="rId13"/>
    <sheet name="AEO NG Imports" sheetId="102" r:id="rId14"/>
    <sheet name="Exports" sheetId="113" r:id="rId15"/>
    <sheet name="ANSv6.0-ConstrData" sheetId="46" state="veryHidden" r:id="rId16"/>
    <sheet name="ANSv6.0-TechData" sheetId="39" state="veryHidden" r:id="rId17"/>
    <sheet name="ANSv6.0-CommData" sheetId="38" state="veryHidden" r:id="rId18"/>
    <sheet name="ANSv6.0-Constraints" sheetId="37" state="veryHidden" r:id="rId19"/>
    <sheet name="ANSv6.0-Technologies" sheetId="36" state="veryHidden" r:id="rId20"/>
    <sheet name="ANSv6.0-Commodities" sheetId="35" state="veryHidden" r:id="rId21"/>
    <sheet name="Emissions" sheetId="98" r:id="rId22"/>
    <sheet name="Conv vs Shale" sheetId="108" r:id="rId23"/>
    <sheet name="Conv" sheetId="19" r:id="rId24"/>
  </sheets>
  <externalReferences>
    <externalReference r:id="rId25"/>
    <externalReference r:id="rId26"/>
    <externalReference r:id="rId27"/>
    <externalReference r:id="rId28"/>
    <externalReference r:id="rId29"/>
  </externalReferences>
  <definedNames>
    <definedName name="AnswerData" localSheetId="23">#REF!</definedName>
    <definedName name="AnswerData">#REF!</definedName>
    <definedName name="bprint">#REF!</definedName>
    <definedName name="btu_per_watthr">'[1]Conversion Factors'!$B$5</definedName>
    <definedName name="CMM_SUPPLY_CRV_TABLE">[2]cum2025curves!#REF!</definedName>
    <definedName name="cprint">#REF!</definedName>
    <definedName name="days_per_year">'[1]Conversion Factors'!$B$3</definedName>
    <definedName name="dollar____per__m">'[1]Conversion Factors'!$B$7</definedName>
    <definedName name="exch_rate" localSheetId="23">#REF!</definedName>
    <definedName name="exch_rate">#REF!</definedName>
    <definedName name="fitfile">[3]MODEL!$D$38</definedName>
    <definedName name="hours_per_day">'[1]Conversion Factors'!$B$2</definedName>
    <definedName name="INF">[3]MODEL!$H$14</definedName>
    <definedName name="j_per_btu">'[1]Conversion Factors'!$B$4</definedName>
    <definedName name="j_per_pj">'[1]Conversion Factors'!$B$6</definedName>
    <definedName name="lumens_per_billion_lumens">'[1]Conversion Factors'!$B$9</definedName>
    <definedName name="MAXREC">#REF!</definedName>
    <definedName name="million_short_tons_to_short_ton">[4]Steps!$Y$5</definedName>
    <definedName name="MMBTU_to_PJ">[4]Steps!$Y$6</definedName>
    <definedName name="PPP">[3]MODEL!$D$12</definedName>
    <definedName name="PPPEX">[3]MODEL!$D$13</definedName>
    <definedName name="rail_coal" localSheetId="23">#REF!</definedName>
    <definedName name="rail_coal">#REF!</definedName>
    <definedName name="region1">[5]Regions!$B$3:$C$61</definedName>
    <definedName name="TECHNAME">#REF!</definedName>
    <definedName name="TRND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9" i="120" l="1"/>
  <c r="I9" i="120"/>
  <c r="H125" i="119"/>
  <c r="I125" i="119"/>
  <c r="J125" i="119"/>
  <c r="K125" i="119"/>
  <c r="L125" i="119"/>
  <c r="M125" i="119"/>
  <c r="N125" i="119"/>
  <c r="O125" i="119"/>
  <c r="P125" i="119"/>
  <c r="Q125" i="119"/>
  <c r="H126" i="119"/>
  <c r="I126" i="119"/>
  <c r="J126" i="119"/>
  <c r="K126" i="119" s="1"/>
  <c r="L126" i="119" s="1"/>
  <c r="M126" i="119" s="1"/>
  <c r="N126" i="119" s="1"/>
  <c r="O126" i="119" s="1"/>
  <c r="P126" i="119" s="1"/>
  <c r="Q126" i="119" s="1"/>
  <c r="H127" i="119"/>
  <c r="I127" i="119"/>
  <c r="J127" i="119"/>
  <c r="K127" i="119"/>
  <c r="L127" i="119"/>
  <c r="M127" i="119"/>
  <c r="N127" i="119"/>
  <c r="O127" i="119"/>
  <c r="P127" i="119"/>
  <c r="Q127" i="119"/>
  <c r="H128" i="119"/>
  <c r="I128" i="119"/>
  <c r="J128" i="119"/>
  <c r="K128" i="119" s="1"/>
  <c r="L128" i="119" s="1"/>
  <c r="M128" i="119" s="1"/>
  <c r="N128" i="119" s="1"/>
  <c r="O128" i="119" s="1"/>
  <c r="P128" i="119" s="1"/>
  <c r="Q128" i="119" s="1"/>
  <c r="H129" i="119"/>
  <c r="I129" i="119"/>
  <c r="J129" i="119"/>
  <c r="K129" i="119"/>
  <c r="L129" i="119"/>
  <c r="M129" i="119"/>
  <c r="N129" i="119"/>
  <c r="O129" i="119"/>
  <c r="P129" i="119"/>
  <c r="Q129" i="119"/>
  <c r="H116" i="119"/>
  <c r="I116" i="119"/>
  <c r="J116" i="119"/>
  <c r="K116" i="119"/>
  <c r="L116" i="119"/>
  <c r="M116" i="119"/>
  <c r="N116" i="119"/>
  <c r="O116" i="119" s="1"/>
  <c r="P116" i="119" s="1"/>
  <c r="Q116" i="119" s="1"/>
  <c r="H117" i="119"/>
  <c r="I117" i="119"/>
  <c r="J117" i="119"/>
  <c r="K117" i="119"/>
  <c r="L117" i="119"/>
  <c r="M117" i="119"/>
  <c r="N117" i="119"/>
  <c r="O117" i="119"/>
  <c r="P117" i="119"/>
  <c r="Q117" i="119"/>
  <c r="H118" i="119"/>
  <c r="I118" i="119"/>
  <c r="J118" i="119"/>
  <c r="K118" i="119"/>
  <c r="L118" i="119"/>
  <c r="M118" i="119"/>
  <c r="N118" i="119"/>
  <c r="O118" i="119"/>
  <c r="P118" i="119"/>
  <c r="Q118" i="119"/>
  <c r="H119" i="119"/>
  <c r="I119" i="119"/>
  <c r="J119" i="119"/>
  <c r="K119" i="119"/>
  <c r="L119" i="119"/>
  <c r="M119" i="119"/>
  <c r="N119" i="119"/>
  <c r="O119" i="119"/>
  <c r="P119" i="119"/>
  <c r="Q119" i="119"/>
  <c r="H120" i="119"/>
  <c r="I120" i="119"/>
  <c r="J120" i="119"/>
  <c r="K120" i="119"/>
  <c r="L120" i="119"/>
  <c r="M120" i="119"/>
  <c r="N120" i="119"/>
  <c r="O120" i="119"/>
  <c r="P120" i="119"/>
  <c r="Q120" i="119"/>
  <c r="I124" i="119"/>
  <c r="H124" i="119"/>
  <c r="K115" i="119"/>
  <c r="I115" i="119"/>
  <c r="H115" i="119"/>
  <c r="B124" i="119"/>
  <c r="B125" i="119"/>
  <c r="B126" i="119"/>
  <c r="B127" i="119"/>
  <c r="B128" i="119"/>
  <c r="B129" i="119"/>
  <c r="B115" i="119"/>
  <c r="B116" i="119"/>
  <c r="B117" i="119"/>
  <c r="B118" i="119"/>
  <c r="B119" i="119"/>
  <c r="B120" i="119"/>
  <c r="J124" i="119"/>
  <c r="K124" i="119" s="1"/>
  <c r="L124" i="119" s="1"/>
  <c r="M124" i="119" s="1"/>
  <c r="N124" i="119" s="1"/>
  <c r="O124" i="119" s="1"/>
  <c r="P124" i="119" s="1"/>
  <c r="Q124" i="119" s="1"/>
  <c r="L115" i="119"/>
  <c r="M115" i="119" s="1"/>
  <c r="N115" i="119" s="1"/>
  <c r="O115" i="119" s="1"/>
  <c r="P115" i="119" s="1"/>
  <c r="Q115" i="119" s="1"/>
  <c r="J115" i="119"/>
  <c r="B94" i="119"/>
  <c r="H94" i="119"/>
  <c r="I94" i="119"/>
  <c r="J94" i="119"/>
  <c r="K94" i="119"/>
  <c r="L94" i="119" s="1"/>
  <c r="M94" i="119" s="1"/>
  <c r="N94" i="119" s="1"/>
  <c r="O94" i="119" s="1"/>
  <c r="P94" i="119" s="1"/>
  <c r="Q94" i="119" s="1"/>
  <c r="R94" i="119"/>
  <c r="B95" i="119"/>
  <c r="H95" i="119"/>
  <c r="I95" i="119"/>
  <c r="J95" i="119" s="1"/>
  <c r="K95" i="119"/>
  <c r="L95" i="119" s="1"/>
  <c r="M95" i="119" s="1"/>
  <c r="N95" i="119" s="1"/>
  <c r="O95" i="119" s="1"/>
  <c r="P95" i="119" s="1"/>
  <c r="Q95" i="119" s="1"/>
  <c r="R95" i="119"/>
  <c r="B96" i="119"/>
  <c r="H96" i="119"/>
  <c r="I96" i="119"/>
  <c r="J96" i="119" s="1"/>
  <c r="K96" i="119"/>
  <c r="L96" i="119" s="1"/>
  <c r="M96" i="119" s="1"/>
  <c r="N96" i="119" s="1"/>
  <c r="O96" i="119" s="1"/>
  <c r="P96" i="119" s="1"/>
  <c r="Q96" i="119" s="1"/>
  <c r="R96" i="119"/>
  <c r="B97" i="119"/>
  <c r="H97" i="119"/>
  <c r="I97" i="119"/>
  <c r="J97" i="119" s="1"/>
  <c r="K97" i="119"/>
  <c r="L97" i="119"/>
  <c r="M97" i="119"/>
  <c r="N97" i="119" s="1"/>
  <c r="O97" i="119" s="1"/>
  <c r="P97" i="119" s="1"/>
  <c r="Q97" i="119" s="1"/>
  <c r="R97" i="119"/>
  <c r="B98" i="119"/>
  <c r="H98" i="119"/>
  <c r="I98" i="119"/>
  <c r="J98" i="119" s="1"/>
  <c r="K98" i="119"/>
  <c r="L98" i="119" s="1"/>
  <c r="M98" i="119" s="1"/>
  <c r="N98" i="119" s="1"/>
  <c r="O98" i="119" s="1"/>
  <c r="P98" i="119" s="1"/>
  <c r="Q98" i="119" s="1"/>
  <c r="R98" i="119"/>
  <c r="B103" i="119"/>
  <c r="H103" i="119"/>
  <c r="I103" i="119"/>
  <c r="J103" i="119" s="1"/>
  <c r="K103" i="119" s="1"/>
  <c r="L103" i="119" s="1"/>
  <c r="M103" i="119" s="1"/>
  <c r="N103" i="119" s="1"/>
  <c r="O103" i="119" s="1"/>
  <c r="P103" i="119" s="1"/>
  <c r="Q103" i="119" s="1"/>
  <c r="B104" i="119"/>
  <c r="H104" i="119"/>
  <c r="I104" i="119"/>
  <c r="J104" i="119" s="1"/>
  <c r="K104" i="119" s="1"/>
  <c r="L104" i="119" s="1"/>
  <c r="M104" i="119" s="1"/>
  <c r="N104" i="119" s="1"/>
  <c r="O104" i="119" s="1"/>
  <c r="P104" i="119" s="1"/>
  <c r="Q104" i="119" s="1"/>
  <c r="B105" i="119"/>
  <c r="H105" i="119"/>
  <c r="I105" i="119"/>
  <c r="J105" i="119" s="1"/>
  <c r="K105" i="119" s="1"/>
  <c r="L105" i="119" s="1"/>
  <c r="M105" i="119" s="1"/>
  <c r="N105" i="119" s="1"/>
  <c r="O105" i="119" s="1"/>
  <c r="P105" i="119" s="1"/>
  <c r="Q105" i="119" s="1"/>
  <c r="B106" i="119"/>
  <c r="H106" i="119"/>
  <c r="I106" i="119"/>
  <c r="J106" i="119" s="1"/>
  <c r="K106" i="119" s="1"/>
  <c r="L106" i="119" s="1"/>
  <c r="M106" i="119" s="1"/>
  <c r="N106" i="119" s="1"/>
  <c r="O106" i="119" s="1"/>
  <c r="P106" i="119" s="1"/>
  <c r="Q106" i="119" s="1"/>
  <c r="B107" i="119"/>
  <c r="H107" i="119"/>
  <c r="I107" i="119"/>
  <c r="J107" i="119" s="1"/>
  <c r="K107" i="119" s="1"/>
  <c r="L107" i="119" s="1"/>
  <c r="M107" i="119" s="1"/>
  <c r="N107" i="119" s="1"/>
  <c r="O107" i="119" s="1"/>
  <c r="P107" i="119" s="1"/>
  <c r="Q107" i="119" s="1"/>
  <c r="I102" i="119"/>
  <c r="J102" i="119" s="1"/>
  <c r="K102" i="119" s="1"/>
  <c r="L102" i="119" s="1"/>
  <c r="M102" i="119" s="1"/>
  <c r="N102" i="119" s="1"/>
  <c r="O102" i="119" s="1"/>
  <c r="P102" i="119" s="1"/>
  <c r="Q102" i="119" s="1"/>
  <c r="H102" i="119"/>
  <c r="R93" i="119"/>
  <c r="K93" i="119"/>
  <c r="L93" i="119" s="1"/>
  <c r="M93" i="119" s="1"/>
  <c r="N93" i="119" s="1"/>
  <c r="O93" i="119" s="1"/>
  <c r="P93" i="119" s="1"/>
  <c r="Q93" i="119" s="1"/>
  <c r="I93" i="119"/>
  <c r="J93" i="119" s="1"/>
  <c r="H93" i="119"/>
  <c r="B102" i="119"/>
  <c r="B93" i="119"/>
  <c r="B82" i="119"/>
  <c r="H82" i="119"/>
  <c r="I82" i="119"/>
  <c r="J82" i="119" s="1"/>
  <c r="K82" i="119" s="1"/>
  <c r="L82" i="119" s="1"/>
  <c r="M82" i="119" s="1"/>
  <c r="N82" i="119" s="1"/>
  <c r="O82" i="119" s="1"/>
  <c r="P82" i="119" s="1"/>
  <c r="Q82" i="119" s="1"/>
  <c r="B83" i="119"/>
  <c r="H83" i="119"/>
  <c r="I83" i="119"/>
  <c r="J83" i="119" s="1"/>
  <c r="K83" i="119" s="1"/>
  <c r="L83" i="119" s="1"/>
  <c r="M83" i="119" s="1"/>
  <c r="N83" i="119" s="1"/>
  <c r="O83" i="119" s="1"/>
  <c r="P83" i="119" s="1"/>
  <c r="Q83" i="119" s="1"/>
  <c r="B84" i="119"/>
  <c r="H84" i="119"/>
  <c r="I84" i="119"/>
  <c r="J84" i="119" s="1"/>
  <c r="K84" i="119" s="1"/>
  <c r="L84" i="119" s="1"/>
  <c r="M84" i="119" s="1"/>
  <c r="N84" i="119" s="1"/>
  <c r="O84" i="119" s="1"/>
  <c r="P84" i="119" s="1"/>
  <c r="Q84" i="119" s="1"/>
  <c r="B85" i="119"/>
  <c r="H85" i="119"/>
  <c r="I85" i="119"/>
  <c r="J85" i="119"/>
  <c r="K85" i="119" s="1"/>
  <c r="L85" i="119" s="1"/>
  <c r="M85" i="119" s="1"/>
  <c r="N85" i="119" s="1"/>
  <c r="O85" i="119" s="1"/>
  <c r="P85" i="119" s="1"/>
  <c r="Q85" i="119" s="1"/>
  <c r="B86" i="119"/>
  <c r="H86" i="119"/>
  <c r="I86" i="119"/>
  <c r="J86" i="119" s="1"/>
  <c r="K86" i="119" s="1"/>
  <c r="L86" i="119" s="1"/>
  <c r="M86" i="119" s="1"/>
  <c r="N86" i="119" s="1"/>
  <c r="O86" i="119" s="1"/>
  <c r="P86" i="119" s="1"/>
  <c r="Q86" i="119" s="1"/>
  <c r="I81" i="119"/>
  <c r="J81" i="119" s="1"/>
  <c r="K81" i="119" s="1"/>
  <c r="L81" i="119" s="1"/>
  <c r="M81" i="119" s="1"/>
  <c r="N81" i="119" s="1"/>
  <c r="O81" i="119" s="1"/>
  <c r="P81" i="119" s="1"/>
  <c r="Q81" i="119" s="1"/>
  <c r="H81" i="119"/>
  <c r="B73" i="119"/>
  <c r="H73" i="119"/>
  <c r="I73" i="119"/>
  <c r="J73" i="119" s="1"/>
  <c r="K73" i="119"/>
  <c r="L73" i="119"/>
  <c r="M73" i="119" s="1"/>
  <c r="N73" i="119" s="1"/>
  <c r="O73" i="119" s="1"/>
  <c r="P73" i="119" s="1"/>
  <c r="Q73" i="119" s="1"/>
  <c r="R73" i="119"/>
  <c r="B74" i="119"/>
  <c r="H74" i="119"/>
  <c r="I74" i="119"/>
  <c r="J74" i="119" s="1"/>
  <c r="K74" i="119"/>
  <c r="L74" i="119" s="1"/>
  <c r="M74" i="119" s="1"/>
  <c r="N74" i="119" s="1"/>
  <c r="O74" i="119" s="1"/>
  <c r="P74" i="119" s="1"/>
  <c r="Q74" i="119" s="1"/>
  <c r="R74" i="119"/>
  <c r="B75" i="119"/>
  <c r="H75" i="119"/>
  <c r="I75" i="119"/>
  <c r="J75" i="119"/>
  <c r="K75" i="119"/>
  <c r="L75" i="119"/>
  <c r="M75" i="119" s="1"/>
  <c r="N75" i="119" s="1"/>
  <c r="O75" i="119" s="1"/>
  <c r="P75" i="119" s="1"/>
  <c r="Q75" i="119" s="1"/>
  <c r="R75" i="119"/>
  <c r="B76" i="119"/>
  <c r="H76" i="119"/>
  <c r="I76" i="119"/>
  <c r="J76" i="119" s="1"/>
  <c r="K76" i="119"/>
  <c r="L76" i="119" s="1"/>
  <c r="M76" i="119" s="1"/>
  <c r="N76" i="119" s="1"/>
  <c r="O76" i="119" s="1"/>
  <c r="P76" i="119" s="1"/>
  <c r="Q76" i="119" s="1"/>
  <c r="R76" i="119"/>
  <c r="B77" i="119"/>
  <c r="H77" i="119"/>
  <c r="I77" i="119"/>
  <c r="J77" i="119" s="1"/>
  <c r="K77" i="119"/>
  <c r="L77" i="119"/>
  <c r="M77" i="119" s="1"/>
  <c r="N77" i="119" s="1"/>
  <c r="O77" i="119" s="1"/>
  <c r="P77" i="119" s="1"/>
  <c r="Q77" i="119" s="1"/>
  <c r="R77" i="119"/>
  <c r="R72" i="119"/>
  <c r="K72" i="119"/>
  <c r="L72" i="119" s="1"/>
  <c r="M72" i="119" s="1"/>
  <c r="N72" i="119" s="1"/>
  <c r="O72" i="119" s="1"/>
  <c r="P72" i="119" s="1"/>
  <c r="Q72" i="119" s="1"/>
  <c r="I72" i="119"/>
  <c r="J72" i="119" s="1"/>
  <c r="H72" i="119"/>
  <c r="B81" i="119"/>
  <c r="B72" i="119"/>
  <c r="B61" i="119"/>
  <c r="H61" i="119"/>
  <c r="I61" i="119"/>
  <c r="J61" i="119" s="1"/>
  <c r="K61" i="119" s="1"/>
  <c r="L61" i="119" s="1"/>
  <c r="M61" i="119" s="1"/>
  <c r="N61" i="119" s="1"/>
  <c r="O61" i="119" s="1"/>
  <c r="P61" i="119" s="1"/>
  <c r="Q61" i="119" s="1"/>
  <c r="B62" i="119"/>
  <c r="H62" i="119"/>
  <c r="I62" i="119"/>
  <c r="J62" i="119"/>
  <c r="K62" i="119" s="1"/>
  <c r="L62" i="119" s="1"/>
  <c r="M62" i="119" s="1"/>
  <c r="N62" i="119" s="1"/>
  <c r="O62" i="119" s="1"/>
  <c r="P62" i="119" s="1"/>
  <c r="Q62" i="119" s="1"/>
  <c r="B63" i="119"/>
  <c r="H63" i="119"/>
  <c r="I63" i="119"/>
  <c r="J63" i="119" s="1"/>
  <c r="K63" i="119" s="1"/>
  <c r="L63" i="119" s="1"/>
  <c r="M63" i="119" s="1"/>
  <c r="N63" i="119" s="1"/>
  <c r="O63" i="119" s="1"/>
  <c r="P63" i="119" s="1"/>
  <c r="Q63" i="119" s="1"/>
  <c r="B64" i="119"/>
  <c r="H64" i="119"/>
  <c r="I64" i="119"/>
  <c r="J64" i="119" s="1"/>
  <c r="K64" i="119" s="1"/>
  <c r="L64" i="119" s="1"/>
  <c r="M64" i="119" s="1"/>
  <c r="N64" i="119" s="1"/>
  <c r="O64" i="119" s="1"/>
  <c r="P64" i="119" s="1"/>
  <c r="Q64" i="119" s="1"/>
  <c r="B65" i="119"/>
  <c r="H65" i="119"/>
  <c r="I65" i="119"/>
  <c r="J65" i="119" s="1"/>
  <c r="K65" i="119" s="1"/>
  <c r="L65" i="119" s="1"/>
  <c r="M65" i="119" s="1"/>
  <c r="N65" i="119" s="1"/>
  <c r="O65" i="119" s="1"/>
  <c r="P65" i="119" s="1"/>
  <c r="Q65" i="119" s="1"/>
  <c r="B52" i="119"/>
  <c r="H52" i="119"/>
  <c r="I52" i="119"/>
  <c r="J52" i="119" s="1"/>
  <c r="K52" i="119"/>
  <c r="L52" i="119" s="1"/>
  <c r="M52" i="119" s="1"/>
  <c r="N52" i="119" s="1"/>
  <c r="O52" i="119" s="1"/>
  <c r="P52" i="119" s="1"/>
  <c r="Q52" i="119" s="1"/>
  <c r="R52" i="119"/>
  <c r="B53" i="119"/>
  <c r="H53" i="119"/>
  <c r="I53" i="119"/>
  <c r="J53" i="119" s="1"/>
  <c r="K53" i="119"/>
  <c r="L53" i="119" s="1"/>
  <c r="M53" i="119" s="1"/>
  <c r="N53" i="119" s="1"/>
  <c r="O53" i="119" s="1"/>
  <c r="P53" i="119" s="1"/>
  <c r="Q53" i="119" s="1"/>
  <c r="R53" i="119"/>
  <c r="B54" i="119"/>
  <c r="H54" i="119"/>
  <c r="I54" i="119"/>
  <c r="J54" i="119" s="1"/>
  <c r="K54" i="119"/>
  <c r="L54" i="119" s="1"/>
  <c r="M54" i="119" s="1"/>
  <c r="N54" i="119" s="1"/>
  <c r="O54" i="119" s="1"/>
  <c r="P54" i="119" s="1"/>
  <c r="Q54" i="119" s="1"/>
  <c r="R54" i="119"/>
  <c r="B55" i="119"/>
  <c r="H55" i="119"/>
  <c r="I55" i="119"/>
  <c r="J55" i="119" s="1"/>
  <c r="K55" i="119"/>
  <c r="L55" i="119" s="1"/>
  <c r="M55" i="119" s="1"/>
  <c r="N55" i="119" s="1"/>
  <c r="O55" i="119" s="1"/>
  <c r="P55" i="119" s="1"/>
  <c r="Q55" i="119" s="1"/>
  <c r="R55" i="119"/>
  <c r="B56" i="119"/>
  <c r="H56" i="119"/>
  <c r="I56" i="119"/>
  <c r="J56" i="119" s="1"/>
  <c r="K56" i="119"/>
  <c r="L56" i="119" s="1"/>
  <c r="M56" i="119" s="1"/>
  <c r="N56" i="119" s="1"/>
  <c r="O56" i="119" s="1"/>
  <c r="P56" i="119" s="1"/>
  <c r="Q56" i="119" s="1"/>
  <c r="R56" i="119"/>
  <c r="I60" i="119"/>
  <c r="J60" i="119" s="1"/>
  <c r="K60" i="119" s="1"/>
  <c r="L60" i="119" s="1"/>
  <c r="M60" i="119" s="1"/>
  <c r="N60" i="119" s="1"/>
  <c r="O60" i="119" s="1"/>
  <c r="P60" i="119" s="1"/>
  <c r="Q60" i="119" s="1"/>
  <c r="H60" i="119"/>
  <c r="R51" i="119"/>
  <c r="K51" i="119"/>
  <c r="L51" i="119" s="1"/>
  <c r="M51" i="119" s="1"/>
  <c r="N51" i="119" s="1"/>
  <c r="O51" i="119" s="1"/>
  <c r="P51" i="119" s="1"/>
  <c r="Q51" i="119" s="1"/>
  <c r="I51" i="119"/>
  <c r="J51" i="119" s="1"/>
  <c r="H51" i="119"/>
  <c r="B60" i="119"/>
  <c r="B51" i="119"/>
  <c r="B39" i="119"/>
  <c r="H39" i="119"/>
  <c r="I39" i="119"/>
  <c r="J39" i="119" s="1"/>
  <c r="K39" i="119" s="1"/>
  <c r="L39" i="119" s="1"/>
  <c r="M39" i="119" s="1"/>
  <c r="N39" i="119" s="1"/>
  <c r="O39" i="119" s="1"/>
  <c r="P39" i="119" s="1"/>
  <c r="Q39" i="119" s="1"/>
  <c r="B40" i="119"/>
  <c r="H40" i="119"/>
  <c r="I40" i="119"/>
  <c r="J40" i="119" s="1"/>
  <c r="K40" i="119" s="1"/>
  <c r="L40" i="119" s="1"/>
  <c r="M40" i="119" s="1"/>
  <c r="N40" i="119" s="1"/>
  <c r="O40" i="119" s="1"/>
  <c r="P40" i="119" s="1"/>
  <c r="Q40" i="119" s="1"/>
  <c r="B41" i="119"/>
  <c r="H41" i="119"/>
  <c r="I41" i="119"/>
  <c r="J41" i="119" s="1"/>
  <c r="K41" i="119" s="1"/>
  <c r="L41" i="119" s="1"/>
  <c r="M41" i="119" s="1"/>
  <c r="N41" i="119" s="1"/>
  <c r="O41" i="119" s="1"/>
  <c r="P41" i="119" s="1"/>
  <c r="Q41" i="119" s="1"/>
  <c r="B42" i="119"/>
  <c r="H42" i="119"/>
  <c r="I42" i="119"/>
  <c r="J42" i="119" s="1"/>
  <c r="K42" i="119" s="1"/>
  <c r="L42" i="119" s="1"/>
  <c r="M42" i="119" s="1"/>
  <c r="N42" i="119" s="1"/>
  <c r="O42" i="119" s="1"/>
  <c r="P42" i="119" s="1"/>
  <c r="Q42" i="119" s="1"/>
  <c r="B43" i="119"/>
  <c r="H43" i="119"/>
  <c r="I43" i="119"/>
  <c r="J43" i="119" s="1"/>
  <c r="K43" i="119" s="1"/>
  <c r="L43" i="119" s="1"/>
  <c r="M43" i="119" s="1"/>
  <c r="N43" i="119" s="1"/>
  <c r="O43" i="119" s="1"/>
  <c r="P43" i="119" s="1"/>
  <c r="Q43" i="119" s="1"/>
  <c r="I38" i="119"/>
  <c r="J38" i="119" s="1"/>
  <c r="K38" i="119" s="1"/>
  <c r="L38" i="119" s="1"/>
  <c r="M38" i="119" s="1"/>
  <c r="N38" i="119" s="1"/>
  <c r="O38" i="119" s="1"/>
  <c r="P38" i="119" s="1"/>
  <c r="Q38" i="119" s="1"/>
  <c r="H38" i="119"/>
  <c r="B30" i="119"/>
  <c r="H30" i="119"/>
  <c r="I30" i="119"/>
  <c r="J30" i="119" s="1"/>
  <c r="K30" i="119"/>
  <c r="L30" i="119" s="1"/>
  <c r="M30" i="119" s="1"/>
  <c r="N30" i="119" s="1"/>
  <c r="O30" i="119" s="1"/>
  <c r="P30" i="119" s="1"/>
  <c r="Q30" i="119" s="1"/>
  <c r="R30" i="119"/>
  <c r="B31" i="119"/>
  <c r="H31" i="119"/>
  <c r="I31" i="119"/>
  <c r="J31" i="119" s="1"/>
  <c r="K31" i="119"/>
  <c r="L31" i="119" s="1"/>
  <c r="M31" i="119" s="1"/>
  <c r="N31" i="119" s="1"/>
  <c r="O31" i="119" s="1"/>
  <c r="P31" i="119" s="1"/>
  <c r="Q31" i="119" s="1"/>
  <c r="R31" i="119"/>
  <c r="B32" i="119"/>
  <c r="H32" i="119"/>
  <c r="I32" i="119"/>
  <c r="J32" i="119" s="1"/>
  <c r="K32" i="119"/>
  <c r="L32" i="119" s="1"/>
  <c r="M32" i="119" s="1"/>
  <c r="N32" i="119" s="1"/>
  <c r="O32" i="119" s="1"/>
  <c r="P32" i="119" s="1"/>
  <c r="Q32" i="119" s="1"/>
  <c r="R32" i="119"/>
  <c r="B33" i="119"/>
  <c r="H33" i="119"/>
  <c r="I33" i="119"/>
  <c r="J33" i="119"/>
  <c r="K33" i="119"/>
  <c r="L33" i="119" s="1"/>
  <c r="M33" i="119" s="1"/>
  <c r="N33" i="119" s="1"/>
  <c r="O33" i="119" s="1"/>
  <c r="P33" i="119" s="1"/>
  <c r="Q33" i="119" s="1"/>
  <c r="R33" i="119"/>
  <c r="B34" i="119"/>
  <c r="H34" i="119"/>
  <c r="I34" i="119"/>
  <c r="J34" i="119" s="1"/>
  <c r="K34" i="119"/>
  <c r="L34" i="119" s="1"/>
  <c r="M34" i="119" s="1"/>
  <c r="N34" i="119" s="1"/>
  <c r="O34" i="119" s="1"/>
  <c r="P34" i="119" s="1"/>
  <c r="Q34" i="119" s="1"/>
  <c r="R34" i="119"/>
  <c r="R29" i="119"/>
  <c r="K29" i="119"/>
  <c r="L29" i="119" s="1"/>
  <c r="M29" i="119" s="1"/>
  <c r="N29" i="119" s="1"/>
  <c r="O29" i="119" s="1"/>
  <c r="P29" i="119" s="1"/>
  <c r="Q29" i="119" s="1"/>
  <c r="I29" i="119"/>
  <c r="J29" i="119" s="1"/>
  <c r="H29" i="119"/>
  <c r="B38" i="119"/>
  <c r="B29" i="119"/>
  <c r="J96" i="12"/>
  <c r="T18" i="102"/>
  <c r="B17" i="119"/>
  <c r="B18" i="119"/>
  <c r="B19" i="119"/>
  <c r="B20" i="119"/>
  <c r="B21" i="119"/>
  <c r="H17" i="119"/>
  <c r="I17" i="119"/>
  <c r="J17" i="119"/>
  <c r="K17" i="119" s="1"/>
  <c r="L17" i="119" s="1"/>
  <c r="M17" i="119" s="1"/>
  <c r="N17" i="119" s="1"/>
  <c r="O17" i="119" s="1"/>
  <c r="P17" i="119" s="1"/>
  <c r="Q17" i="119" s="1"/>
  <c r="H18" i="119"/>
  <c r="I18" i="119"/>
  <c r="J18" i="119" s="1"/>
  <c r="K18" i="119" s="1"/>
  <c r="L18" i="119" s="1"/>
  <c r="M18" i="119" s="1"/>
  <c r="N18" i="119" s="1"/>
  <c r="O18" i="119" s="1"/>
  <c r="P18" i="119" s="1"/>
  <c r="Q18" i="119" s="1"/>
  <c r="H19" i="119"/>
  <c r="I19" i="119"/>
  <c r="J19" i="119"/>
  <c r="K19" i="119" s="1"/>
  <c r="L19" i="119" s="1"/>
  <c r="M19" i="119" s="1"/>
  <c r="N19" i="119" s="1"/>
  <c r="O19" i="119" s="1"/>
  <c r="P19" i="119" s="1"/>
  <c r="Q19" i="119" s="1"/>
  <c r="H20" i="119"/>
  <c r="I20" i="119"/>
  <c r="J20" i="119" s="1"/>
  <c r="K20" i="119" s="1"/>
  <c r="L20" i="119" s="1"/>
  <c r="M20" i="119" s="1"/>
  <c r="N20" i="119" s="1"/>
  <c r="O20" i="119" s="1"/>
  <c r="P20" i="119" s="1"/>
  <c r="Q20" i="119" s="1"/>
  <c r="H21" i="119"/>
  <c r="I21" i="119"/>
  <c r="J21" i="119"/>
  <c r="K21" i="119" s="1"/>
  <c r="L21" i="119" s="1"/>
  <c r="M21" i="119" s="1"/>
  <c r="N21" i="119" s="1"/>
  <c r="O21" i="119" s="1"/>
  <c r="P21" i="119" s="1"/>
  <c r="Q21" i="119" s="1"/>
  <c r="I16" i="119"/>
  <c r="J16" i="119" s="1"/>
  <c r="K16" i="119" s="1"/>
  <c r="L16" i="119" s="1"/>
  <c r="M16" i="119" s="1"/>
  <c r="N16" i="119" s="1"/>
  <c r="O16" i="119" s="1"/>
  <c r="P16" i="119" s="1"/>
  <c r="Q16" i="119" s="1"/>
  <c r="H16" i="119"/>
  <c r="B16" i="119"/>
  <c r="B8" i="119"/>
  <c r="H8" i="119"/>
  <c r="I8" i="119"/>
  <c r="J8" i="119" s="1"/>
  <c r="K8" i="119"/>
  <c r="L8" i="119" s="1"/>
  <c r="M8" i="119" s="1"/>
  <c r="N8" i="119" s="1"/>
  <c r="O8" i="119" s="1"/>
  <c r="P8" i="119" s="1"/>
  <c r="Q8" i="119" s="1"/>
  <c r="R8" i="119"/>
  <c r="B9" i="119"/>
  <c r="H9" i="119"/>
  <c r="I9" i="119"/>
  <c r="J9" i="119" s="1"/>
  <c r="K9" i="119"/>
  <c r="L9" i="119" s="1"/>
  <c r="M9" i="119" s="1"/>
  <c r="N9" i="119" s="1"/>
  <c r="O9" i="119" s="1"/>
  <c r="P9" i="119" s="1"/>
  <c r="Q9" i="119" s="1"/>
  <c r="R9" i="119"/>
  <c r="B10" i="119"/>
  <c r="H10" i="119"/>
  <c r="I10" i="119"/>
  <c r="J10" i="119" s="1"/>
  <c r="K10" i="119"/>
  <c r="L10" i="119" s="1"/>
  <c r="M10" i="119" s="1"/>
  <c r="N10" i="119" s="1"/>
  <c r="O10" i="119" s="1"/>
  <c r="P10" i="119" s="1"/>
  <c r="Q10" i="119" s="1"/>
  <c r="R10" i="119"/>
  <c r="B11" i="119"/>
  <c r="H11" i="119"/>
  <c r="I11" i="119"/>
  <c r="J11" i="119" s="1"/>
  <c r="K11" i="119"/>
  <c r="L11" i="119" s="1"/>
  <c r="M11" i="119" s="1"/>
  <c r="N11" i="119" s="1"/>
  <c r="O11" i="119" s="1"/>
  <c r="P11" i="119" s="1"/>
  <c r="Q11" i="119" s="1"/>
  <c r="B12" i="119"/>
  <c r="H12" i="119"/>
  <c r="I12" i="119"/>
  <c r="J12" i="119" s="1"/>
  <c r="K12" i="119"/>
  <c r="L12" i="119" s="1"/>
  <c r="M12" i="119" s="1"/>
  <c r="N12" i="119" s="1"/>
  <c r="O12" i="119" s="1"/>
  <c r="P12" i="119" s="1"/>
  <c r="Q12" i="119" s="1"/>
  <c r="R7" i="119"/>
  <c r="K7" i="119"/>
  <c r="I7" i="119"/>
  <c r="J7" i="119" s="1"/>
  <c r="H7" i="119"/>
  <c r="B7" i="119"/>
  <c r="L7" i="119" l="1"/>
  <c r="M7" i="119" s="1"/>
  <c r="N7" i="119" s="1"/>
  <c r="O7" i="119" s="1"/>
  <c r="P7" i="119" s="1"/>
  <c r="Q7" i="119" s="1"/>
  <c r="D16" i="19" l="1"/>
  <c r="AS51" i="12" l="1"/>
  <c r="AO51" i="12"/>
  <c r="AJ51" i="12"/>
  <c r="P51" i="12"/>
  <c r="O51" i="12"/>
  <c r="O50" i="12" s="1"/>
  <c r="N51" i="12"/>
  <c r="N50" i="12"/>
  <c r="N55" i="12"/>
  <c r="N54" i="12"/>
  <c r="N53" i="12"/>
  <c r="N52" i="12"/>
  <c r="A79" i="12" l="1"/>
  <c r="A80" i="12" s="1"/>
  <c r="A78" i="12"/>
  <c r="K96" i="12" l="1"/>
  <c r="H96" i="12"/>
  <c r="AA16" i="12" l="1"/>
  <c r="M20" i="102"/>
  <c r="Y18" i="102"/>
  <c r="Y16" i="102"/>
  <c r="AC16" i="102"/>
  <c r="X63" i="12" s="1"/>
  <c r="W63" i="12"/>
  <c r="K17" i="102"/>
  <c r="W11" i="102"/>
  <c r="W14" i="102"/>
  <c r="L20" i="102"/>
  <c r="X18" i="102" s="1"/>
  <c r="B20" i="102"/>
  <c r="K20" i="102"/>
  <c r="W18" i="102" s="1"/>
  <c r="W16" i="102" s="1"/>
  <c r="W9" i="12"/>
  <c r="Z64" i="12" l="1"/>
  <c r="Z65" i="12"/>
  <c r="Z63" i="12"/>
  <c r="F20" i="12"/>
  <c r="AA42" i="12"/>
  <c r="AA35" i="12"/>
  <c r="AA28" i="12"/>
  <c r="AA41" i="12"/>
  <c r="AA40" i="12"/>
  <c r="AA39" i="12"/>
  <c r="AA38" i="12"/>
  <c r="AA37" i="12"/>
  <c r="AA34" i="12"/>
  <c r="AA33" i="12"/>
  <c r="AA32" i="12"/>
  <c r="AA31" i="12"/>
  <c r="AA30" i="12"/>
  <c r="AA27" i="12"/>
  <c r="AA26" i="12"/>
  <c r="AA25" i="12"/>
  <c r="AA24" i="12"/>
  <c r="AA23" i="12"/>
  <c r="AA18" i="12"/>
  <c r="AA19" i="12"/>
  <c r="AA20" i="12"/>
  <c r="AA21" i="12"/>
  <c r="AA17" i="12"/>
  <c r="W16" i="12"/>
  <c r="W11" i="12" l="1"/>
  <c r="W10" i="12" l="1"/>
  <c r="W42" i="12"/>
  <c r="W41" i="12"/>
  <c r="W40" i="12"/>
  <c r="W39" i="12"/>
  <c r="W38" i="12"/>
  <c r="W37" i="12"/>
  <c r="W35" i="12"/>
  <c r="W34" i="12"/>
  <c r="W33" i="12"/>
  <c r="W32" i="12"/>
  <c r="W31" i="12"/>
  <c r="W30" i="12"/>
  <c r="W28" i="12"/>
  <c r="W27" i="12"/>
  <c r="W26" i="12"/>
  <c r="W25" i="12"/>
  <c r="W24" i="12"/>
  <c r="W23" i="12"/>
  <c r="W20" i="12"/>
  <c r="W21" i="12"/>
  <c r="W12" i="12" l="1"/>
  <c r="D111" i="12" l="1"/>
  <c r="C111" i="12"/>
  <c r="B111" i="12"/>
  <c r="A111" i="12"/>
  <c r="AQ51" i="12" l="1"/>
  <c r="AN51" i="12"/>
  <c r="AO50" i="12" l="1"/>
  <c r="B254" i="11"/>
  <c r="B253" i="11"/>
  <c r="B252" i="11"/>
  <c r="A87" i="12" l="1"/>
  <c r="A86" i="12"/>
  <c r="A85" i="12"/>
  <c r="A84" i="12"/>
  <c r="A83" i="12"/>
  <c r="A82" i="12"/>
  <c r="B121" i="11" l="1"/>
  <c r="B120" i="11"/>
  <c r="B119" i="11"/>
  <c r="B118" i="11"/>
  <c r="B117" i="11"/>
  <c r="B116" i="11"/>
  <c r="B115" i="11"/>
  <c r="B114" i="11"/>
  <c r="B113" i="11"/>
  <c r="B112" i="11"/>
  <c r="B111" i="11"/>
  <c r="B110" i="11"/>
  <c r="B109" i="11"/>
  <c r="B108" i="11"/>
  <c r="B107" i="11"/>
  <c r="B106" i="11"/>
  <c r="B105" i="11"/>
  <c r="B104" i="11"/>
  <c r="B103" i="11"/>
  <c r="C243" i="11"/>
  <c r="C244" i="11"/>
  <c r="C254" i="11"/>
  <c r="C253" i="11"/>
  <c r="D101" i="12"/>
  <c r="D100" i="12"/>
  <c r="D99" i="12"/>
  <c r="D98" i="12"/>
  <c r="D97" i="12"/>
  <c r="D96" i="12"/>
  <c r="C101" i="12"/>
  <c r="C100" i="12"/>
  <c r="C99" i="12"/>
  <c r="C98" i="12"/>
  <c r="C97" i="12"/>
  <c r="C96" i="12"/>
  <c r="B101" i="12"/>
  <c r="B100" i="12"/>
  <c r="B99" i="12"/>
  <c r="B98" i="12"/>
  <c r="B97" i="12"/>
  <c r="B96" i="12"/>
  <c r="C87" i="12"/>
  <c r="C86" i="12"/>
  <c r="C85" i="12"/>
  <c r="C84" i="12"/>
  <c r="C83" i="12"/>
  <c r="C82" i="12"/>
  <c r="E87" i="12"/>
  <c r="B87" i="12"/>
  <c r="E86" i="12"/>
  <c r="E85" i="12"/>
  <c r="E84" i="12"/>
  <c r="E83" i="12"/>
  <c r="E82" i="12"/>
  <c r="B86" i="12"/>
  <c r="B85" i="12"/>
  <c r="B84" i="12"/>
  <c r="B83" i="12"/>
  <c r="B82" i="12"/>
  <c r="E55" i="12"/>
  <c r="E54" i="12"/>
  <c r="E53" i="12"/>
  <c r="E52" i="12"/>
  <c r="E51" i="12"/>
  <c r="E50" i="12"/>
  <c r="D42" i="12"/>
  <c r="D41" i="12"/>
  <c r="D40" i="12"/>
  <c r="D39" i="12"/>
  <c r="D38" i="12"/>
  <c r="D37" i="12"/>
  <c r="D35" i="12"/>
  <c r="D34" i="12"/>
  <c r="D33" i="12"/>
  <c r="D32" i="12"/>
  <c r="D31" i="12"/>
  <c r="D30" i="12"/>
  <c r="D28" i="12"/>
  <c r="D27" i="12"/>
  <c r="D26" i="12"/>
  <c r="D25" i="12"/>
  <c r="D24" i="12"/>
  <c r="D23" i="12"/>
  <c r="D21" i="12"/>
  <c r="D20" i="12"/>
  <c r="D19" i="12"/>
  <c r="D18" i="12"/>
  <c r="D17" i="12"/>
  <c r="D16" i="12"/>
  <c r="D14" i="12"/>
  <c r="D13" i="12"/>
  <c r="D12" i="12"/>
  <c r="D11" i="12"/>
  <c r="D10" i="12"/>
  <c r="D9" i="12"/>
  <c r="C251" i="11"/>
  <c r="B251" i="11" s="1"/>
  <c r="C250" i="11"/>
  <c r="B250" i="11" s="1"/>
  <c r="C249" i="11"/>
  <c r="B249" i="11" s="1"/>
  <c r="C248" i="11"/>
  <c r="B248" i="11" s="1"/>
  <c r="C241" i="11"/>
  <c r="D241" i="11" s="1"/>
  <c r="C240" i="11"/>
  <c r="C239" i="11"/>
  <c r="C238" i="11"/>
  <c r="D251" i="11" l="1"/>
  <c r="P125" i="98" l="1"/>
  <c r="P124" i="98"/>
  <c r="P123" i="98"/>
  <c r="P122" i="98"/>
  <c r="P121" i="98"/>
  <c r="P120" i="98"/>
  <c r="P119" i="98"/>
  <c r="O118" i="98"/>
  <c r="O126" i="98" s="1"/>
  <c r="P118" i="98" l="1"/>
  <c r="P126" i="98" s="1"/>
  <c r="L105" i="98" s="1"/>
  <c r="K90" i="98" l="1"/>
  <c r="E124" i="98"/>
  <c r="E129" i="98" s="1"/>
  <c r="E131" i="98" s="1"/>
  <c r="E128" i="98"/>
  <c r="C129" i="98"/>
  <c r="C131" i="98" s="1"/>
  <c r="D129" i="98"/>
  <c r="D131" i="98" s="1"/>
  <c r="D128" i="98"/>
  <c r="C128" i="98"/>
  <c r="C132" i="98" l="1"/>
  <c r="C133" i="98" s="1"/>
  <c r="E132" i="98"/>
  <c r="D132" i="98"/>
  <c r="D133" i="98" s="1"/>
  <c r="E133" i="98" l="1"/>
  <c r="U39" i="12"/>
  <c r="T39" i="12"/>
  <c r="S39" i="12"/>
  <c r="U32" i="12"/>
  <c r="T32" i="12"/>
  <c r="S32" i="12"/>
  <c r="U25" i="12"/>
  <c r="T25" i="12"/>
  <c r="S25" i="12"/>
  <c r="U18" i="12"/>
  <c r="T18" i="12"/>
  <c r="S18" i="12"/>
  <c r="U11" i="12"/>
  <c r="T11" i="12"/>
  <c r="S11" i="12"/>
  <c r="D62" i="113" l="1"/>
  <c r="D61" i="113"/>
  <c r="D58" i="113"/>
  <c r="D57" i="113"/>
  <c r="D56" i="113"/>
  <c r="D55" i="113"/>
  <c r="D59" i="113"/>
  <c r="D60" i="113"/>
  <c r="D54" i="113"/>
  <c r="D65" i="113" l="1"/>
  <c r="F60" i="113" s="1"/>
  <c r="D63" i="113"/>
  <c r="F63" i="113" s="1"/>
  <c r="C50" i="113"/>
  <c r="C61" i="113"/>
  <c r="C54" i="113"/>
  <c r="C62" i="113"/>
  <c r="C60" i="113"/>
  <c r="C59" i="113"/>
  <c r="C57" i="113"/>
  <c r="C56" i="113"/>
  <c r="C55" i="113"/>
  <c r="C51" i="113"/>
  <c r="D51" i="113"/>
  <c r="E51" i="113"/>
  <c r="E50" i="113"/>
  <c r="D50" i="113"/>
  <c r="F50" i="113" s="1"/>
  <c r="C21" i="113"/>
  <c r="D21" i="113"/>
  <c r="E21" i="113"/>
  <c r="O21" i="113"/>
  <c r="P21" i="113"/>
  <c r="O22" i="113"/>
  <c r="P22" i="113"/>
  <c r="O23" i="113"/>
  <c r="P23" i="113"/>
  <c r="O24" i="113"/>
  <c r="O26" i="113" s="1"/>
  <c r="C22" i="113"/>
  <c r="D22" i="113"/>
  <c r="E22" i="113"/>
  <c r="F62" i="113" l="1"/>
  <c r="F21" i="113"/>
  <c r="F55" i="113"/>
  <c r="C64" i="113"/>
  <c r="F58" i="113"/>
  <c r="F57" i="113"/>
  <c r="F59" i="113"/>
  <c r="F51" i="113"/>
  <c r="C63" i="113"/>
  <c r="E63" i="113" s="1"/>
  <c r="F54" i="113"/>
  <c r="F61" i="113"/>
  <c r="O28" i="113"/>
  <c r="D64" i="113"/>
  <c r="F64" i="113" s="1"/>
  <c r="C65" i="113"/>
  <c r="E58" i="113" s="1"/>
  <c r="P24" i="113"/>
  <c r="P28" i="113" s="1"/>
  <c r="Q28" i="113" s="1"/>
  <c r="O27" i="113"/>
  <c r="F22" i="113"/>
  <c r="E54" i="113" l="1"/>
  <c r="G54" i="113" s="1"/>
  <c r="E62" i="113"/>
  <c r="G62" i="113" s="1"/>
  <c r="E55" i="113"/>
  <c r="G55" i="113" s="1"/>
  <c r="E61" i="113"/>
  <c r="G61" i="113" s="1"/>
  <c r="G58" i="113"/>
  <c r="E64" i="113"/>
  <c r="P26" i="113"/>
  <c r="Q26" i="113" s="1"/>
  <c r="P27" i="113"/>
  <c r="Q27" i="113" s="1"/>
  <c r="E57" i="113"/>
  <c r="G57" i="113" s="1"/>
  <c r="E60" i="113"/>
  <c r="G60" i="113" s="1"/>
  <c r="E59" i="113"/>
  <c r="G59" i="113" s="1"/>
  <c r="C2" i="108" l="1"/>
  <c r="B2" i="108"/>
  <c r="B17" i="102" l="1"/>
  <c r="B18" i="102"/>
  <c r="B16" i="102"/>
  <c r="J26" i="99" l="1"/>
  <c r="D17" i="19" l="1"/>
  <c r="D18" i="19"/>
  <c r="D19" i="19"/>
  <c r="D20" i="19"/>
  <c r="D21" i="19"/>
  <c r="D22" i="19"/>
  <c r="D23" i="19"/>
  <c r="D24" i="19"/>
  <c r="D25" i="19"/>
  <c r="D26" i="19"/>
  <c r="D27" i="19"/>
  <c r="D28" i="19"/>
  <c r="D29" i="19"/>
  <c r="D30" i="19"/>
  <c r="D31" i="19"/>
  <c r="D32" i="19"/>
  <c r="D33" i="19"/>
  <c r="D34" i="19"/>
  <c r="D35" i="19"/>
  <c r="D36" i="19"/>
  <c r="D37" i="19"/>
  <c r="D38" i="19"/>
  <c r="D39" i="19"/>
  <c r="D40" i="19"/>
  <c r="D41" i="19"/>
  <c r="D42" i="19"/>
  <c r="D43" i="19"/>
  <c r="D44" i="19"/>
  <c r="D45" i="19"/>
  <c r="R42" i="99" l="1"/>
  <c r="S42" i="99"/>
  <c r="T42" i="99"/>
  <c r="Q42" i="99"/>
  <c r="P42" i="99"/>
  <c r="O42" i="99"/>
  <c r="O40" i="99"/>
  <c r="B27" i="99"/>
  <c r="M42" i="99"/>
  <c r="C27" i="99"/>
  <c r="N42" i="99"/>
  <c r="E27" i="99"/>
  <c r="G27" i="99"/>
  <c r="I27" i="99"/>
  <c r="F27" i="99"/>
  <c r="H27" i="99"/>
  <c r="D27" i="99"/>
  <c r="U42" i="99" l="1"/>
  <c r="AK51" i="12"/>
  <c r="AL51" i="12"/>
  <c r="AM51" i="12"/>
  <c r="AE51" i="12"/>
  <c r="AF51" i="12"/>
  <c r="AG51" i="12"/>
  <c r="AB51" i="12"/>
  <c r="AC51" i="12"/>
  <c r="AD51" i="12"/>
  <c r="Y51" i="12"/>
  <c r="Z51" i="12"/>
  <c r="AA51" i="12"/>
  <c r="AA50" i="12" s="1"/>
  <c r="V51" i="12"/>
  <c r="W51" i="12"/>
  <c r="X51" i="12"/>
  <c r="S51" i="12"/>
  <c r="T51" i="12"/>
  <c r="U51" i="12"/>
  <c r="Q51" i="12"/>
  <c r="R51" i="12"/>
  <c r="G93" i="108"/>
  <c r="F93" i="108"/>
  <c r="G92" i="108"/>
  <c r="F92" i="108"/>
  <c r="G91" i="108"/>
  <c r="F91" i="108"/>
  <c r="G90" i="108"/>
  <c r="F90" i="108"/>
  <c r="G89" i="108"/>
  <c r="F89" i="108"/>
  <c r="G88" i="108"/>
  <c r="F88" i="108"/>
  <c r="G87" i="108"/>
  <c r="F87" i="108"/>
  <c r="G86" i="108"/>
  <c r="F86" i="108"/>
  <c r="G85" i="108"/>
  <c r="F85" i="108"/>
  <c r="G84" i="108"/>
  <c r="C3" i="108" s="1"/>
  <c r="F84" i="108"/>
  <c r="G83" i="108"/>
  <c r="F83" i="108"/>
  <c r="G82" i="108"/>
  <c r="F82" i="108"/>
  <c r="G81" i="108"/>
  <c r="F81" i="108"/>
  <c r="G80" i="108"/>
  <c r="F80" i="108"/>
  <c r="G79" i="108"/>
  <c r="F79" i="108"/>
  <c r="G78" i="108"/>
  <c r="F78" i="108"/>
  <c r="G77" i="108"/>
  <c r="F77" i="108"/>
  <c r="G76" i="108"/>
  <c r="C7" i="108" s="1"/>
  <c r="F76" i="108"/>
  <c r="G75" i="108"/>
  <c r="F75" i="108"/>
  <c r="G74" i="108"/>
  <c r="F74" i="108"/>
  <c r="G73" i="108"/>
  <c r="F73" i="108"/>
  <c r="G72" i="108"/>
  <c r="F72" i="108"/>
  <c r="G71" i="108"/>
  <c r="F71" i="108"/>
  <c r="G66" i="108"/>
  <c r="C10" i="108" s="1"/>
  <c r="F66" i="108"/>
  <c r="G65" i="108"/>
  <c r="F65" i="108"/>
  <c r="G64" i="108"/>
  <c r="F64" i="108"/>
  <c r="G60" i="108"/>
  <c r="F60" i="108"/>
  <c r="G58" i="108"/>
  <c r="F58" i="108"/>
  <c r="G54" i="108"/>
  <c r="F54" i="108"/>
  <c r="G53" i="108"/>
  <c r="F53" i="108"/>
  <c r="G52" i="108"/>
  <c r="F52" i="108"/>
  <c r="G48" i="108"/>
  <c r="F48" i="108"/>
  <c r="F44" i="108"/>
  <c r="F40" i="108"/>
  <c r="D35" i="108"/>
  <c r="I102" i="98"/>
  <c r="I105" i="98" s="1"/>
  <c r="F102" i="98"/>
  <c r="F105" i="98" s="1"/>
  <c r="C102" i="98"/>
  <c r="C105" i="98" s="1"/>
  <c r="K101" i="98"/>
  <c r="K102" i="98" s="1"/>
  <c r="K105" i="98" s="1"/>
  <c r="H101" i="98"/>
  <c r="H102" i="98" s="1"/>
  <c r="H105" i="98" s="1"/>
  <c r="E101" i="98"/>
  <c r="E102" i="98" s="1"/>
  <c r="E105" i="98" s="1"/>
  <c r="J100" i="98"/>
  <c r="J102" i="98" s="1"/>
  <c r="J105" i="98" s="1"/>
  <c r="G100" i="98"/>
  <c r="G102" i="98" s="1"/>
  <c r="G105" i="98" s="1"/>
  <c r="D100" i="98"/>
  <c r="D102" i="98" s="1"/>
  <c r="D105" i="98" s="1"/>
  <c r="I99" i="98"/>
  <c r="F99" i="98"/>
  <c r="C99" i="98"/>
  <c r="K98" i="98"/>
  <c r="H98" i="98"/>
  <c r="E98" i="98"/>
  <c r="K97" i="98"/>
  <c r="H97" i="98"/>
  <c r="K96" i="98"/>
  <c r="H96" i="98"/>
  <c r="E96" i="98"/>
  <c r="K95" i="98"/>
  <c r="H95" i="98"/>
  <c r="E95" i="98"/>
  <c r="J94" i="98"/>
  <c r="G94" i="98"/>
  <c r="D94" i="98"/>
  <c r="J93" i="98"/>
  <c r="G93" i="98"/>
  <c r="D93" i="98"/>
  <c r="J92" i="98"/>
  <c r="G92" i="98"/>
  <c r="D92" i="98"/>
  <c r="I91" i="98"/>
  <c r="F91" i="98"/>
  <c r="C91" i="98"/>
  <c r="K91" i="98"/>
  <c r="H90" i="98"/>
  <c r="H91" i="98" s="1"/>
  <c r="E90" i="98"/>
  <c r="E91" i="98" s="1"/>
  <c r="J89" i="98"/>
  <c r="G89" i="98"/>
  <c r="J88" i="98"/>
  <c r="G88" i="98"/>
  <c r="J87" i="98"/>
  <c r="G87" i="98"/>
  <c r="D87" i="98"/>
  <c r="J86" i="98"/>
  <c r="G86" i="98"/>
  <c r="D86" i="98"/>
  <c r="M11" i="12" l="1"/>
  <c r="M9" i="12" s="1"/>
  <c r="B6" i="108"/>
  <c r="C6" i="108"/>
  <c r="C8" i="108"/>
  <c r="I104" i="98"/>
  <c r="B3" i="108"/>
  <c r="B5" i="108"/>
  <c r="F104" i="98"/>
  <c r="B7" i="108"/>
  <c r="D7" i="108" s="1"/>
  <c r="D113" i="98" s="1"/>
  <c r="C103" i="98"/>
  <c r="G99" i="98"/>
  <c r="E99" i="98"/>
  <c r="B10" i="108"/>
  <c r="D10" i="108" s="1"/>
  <c r="D116" i="98" s="1"/>
  <c r="E116" i="98" s="1"/>
  <c r="B9" i="108"/>
  <c r="D9" i="108" s="1"/>
  <c r="D115" i="98" s="1"/>
  <c r="E115" i="98" s="1"/>
  <c r="B4" i="108"/>
  <c r="D4" i="108" s="1"/>
  <c r="D110" i="98" s="1"/>
  <c r="E110" i="98" s="1"/>
  <c r="AR51" i="12"/>
  <c r="AP51" i="12"/>
  <c r="G91" i="98"/>
  <c r="E103" i="98"/>
  <c r="B8" i="108"/>
  <c r="C9" i="108"/>
  <c r="C4" i="108"/>
  <c r="C5" i="108"/>
  <c r="K99" i="98"/>
  <c r="AA52" i="12"/>
  <c r="AA53" i="12" s="1"/>
  <c r="AA54" i="12" s="1"/>
  <c r="AA55" i="12" s="1"/>
  <c r="V52" i="12"/>
  <c r="V53" i="12" s="1"/>
  <c r="V54" i="12" s="1"/>
  <c r="V55" i="12" s="1"/>
  <c r="V50" i="12"/>
  <c r="AB52" i="12"/>
  <c r="AB53" i="12" s="1"/>
  <c r="AB54" i="12" s="1"/>
  <c r="AB55" i="12" s="1"/>
  <c r="AB50" i="12"/>
  <c r="AK52" i="12"/>
  <c r="AK53" i="12" s="1"/>
  <c r="AK54" i="12" s="1"/>
  <c r="AK55" i="12" s="1"/>
  <c r="AK50" i="12"/>
  <c r="R52" i="12"/>
  <c r="R53" i="12" s="1"/>
  <c r="R54" i="12" s="1"/>
  <c r="R55" i="12" s="1"/>
  <c r="R50" i="12"/>
  <c r="Q52" i="12"/>
  <c r="Q53" i="12" s="1"/>
  <c r="Q54" i="12" s="1"/>
  <c r="Q55" i="12" s="1"/>
  <c r="Q50" i="12"/>
  <c r="T52" i="12"/>
  <c r="T53" i="12" s="1"/>
  <c r="T54" i="12" s="1"/>
  <c r="T55" i="12" s="1"/>
  <c r="T50" i="12"/>
  <c r="X52" i="12"/>
  <c r="X53" i="12" s="1"/>
  <c r="X54" i="12" s="1"/>
  <c r="X55" i="12" s="1"/>
  <c r="X50" i="12"/>
  <c r="AD52" i="12"/>
  <c r="AD53" i="12" s="1"/>
  <c r="AD54" i="12" s="1"/>
  <c r="AD55" i="12" s="1"/>
  <c r="AD50" i="12"/>
  <c r="AG52" i="12"/>
  <c r="AG53" i="12" s="1"/>
  <c r="AG54" i="12" s="1"/>
  <c r="AG55" i="12" s="1"/>
  <c r="AG50" i="12"/>
  <c r="AM52" i="12"/>
  <c r="AM53" i="12" s="1"/>
  <c r="AM54" i="12" s="1"/>
  <c r="AM55" i="12" s="1"/>
  <c r="AM50" i="12"/>
  <c r="Y52" i="12"/>
  <c r="Y53" i="12" s="1"/>
  <c r="Y54" i="12" s="1"/>
  <c r="Y55" i="12" s="1"/>
  <c r="Y50" i="12"/>
  <c r="AE52" i="12"/>
  <c r="AE53" i="12" s="1"/>
  <c r="AE54" i="12" s="1"/>
  <c r="AE55" i="12" s="1"/>
  <c r="AE50" i="12"/>
  <c r="U52" i="12"/>
  <c r="U53" i="12" s="1"/>
  <c r="U54" i="12" s="1"/>
  <c r="U55" i="12" s="1"/>
  <c r="U50" i="12"/>
  <c r="P52" i="12"/>
  <c r="P53" i="12" s="1"/>
  <c r="P54" i="12" s="1"/>
  <c r="P55" i="12" s="1"/>
  <c r="P50" i="12"/>
  <c r="S52" i="12"/>
  <c r="S53" i="12" s="1"/>
  <c r="S54" i="12" s="1"/>
  <c r="S55" i="12" s="1"/>
  <c r="S50" i="12"/>
  <c r="W52" i="12"/>
  <c r="W53" i="12" s="1"/>
  <c r="W54" i="12" s="1"/>
  <c r="W55" i="12" s="1"/>
  <c r="W50" i="12"/>
  <c r="Z52" i="12"/>
  <c r="Z53" i="12" s="1"/>
  <c r="Z54" i="12" s="1"/>
  <c r="Z55" i="12" s="1"/>
  <c r="Z50" i="12"/>
  <c r="AC52" i="12"/>
  <c r="AC53" i="12" s="1"/>
  <c r="AC54" i="12" s="1"/>
  <c r="AC55" i="12" s="1"/>
  <c r="AC50" i="12"/>
  <c r="AF52" i="12"/>
  <c r="AF53" i="12" s="1"/>
  <c r="AF54" i="12" s="1"/>
  <c r="AF55" i="12" s="1"/>
  <c r="AF50" i="12"/>
  <c r="AL52" i="12"/>
  <c r="AL53" i="12" s="1"/>
  <c r="AL54" i="12" s="1"/>
  <c r="AL55" i="12" s="1"/>
  <c r="AL50" i="12"/>
  <c r="O11" i="12"/>
  <c r="P11" i="12"/>
  <c r="Q11" i="12"/>
  <c r="N11" i="12"/>
  <c r="R11" i="12"/>
  <c r="L11" i="12"/>
  <c r="D91" i="98"/>
  <c r="J91" i="98"/>
  <c r="D99" i="98"/>
  <c r="J99" i="98"/>
  <c r="H99" i="98"/>
  <c r="H103" i="98" s="1"/>
  <c r="I103" i="98"/>
  <c r="D5" i="108"/>
  <c r="D111" i="98" s="1"/>
  <c r="D3" i="108"/>
  <c r="D109" i="98" s="1"/>
  <c r="D8" i="108"/>
  <c r="D114" i="98" s="1"/>
  <c r="E114" i="98" s="1"/>
  <c r="D6" i="108"/>
  <c r="D112" i="98" s="1"/>
  <c r="J103" i="98"/>
  <c r="J104" i="98"/>
  <c r="K104" i="98"/>
  <c r="F103" i="98"/>
  <c r="E104" i="98"/>
  <c r="C104" i="98"/>
  <c r="K103" i="98"/>
  <c r="R12" i="12" l="1"/>
  <c r="R13" i="12"/>
  <c r="R10" i="12"/>
  <c r="R9" i="12"/>
  <c r="R14" i="12"/>
  <c r="R39" i="12"/>
  <c r="N39" i="12"/>
  <c r="Q32" i="12"/>
  <c r="R25" i="12"/>
  <c r="Q25" i="12"/>
  <c r="Q39" i="12"/>
  <c r="P39" i="12"/>
  <c r="N25" i="12"/>
  <c r="O39" i="12"/>
  <c r="P25" i="12"/>
  <c r="O25" i="12"/>
  <c r="R32" i="12"/>
  <c r="L39" i="12"/>
  <c r="M39" i="12"/>
  <c r="L18" i="12"/>
  <c r="M18" i="12"/>
  <c r="O18" i="12"/>
  <c r="R18" i="12"/>
  <c r="N18" i="12"/>
  <c r="Q18" i="12"/>
  <c r="M25" i="12"/>
  <c r="O32" i="12"/>
  <c r="P18" i="12"/>
  <c r="P32" i="12"/>
  <c r="M32" i="12"/>
  <c r="N32" i="12"/>
  <c r="L32" i="12"/>
  <c r="L25" i="12"/>
  <c r="G103" i="98"/>
  <c r="D103" i="98"/>
  <c r="G104" i="98"/>
  <c r="D104" i="98"/>
  <c r="F109" i="98" s="1"/>
  <c r="H104" i="98"/>
  <c r="J110" i="98" s="1"/>
  <c r="AH52" i="12" s="1"/>
  <c r="K115" i="98"/>
  <c r="K114" i="98"/>
  <c r="K110" i="98"/>
  <c r="AI52" i="12" s="1"/>
  <c r="AJ52" i="12" s="1"/>
  <c r="J114" i="98"/>
  <c r="K116" i="98"/>
  <c r="I109" i="98"/>
  <c r="J113" i="98"/>
  <c r="AH55" i="12" s="1"/>
  <c r="J112" i="98"/>
  <c r="AH54" i="12" s="1"/>
  <c r="J115" i="98"/>
  <c r="J116" i="98"/>
  <c r="J109" i="98"/>
  <c r="AH51" i="12" s="1"/>
  <c r="AH50" i="12" s="1"/>
  <c r="E109" i="98"/>
  <c r="K109" i="98" s="1"/>
  <c r="AI51" i="12" s="1"/>
  <c r="G109" i="98"/>
  <c r="F112" i="98"/>
  <c r="G112" i="98"/>
  <c r="G115" i="98"/>
  <c r="I110" i="98"/>
  <c r="I112" i="98"/>
  <c r="I114" i="98"/>
  <c r="I116" i="98"/>
  <c r="I111" i="98"/>
  <c r="I115" i="98"/>
  <c r="I113" i="98"/>
  <c r="H114" i="98"/>
  <c r="H116" i="98"/>
  <c r="G116" i="98"/>
  <c r="G110" i="98"/>
  <c r="H115" i="98"/>
  <c r="G113" i="98"/>
  <c r="G111" i="98"/>
  <c r="E111" i="98"/>
  <c r="K111" i="98" s="1"/>
  <c r="E113" i="98"/>
  <c r="G114" i="98"/>
  <c r="E112" i="98"/>
  <c r="H110" i="98"/>
  <c r="O52" i="12" s="1"/>
  <c r="R21" i="12" l="1"/>
  <c r="R20" i="12"/>
  <c r="R19" i="12"/>
  <c r="R17" i="12"/>
  <c r="R16" i="12"/>
  <c r="F113" i="98"/>
  <c r="H109" i="98"/>
  <c r="F115" i="98"/>
  <c r="L104" i="98"/>
  <c r="H113" i="98"/>
  <c r="O55" i="12" s="1"/>
  <c r="F116" i="98"/>
  <c r="F114" i="98"/>
  <c r="F111" i="98"/>
  <c r="F110" i="98"/>
  <c r="J111" i="98"/>
  <c r="AH53" i="12" s="1"/>
  <c r="K112" i="98"/>
  <c r="AI54" i="12" s="1"/>
  <c r="AJ54" i="12" s="1"/>
  <c r="K113" i="98"/>
  <c r="AI55" i="12" s="1"/>
  <c r="AJ55" i="12" s="1"/>
  <c r="AJ50" i="12"/>
  <c r="AI50" i="12"/>
  <c r="H111" i="98"/>
  <c r="O53" i="12" s="1"/>
  <c r="AI53" i="12"/>
  <c r="AJ53" i="12" s="1"/>
  <c r="H112" i="98"/>
  <c r="O54" i="12" s="1"/>
  <c r="AS52" i="12" l="1"/>
  <c r="AS53" i="12" s="1"/>
  <c r="AS54" i="12" s="1"/>
  <c r="AS55" i="12" s="1"/>
  <c r="AS50" i="12"/>
  <c r="AO52" i="12"/>
  <c r="AO53" i="12" s="1"/>
  <c r="AO54" i="12" s="1"/>
  <c r="AO55" i="12" s="1"/>
  <c r="AQ52" i="12"/>
  <c r="AQ53" i="12" s="1"/>
  <c r="AQ54" i="12" s="1"/>
  <c r="AQ55" i="12" s="1"/>
  <c r="AQ50" i="12"/>
  <c r="AN52" i="12"/>
  <c r="AN53" i="12" s="1"/>
  <c r="AN54" i="12" s="1"/>
  <c r="AN55" i="12" s="1"/>
  <c r="AN50" i="12"/>
  <c r="AR52" i="12"/>
  <c r="AR53" i="12" s="1"/>
  <c r="AR54" i="12" s="1"/>
  <c r="AR55" i="12" s="1"/>
  <c r="AR50" i="12"/>
  <c r="AP52" i="12"/>
  <c r="AP53" i="12" s="1"/>
  <c r="AP54" i="12" s="1"/>
  <c r="AP55" i="12" s="1"/>
  <c r="AP50" i="12"/>
  <c r="D55" i="98" l="1"/>
  <c r="D54" i="98"/>
  <c r="F40" i="98" l="1"/>
  <c r="F39" i="98"/>
  <c r="F38" i="98"/>
  <c r="F37" i="98"/>
  <c r="F36" i="98"/>
  <c r="F35" i="98"/>
  <c r="F34" i="98"/>
  <c r="F33" i="98"/>
  <c r="F32" i="98"/>
  <c r="F31" i="98"/>
  <c r="G46" i="98" l="1"/>
  <c r="D66" i="12" l="1"/>
  <c r="D67" i="12"/>
  <c r="D68" i="12"/>
  <c r="D69" i="12"/>
  <c r="D70" i="12"/>
  <c r="D71" i="12"/>
  <c r="C71" i="12"/>
  <c r="B71" i="12"/>
  <c r="C70" i="12"/>
  <c r="B70" i="12"/>
  <c r="C69" i="12"/>
  <c r="B69" i="12"/>
  <c r="C68" i="12"/>
  <c r="B68" i="12"/>
  <c r="C67" i="12"/>
  <c r="B67" i="12"/>
  <c r="C66" i="12"/>
  <c r="B66" i="12"/>
  <c r="B63" i="12"/>
  <c r="C63" i="12"/>
  <c r="D63" i="12"/>
  <c r="B64" i="12"/>
  <c r="C64" i="12"/>
  <c r="D64" i="12"/>
  <c r="B65" i="12"/>
  <c r="C65" i="12"/>
  <c r="D65" i="12"/>
  <c r="C236" i="11"/>
  <c r="D238" i="11"/>
  <c r="D240" i="11"/>
  <c r="C242" i="11"/>
  <c r="D252" i="11"/>
  <c r="C247" i="11" l="1"/>
  <c r="B247" i="11" s="1"/>
  <c r="C237" i="11"/>
  <c r="C246" i="11"/>
  <c r="N29" i="102"/>
  <c r="N65" i="12" s="1"/>
  <c r="H111" i="12" s="1"/>
  <c r="P29" i="102"/>
  <c r="P65" i="12" s="1"/>
  <c r="J111" i="12" s="1"/>
  <c r="R29" i="102"/>
  <c r="R65" i="12" s="1"/>
  <c r="L111" i="12" s="1"/>
  <c r="L29" i="102"/>
  <c r="L65" i="12" s="1"/>
  <c r="F111" i="12" s="1"/>
  <c r="N26" i="102"/>
  <c r="N68" i="12" s="1"/>
  <c r="P26" i="102"/>
  <c r="P68" i="12" s="1"/>
  <c r="R26" i="102"/>
  <c r="R68" i="12" s="1"/>
  <c r="L26" i="102"/>
  <c r="L68" i="12" s="1"/>
  <c r="R17" i="102"/>
  <c r="R20" i="102"/>
  <c r="O29" i="102"/>
  <c r="O65" i="12" s="1"/>
  <c r="I111" i="12" s="1"/>
  <c r="Q29" i="102"/>
  <c r="Q65" i="12" s="1"/>
  <c r="K111" i="12" s="1"/>
  <c r="M29" i="102"/>
  <c r="M65" i="12" s="1"/>
  <c r="G111" i="12" s="1"/>
  <c r="K29" i="102"/>
  <c r="O26" i="102"/>
  <c r="O68" i="12" s="1"/>
  <c r="Q26" i="102"/>
  <c r="Q68" i="12" s="1"/>
  <c r="M26" i="102"/>
  <c r="M68" i="12" s="1"/>
  <c r="K26" i="102"/>
  <c r="R18" i="102"/>
  <c r="M38" i="99"/>
  <c r="M36" i="99"/>
  <c r="M34" i="99"/>
  <c r="M39" i="99"/>
  <c r="M37" i="99"/>
  <c r="M35" i="99"/>
  <c r="M33" i="99"/>
  <c r="I30" i="99"/>
  <c r="G30" i="99"/>
  <c r="E30" i="99"/>
  <c r="C30" i="99"/>
  <c r="T40" i="99"/>
  <c r="R40" i="99"/>
  <c r="P40" i="99"/>
  <c r="T39" i="99"/>
  <c r="R39" i="99"/>
  <c r="P39" i="99"/>
  <c r="T38" i="99"/>
  <c r="R38" i="99"/>
  <c r="P38" i="99"/>
  <c r="T37" i="99"/>
  <c r="R37" i="99"/>
  <c r="P37" i="99"/>
  <c r="T36" i="99"/>
  <c r="R36" i="99"/>
  <c r="P36" i="99"/>
  <c r="T35" i="99"/>
  <c r="R35" i="99"/>
  <c r="P35" i="99"/>
  <c r="T34" i="99"/>
  <c r="R34" i="99"/>
  <c r="P34" i="99"/>
  <c r="T33" i="99"/>
  <c r="R33" i="99"/>
  <c r="P33" i="99"/>
  <c r="T32" i="99"/>
  <c r="R32" i="99"/>
  <c r="P32" i="99"/>
  <c r="N40" i="99"/>
  <c r="N38" i="99"/>
  <c r="N36" i="99"/>
  <c r="N34" i="99"/>
  <c r="N32" i="99"/>
  <c r="H30" i="99"/>
  <c r="F30" i="99"/>
  <c r="D30" i="99"/>
  <c r="B30" i="99"/>
  <c r="S40" i="99"/>
  <c r="Q40" i="99"/>
  <c r="S39" i="99"/>
  <c r="Q39" i="99"/>
  <c r="O39" i="99"/>
  <c r="S38" i="99"/>
  <c r="Q38" i="99"/>
  <c r="O38" i="99"/>
  <c r="S37" i="99"/>
  <c r="Q37" i="99"/>
  <c r="O37" i="99"/>
  <c r="S36" i="99"/>
  <c r="Q36" i="99"/>
  <c r="O36" i="99"/>
  <c r="S35" i="99"/>
  <c r="Q35" i="99"/>
  <c r="O35" i="99"/>
  <c r="S34" i="99"/>
  <c r="Q34" i="99"/>
  <c r="O34" i="99"/>
  <c r="S33" i="99"/>
  <c r="Q33" i="99"/>
  <c r="O33" i="99"/>
  <c r="S32" i="99"/>
  <c r="Q32" i="99"/>
  <c r="O32" i="99"/>
  <c r="N39" i="99"/>
  <c r="N37" i="99"/>
  <c r="N35" i="99"/>
  <c r="N33" i="99"/>
  <c r="M40" i="99"/>
  <c r="M32" i="99"/>
  <c r="L18" i="102"/>
  <c r="N18" i="102"/>
  <c r="P18" i="102"/>
  <c r="L17" i="102"/>
  <c r="X11" i="102" s="1"/>
  <c r="N17" i="102"/>
  <c r="P17" i="102"/>
  <c r="K18" i="102"/>
  <c r="M18" i="102"/>
  <c r="O18" i="102"/>
  <c r="Q18" i="102"/>
  <c r="M17" i="102"/>
  <c r="O17" i="102"/>
  <c r="Q17" i="102"/>
  <c r="O20" i="102"/>
  <c r="Q20" i="102"/>
  <c r="N20" i="102"/>
  <c r="P20" i="102"/>
  <c r="D236" i="11"/>
  <c r="D253" i="11"/>
  <c r="D244" i="11"/>
  <c r="D242" i="11"/>
  <c r="D243" i="11"/>
  <c r="C252" i="11"/>
  <c r="D254" i="11"/>
  <c r="B246" i="11" l="1"/>
  <c r="D247" i="11"/>
  <c r="D248" i="11"/>
  <c r="D250" i="11"/>
  <c r="D249" i="11"/>
  <c r="D237" i="11"/>
  <c r="D246" i="11"/>
  <c r="W17" i="102"/>
  <c r="AA18" i="102" s="1"/>
  <c r="AA16" i="102"/>
  <c r="Y17" i="102"/>
  <c r="X13" i="102"/>
  <c r="X12" i="102"/>
  <c r="AB12" i="102" s="1"/>
  <c r="W69" i="12" s="1"/>
  <c r="X10" i="102"/>
  <c r="X14" i="102"/>
  <c r="X9" i="102"/>
  <c r="AB9" i="102" s="1"/>
  <c r="W66" i="12" s="1"/>
  <c r="V66" i="12" s="1"/>
  <c r="O13" i="12"/>
  <c r="O12" i="12"/>
  <c r="O10" i="12"/>
  <c r="O14" i="12"/>
  <c r="O9" i="12"/>
  <c r="M19" i="12"/>
  <c r="M17" i="12"/>
  <c r="M16" i="12"/>
  <c r="M21" i="12"/>
  <c r="M20" i="12"/>
  <c r="Q19" i="12"/>
  <c r="Q17" i="12"/>
  <c r="Q20" i="12"/>
  <c r="Q21" i="12"/>
  <c r="Q16" i="12"/>
  <c r="O23" i="12"/>
  <c r="O28" i="12"/>
  <c r="O27" i="12"/>
  <c r="O26" i="12"/>
  <c r="O24" i="12"/>
  <c r="M35" i="12"/>
  <c r="M34" i="12"/>
  <c r="M33" i="12"/>
  <c r="M31" i="12"/>
  <c r="M30" i="12"/>
  <c r="Q35" i="12"/>
  <c r="Q34" i="12"/>
  <c r="Q33" i="12"/>
  <c r="Q31" i="12"/>
  <c r="Q30" i="12"/>
  <c r="O37" i="12"/>
  <c r="O42" i="12"/>
  <c r="O41" i="12"/>
  <c r="O40" i="12"/>
  <c r="O38" i="12"/>
  <c r="U32" i="99"/>
  <c r="P12" i="12"/>
  <c r="P10" i="12"/>
  <c r="P9" i="12"/>
  <c r="P13" i="12"/>
  <c r="P14" i="12"/>
  <c r="N20" i="12"/>
  <c r="N19" i="12"/>
  <c r="N17" i="12"/>
  <c r="N16" i="12"/>
  <c r="N21" i="12"/>
  <c r="U34" i="99"/>
  <c r="P26" i="12"/>
  <c r="P24" i="12"/>
  <c r="P23" i="12"/>
  <c r="P28" i="12"/>
  <c r="P27" i="12"/>
  <c r="N34" i="12"/>
  <c r="N33" i="12"/>
  <c r="N31" i="12"/>
  <c r="N35" i="12"/>
  <c r="N30" i="12"/>
  <c r="U36" i="99"/>
  <c r="P40" i="12"/>
  <c r="P38" i="12"/>
  <c r="P37" i="12"/>
  <c r="P41" i="12"/>
  <c r="P42" i="12"/>
  <c r="U38" i="99"/>
  <c r="U40" i="99"/>
  <c r="W13" i="102"/>
  <c r="AA14" i="102" s="1"/>
  <c r="W9" i="102"/>
  <c r="AA9" i="102" s="1"/>
  <c r="W12" i="102"/>
  <c r="AA12" i="102" s="1"/>
  <c r="W10" i="102"/>
  <c r="Q71" i="12"/>
  <c r="Q66" i="12"/>
  <c r="Q67" i="12"/>
  <c r="Q70" i="12"/>
  <c r="Q69" i="12"/>
  <c r="Q64" i="12"/>
  <c r="Q63" i="12"/>
  <c r="L96" i="12"/>
  <c r="M96" i="12" s="1"/>
  <c r="N96" i="12" s="1"/>
  <c r="T20" i="102"/>
  <c r="S20" i="102" s="1"/>
  <c r="L71" i="12"/>
  <c r="L67" i="12"/>
  <c r="L69" i="12"/>
  <c r="L66" i="12"/>
  <c r="L70" i="12"/>
  <c r="P66" i="12"/>
  <c r="P70" i="12"/>
  <c r="P71" i="12"/>
  <c r="P67" i="12"/>
  <c r="P69" i="12"/>
  <c r="L63" i="12"/>
  <c r="L64" i="12"/>
  <c r="P63" i="12"/>
  <c r="P64" i="12"/>
  <c r="I96" i="12"/>
  <c r="X16" i="102"/>
  <c r="AB16" i="102" s="1"/>
  <c r="V63" i="12" s="1"/>
  <c r="X17" i="102"/>
  <c r="AB18" i="102" s="1"/>
  <c r="W65" i="12" s="1"/>
  <c r="V65" i="12" s="1"/>
  <c r="M14" i="12"/>
  <c r="M13" i="12"/>
  <c r="M10" i="12"/>
  <c r="M12" i="12"/>
  <c r="Q9" i="12"/>
  <c r="Q14" i="12"/>
  <c r="Q12" i="12"/>
  <c r="Q13" i="12"/>
  <c r="Q10" i="12"/>
  <c r="O21" i="12"/>
  <c r="O20" i="12"/>
  <c r="O19" i="12"/>
  <c r="O16" i="12"/>
  <c r="O17" i="12"/>
  <c r="M27" i="12"/>
  <c r="M26" i="12"/>
  <c r="M24" i="12"/>
  <c r="M23" i="12"/>
  <c r="M28" i="12"/>
  <c r="Q27" i="12"/>
  <c r="Q26" i="12"/>
  <c r="Q24" i="12"/>
  <c r="Q23" i="12"/>
  <c r="Q28" i="12"/>
  <c r="O33" i="12"/>
  <c r="O31" i="12"/>
  <c r="O30" i="12"/>
  <c r="O35" i="12"/>
  <c r="O34" i="12"/>
  <c r="M41" i="12"/>
  <c r="M40" i="12"/>
  <c r="M38" i="12"/>
  <c r="M37" i="12"/>
  <c r="M42" i="12"/>
  <c r="Q41" i="12"/>
  <c r="Q40" i="12"/>
  <c r="Q38" i="12"/>
  <c r="Q37" i="12"/>
  <c r="Q42" i="12"/>
  <c r="N14" i="12"/>
  <c r="N13" i="12"/>
  <c r="N12" i="12"/>
  <c r="N9" i="12"/>
  <c r="N10" i="12"/>
  <c r="U33" i="99"/>
  <c r="P16" i="12"/>
  <c r="P21" i="12"/>
  <c r="P20" i="12"/>
  <c r="P17" i="12"/>
  <c r="P19" i="12"/>
  <c r="N28" i="12"/>
  <c r="N27" i="12"/>
  <c r="N24" i="12"/>
  <c r="N26" i="12"/>
  <c r="N23" i="12"/>
  <c r="U35" i="99"/>
  <c r="P30" i="12"/>
  <c r="P35" i="12"/>
  <c r="P33" i="12"/>
  <c r="P34" i="12"/>
  <c r="P31" i="12"/>
  <c r="N42" i="12"/>
  <c r="N41" i="12"/>
  <c r="N40" i="12"/>
  <c r="N37" i="12"/>
  <c r="N38" i="12"/>
  <c r="U37" i="99"/>
  <c r="U39" i="99"/>
  <c r="S18" i="102"/>
  <c r="M71" i="12"/>
  <c r="M66" i="12"/>
  <c r="M67" i="12"/>
  <c r="M70" i="12"/>
  <c r="M69" i="12"/>
  <c r="O67" i="12"/>
  <c r="O70" i="12"/>
  <c r="O69" i="12"/>
  <c r="O71" i="12"/>
  <c r="O66" i="12"/>
  <c r="M64" i="12"/>
  <c r="M63" i="12"/>
  <c r="O63" i="12"/>
  <c r="O64" i="12"/>
  <c r="T26" i="102"/>
  <c r="S26" i="102" s="1"/>
  <c r="S68" i="12" s="1"/>
  <c r="T68" i="12" s="1"/>
  <c r="U68" i="12" s="1"/>
  <c r="N70" i="12"/>
  <c r="N66" i="12"/>
  <c r="N71" i="12"/>
  <c r="N69" i="12"/>
  <c r="N67" i="12"/>
  <c r="T29" i="102"/>
  <c r="S29" i="102" s="1"/>
  <c r="S65" i="12" s="1"/>
  <c r="N64" i="12"/>
  <c r="N63" i="12"/>
  <c r="D239" i="11"/>
  <c r="X12" i="12" l="1"/>
  <c r="X9" i="12"/>
  <c r="F28" i="12"/>
  <c r="T65" i="12"/>
  <c r="M111" i="12"/>
  <c r="AA10" i="102"/>
  <c r="AB13" i="102"/>
  <c r="W70" i="12" s="1"/>
  <c r="F21" i="12"/>
  <c r="X13" i="12"/>
  <c r="F13" i="12" s="1"/>
  <c r="R11" i="119" s="1"/>
  <c r="F42" i="12"/>
  <c r="AA13" i="102"/>
  <c r="F34" i="12"/>
  <c r="F27" i="12"/>
  <c r="R64" i="12"/>
  <c r="R63" i="12"/>
  <c r="R69" i="12"/>
  <c r="R67" i="12"/>
  <c r="R70" i="12"/>
  <c r="R71" i="12"/>
  <c r="R66" i="12"/>
  <c r="R42" i="12"/>
  <c r="R41" i="12"/>
  <c r="R38" i="12"/>
  <c r="R40" i="12"/>
  <c r="R37" i="12"/>
  <c r="R28" i="12"/>
  <c r="R27" i="12"/>
  <c r="R26" i="12"/>
  <c r="R23" i="12"/>
  <c r="R24" i="12"/>
  <c r="L30" i="12"/>
  <c r="L35" i="12"/>
  <c r="L34" i="12"/>
  <c r="L33" i="12"/>
  <c r="L31" i="12"/>
  <c r="L28" i="12"/>
  <c r="L27" i="12"/>
  <c r="L26" i="12"/>
  <c r="L24" i="12"/>
  <c r="L23" i="12"/>
  <c r="AB17" i="102"/>
  <c r="X14" i="12"/>
  <c r="F14" i="12" s="1"/>
  <c r="R12" i="119" s="1"/>
  <c r="F41" i="12"/>
  <c r="AA11" i="102"/>
  <c r="R34" i="12"/>
  <c r="R33" i="12"/>
  <c r="R31" i="12"/>
  <c r="R30" i="12"/>
  <c r="R35" i="12"/>
  <c r="L20" i="12"/>
  <c r="L19" i="12"/>
  <c r="L17" i="12"/>
  <c r="L16" i="12"/>
  <c r="L21" i="12"/>
  <c r="L40" i="12"/>
  <c r="L38" i="12"/>
  <c r="L37" i="12"/>
  <c r="L42" i="12"/>
  <c r="L41" i="12"/>
  <c r="L12" i="12"/>
  <c r="L10" i="12"/>
  <c r="L9" i="12"/>
  <c r="L14" i="12"/>
  <c r="L13" i="12"/>
  <c r="AB14" i="102"/>
  <c r="W71" i="12" s="1"/>
  <c r="AC18" i="102"/>
  <c r="X65" i="12" s="1"/>
  <c r="AC17" i="102"/>
  <c r="X64" i="12" s="1"/>
  <c r="AA17" i="102"/>
  <c r="F35" i="12"/>
  <c r="W19" i="12"/>
  <c r="AB11" i="102"/>
  <c r="W68" i="12" s="1"/>
  <c r="V68" i="12" s="1"/>
  <c r="AB10" i="102"/>
  <c r="W67" i="12" s="1"/>
  <c r="V67" i="12" s="1"/>
  <c r="W64" i="12" l="1"/>
  <c r="V64" i="12" s="1"/>
  <c r="X11" i="12"/>
  <c r="X10" i="12"/>
  <c r="V9" i="12" s="1"/>
  <c r="U65" i="12"/>
  <c r="O111" i="12" s="1"/>
  <c r="N111" i="12"/>
  <c r="V12" i="12"/>
  <c r="S34" i="12"/>
  <c r="S30" i="12"/>
  <c r="S33" i="12"/>
  <c r="S35" i="12"/>
  <c r="S31" i="12"/>
  <c r="W18" i="12"/>
  <c r="S12" i="12"/>
  <c r="S14" i="12"/>
  <c r="S10" i="12"/>
  <c r="S13" i="12"/>
  <c r="S9" i="12"/>
  <c r="S26" i="12"/>
  <c r="S28" i="12"/>
  <c r="S24" i="12"/>
  <c r="S27" i="12"/>
  <c r="S23" i="12"/>
  <c r="S40" i="12"/>
  <c r="S42" i="12"/>
  <c r="S38" i="12"/>
  <c r="S41" i="12"/>
  <c r="S37" i="12"/>
  <c r="S63" i="12"/>
  <c r="S64" i="12"/>
  <c r="S20" i="12"/>
  <c r="S16" i="12"/>
  <c r="S19" i="12"/>
  <c r="S21" i="12"/>
  <c r="S17" i="12"/>
  <c r="W17" i="12"/>
  <c r="S70" i="12"/>
  <c r="S69" i="12"/>
  <c r="S66" i="12"/>
  <c r="S71" i="12"/>
  <c r="S67" i="12"/>
  <c r="V13" i="12" l="1"/>
  <c r="V14" i="12"/>
  <c r="V11" i="12"/>
  <c r="V10" i="12"/>
  <c r="T20" i="12"/>
  <c r="T16" i="12"/>
  <c r="T19" i="12"/>
  <c r="T21" i="12"/>
  <c r="T17" i="12"/>
  <c r="T64" i="12"/>
  <c r="T63" i="12"/>
  <c r="T34" i="12"/>
  <c r="T30" i="12"/>
  <c r="T33" i="12"/>
  <c r="T35" i="12"/>
  <c r="T31" i="12"/>
  <c r="T70" i="12"/>
  <c r="T67" i="12"/>
  <c r="T69" i="12"/>
  <c r="T71" i="12"/>
  <c r="T66" i="12"/>
  <c r="T40" i="12"/>
  <c r="T42" i="12"/>
  <c r="T38" i="12"/>
  <c r="T41" i="12"/>
  <c r="T37" i="12"/>
  <c r="T26" i="12"/>
  <c r="T28" i="12"/>
  <c r="T24" i="12"/>
  <c r="T27" i="12"/>
  <c r="T23" i="12"/>
  <c r="T12" i="12"/>
  <c r="T14" i="12"/>
  <c r="T10" i="12"/>
  <c r="T13" i="12"/>
  <c r="T9" i="12"/>
  <c r="U69" i="12" l="1"/>
  <c r="U71" i="12"/>
  <c r="U66" i="12"/>
  <c r="U70" i="12"/>
  <c r="U67" i="12"/>
  <c r="U33" i="12"/>
  <c r="U35" i="12"/>
  <c r="U31" i="12"/>
  <c r="U34" i="12"/>
  <c r="U30" i="12"/>
  <c r="U64" i="12"/>
  <c r="U63" i="12"/>
  <c r="U13" i="12"/>
  <c r="U9" i="12"/>
  <c r="U14" i="12"/>
  <c r="U12" i="12"/>
  <c r="U10" i="12"/>
  <c r="U27" i="12"/>
  <c r="U23" i="12"/>
  <c r="U26" i="12"/>
  <c r="U24" i="12"/>
  <c r="U28" i="12"/>
  <c r="U41" i="12"/>
  <c r="U37" i="12"/>
  <c r="U42" i="12"/>
  <c r="U40" i="12"/>
  <c r="U38" i="12"/>
  <c r="U19" i="12"/>
  <c r="U21" i="12"/>
  <c r="U17" i="12"/>
  <c r="U16" i="12"/>
  <c r="U20"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H7" authorId="0" shapeId="0" xr:uid="{8E69214F-64EE-4F17-A510-4F6C3B413DED}">
      <text>
        <r>
          <rPr>
            <sz val="8"/>
            <color indexed="81"/>
            <rFont val="Tahoma"/>
            <family val="2"/>
          </rPr>
          <t xml:space="preserve">Annual Growth Rate
</t>
        </r>
      </text>
    </comment>
    <comment ref="I7" authorId="0" shapeId="0" xr:uid="{7AC59A98-3EE6-45CD-AB4C-114521A08EA2}">
      <text>
        <r>
          <rPr>
            <sz val="8"/>
            <color indexed="81"/>
            <rFont val="Tahoma"/>
            <family val="2"/>
          </rPr>
          <t xml:space="preserve">Annual Growth Rate
</t>
        </r>
      </text>
    </comment>
    <comment ref="S7" authorId="0" shapeId="0" xr:uid="{1F368541-15C5-401C-B05F-B5B0C622A3D7}">
      <text>
        <r>
          <rPr>
            <sz val="8"/>
            <color indexed="81"/>
            <rFont val="Tahoma"/>
            <family val="2"/>
          </rPr>
          <t>the absolute value to enable the capacity buildup to start.</t>
        </r>
      </text>
    </comment>
    <comment ref="S8" authorId="0" shapeId="0" xr:uid="{8247DF6F-17B5-4F90-AA42-34D8EFEAD303}">
      <text>
        <r>
          <rPr>
            <sz val="8"/>
            <color indexed="81"/>
            <rFont val="Tahoma"/>
            <family val="2"/>
          </rPr>
          <t>the absolute value to enable the capacity buildup to start.</t>
        </r>
      </text>
    </comment>
    <comment ref="S9" authorId="0" shapeId="0" xr:uid="{2D215DB4-0D06-47E1-9F7F-76F2E03C01CC}">
      <text>
        <r>
          <rPr>
            <sz val="8"/>
            <color indexed="81"/>
            <rFont val="Tahoma"/>
            <family val="2"/>
          </rPr>
          <t>the absolute value to enable the capacity buildup to start.</t>
        </r>
      </text>
    </comment>
    <comment ref="S10" authorId="0" shapeId="0" xr:uid="{29F3C509-BE7C-4973-BB6E-57A05451D447}">
      <text>
        <r>
          <rPr>
            <sz val="8"/>
            <color indexed="81"/>
            <rFont val="Tahoma"/>
            <family val="2"/>
          </rPr>
          <t>the absolute value to enable the capacity buildup to start.</t>
        </r>
      </text>
    </comment>
    <comment ref="S11" authorId="0" shapeId="0" xr:uid="{21622E0B-9B2C-482B-8DDA-0D2978FF11F2}">
      <text>
        <r>
          <rPr>
            <sz val="8"/>
            <color indexed="81"/>
            <rFont val="Tahoma"/>
            <family val="2"/>
          </rPr>
          <t>the absolute value to enable the capacity buildup to start.</t>
        </r>
      </text>
    </comment>
    <comment ref="S12" authorId="0" shapeId="0" xr:uid="{D45B25AC-4234-4883-9882-87DFE904F06D}">
      <text>
        <r>
          <rPr>
            <sz val="8"/>
            <color indexed="81"/>
            <rFont val="Tahoma"/>
            <family val="2"/>
          </rPr>
          <t>the absolute value to enable the capacity buildup to start.</t>
        </r>
      </text>
    </comment>
    <comment ref="H16" authorId="0" shapeId="0" xr:uid="{D26F21F8-2F34-4B14-82BA-1C7E3A4A0207}">
      <text>
        <r>
          <rPr>
            <sz val="8"/>
            <color indexed="81"/>
            <rFont val="Tahoma"/>
            <family val="2"/>
          </rPr>
          <t xml:space="preserve">Annual Growth Rate
</t>
        </r>
      </text>
    </comment>
    <comment ref="I16" authorId="0" shapeId="0" xr:uid="{4DE0457B-D357-4B42-A3D2-8C3CE895907F}">
      <text>
        <r>
          <rPr>
            <sz val="8"/>
            <color indexed="81"/>
            <rFont val="Tahoma"/>
            <family val="2"/>
          </rPr>
          <t xml:space="preserve">Annual Growth Rate
</t>
        </r>
      </text>
    </comment>
    <comment ref="S16" authorId="0" shapeId="0" xr:uid="{3BDD8F0B-9806-4A0E-A10E-14C67B8CFB23}">
      <text>
        <r>
          <rPr>
            <sz val="8"/>
            <color indexed="81"/>
            <rFont val="Tahoma"/>
            <family val="2"/>
          </rPr>
          <t>the absolute value to enable the capacity buildup to start.</t>
        </r>
      </text>
    </comment>
    <comment ref="S17" authorId="0" shapeId="0" xr:uid="{5361AE37-FF2E-444D-A634-2481D4FBF7A5}">
      <text>
        <r>
          <rPr>
            <sz val="8"/>
            <color indexed="81"/>
            <rFont val="Tahoma"/>
            <family val="2"/>
          </rPr>
          <t>the absolute value to enable the capacity buildup to start.</t>
        </r>
      </text>
    </comment>
    <comment ref="S18" authorId="0" shapeId="0" xr:uid="{CC46B7B1-2C75-415E-AF07-1878B24A588B}">
      <text>
        <r>
          <rPr>
            <sz val="8"/>
            <color indexed="81"/>
            <rFont val="Tahoma"/>
            <family val="2"/>
          </rPr>
          <t>the absolute value to enable the capacity buildup to start.</t>
        </r>
      </text>
    </comment>
    <comment ref="S19" authorId="0" shapeId="0" xr:uid="{DE9807DE-F9AC-4D08-816E-2A5B6294CEE7}">
      <text>
        <r>
          <rPr>
            <sz val="8"/>
            <color indexed="81"/>
            <rFont val="Tahoma"/>
            <family val="2"/>
          </rPr>
          <t>the absolute value to enable the capacity buildup to start.</t>
        </r>
      </text>
    </comment>
    <comment ref="S20" authorId="0" shapeId="0" xr:uid="{DA7C6B23-0387-402D-8D18-AA6228DF9F37}">
      <text>
        <r>
          <rPr>
            <sz val="8"/>
            <color indexed="81"/>
            <rFont val="Tahoma"/>
            <family val="2"/>
          </rPr>
          <t>the absolute value to enable the capacity buildup to start.</t>
        </r>
      </text>
    </comment>
    <comment ref="S21" authorId="0" shapeId="0" xr:uid="{2D671CD9-EC37-4818-9EC6-46CE7FFF9628}">
      <text>
        <r>
          <rPr>
            <sz val="8"/>
            <color indexed="81"/>
            <rFont val="Tahoma"/>
            <family val="2"/>
          </rPr>
          <t>the absolute value to enable the capacity buildup to start.</t>
        </r>
      </text>
    </comment>
    <comment ref="H29" authorId="0" shapeId="0" xr:uid="{851E690F-4394-477E-9D71-DF031FD0D58E}">
      <text>
        <r>
          <rPr>
            <sz val="8"/>
            <color indexed="81"/>
            <rFont val="Tahoma"/>
            <family val="2"/>
          </rPr>
          <t xml:space="preserve">Annual Growth Rate
</t>
        </r>
      </text>
    </comment>
    <comment ref="I29" authorId="0" shapeId="0" xr:uid="{AE39BF59-C80A-4083-8656-F584C58A1376}">
      <text>
        <r>
          <rPr>
            <sz val="8"/>
            <color indexed="81"/>
            <rFont val="Tahoma"/>
            <family val="2"/>
          </rPr>
          <t xml:space="preserve">Annual Growth Rate
</t>
        </r>
      </text>
    </comment>
    <comment ref="S29" authorId="0" shapeId="0" xr:uid="{3A48658B-2D1C-41D4-A55B-8306AA0556B1}">
      <text>
        <r>
          <rPr>
            <sz val="8"/>
            <color indexed="81"/>
            <rFont val="Tahoma"/>
            <family val="2"/>
          </rPr>
          <t>the absolute value to enable the capacity buildup to start.</t>
        </r>
      </text>
    </comment>
    <comment ref="S30" authorId="0" shapeId="0" xr:uid="{588B6694-278F-4891-8062-351C6159344C}">
      <text>
        <r>
          <rPr>
            <sz val="8"/>
            <color indexed="81"/>
            <rFont val="Tahoma"/>
            <family val="2"/>
          </rPr>
          <t>the absolute value to enable the capacity buildup to start.</t>
        </r>
      </text>
    </comment>
    <comment ref="S31" authorId="0" shapeId="0" xr:uid="{70EE3602-EF48-4477-9B3A-EAA02808B1AB}">
      <text>
        <r>
          <rPr>
            <sz val="8"/>
            <color indexed="81"/>
            <rFont val="Tahoma"/>
            <family val="2"/>
          </rPr>
          <t>the absolute value to enable the capacity buildup to start.</t>
        </r>
      </text>
    </comment>
    <comment ref="S32" authorId="0" shapeId="0" xr:uid="{CA30E1B8-5F5F-403D-838D-CA953658006C}">
      <text>
        <r>
          <rPr>
            <sz val="8"/>
            <color indexed="81"/>
            <rFont val="Tahoma"/>
            <family val="2"/>
          </rPr>
          <t>the absolute value to enable the capacity buildup to start.</t>
        </r>
      </text>
    </comment>
    <comment ref="S33" authorId="0" shapeId="0" xr:uid="{C86E430C-7919-4DEA-9190-03E82A5EF4D1}">
      <text>
        <r>
          <rPr>
            <sz val="8"/>
            <color indexed="81"/>
            <rFont val="Tahoma"/>
            <family val="2"/>
          </rPr>
          <t>the absolute value to enable the capacity buildup to start.</t>
        </r>
      </text>
    </comment>
    <comment ref="S34" authorId="0" shapeId="0" xr:uid="{3056A4C5-A389-4095-AC74-2A97DBB429B1}">
      <text>
        <r>
          <rPr>
            <sz val="8"/>
            <color indexed="81"/>
            <rFont val="Tahoma"/>
            <family val="2"/>
          </rPr>
          <t>the absolute value to enable the capacity buildup to start.</t>
        </r>
      </text>
    </comment>
    <comment ref="H38" authorId="0" shapeId="0" xr:uid="{3C62D3AB-3636-4040-B721-14290EA4F25D}">
      <text>
        <r>
          <rPr>
            <sz val="8"/>
            <color indexed="81"/>
            <rFont val="Tahoma"/>
            <family val="2"/>
          </rPr>
          <t xml:space="preserve">Annual Growth Rate
</t>
        </r>
      </text>
    </comment>
    <comment ref="I38" authorId="0" shapeId="0" xr:uid="{B29DF3F8-15F8-447D-BA2C-257899E1E72C}">
      <text>
        <r>
          <rPr>
            <sz val="8"/>
            <color indexed="81"/>
            <rFont val="Tahoma"/>
            <family val="2"/>
          </rPr>
          <t xml:space="preserve">Annual Growth Rate
</t>
        </r>
      </text>
    </comment>
    <comment ref="S38" authorId="0" shapeId="0" xr:uid="{3FC1C345-72A1-40F6-A35B-FB9B9E4E528A}">
      <text>
        <r>
          <rPr>
            <sz val="8"/>
            <color indexed="81"/>
            <rFont val="Tahoma"/>
            <family val="2"/>
          </rPr>
          <t>the absolute value to enable the capacity buildup to start.</t>
        </r>
      </text>
    </comment>
    <comment ref="S39" authorId="0" shapeId="0" xr:uid="{AB97E90B-6A46-418F-9F72-719A75C0BD01}">
      <text>
        <r>
          <rPr>
            <sz val="8"/>
            <color indexed="81"/>
            <rFont val="Tahoma"/>
            <family val="2"/>
          </rPr>
          <t>the absolute value to enable the capacity buildup to start.</t>
        </r>
      </text>
    </comment>
    <comment ref="S40" authorId="0" shapeId="0" xr:uid="{5C0AAFB4-A3DA-4F48-9E79-D42D0D223B49}">
      <text>
        <r>
          <rPr>
            <sz val="8"/>
            <color indexed="81"/>
            <rFont val="Tahoma"/>
            <family val="2"/>
          </rPr>
          <t>the absolute value to enable the capacity buildup to start.</t>
        </r>
      </text>
    </comment>
    <comment ref="S41" authorId="0" shapeId="0" xr:uid="{3EE28756-50BF-42E5-AEF0-2D2DD955AF98}">
      <text>
        <r>
          <rPr>
            <sz val="8"/>
            <color indexed="81"/>
            <rFont val="Tahoma"/>
            <family val="2"/>
          </rPr>
          <t>the absolute value to enable the capacity buildup to start.</t>
        </r>
      </text>
    </comment>
    <comment ref="S42" authorId="0" shapeId="0" xr:uid="{88DB9F3A-8095-4DB7-AA3E-952CECAB8766}">
      <text>
        <r>
          <rPr>
            <sz val="8"/>
            <color indexed="81"/>
            <rFont val="Tahoma"/>
            <family val="2"/>
          </rPr>
          <t>the absolute value to enable the capacity buildup to start.</t>
        </r>
      </text>
    </comment>
    <comment ref="S43" authorId="0" shapeId="0" xr:uid="{CA25D9B6-1C01-475D-9994-32FC6D54F542}">
      <text>
        <r>
          <rPr>
            <sz val="8"/>
            <color indexed="81"/>
            <rFont val="Tahoma"/>
            <family val="2"/>
          </rPr>
          <t>the absolute value to enable the capacity buildup to start.</t>
        </r>
      </text>
    </comment>
    <comment ref="H51" authorId="0" shapeId="0" xr:uid="{4298A5E0-083E-43DC-80EB-CCBE5C66D891}">
      <text>
        <r>
          <rPr>
            <sz val="8"/>
            <color indexed="81"/>
            <rFont val="Tahoma"/>
            <family val="2"/>
          </rPr>
          <t xml:space="preserve">Annual Growth Rate
</t>
        </r>
      </text>
    </comment>
    <comment ref="I51" authorId="0" shapeId="0" xr:uid="{93F69BA4-6B3B-411F-931C-A0F4CC088A1B}">
      <text>
        <r>
          <rPr>
            <sz val="8"/>
            <color indexed="81"/>
            <rFont val="Tahoma"/>
            <family val="2"/>
          </rPr>
          <t xml:space="preserve">Annual Growth Rate
</t>
        </r>
      </text>
    </comment>
    <comment ref="S51" authorId="0" shapeId="0" xr:uid="{4ECD3917-7671-4F7E-85C5-BDC23268C4C7}">
      <text>
        <r>
          <rPr>
            <sz val="8"/>
            <color indexed="81"/>
            <rFont val="Tahoma"/>
            <family val="2"/>
          </rPr>
          <t>the absolute value to enable the capacity buildup to start.</t>
        </r>
      </text>
    </comment>
    <comment ref="S52" authorId="0" shapeId="0" xr:uid="{8B5A00CC-3CE4-41B4-8F65-9275DD100DE2}">
      <text>
        <r>
          <rPr>
            <sz val="8"/>
            <color indexed="81"/>
            <rFont val="Tahoma"/>
            <family val="2"/>
          </rPr>
          <t>the absolute value to enable the capacity buildup to start.</t>
        </r>
      </text>
    </comment>
    <comment ref="S53" authorId="0" shapeId="0" xr:uid="{53187FFB-39FC-4EA9-9425-22F0AB562C8D}">
      <text>
        <r>
          <rPr>
            <sz val="8"/>
            <color indexed="81"/>
            <rFont val="Tahoma"/>
            <family val="2"/>
          </rPr>
          <t>the absolute value to enable the capacity buildup to start.</t>
        </r>
      </text>
    </comment>
    <comment ref="S54" authorId="0" shapeId="0" xr:uid="{647AA169-4F0D-4083-B962-10FE147B55A8}">
      <text>
        <r>
          <rPr>
            <sz val="8"/>
            <color indexed="81"/>
            <rFont val="Tahoma"/>
            <family val="2"/>
          </rPr>
          <t>the absolute value to enable the capacity buildup to start.</t>
        </r>
      </text>
    </comment>
    <comment ref="S55" authorId="0" shapeId="0" xr:uid="{BB07F67B-7786-4523-8ECE-77AEE62BD751}">
      <text>
        <r>
          <rPr>
            <sz val="8"/>
            <color indexed="81"/>
            <rFont val="Tahoma"/>
            <family val="2"/>
          </rPr>
          <t>the absolute value to enable the capacity buildup to start.</t>
        </r>
      </text>
    </comment>
    <comment ref="S56" authorId="0" shapeId="0" xr:uid="{F047DBB4-AA6C-42BE-8B24-0E89616D4B18}">
      <text>
        <r>
          <rPr>
            <sz val="8"/>
            <color indexed="81"/>
            <rFont val="Tahoma"/>
            <family val="2"/>
          </rPr>
          <t>the absolute value to enable the capacity buildup to start.</t>
        </r>
      </text>
    </comment>
    <comment ref="H60" authorId="0" shapeId="0" xr:uid="{EEF8B417-09CC-4E94-99FA-713DDAC6FB95}">
      <text>
        <r>
          <rPr>
            <sz val="8"/>
            <color indexed="81"/>
            <rFont val="Tahoma"/>
            <family val="2"/>
          </rPr>
          <t xml:space="preserve">Annual Growth Rate
</t>
        </r>
      </text>
    </comment>
    <comment ref="I60" authorId="0" shapeId="0" xr:uid="{86537298-CDE4-4D43-BB31-F32E7D6809E4}">
      <text>
        <r>
          <rPr>
            <sz val="8"/>
            <color indexed="81"/>
            <rFont val="Tahoma"/>
            <family val="2"/>
          </rPr>
          <t xml:space="preserve">Annual Growth Rate
</t>
        </r>
      </text>
    </comment>
    <comment ref="S60" authorId="0" shapeId="0" xr:uid="{2C5E5879-E9B0-4951-834B-0511B8575850}">
      <text>
        <r>
          <rPr>
            <sz val="8"/>
            <color indexed="81"/>
            <rFont val="Tahoma"/>
            <family val="2"/>
          </rPr>
          <t>the absolute value to enable the capacity buildup to start.</t>
        </r>
      </text>
    </comment>
    <comment ref="S61" authorId="0" shapeId="0" xr:uid="{B033A7BF-27E8-4D5C-BA23-28E62DF7995E}">
      <text>
        <r>
          <rPr>
            <sz val="8"/>
            <color indexed="81"/>
            <rFont val="Tahoma"/>
            <family val="2"/>
          </rPr>
          <t>the absolute value to enable the capacity buildup to start.</t>
        </r>
      </text>
    </comment>
    <comment ref="S62" authorId="0" shapeId="0" xr:uid="{CC8E2228-D9C8-4F78-988B-6817B34007D8}">
      <text>
        <r>
          <rPr>
            <sz val="8"/>
            <color indexed="81"/>
            <rFont val="Tahoma"/>
            <family val="2"/>
          </rPr>
          <t>the absolute value to enable the capacity buildup to start.</t>
        </r>
      </text>
    </comment>
    <comment ref="S63" authorId="0" shapeId="0" xr:uid="{5ECDF236-E980-49D0-B02F-85A77EB2D64A}">
      <text>
        <r>
          <rPr>
            <sz val="8"/>
            <color indexed="81"/>
            <rFont val="Tahoma"/>
            <family val="2"/>
          </rPr>
          <t>the absolute value to enable the capacity buildup to start.</t>
        </r>
      </text>
    </comment>
    <comment ref="S64" authorId="0" shapeId="0" xr:uid="{BF0CA796-A521-45D7-AE02-D0624FFB28F1}">
      <text>
        <r>
          <rPr>
            <sz val="8"/>
            <color indexed="81"/>
            <rFont val="Tahoma"/>
            <family val="2"/>
          </rPr>
          <t>the absolute value to enable the capacity buildup to start.</t>
        </r>
      </text>
    </comment>
    <comment ref="S65" authorId="0" shapeId="0" xr:uid="{CD7E184C-8AB5-4741-99BA-31CCE1E2099D}">
      <text>
        <r>
          <rPr>
            <sz val="8"/>
            <color indexed="81"/>
            <rFont val="Tahoma"/>
            <family val="2"/>
          </rPr>
          <t>the absolute value to enable the capacity buildup to start.</t>
        </r>
      </text>
    </comment>
    <comment ref="H72" authorId="0" shapeId="0" xr:uid="{8203EB39-654E-41E8-8DC4-AA05B71CF197}">
      <text>
        <r>
          <rPr>
            <sz val="8"/>
            <color indexed="81"/>
            <rFont val="Tahoma"/>
            <family val="2"/>
          </rPr>
          <t xml:space="preserve">Annual Growth Rate
</t>
        </r>
      </text>
    </comment>
    <comment ref="I72" authorId="0" shapeId="0" xr:uid="{F372963F-ADB9-4FC0-AE15-F6B1C216DDCA}">
      <text>
        <r>
          <rPr>
            <sz val="8"/>
            <color indexed="81"/>
            <rFont val="Tahoma"/>
            <family val="2"/>
          </rPr>
          <t xml:space="preserve">Annual Growth Rate
</t>
        </r>
      </text>
    </comment>
    <comment ref="S72" authorId="0" shapeId="0" xr:uid="{44820276-C58E-4E9F-966F-736498454F09}">
      <text>
        <r>
          <rPr>
            <sz val="8"/>
            <color indexed="81"/>
            <rFont val="Tahoma"/>
            <family val="2"/>
          </rPr>
          <t>the absolute value to enable the capacity buildup to start.</t>
        </r>
      </text>
    </comment>
    <comment ref="S73" authorId="0" shapeId="0" xr:uid="{B912CE3F-C166-4D48-A44C-89F91713E35D}">
      <text>
        <r>
          <rPr>
            <sz val="8"/>
            <color indexed="81"/>
            <rFont val="Tahoma"/>
            <family val="2"/>
          </rPr>
          <t>the absolute value to enable the capacity buildup to start.</t>
        </r>
      </text>
    </comment>
    <comment ref="S74" authorId="0" shapeId="0" xr:uid="{81EC6D53-F3A7-4AF8-AF9E-B37BAFD695CA}">
      <text>
        <r>
          <rPr>
            <sz val="8"/>
            <color indexed="81"/>
            <rFont val="Tahoma"/>
            <family val="2"/>
          </rPr>
          <t>the absolute value to enable the capacity buildup to start.</t>
        </r>
      </text>
    </comment>
    <comment ref="S75" authorId="0" shapeId="0" xr:uid="{149490D9-6A1D-4527-9A13-FCC57D624E68}">
      <text>
        <r>
          <rPr>
            <sz val="8"/>
            <color indexed="81"/>
            <rFont val="Tahoma"/>
            <family val="2"/>
          </rPr>
          <t>the absolute value to enable the capacity buildup to start.</t>
        </r>
      </text>
    </comment>
    <comment ref="S76" authorId="0" shapeId="0" xr:uid="{C7033FA0-A8C2-4504-900D-8CD784644D16}">
      <text>
        <r>
          <rPr>
            <sz val="8"/>
            <color indexed="81"/>
            <rFont val="Tahoma"/>
            <family val="2"/>
          </rPr>
          <t>the absolute value to enable the capacity buildup to start.</t>
        </r>
      </text>
    </comment>
    <comment ref="S77" authorId="0" shapeId="0" xr:uid="{41BF03E3-3A39-49D1-B4CB-1B39DA2E851F}">
      <text>
        <r>
          <rPr>
            <sz val="8"/>
            <color indexed="81"/>
            <rFont val="Tahoma"/>
            <family val="2"/>
          </rPr>
          <t>the absolute value to enable the capacity buildup to start.</t>
        </r>
      </text>
    </comment>
    <comment ref="H81" authorId="0" shapeId="0" xr:uid="{B7A8D9B2-7E79-4CB6-84A2-8A6821B1D8B3}">
      <text>
        <r>
          <rPr>
            <sz val="8"/>
            <color indexed="81"/>
            <rFont val="Tahoma"/>
            <family val="2"/>
          </rPr>
          <t xml:space="preserve">Annual Growth Rate
</t>
        </r>
      </text>
    </comment>
    <comment ref="I81" authorId="0" shapeId="0" xr:uid="{9651D1D3-B561-480E-B3F7-4D6A9DA704DA}">
      <text>
        <r>
          <rPr>
            <sz val="8"/>
            <color indexed="81"/>
            <rFont val="Tahoma"/>
            <family val="2"/>
          </rPr>
          <t xml:space="preserve">Annual Growth Rate
</t>
        </r>
      </text>
    </comment>
    <comment ref="S81" authorId="0" shapeId="0" xr:uid="{7F3260C4-7746-4DF0-BDEE-64ABDC56DCD4}">
      <text>
        <r>
          <rPr>
            <sz val="8"/>
            <color indexed="81"/>
            <rFont val="Tahoma"/>
            <family val="2"/>
          </rPr>
          <t>the absolute value to enable the capacity buildup to start.</t>
        </r>
      </text>
    </comment>
    <comment ref="S82" authorId="0" shapeId="0" xr:uid="{AA65C5DA-5AD2-47B3-8895-45C37463BBA4}">
      <text>
        <r>
          <rPr>
            <sz val="8"/>
            <color indexed="81"/>
            <rFont val="Tahoma"/>
            <family val="2"/>
          </rPr>
          <t>the absolute value to enable the capacity buildup to start.</t>
        </r>
      </text>
    </comment>
    <comment ref="S83" authorId="0" shapeId="0" xr:uid="{6C2A580F-B521-4191-BF2A-0306BB956BE3}">
      <text>
        <r>
          <rPr>
            <sz val="8"/>
            <color indexed="81"/>
            <rFont val="Tahoma"/>
            <family val="2"/>
          </rPr>
          <t>the absolute value to enable the capacity buildup to start.</t>
        </r>
      </text>
    </comment>
    <comment ref="S84" authorId="0" shapeId="0" xr:uid="{ABFEA280-115A-4B72-9AF2-9A4E2955C46E}">
      <text>
        <r>
          <rPr>
            <sz val="8"/>
            <color indexed="81"/>
            <rFont val="Tahoma"/>
            <family val="2"/>
          </rPr>
          <t>the absolute value to enable the capacity buildup to start.</t>
        </r>
      </text>
    </comment>
    <comment ref="S85" authorId="0" shapeId="0" xr:uid="{8534AAF5-01DC-4198-B7EA-DDFB1C0C6A1F}">
      <text>
        <r>
          <rPr>
            <sz val="8"/>
            <color indexed="81"/>
            <rFont val="Tahoma"/>
            <family val="2"/>
          </rPr>
          <t>the absolute value to enable the capacity buildup to start.</t>
        </r>
      </text>
    </comment>
    <comment ref="S86" authorId="0" shapeId="0" xr:uid="{EE2A1398-DBB9-4F19-8670-D729A7678C9E}">
      <text>
        <r>
          <rPr>
            <sz val="8"/>
            <color indexed="81"/>
            <rFont val="Tahoma"/>
            <family val="2"/>
          </rPr>
          <t>the absolute value to enable the capacity buildup to start.</t>
        </r>
      </text>
    </comment>
    <comment ref="H93" authorId="0" shapeId="0" xr:uid="{68FC7714-0D28-4794-94EA-E82A0F76BE69}">
      <text>
        <r>
          <rPr>
            <sz val="8"/>
            <color indexed="81"/>
            <rFont val="Tahoma"/>
            <family val="2"/>
          </rPr>
          <t xml:space="preserve">Annual Growth Rate
</t>
        </r>
      </text>
    </comment>
    <comment ref="I93" authorId="0" shapeId="0" xr:uid="{E33555AB-E76F-474C-8645-70C59456B953}">
      <text>
        <r>
          <rPr>
            <sz val="8"/>
            <color indexed="81"/>
            <rFont val="Tahoma"/>
            <family val="2"/>
          </rPr>
          <t xml:space="preserve">Annual Growth Rate
</t>
        </r>
      </text>
    </comment>
    <comment ref="S93" authorId="0" shapeId="0" xr:uid="{1A0B9ECC-4764-4B6A-BA49-06E308F2E72C}">
      <text>
        <r>
          <rPr>
            <sz val="8"/>
            <color indexed="81"/>
            <rFont val="Tahoma"/>
            <family val="2"/>
          </rPr>
          <t>the absolute value to enable the capacity buildup to start.</t>
        </r>
      </text>
    </comment>
    <comment ref="S94" authorId="0" shapeId="0" xr:uid="{7BF3187F-1254-47C5-816D-546853E7FDC1}">
      <text>
        <r>
          <rPr>
            <sz val="8"/>
            <color indexed="81"/>
            <rFont val="Tahoma"/>
            <family val="2"/>
          </rPr>
          <t>the absolute value to enable the capacity buildup to start.</t>
        </r>
      </text>
    </comment>
    <comment ref="S95" authorId="0" shapeId="0" xr:uid="{EF55325D-F468-4596-AF27-A4C81AA78126}">
      <text>
        <r>
          <rPr>
            <sz val="8"/>
            <color indexed="81"/>
            <rFont val="Tahoma"/>
            <family val="2"/>
          </rPr>
          <t>the absolute value to enable the capacity buildup to start.</t>
        </r>
      </text>
    </comment>
    <comment ref="S96" authorId="0" shapeId="0" xr:uid="{4A144FA4-B2F8-4284-97E9-0D95D8FBA10C}">
      <text>
        <r>
          <rPr>
            <sz val="8"/>
            <color indexed="81"/>
            <rFont val="Tahoma"/>
            <family val="2"/>
          </rPr>
          <t>the absolute value to enable the capacity buildup to start.</t>
        </r>
      </text>
    </comment>
    <comment ref="S97" authorId="0" shapeId="0" xr:uid="{3D251900-98E6-447C-AF24-90553BCFE04A}">
      <text>
        <r>
          <rPr>
            <sz val="8"/>
            <color indexed="81"/>
            <rFont val="Tahoma"/>
            <family val="2"/>
          </rPr>
          <t>the absolute value to enable the capacity buildup to start.</t>
        </r>
      </text>
    </comment>
    <comment ref="S98" authorId="0" shapeId="0" xr:uid="{D93263BD-B373-42D9-9A09-34D416AEB51C}">
      <text>
        <r>
          <rPr>
            <sz val="8"/>
            <color indexed="81"/>
            <rFont val="Tahoma"/>
            <family val="2"/>
          </rPr>
          <t>the absolute value to enable the capacity buildup to start.</t>
        </r>
      </text>
    </comment>
    <comment ref="H102" authorId="0" shapeId="0" xr:uid="{AE247376-F2BC-4471-BB2F-25C7B315D4C8}">
      <text>
        <r>
          <rPr>
            <sz val="8"/>
            <color indexed="81"/>
            <rFont val="Tahoma"/>
            <family val="2"/>
          </rPr>
          <t xml:space="preserve">Annual Growth Rate
</t>
        </r>
      </text>
    </comment>
    <comment ref="I102" authorId="0" shapeId="0" xr:uid="{C20B3FFF-D966-4FB4-90D2-B831B1AE8FE5}">
      <text>
        <r>
          <rPr>
            <sz val="8"/>
            <color indexed="81"/>
            <rFont val="Tahoma"/>
            <family val="2"/>
          </rPr>
          <t xml:space="preserve">Annual Growth Rate
</t>
        </r>
      </text>
    </comment>
    <comment ref="S102" authorId="0" shapeId="0" xr:uid="{6EAD95F6-84D8-4D77-B56D-FE0CCCB52E90}">
      <text>
        <r>
          <rPr>
            <sz val="8"/>
            <color indexed="81"/>
            <rFont val="Tahoma"/>
            <family val="2"/>
          </rPr>
          <t>the absolute value to enable the capacity buildup to start.</t>
        </r>
      </text>
    </comment>
    <comment ref="S103" authorId="0" shapeId="0" xr:uid="{EDB8DF58-0A8B-46F9-A404-5ED3C2328CFD}">
      <text>
        <r>
          <rPr>
            <sz val="8"/>
            <color indexed="81"/>
            <rFont val="Tahoma"/>
            <family val="2"/>
          </rPr>
          <t>the absolute value to enable the capacity buildup to start.</t>
        </r>
      </text>
    </comment>
    <comment ref="S104" authorId="0" shapeId="0" xr:uid="{AE9BA25C-D635-4ECF-AB2B-97755ABAB798}">
      <text>
        <r>
          <rPr>
            <sz val="8"/>
            <color indexed="81"/>
            <rFont val="Tahoma"/>
            <family val="2"/>
          </rPr>
          <t>the absolute value to enable the capacity buildup to start.</t>
        </r>
      </text>
    </comment>
    <comment ref="S105" authorId="0" shapeId="0" xr:uid="{13A2970F-B180-4276-B210-3912069A1D44}">
      <text>
        <r>
          <rPr>
            <sz val="8"/>
            <color indexed="81"/>
            <rFont val="Tahoma"/>
            <family val="2"/>
          </rPr>
          <t>the absolute value to enable the capacity buildup to start.</t>
        </r>
      </text>
    </comment>
    <comment ref="S106" authorId="0" shapeId="0" xr:uid="{34BD90F5-C8DE-455C-BF6B-B9233DC5470F}">
      <text>
        <r>
          <rPr>
            <sz val="8"/>
            <color indexed="81"/>
            <rFont val="Tahoma"/>
            <family val="2"/>
          </rPr>
          <t>the absolute value to enable the capacity buildup to start.</t>
        </r>
      </text>
    </comment>
    <comment ref="S107" authorId="0" shapeId="0" xr:uid="{41B3C8B3-A5D2-491D-A851-8AA98366C330}">
      <text>
        <r>
          <rPr>
            <sz val="8"/>
            <color indexed="81"/>
            <rFont val="Tahoma"/>
            <family val="2"/>
          </rPr>
          <t>the absolute value to enable the capacity buildup to start.</t>
        </r>
      </text>
    </comment>
    <comment ref="S115" authorId="0" shapeId="0" xr:uid="{BB544188-3090-4F23-91C0-6126AF191A6E}">
      <text>
        <r>
          <rPr>
            <sz val="8"/>
            <color indexed="81"/>
            <rFont val="Tahoma"/>
            <family val="2"/>
          </rPr>
          <t>the absolute value to enable the capacity buildup to start.</t>
        </r>
      </text>
    </comment>
    <comment ref="S116" authorId="0" shapeId="0" xr:uid="{C229C306-D737-4156-BEB3-A9BFC96D455C}">
      <text>
        <r>
          <rPr>
            <sz val="8"/>
            <color indexed="81"/>
            <rFont val="Tahoma"/>
            <family val="2"/>
          </rPr>
          <t>the absolute value to enable the capacity buildup to start.</t>
        </r>
      </text>
    </comment>
    <comment ref="S117" authorId="0" shapeId="0" xr:uid="{0937F206-521D-4BC3-B4B7-37FF4493E258}">
      <text>
        <r>
          <rPr>
            <sz val="8"/>
            <color indexed="81"/>
            <rFont val="Tahoma"/>
            <family val="2"/>
          </rPr>
          <t>the absolute value to enable the capacity buildup to start.</t>
        </r>
      </text>
    </comment>
    <comment ref="S124" authorId="0" shapeId="0" xr:uid="{F421DBEB-54D8-460C-ACF8-388E8DE04DDD}">
      <text>
        <r>
          <rPr>
            <sz val="8"/>
            <color indexed="81"/>
            <rFont val="Tahoma"/>
            <family val="2"/>
          </rPr>
          <t>the absolute value to enable the capacity buildup to start.</t>
        </r>
      </text>
    </comment>
    <comment ref="S125" authorId="0" shapeId="0" xr:uid="{C391E829-880B-40A8-B4D0-773753898983}">
      <text>
        <r>
          <rPr>
            <sz val="8"/>
            <color indexed="81"/>
            <rFont val="Tahoma"/>
            <family val="2"/>
          </rPr>
          <t>the absolute value to enable the capacity buildup to start.</t>
        </r>
      </text>
    </comment>
    <comment ref="S126" authorId="0" shapeId="0" xr:uid="{DA38720B-64D7-4B2C-A203-175352061955}">
      <text>
        <r>
          <rPr>
            <sz val="8"/>
            <color indexed="81"/>
            <rFont val="Tahoma"/>
            <family val="2"/>
          </rPr>
          <t>the absolute value to enable the capacity buildup to start.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CLS</author>
  </authors>
  <commentList>
    <comment ref="S11" authorId="0" shapeId="0" xr:uid="{00000000-0006-0000-0800-000001000000}">
      <text>
        <r>
          <rPr>
            <sz val="8"/>
            <color indexed="81"/>
            <rFont val="Tahoma"/>
            <family val="2"/>
          </rPr>
          <t>Made 2045-2055 values constant to original values and then adjusted.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newuser</author>
  </authors>
  <commentList>
    <comment ref="B3" authorId="0" shapeId="0" xr:uid="{00000000-0006-0000-1400-000001000000}">
      <text>
        <r>
          <rPr>
            <b/>
            <sz val="8"/>
            <color indexed="81"/>
            <rFont val="Tahoma"/>
            <family val="2"/>
          </rPr>
          <t xml:space="preserve">csl:  </t>
        </r>
        <r>
          <rPr>
            <sz val="8"/>
            <color indexed="81"/>
            <rFont val="Tahoma"/>
            <family val="2"/>
          </rPr>
          <t>2005 data from the AEO2007</t>
        </r>
      </text>
    </comment>
    <comment ref="C3" authorId="0" shapeId="0" xr:uid="{00000000-0006-0000-1400-000002000000}">
      <text>
        <r>
          <rPr>
            <b/>
            <sz val="8"/>
            <color indexed="81"/>
            <rFont val="Tahoma"/>
            <family val="2"/>
          </rPr>
          <t xml:space="preserve">csl: </t>
        </r>
        <r>
          <rPr>
            <sz val="8"/>
            <color indexed="81"/>
            <rFont val="Tahoma"/>
            <family val="2"/>
          </rPr>
          <t>Data for 2010 comes from the AEO2012</t>
        </r>
      </text>
    </comment>
    <comment ref="B61" authorId="0" shapeId="0" xr:uid="{00000000-0006-0000-1400-000003000000}">
      <text>
        <r>
          <rPr>
            <b/>
            <sz val="8"/>
            <color indexed="81"/>
            <rFont val="Tahoma"/>
            <family val="2"/>
          </rPr>
          <t xml:space="preserve">csl:  </t>
        </r>
        <r>
          <rPr>
            <sz val="8"/>
            <color indexed="81"/>
            <rFont val="Tahoma"/>
            <family val="2"/>
          </rPr>
          <t>2005 data from the AEO2007</t>
        </r>
      </text>
    </comment>
    <comment ref="C61" authorId="0" shapeId="0" xr:uid="{00000000-0006-0000-1400-000004000000}">
      <text>
        <r>
          <rPr>
            <b/>
            <sz val="8"/>
            <color indexed="81"/>
            <rFont val="Tahoma"/>
            <family val="2"/>
          </rPr>
          <t xml:space="preserve">csl: </t>
        </r>
        <r>
          <rPr>
            <sz val="8"/>
            <color indexed="81"/>
            <rFont val="Tahoma"/>
            <family val="2"/>
          </rPr>
          <t>Data for 2010 comes from the AEO2012</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newuser</author>
  </authors>
  <commentList>
    <comment ref="B3" authorId="0" shapeId="0" xr:uid="{00000000-0006-0000-1500-000001000000}">
      <text>
        <r>
          <rPr>
            <sz val="8"/>
            <color indexed="81"/>
            <rFont val="Tahoma"/>
            <family val="2"/>
          </rPr>
          <t>From 2007 AEO</t>
        </r>
      </text>
    </comment>
    <comment ref="C3" authorId="0" shapeId="0" xr:uid="{00000000-0006-0000-1500-000002000000}">
      <text>
        <r>
          <rPr>
            <sz val="8"/>
            <color indexed="81"/>
            <rFont val="Tahoma"/>
            <family val="2"/>
          </rPr>
          <t>From 2012 AEO</t>
        </r>
      </text>
    </comment>
    <comment ref="B24" authorId="0" shapeId="0" xr:uid="{00000000-0006-0000-1500-000003000000}">
      <text>
        <r>
          <rPr>
            <sz val="8"/>
            <color indexed="81"/>
            <rFont val="Tahoma"/>
            <family val="2"/>
          </rPr>
          <t>Price in 2005$</t>
        </r>
      </text>
    </comment>
    <comment ref="C24" authorId="0" shapeId="0" xr:uid="{00000000-0006-0000-1500-000004000000}">
      <text>
        <r>
          <rPr>
            <sz val="8"/>
            <color indexed="81"/>
            <rFont val="Tahoma"/>
            <family val="2"/>
          </rPr>
          <t>Price in 2010$</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Michael Wang</author>
    <author>Ozge Kaplan</author>
  </authors>
  <commentList>
    <comment ref="B40" authorId="0" shapeId="0" xr:uid="{00000000-0006-0000-2000-000001000000}">
      <text>
        <r>
          <rPr>
            <sz val="8"/>
            <color indexed="81"/>
            <rFont val="Tahoma"/>
            <family val="2"/>
          </rPr>
          <t>A NG loss rate of 0.35% is assumed for NG recovery.</t>
        </r>
      </text>
    </comment>
    <comment ref="C40" authorId="0" shapeId="0" xr:uid="{00000000-0006-0000-2000-000002000000}">
      <text>
        <r>
          <rPr>
            <sz val="8"/>
            <color indexed="81"/>
            <rFont val="Tahoma"/>
            <family val="2"/>
          </rPr>
          <t>A NG loss rate of 0.15% is assumed for NG processing.</t>
        </r>
      </text>
    </comment>
    <comment ref="E40" authorId="0" shapeId="0" xr:uid="{00000000-0006-0000-2000-000003000000}">
      <text>
        <r>
          <rPr>
            <sz val="8"/>
            <color indexed="81"/>
            <rFont val="Tahoma"/>
            <family val="2"/>
          </rPr>
          <t>CH4 leakage is a function of pipeline transmission distance.</t>
        </r>
      </text>
    </comment>
    <comment ref="A125" authorId="1" shapeId="0" xr:uid="{00000000-0006-0000-2000-000004000000}">
      <text>
        <r>
          <rPr>
            <b/>
            <sz val="8"/>
            <color indexed="81"/>
            <rFont val="Tahoma"/>
            <family val="2"/>
          </rPr>
          <t>Ozge Kaplan:</t>
        </r>
        <r>
          <rPr>
            <sz val="8"/>
            <color indexed="81"/>
            <rFont val="Tahoma"/>
            <family val="2"/>
          </rPr>
          <t xml:space="preserve">
this number is what Jaramillo et al assumed.
</t>
        </r>
      </text>
    </comment>
  </commentList>
</comments>
</file>

<file path=xl/sharedStrings.xml><?xml version="1.0" encoding="utf-8"?>
<sst xmlns="http://schemas.openxmlformats.org/spreadsheetml/2006/main" count="2870" uniqueCount="1284">
  <si>
    <t>MINNGAD1</t>
  </si>
  <si>
    <t>MINNGAD2</t>
  </si>
  <si>
    <t>MINNGAD3</t>
  </si>
  <si>
    <t>MINNGAD4</t>
  </si>
  <si>
    <t>MINNGAD5</t>
  </si>
  <si>
    <t>MINNGAD6</t>
  </si>
  <si>
    <t>Oil</t>
  </si>
  <si>
    <t>Canada</t>
  </si>
  <si>
    <t>NE</t>
  </si>
  <si>
    <t>2006</t>
  </si>
  <si>
    <t>2007</t>
  </si>
  <si>
    <t>2008</t>
  </si>
  <si>
    <t>2009</t>
  </si>
  <si>
    <t>2011</t>
  </si>
  <si>
    <t>2012</t>
  </si>
  <si>
    <t>Region</t>
  </si>
  <si>
    <t>2003</t>
  </si>
  <si>
    <t>2004</t>
  </si>
  <si>
    <t>Total</t>
  </si>
  <si>
    <t>%</t>
  </si>
  <si>
    <t>CommUnit</t>
  </si>
  <si>
    <t>Comment</t>
  </si>
  <si>
    <t>TACTUnit</t>
  </si>
  <si>
    <t>TCAPUnit</t>
  </si>
  <si>
    <t>Set Memberships</t>
  </si>
  <si>
    <t>CommName</t>
  </si>
  <si>
    <t>CommDesc</t>
  </si>
  <si>
    <t>TechName</t>
  </si>
  <si>
    <t>TechDesc</t>
  </si>
  <si>
    <t>Units</t>
  </si>
  <si>
    <t>CommIN</t>
  </si>
  <si>
    <t>CommOUT</t>
  </si>
  <si>
    <t>ConstrName</t>
  </si>
  <si>
    <t>ConstrDesc</t>
  </si>
  <si>
    <t>ANSWER-Commodities</t>
  </si>
  <si>
    <t>ANSWER-Technologies</t>
  </si>
  <si>
    <t>ANSWER-Constraints</t>
  </si>
  <si>
    <t>ANSWER-CommData</t>
  </si>
  <si>
    <t>ANSWER-TechData</t>
  </si>
  <si>
    <t>ANSWER-ConstrData</t>
  </si>
  <si>
    <t>Commodities</t>
  </si>
  <si>
    <t>PJ</t>
  </si>
  <si>
    <t>R0</t>
  </si>
  <si>
    <t>* Natural Gas Supply Commodities - Domestic and Imported</t>
  </si>
  <si>
    <t>NGA</t>
  </si>
  <si>
    <t>Natural Gas</t>
  </si>
  <si>
    <t>NGAD</t>
  </si>
  <si>
    <t>Domestic Natural Gas</t>
  </si>
  <si>
    <t>NGAD0</t>
  </si>
  <si>
    <t>NGL</t>
  </si>
  <si>
    <t>Natural Gas Liquids</t>
  </si>
  <si>
    <t>NGAC</t>
  </si>
  <si>
    <t>NGAM</t>
  </si>
  <si>
    <t>NGAL</t>
  </si>
  <si>
    <t>R0,R1</t>
  </si>
  <si>
    <t>R0,R4</t>
  </si>
  <si>
    <t>R0,R5</t>
  </si>
  <si>
    <t>R1</t>
  </si>
  <si>
    <t>NGLR2</t>
  </si>
  <si>
    <t>Traded natural gas plant liquids from R2</t>
  </si>
  <si>
    <t>NGLR3</t>
  </si>
  <si>
    <t>Traded natural gas plant liquids from R3</t>
  </si>
  <si>
    <t>R3</t>
  </si>
  <si>
    <t>NGLR4</t>
  </si>
  <si>
    <t>Traded natural gas plant liquids from R4</t>
  </si>
  <si>
    <t>R2</t>
  </si>
  <si>
    <t>NGLR5</t>
  </si>
  <si>
    <t>Traded natural gas plant liquids from R5</t>
  </si>
  <si>
    <t>NGLR6</t>
  </si>
  <si>
    <t>Traded natural gas plant liquids from R6</t>
  </si>
  <si>
    <t>* Natural Gas End-Use Commodities</t>
  </si>
  <si>
    <t>RESNGA</t>
  </si>
  <si>
    <t>Natural gas to Residential sector</t>
  </si>
  <si>
    <t>COMNGA</t>
  </si>
  <si>
    <t>Natural gas to Commercial sector</t>
  </si>
  <si>
    <t>INDNGA</t>
  </si>
  <si>
    <t>Natural gas to Industrial sector</t>
  </si>
  <si>
    <t>ELCNGA</t>
  </si>
  <si>
    <t>Natural gas to Electricity generation</t>
  </si>
  <si>
    <t>TRNNGA</t>
  </si>
  <si>
    <t>Natural gas to Transportation sector</t>
  </si>
  <si>
    <t>NGAR2</t>
  </si>
  <si>
    <t>NGAR3</t>
  </si>
  <si>
    <t>NGAR4</t>
  </si>
  <si>
    <t>NGAR5</t>
  </si>
  <si>
    <t>NGAR6</t>
  </si>
  <si>
    <t>GSR</t>
  </si>
  <si>
    <t>LPG</t>
  </si>
  <si>
    <t>PFS</t>
  </si>
  <si>
    <t>Technologies</t>
  </si>
  <si>
    <t>PJ/a</t>
  </si>
  <si>
    <t>TCH,SRCENCP,SEP_EXP</t>
  </si>
  <si>
    <t>R5</t>
  </si>
  <si>
    <t>R4</t>
  </si>
  <si>
    <t>R6</t>
  </si>
  <si>
    <t>R7</t>
  </si>
  <si>
    <t>R8</t>
  </si>
  <si>
    <t>R9</t>
  </si>
  <si>
    <t>Domestic natural gas - step 1</t>
  </si>
  <si>
    <t>Domestic natural gas - step 2</t>
  </si>
  <si>
    <t>Domestic natural gas - step 3</t>
  </si>
  <si>
    <t>Domestic natural gas - step 4</t>
  </si>
  <si>
    <t>Domestic natural gas - step 5</t>
  </si>
  <si>
    <t>Domestic natural gas - step 6</t>
  </si>
  <si>
    <t>SCMINNGAD</t>
  </si>
  <si>
    <t>Collector: MINNGAD</t>
  </si>
  <si>
    <t>*Imported natural gas supply and transport</t>
  </si>
  <si>
    <t>Imported natural gas from Canada - Step 1</t>
  </si>
  <si>
    <t>Imported natural gas from Canada - Step 2</t>
  </si>
  <si>
    <t>IMPNGALA</t>
  </si>
  <si>
    <t>Imported LNG - Step A</t>
  </si>
  <si>
    <t>IMPNGALB</t>
  </si>
  <si>
    <t>Imported LNG - Step B</t>
  </si>
  <si>
    <t>IMPNGALC</t>
  </si>
  <si>
    <t>Imported LNG - Step C</t>
  </si>
  <si>
    <t>Share of Imported LNG to Existing Terminals</t>
  </si>
  <si>
    <t>*Imported natural gas export from R0</t>
  </si>
  <si>
    <t>*Imported natural gas imports to demand region</t>
  </si>
  <si>
    <t>* Domestic natural gas delivery costs to end-use demands</t>
  </si>
  <si>
    <t>Domestic natural gas to residential end-use</t>
  </si>
  <si>
    <t>Domestic natural gas to commercial end-use</t>
  </si>
  <si>
    <t>Domestic natural gas to electricity generation</t>
  </si>
  <si>
    <t>Domestic natural gas to transportation end-use</t>
  </si>
  <si>
    <t>* Imported natural gas Pipeline technologies</t>
  </si>
  <si>
    <t>TechData</t>
  </si>
  <si>
    <t>*Imported Natural Gas supply</t>
  </si>
  <si>
    <t>*R0</t>
  </si>
  <si>
    <t>*</t>
  </si>
  <si>
    <t>CUM</t>
  </si>
  <si>
    <t>2005</t>
  </si>
  <si>
    <t>2010</t>
  </si>
  <si>
    <t>Conversion Factors</t>
  </si>
  <si>
    <t>MMBTU</t>
  </si>
  <si>
    <t>Quad=</t>
  </si>
  <si>
    <t>kwh=</t>
  </si>
  <si>
    <t>BTU</t>
  </si>
  <si>
    <t xml:space="preserve">NIPA Table 1.1.9. Implicit Price Deflators for Gross Domestic Product                                                                                                                                                                                          </t>
  </si>
  <si>
    <t>Year</t>
  </si>
  <si>
    <t>Deflator</t>
  </si>
  <si>
    <t>MMBtu per cf</t>
  </si>
  <si>
    <t>Natural gas</t>
  </si>
  <si>
    <t>IMPNGAC1</t>
  </si>
  <si>
    <t>IMPNGAC2</t>
  </si>
  <si>
    <t>IMPNGAC3</t>
  </si>
  <si>
    <t>Imported natural gas from Canada - Step 3</t>
  </si>
  <si>
    <t>IMPNGAC4</t>
  </si>
  <si>
    <t>Imported natural gas from Canada - Step 4</t>
  </si>
  <si>
    <t>IMPNGAC5</t>
  </si>
  <si>
    <t>Imported natural gas from Canada - Step 5</t>
  </si>
  <si>
    <t>IMPNGAC6</t>
  </si>
  <si>
    <t>Imported natural gas from Canada - Step 6</t>
  </si>
  <si>
    <t>Table 1B. GREET Production Emissions Factors with Nonroad Sources Excluded, ktonnes/Petajoule</t>
  </si>
  <si>
    <t>Resource</t>
  </si>
  <si>
    <t>Extraction Description</t>
  </si>
  <si>
    <t>VOC</t>
  </si>
  <si>
    <t>CO</t>
  </si>
  <si>
    <t>OC</t>
  </si>
  <si>
    <t>Crude for Use in U.S. Refineries (no oil sands)</t>
  </si>
  <si>
    <t>ktonnes/Petajoule</t>
  </si>
  <si>
    <t>Coal</t>
  </si>
  <si>
    <t>Mining and Cleaning</t>
  </si>
  <si>
    <t>Recovery</t>
  </si>
  <si>
    <t>na</t>
  </si>
  <si>
    <t>Processing: Combustion</t>
  </si>
  <si>
    <t>Processing: Non-Combustion</t>
  </si>
  <si>
    <t>Natural Gas Total</t>
  </si>
  <si>
    <t>Uranium</t>
  </si>
  <si>
    <t>Mining</t>
  </si>
  <si>
    <t>Ore Transportation</t>
  </si>
  <si>
    <t>Enrichment</t>
  </si>
  <si>
    <t>Conversion, Fabrication, &amp; Waste Storage</t>
  </si>
  <si>
    <t>Uranium Total</t>
  </si>
  <si>
    <t>From GREET 1.8</t>
  </si>
  <si>
    <t>Natural Gas as a Processing Fuel (produced in North America)</t>
  </si>
  <si>
    <t>NG Recovery</t>
  </si>
  <si>
    <t>NG Processing</t>
  </si>
  <si>
    <t>NG Processing: Non-Combustion Emissions</t>
  </si>
  <si>
    <t>NG Transmission and Distribution</t>
  </si>
  <si>
    <t>Energy efficiency</t>
  </si>
  <si>
    <t>Urban emission share</t>
  </si>
  <si>
    <t>Loss factor</t>
  </si>
  <si>
    <t>Total emissions: grams/mmBtu of fuel throughput</t>
  </si>
  <si>
    <t>kT/PJ</t>
  </si>
  <si>
    <t xml:space="preserve">     VOC</t>
  </si>
  <si>
    <t xml:space="preserve">     CO</t>
  </si>
  <si>
    <t xml:space="preserve">     NOx</t>
  </si>
  <si>
    <t xml:space="preserve">     PM10</t>
  </si>
  <si>
    <t xml:space="preserve">     PM2.5</t>
  </si>
  <si>
    <t xml:space="preserve">     SOx</t>
  </si>
  <si>
    <t xml:space="preserve">     CH4: combustion</t>
  </si>
  <si>
    <t xml:space="preserve">     N2O</t>
  </si>
  <si>
    <t xml:space="preserve">     CO2</t>
  </si>
  <si>
    <t xml:space="preserve">     CH4: leakage</t>
  </si>
  <si>
    <t xml:space="preserve">     VOC evaporation</t>
  </si>
  <si>
    <t xml:space="preserve">     Misc. Items</t>
  </si>
  <si>
    <t>Distribution emissions (from column F, transposed)</t>
  </si>
  <si>
    <t>NOX</t>
  </si>
  <si>
    <t>PM10</t>
  </si>
  <si>
    <t>PM25</t>
  </si>
  <si>
    <t>SO2</t>
  </si>
  <si>
    <t>CH4</t>
  </si>
  <si>
    <t>N2O</t>
  </si>
  <si>
    <t>CO2</t>
  </si>
  <si>
    <t>BC</t>
  </si>
  <si>
    <t>From the 2012 US EPA greenhouse gas inventory: http://epa.gov/climatechange/emissions/downloads12/3.%20Energy.pdf</t>
  </si>
  <si>
    <t>CH4 emissions by source for Natural Gas Systems (Gg=Ktonne)</t>
  </si>
  <si>
    <t>EF</t>
  </si>
  <si>
    <t>Field production</t>
  </si>
  <si>
    <t>Processing</t>
  </si>
  <si>
    <t>Transmission and storage</t>
  </si>
  <si>
    <t>Distribution</t>
  </si>
  <si>
    <t>2006 estimate of natural gas production from EIA: http://www.eia.gov/dnav/ng/ng_sum_lsum_dcu_nus_a.htm</t>
  </si>
  <si>
    <t>Dry production</t>
  </si>
  <si>
    <t>million cubic feet</t>
  </si>
  <si>
    <t>Equivalent in PJ</t>
  </si>
  <si>
    <t>NGAD2</t>
  </si>
  <si>
    <t>NGAD3</t>
  </si>
  <si>
    <t>NGAD4</t>
  </si>
  <si>
    <t>NGAD5</t>
  </si>
  <si>
    <t>NGAD6</t>
  </si>
  <si>
    <t>Lower 48 Natural Gas Production and Wellhead Prices by Supply Region, Reference case</t>
  </si>
  <si>
    <t>Dry Production (trillion cubic feet) 1/</t>
  </si>
  <si>
    <t> Lower 48 Total</t>
  </si>
  <si>
    <t> Lower 48 Onshore</t>
  </si>
  <si>
    <t>   Northeast</t>
  </si>
  <si>
    <t>   Gulf Coast</t>
  </si>
  <si>
    <t>   Midcontinent</t>
  </si>
  <si>
    <t>   Southwest</t>
  </si>
  <si>
    <t>   Rocky Mountain</t>
  </si>
  <si>
    <t>   West Coast</t>
  </si>
  <si>
    <t> Lower 48 Offshore</t>
  </si>
  <si>
    <t>   Gulf</t>
  </si>
  <si>
    <t>     Shallow</t>
  </si>
  <si>
    <t>     Deep</t>
  </si>
  <si>
    <t>   Pacific</t>
  </si>
  <si>
    <t>   Atlantic</t>
  </si>
  <si>
    <t>Prices</t>
  </si>
  <si>
    <t>      Northeast</t>
  </si>
  <si>
    <t>      Gulf Coast</t>
  </si>
  <si>
    <t>      Midcontinent</t>
  </si>
  <si>
    <t>      Southwest</t>
  </si>
  <si>
    <t>      Rocky Mountain</t>
  </si>
  <si>
    <t>      West Coast</t>
  </si>
  <si>
    <t>      Gulf</t>
  </si>
  <si>
    <t>      Pacific</t>
  </si>
  <si>
    <t>      Atlantic</t>
  </si>
  <si>
    <t>   1/ Marketed production (wet) minus extraction losses.</t>
  </si>
  <si>
    <t>   - - = Not applicable.</t>
  </si>
  <si>
    <t>   Note:  Oil and Gas Supply Model regions are defined in Appendix F of the Annual Energy Outlook.  Totals may not equal sum of</t>
  </si>
  <si>
    <t>components due to independent rounding.</t>
  </si>
  <si>
    <t>Growth 2040+</t>
  </si>
  <si>
    <t>US Department of Commerce: Bureau of Economic Analysis</t>
  </si>
  <si>
    <t>http://www.bea.gov/national/nipaweb/SelectTable.asp?Selected=Y</t>
  </si>
  <si>
    <t>Supply Curve Steps</t>
  </si>
  <si>
    <t>Quantity</t>
  </si>
  <si>
    <t>Natural Gas Imports and Exports, Reference case</t>
  </si>
  <si>
    <t>Volumes and Prices</t>
  </si>
  <si>
    <t>Volumes (trillion cubic feet)</t>
  </si>
  <si>
    <t> Net Imports</t>
  </si>
  <si>
    <t> Imports</t>
  </si>
  <si>
    <t>   Pipeline Imports from Canada</t>
  </si>
  <si>
    <t>   Pipeline Imports from Mexico</t>
  </si>
  <si>
    <t>   Pipeline Imports from Bahamas</t>
  </si>
  <si>
    <t>   Liquefied Natural Gas Imports 1/</t>
  </si>
  <si>
    <t> Exports</t>
  </si>
  <si>
    <t>   Pipeline Exports to Canada</t>
  </si>
  <si>
    <t>   Pipeline Exports to Mexico</t>
  </si>
  <si>
    <t>   Liquefied Natural Gas Exports 2/</t>
  </si>
  <si>
    <t>   Canada</t>
  </si>
  <si>
    <t>   Mexico</t>
  </si>
  <si>
    <t>   Bahamas</t>
  </si>
  <si>
    <t>   Liquefied Natural Gas</t>
  </si>
  <si>
    <t>Border Prices</t>
  </si>
  <si>
    <t>   Average Import Price</t>
  </si>
  <si>
    <t>      Pipeline Import Prices</t>
  </si>
  <si>
    <t>         From Canada</t>
  </si>
  <si>
    <t>         From Mexico</t>
  </si>
  <si>
    <t>         From Bahamas</t>
  </si>
  <si>
    <t>      LNG Price (including regasification)</t>
  </si>
  <si>
    <t>   LNG = Liquefied natural gas.</t>
  </si>
  <si>
    <t>Office of Energy Analysis.  Projections:  EIA, AEO2012 National Energy Modeling System.</t>
  </si>
  <si>
    <t>Oil and Gas Supply, Reference case</t>
  </si>
  <si>
    <t>Production and Supply</t>
  </si>
  <si>
    <t>Dry Production (trillion cubic feet) 4/</t>
  </si>
  <si>
    <t>   Alaska</t>
  </si>
  <si>
    <t>Date</t>
  </si>
  <si>
    <t>Release Date:</t>
  </si>
  <si>
    <t>Next Release Date:</t>
  </si>
  <si>
    <t>Excel File Name:</t>
  </si>
  <si>
    <t>Available from Web Page:</t>
  </si>
  <si>
    <t>Source:</t>
  </si>
  <si>
    <t>Energy Information Administration</t>
  </si>
  <si>
    <t>For Help, Contact:</t>
  </si>
  <si>
    <t>infoctr@eia.gov</t>
  </si>
  <si>
    <t>(202) 586-8800</t>
  </si>
  <si>
    <t>Production</t>
  </si>
  <si>
    <t>Domestic natural gas Existing infrastructure in R2</t>
  </si>
  <si>
    <t>Domestic natural gas Existing infrastructure in R3</t>
  </si>
  <si>
    <t>Domestic natural gas Existing infrastructure in R4</t>
  </si>
  <si>
    <t>Domestic natural gas Existing infrastructure in R5</t>
  </si>
  <si>
    <t>Domestic natural gas Existing infrastructure in R6</t>
  </si>
  <si>
    <t>Export of domestic natural gas from R2 to R1</t>
  </si>
  <si>
    <t>Export of domestic natural gas from R3 to R2</t>
  </si>
  <si>
    <t>Export of domestic natural gas from R3 to R5</t>
  </si>
  <si>
    <t>Export of domestic natural gas from R4 to R3</t>
  </si>
  <si>
    <t>Export of domestic natural gas from R5 to R2</t>
  </si>
  <si>
    <t>Export of domestic natural gas from R6 to R3</t>
  </si>
  <si>
    <t>Export of domestic natural gas from R6 to R5</t>
  </si>
  <si>
    <t>Export of domestic natural gas from R7 to R4</t>
  </si>
  <si>
    <t>Export of domestic natural gas from R7 to R6</t>
  </si>
  <si>
    <t>Export of domestic natural gas from R8 to R4</t>
  </si>
  <si>
    <t>Export of domestic natural gas from R8 to R7</t>
  </si>
  <si>
    <t>Export of domestic natural gas from R8 to R9</t>
  </si>
  <si>
    <t>Import of domestic natural gas from R2 to R1</t>
  </si>
  <si>
    <t>Import of domestic natural gas from R3 to R2</t>
  </si>
  <si>
    <t>Import of domestic natural gas from R3 to R5</t>
  </si>
  <si>
    <t>Import of domestic natural gas from R4 to R3</t>
  </si>
  <si>
    <t>Import of domestic natural gas from R5 to R2</t>
  </si>
  <si>
    <t>Import of domestic natural gas from R6 to R3</t>
  </si>
  <si>
    <t>Import of domestic natural gas from R6 to R5</t>
  </si>
  <si>
    <t>Import of domestic natural gas from R7 to R4</t>
  </si>
  <si>
    <t>Import of domestic natural gas from R7 to R6</t>
  </si>
  <si>
    <t>Import of domestic natural gas from R8 to R4</t>
  </si>
  <si>
    <t>Import of domestic natural gas from R8 to R7</t>
  </si>
  <si>
    <t>Import of domestic natural gas from R8 to R9</t>
  </si>
  <si>
    <t>NGAC1</t>
  </si>
  <si>
    <t>NGAC2</t>
  </si>
  <si>
    <t>NGAC4</t>
  </si>
  <si>
    <t>NGALE1</t>
  </si>
  <si>
    <t>NGALE5</t>
  </si>
  <si>
    <t>Canadian imported natural gas shares</t>
  </si>
  <si>
    <t>SCIMPNGAC</t>
  </si>
  <si>
    <t>SCIMPNGAL</t>
  </si>
  <si>
    <t>XNGAC1E</t>
  </si>
  <si>
    <t>Existing Pipeline for Import Canadian natural gas to R1</t>
  </si>
  <si>
    <t>XNGAC2E</t>
  </si>
  <si>
    <t>Existing Pipeline for Import Canadian natural gas to R2</t>
  </si>
  <si>
    <t>XNGAC4E</t>
  </si>
  <si>
    <t>Existing Pipeline for Import Canadian natural gas to R4</t>
  </si>
  <si>
    <t>XNGAC1N</t>
  </si>
  <si>
    <t>New Pipeline for Import Canadian natural gas to R1</t>
  </si>
  <si>
    <t>XNGAC2N</t>
  </si>
  <si>
    <t>New Pipeline for Import Canadian natural gas to R2</t>
  </si>
  <si>
    <t>XNGAC4N</t>
  </si>
  <si>
    <t>New Pipeline for Import Canadian natural gas to R4</t>
  </si>
  <si>
    <t>XNGALE1E</t>
  </si>
  <si>
    <t>Infrastructure for Import LNG to Existing terminal in R1</t>
  </si>
  <si>
    <t>XNGALE5E</t>
  </si>
  <si>
    <t>XNGALE1N</t>
  </si>
  <si>
    <t>New Infrastructure for Import LNG to Existing terminal in R1</t>
  </si>
  <si>
    <t>XNGALE5N</t>
  </si>
  <si>
    <t>XNGARES</t>
  </si>
  <si>
    <t>XNGACOM</t>
  </si>
  <si>
    <t>XNGAIND</t>
  </si>
  <si>
    <t>XNGAELC</t>
  </si>
  <si>
    <t>XNGATRN</t>
  </si>
  <si>
    <t>Domestic Natural Gas - R2</t>
  </si>
  <si>
    <t>Domestic Natural Gas - R3</t>
  </si>
  <si>
    <t>Domestic Natural Gas - R4</t>
  </si>
  <si>
    <t>Domestic Natural Gas - R5</t>
  </si>
  <si>
    <t>Domestic Natural Gas - R6</t>
  </si>
  <si>
    <t>Domestic Natural Gas - D0</t>
  </si>
  <si>
    <t>Natural Gas - R2</t>
  </si>
  <si>
    <t>Natural Gas - R3</t>
  </si>
  <si>
    <t>Natural Gas - R4</t>
  </si>
  <si>
    <t>Natural Gas - R5</t>
  </si>
  <si>
    <t>Natural Gas - R6</t>
  </si>
  <si>
    <t>SCNGAR2</t>
  </si>
  <si>
    <t>SCNGAR3</t>
  </si>
  <si>
    <t>SCNGAR4</t>
  </si>
  <si>
    <t>SCNGAR5</t>
  </si>
  <si>
    <t>SCNGAR6</t>
  </si>
  <si>
    <t>Collector: Natural Gas R2</t>
  </si>
  <si>
    <t>Collector: Natural Gas R3</t>
  </si>
  <si>
    <t>Collector: Natural Gas R4</t>
  </si>
  <si>
    <t>Collector: Natural Gas R5</t>
  </si>
  <si>
    <t>Collector: Natural Gas R6</t>
  </si>
  <si>
    <t>XNGA21E</t>
  </si>
  <si>
    <t>Existing natural gas pipeline from R2 to R1</t>
  </si>
  <si>
    <t>XNGA32E</t>
  </si>
  <si>
    <t>XNGA35E</t>
  </si>
  <si>
    <t>XNGA43E</t>
  </si>
  <si>
    <t>XNGA52E</t>
  </si>
  <si>
    <t>XNGA63E</t>
  </si>
  <si>
    <t>XNGA65E</t>
  </si>
  <si>
    <t>XNGA74E</t>
  </si>
  <si>
    <t>XNGA76E</t>
  </si>
  <si>
    <t>XNGA84E</t>
  </si>
  <si>
    <t>XNGA87E</t>
  </si>
  <si>
    <t>XNGA89E</t>
  </si>
  <si>
    <t>Existing natural gas pipeline from R3 to R2</t>
  </si>
  <si>
    <t>Existing natural gas pipeline from R3 to R5</t>
  </si>
  <si>
    <t>Existing natural gas pipeline from R4 to R3</t>
  </si>
  <si>
    <t>Existing natural gas pipeline from R5 to R2</t>
  </si>
  <si>
    <t>Existing natural gas pipeline from R6 to R3</t>
  </si>
  <si>
    <t>Existing natural gas pipeline from R6 to R5</t>
  </si>
  <si>
    <t>Existing natural gas pipeline from R7 to R4</t>
  </si>
  <si>
    <t>Existing natural gas pipeline from R7 to R6</t>
  </si>
  <si>
    <t>Existing natural gas pipeline from R8 to R4</t>
  </si>
  <si>
    <t>Existing natural gas pipeline from R8 to R7</t>
  </si>
  <si>
    <t>Existing natural gas pipeline from R8 to R9</t>
  </si>
  <si>
    <t>EXPNGAR21</t>
  </si>
  <si>
    <t>EXPNGAR32</t>
  </si>
  <si>
    <t>EXPNGAR35</t>
  </si>
  <si>
    <t>EXPNGAR43</t>
  </si>
  <si>
    <t>EXPNGAR52</t>
  </si>
  <si>
    <t>EXPNGAR63</t>
  </si>
  <si>
    <t>EXPNGAR65</t>
  </si>
  <si>
    <t>EXPNGAR74</t>
  </si>
  <si>
    <t>EXPNGAR76</t>
  </si>
  <si>
    <t>EXPNGAR84</t>
  </si>
  <si>
    <t>EXPNGAR87</t>
  </si>
  <si>
    <t>EXPNGAR89</t>
  </si>
  <si>
    <t>IMPNGAR21</t>
  </si>
  <si>
    <t>IMPNGAR32</t>
  </si>
  <si>
    <t>IMPNGAR35</t>
  </si>
  <si>
    <t>IMPNGAR43</t>
  </si>
  <si>
    <t>IMPNGAR52</t>
  </si>
  <si>
    <t>IMPNGAR63</t>
  </si>
  <si>
    <t>IMPNGAR65</t>
  </si>
  <si>
    <t>IMPNGAR74</t>
  </si>
  <si>
    <t>IMPNGAR76</t>
  </si>
  <si>
    <t>IMPNGAR84</t>
  </si>
  <si>
    <t>IMPNGAR87</t>
  </si>
  <si>
    <t>IMPNGAR89</t>
  </si>
  <si>
    <t>Step 1</t>
  </si>
  <si>
    <t>Step 2</t>
  </si>
  <si>
    <t>Step 3</t>
  </si>
  <si>
    <t>Step 4</t>
  </si>
  <si>
    <t>Step 5</t>
  </si>
  <si>
    <t>Step 6</t>
  </si>
  <si>
    <t>LNG</t>
  </si>
  <si>
    <t>2020-2055</t>
  </si>
  <si>
    <t>Natural gas liquids to LPG (C3)</t>
  </si>
  <si>
    <t>Natural gas liquids to PFS (C2 &amp; C4)</t>
  </si>
  <si>
    <t>Natural gas liquids to pentanes (C5+)</t>
  </si>
  <si>
    <t>PENTS</t>
  </si>
  <si>
    <t>XNGLFRAC</t>
  </si>
  <si>
    <t>Domestic natural gas liquids to end-products</t>
  </si>
  <si>
    <t>DENAT</t>
  </si>
  <si>
    <t>NGL Pentanes to ethanol denaturant</t>
  </si>
  <si>
    <t>* Collectors for NGL products</t>
  </si>
  <si>
    <t>SCLPGNGL</t>
  </si>
  <si>
    <t>SCPENTNGL</t>
  </si>
  <si>
    <t>Collector: PFS from NGL</t>
  </si>
  <si>
    <t>Collector: LPG from NGL</t>
  </si>
  <si>
    <t>Collector: Pentanes from NGL</t>
  </si>
  <si>
    <t>NGL Pentanes to gasoline</t>
  </si>
  <si>
    <t>LPG from NGL</t>
  </si>
  <si>
    <t>PFS from NGL</t>
  </si>
  <si>
    <t>Pentanes from NGL</t>
  </si>
  <si>
    <t>NGLPENT</t>
  </si>
  <si>
    <t>SCPFSNGL</t>
  </si>
  <si>
    <t>SCGSRPENT</t>
  </si>
  <si>
    <t>SCDENPENT</t>
  </si>
  <si>
    <t>Collector: Ethanol denaturant from NGL Pentanes</t>
  </si>
  <si>
    <t>Collector: GSR from NGL Pentanes</t>
  </si>
  <si>
    <t>LPG_NGL</t>
  </si>
  <si>
    <t>PFS_NGL</t>
  </si>
  <si>
    <t>Domestic natural gas to industrial end-use</t>
  </si>
  <si>
    <t>Gas extraction emission factors from GREET, developed 2/13/13</t>
  </si>
  <si>
    <t>Units: kT/PJ</t>
  </si>
  <si>
    <t>Nox</t>
  </si>
  <si>
    <t>Carbon footprint from well to plant gate Table SI-5 of Weber and Clavin (2012) Environmental Science and Technology 46, 5688-5695.</t>
  </si>
  <si>
    <t>IPCC, 2007: GWP for CH4=25</t>
  </si>
  <si>
    <t>Conventional</t>
  </si>
  <si>
    <t>Shale</t>
  </si>
  <si>
    <t>Shale with green completions</t>
  </si>
  <si>
    <t>g/MJ = kT/PJ</t>
  </si>
  <si>
    <t>CO2e</t>
  </si>
  <si>
    <t>Preproduction</t>
  </si>
  <si>
    <t>well pad construction</t>
  </si>
  <si>
    <t>well drilling</t>
  </si>
  <si>
    <t>fracking water</t>
  </si>
  <si>
    <t>fracking chemicals</t>
  </si>
  <si>
    <t>well completion</t>
  </si>
  <si>
    <t>subtotal</t>
  </si>
  <si>
    <t>Production/processing</t>
  </si>
  <si>
    <t>flaring</t>
  </si>
  <si>
    <t>lease/plant energy</t>
  </si>
  <si>
    <t>vented CO2 at plant</t>
  </si>
  <si>
    <t>fugitive at well</t>
  </si>
  <si>
    <t>fugitive at plant</t>
  </si>
  <si>
    <t>workovers</t>
  </si>
  <si>
    <t>liquids unloading</t>
  </si>
  <si>
    <t>Transmission</t>
  </si>
  <si>
    <t>compression fuel</t>
  </si>
  <si>
    <t>fugitive transmission</t>
  </si>
  <si>
    <t>upstream subtotal</t>
  </si>
  <si>
    <t>total except transmission</t>
  </si>
  <si>
    <t>total transmission</t>
  </si>
  <si>
    <t>CO2, kT/PJ</t>
  </si>
  <si>
    <t>CH4, kT/PJ</t>
  </si>
  <si>
    <t>Regions</t>
  </si>
  <si>
    <t>Gross Withdrawals</t>
  </si>
  <si>
    <t>Shale Gas</t>
  </si>
  <si>
    <t>% Shale Gas in the Region in 2011</t>
  </si>
  <si>
    <t>References</t>
  </si>
  <si>
    <t xml:space="preserve">Natural Gas Gross Withdrawals </t>
  </si>
  <si>
    <t>1/7/2013</t>
  </si>
  <si>
    <t>1/31/2013</t>
  </si>
  <si>
    <t>ng_prod_sum_a_epg0_fgw_mmcf_a.xls</t>
  </si>
  <si>
    <t>http://www.eia.gov/dnav/ng/ng_prod_sum_a_epg0_fgw_mmcf_a.htm</t>
  </si>
  <si>
    <t>1/10/2013 5:08:26 PM</t>
  </si>
  <si>
    <t xml:space="preserve">Natural Gas Gross Withdrawals from Gas Wells </t>
  </si>
  <si>
    <t>ng_prod_sum_a_epg0_fgg_mmcf_a.xls</t>
  </si>
  <si>
    <t>http://www.eia.gov/dnav/ng/ng_prod_sum_a_epg0_fgg_mmcf_a.htm</t>
  </si>
  <si>
    <t>1/10/2013 5:08:22 PM</t>
  </si>
  <si>
    <t>State</t>
  </si>
  <si>
    <t>Markal Region</t>
  </si>
  <si>
    <t>U.S. Natural Gas Gross Withdrawals (MMcf)</t>
  </si>
  <si>
    <t>U.S. Natural Gas Gross Withdrawals from Shale Gas (Million Cubic Feet)</t>
  </si>
  <si>
    <t>U.S. Natural Gas Gross Withdrawals Offshore (MMcf)</t>
  </si>
  <si>
    <t>US--State Offshore Natural Gas Gross Withdrawals (MMcf)</t>
  </si>
  <si>
    <t>US--Federal Offshore Natural Gas Gross Withdrawals (MMcf)</t>
  </si>
  <si>
    <t>Federal Offshore--Gulf of Mexico Natural Gas Gross Withdrawals from Shale Gas (Million Cubic Feet)</t>
  </si>
  <si>
    <t>Alaska Natural Gas Gross Withdrawals (MMcf)</t>
  </si>
  <si>
    <t>AK</t>
  </si>
  <si>
    <t>Alaska--onshore Natural Gas Gross Withdrawals (MMcf)</t>
  </si>
  <si>
    <t>Alaska Natural Gas Gross Withdrawals Total Offshore (MMcf)</t>
  </si>
  <si>
    <t>Alaska--State Offshore Natural Gas Gross Withdrawals (MMcf)</t>
  </si>
  <si>
    <t>Federal Offshore--Gulf of Mexico Natural Gas Gross Withdrawals (MMcf)</t>
  </si>
  <si>
    <t>TX</t>
  </si>
  <si>
    <t>Federal Offshore--Alabama Natural Gas Gross Withdrawals (MMcf)</t>
  </si>
  <si>
    <t>Federal Offshore--Louisiana Natural Gas Gross Withdrawals (MMcf)</t>
  </si>
  <si>
    <t>Federal Offshore--Texas Natural Gas Gross Withdrawals (MMcf)</t>
  </si>
  <si>
    <t>Louisiana Natural Gas Gross Withdrawals (MMcf)</t>
  </si>
  <si>
    <t>Louisiana Natural Gas Gross Withdrawals from Shale Gas (Million Cubic Feet)</t>
  </si>
  <si>
    <t>LA</t>
  </si>
  <si>
    <t>Louisiana--onshore Natural Gas Gross Withdrawals (MMcf)</t>
  </si>
  <si>
    <t>Louisiana--onshore Natural Gas Gross Withdrawals from Shale Gas (Million Cubic Feet)</t>
  </si>
  <si>
    <t>Louisiana Natural Gas Gross Withdrawals Total Offshore (MMcf)</t>
  </si>
  <si>
    <t>Louisiana--State Offshore Natural Gas Gross Withdrawals (MMcf)</t>
  </si>
  <si>
    <t>New Mexico Natural Gas Gross Withdrawals (MMcf)</t>
  </si>
  <si>
    <t>New Mexico Natural Gas Gross Withdrawals from Shale Gas (Million Cubic Feet)</t>
  </si>
  <si>
    <t>NM</t>
  </si>
  <si>
    <t>Oklahoma Natural Gas Gross Withdrawals (MMcf)</t>
  </si>
  <si>
    <t>Oklahoma Natural Gas Gross Withdrawals from Shale Gas (Million Cubic Feet)</t>
  </si>
  <si>
    <t>OK</t>
  </si>
  <si>
    <t>Texas Natural Gas Gross Withdrawals (MMcf)</t>
  </si>
  <si>
    <t>Texas Natural Gas Gross Withdrawals from Shale Gas (Million Cubic Feet)</t>
  </si>
  <si>
    <t>Texas--onshore Natural Gas Gross Withdrawals (MMcf)</t>
  </si>
  <si>
    <t>Texas--onshore Natural Gas Gross Withdrawals from Shale Gas (Million Cubic Feet)</t>
  </si>
  <si>
    <t>Texas Natural Gas Gross Withdrawals Total Offshore (MMcf)</t>
  </si>
  <si>
    <t>Texas--State Offshore Natural Gas Withdrawals from Shale Gas (Million Cubic Feet)</t>
  </si>
  <si>
    <t>Texas--State Offshore Natural Gas Gross Withdrawals (MMcf)</t>
  </si>
  <si>
    <t>Wyoming Natural Gas Gross Withdrawals (MMcf)</t>
  </si>
  <si>
    <t>Wyoming Natural Gas Gross Withdrawals from Shale Gas (Million Cubic Feet)</t>
  </si>
  <si>
    <t>WY</t>
  </si>
  <si>
    <t>Other States Natural Gas Gross Withdrawals (MMcf)</t>
  </si>
  <si>
    <t>Other States Natural Gas Gross Withdrawals from Shale Gas (Million Cubic Feet)</t>
  </si>
  <si>
    <t>Alabama Natural Gas Gross Withdrawals (MMcf)</t>
  </si>
  <si>
    <t>Alabama Natural Gas Gross Withdrawals from Shale Gas (Million Cubic Feet)</t>
  </si>
  <si>
    <t>AL</t>
  </si>
  <si>
    <t>Alabama--onshore Natural Gas Gross Withdrawals (MMcf)</t>
  </si>
  <si>
    <t>Alabama--onshore Natural Gas Gross Withdrawals from Shale Gas (Million Cubic Feet)</t>
  </si>
  <si>
    <t>Alabama Natural Gas Gross Withdrawals Total Offshore (MMcf)</t>
  </si>
  <si>
    <t>Alabama--State Offshore Natural Gas Withdrawals from Shale Gas (Million Cubic Feet)</t>
  </si>
  <si>
    <t>Alabama--State Offshore Natural Gas Gross Withdrawals (MMcf)</t>
  </si>
  <si>
    <t>Arizona Natural Gas Gross Withdrawals (MMcf)</t>
  </si>
  <si>
    <t>Arizona Natural Gas Gross Withdrawals from Shale Gas (Million Cubic Feet)</t>
  </si>
  <si>
    <t>AZ</t>
  </si>
  <si>
    <t>Arkansas Natural Gas Gross Withdrawals (MMcf)</t>
  </si>
  <si>
    <t>Arkansas Natural Gas Gross Withdrawals from Shale Gas (Million Cubic Feet)</t>
  </si>
  <si>
    <t>AR</t>
  </si>
  <si>
    <t>California Natural Gas Gross Withdrawals (MMcf)</t>
  </si>
  <si>
    <t>California Natural Gas Gross Withdrawals from Shale Gas (Million Cubic Feet)</t>
  </si>
  <si>
    <t>CA</t>
  </si>
  <si>
    <t>Calif--onshore Natural Gas Gross Withdrawals (MMcf)</t>
  </si>
  <si>
    <t>California--onshore Natural Gas Gross Withdrawals from Shale Gas (Million Cubic Feet)</t>
  </si>
  <si>
    <t>California Natural Gas Gross Withdrawals Total Offshore (MMcf)</t>
  </si>
  <si>
    <t>California--State Offshore Natural Gas Gross Withdrawals (MMcf)</t>
  </si>
  <si>
    <t>Federal Offshore California Natural Gas Gross Withdrawals (MMcf)</t>
  </si>
  <si>
    <t>Colorado Natural Gas Gross Withdrawals (MMcf)</t>
  </si>
  <si>
    <t>Colorado Natural Gas Gross Withdrawals from Shale Gas (Million Cubic Feet)</t>
  </si>
  <si>
    <t>Florida Natural Gas Gross Withdrawals (MMcf)</t>
  </si>
  <si>
    <t>Florida Natural Gas Gross Withdrawals from Shale Gas (Million Cubic Feet)</t>
  </si>
  <si>
    <t>FL</t>
  </si>
  <si>
    <t>Illinois Natural Gas Gross Withdrawals (MMcf)</t>
  </si>
  <si>
    <t>Illinois Natural Gas Gross Withdrawals from Shale Gas (Million Cubic Feet)</t>
  </si>
  <si>
    <t>IL</t>
  </si>
  <si>
    <t>Indiana Natural Gas Gross Withdrawals (MMcf)</t>
  </si>
  <si>
    <t>Indiana Natural Gas Gross Withdrawals from Shale Gas (Million Cubic Feet)</t>
  </si>
  <si>
    <t>IN</t>
  </si>
  <si>
    <t>Kansas Natural Gas Gross Withdrawals (MMcf)</t>
  </si>
  <si>
    <t>Kansas Natural Gas Gross Withdrawals from Shale Gas (Million Cubic Feet)</t>
  </si>
  <si>
    <t>KS</t>
  </si>
  <si>
    <t>Kentucky Natural Gas Gross Withdrawals (MMcf)</t>
  </si>
  <si>
    <t>Kentucky Natural Gas Gross Withdrawals from Shale Gas (Million Cubic Feet)</t>
  </si>
  <si>
    <t>KY</t>
  </si>
  <si>
    <t>Maryland Natural Gas Gross Withdrawals (MMcf)</t>
  </si>
  <si>
    <t>Maryland Natural Gas Gross Withdrawals from Shale Gas (Million Cubic Feet)</t>
  </si>
  <si>
    <t>MD</t>
  </si>
  <si>
    <t>Michigan Natural Gas Gross Withdrawals (MMcf)</t>
  </si>
  <si>
    <t>Michigan Natural Gas Gross Withdrawals from Shale Gas (Million Cubic Feet)</t>
  </si>
  <si>
    <t>MI</t>
  </si>
  <si>
    <t>Mississippi Natural Gas Gross Withdrawals (MMcf)</t>
  </si>
  <si>
    <t>Mississippi Natural Gas Gross Withdrawals from Shale Gas (Million Cubic Feet)</t>
  </si>
  <si>
    <t>MS</t>
  </si>
  <si>
    <t>Missouri Natural Gas Gross Withdrawals (MMcf)</t>
  </si>
  <si>
    <t>Missouri Natural Gas Gross Withdrawals from Shale Gas (Million Cubic Feet)</t>
  </si>
  <si>
    <t>MO</t>
  </si>
  <si>
    <t>Montana Natural Gas Gross Withdrawals (MMcf)</t>
  </si>
  <si>
    <t>Montana Natural Gas Gross Withdrawals from Shale Gas (Million Cubic Feet)</t>
  </si>
  <si>
    <t>MT</t>
  </si>
  <si>
    <t>Nebraska Natural Gas Gross Withdrawals (MMcf)</t>
  </si>
  <si>
    <t>Nebraska Natural Gas Gross Withdrawals from Shale Gas (Million Cubic Feet)</t>
  </si>
  <si>
    <t>Nevada Natural Gas Gross Withdrawals (MMcf)</t>
  </si>
  <si>
    <t>Nevada Natural Gas Gross Withdrawals from Shale Gas (Million Cubic Feet)</t>
  </si>
  <si>
    <t>NV</t>
  </si>
  <si>
    <t>New York Natural Gas Gross Withdrawals (MMcf)</t>
  </si>
  <si>
    <t>New York Natural Gas Gross Withdrawals from Shale Gas (Million Cubic Feet)</t>
  </si>
  <si>
    <t>NY</t>
  </si>
  <si>
    <t>North Dakota Natural Gas Gross Withdrawals (MMcf)</t>
  </si>
  <si>
    <t>North Dakota Natural Gas Gross Withdrawals from Shale Gas (Million Cubic Feet)</t>
  </si>
  <si>
    <t>ND</t>
  </si>
  <si>
    <t>Ohio Natural Gas Gross Withdrawals (MMcf)</t>
  </si>
  <si>
    <t>Ohio Natural Gas Gross Withdrawals from Shale Gas (Million Cubic Feet)</t>
  </si>
  <si>
    <t>OH</t>
  </si>
  <si>
    <t>Oregon Natural Gas Gross Withdrawals (MMcf)</t>
  </si>
  <si>
    <t>Oregon Natural Gas Gross Withdrawals from Shale Gas (Million Cubic Feet)</t>
  </si>
  <si>
    <t>OR</t>
  </si>
  <si>
    <t>Pennsylvania Natural Gas Gross Withdrawals (MMcf)</t>
  </si>
  <si>
    <t>Pennsylvania Natural Gas Gross Withdrawals from Shale Gas (Million Cubic Feet)</t>
  </si>
  <si>
    <t>PA</t>
  </si>
  <si>
    <t>South Dakota Natural Gas Gross Withdrawals (MMcf)</t>
  </si>
  <si>
    <t>South Dakota Natural Gas Gross Withdrawals from Shale Gas (Million Cubic Feet)</t>
  </si>
  <si>
    <t>SD</t>
  </si>
  <si>
    <t>Tennessee Natural Gas Gross Withdrawals (MMcf)</t>
  </si>
  <si>
    <t>Tennessee Natural Gas Gross Withdrawals from Shale Gas (Million Cubic Feet)</t>
  </si>
  <si>
    <t>TN</t>
  </si>
  <si>
    <t>Utah Natural Gas Gross Withdrawals (MMcf)</t>
  </si>
  <si>
    <t>Utah Natural Gas Gross Withdrawals from Shale Gas (Million Cubic Feet)</t>
  </si>
  <si>
    <t>UT</t>
  </si>
  <si>
    <t>Virginia Natural Gas Gross Withdrawals (MMcf)</t>
  </si>
  <si>
    <t>Virginia Natural Gas Gross Withdrawals from Shale Gas (Million Cubic Feet)</t>
  </si>
  <si>
    <t>VA</t>
  </si>
  <si>
    <t>West Virginia Natural Gas Gross Withdrawals (MMcf)</t>
  </si>
  <si>
    <t>West Virginia Natural Gas Gross Withdrawals from Shale Gas (Million Cubic Feet)</t>
  </si>
  <si>
    <t>WV</t>
  </si>
  <si>
    <t>Assumptions:</t>
  </si>
  <si>
    <t>In 2005, all NG extracted is conventional gas. In 2010, both shale and conventional are contributing to the mix, and relative ratios are taken from NG annual. The future projections kept same at 2010 levels for now.</t>
  </si>
  <si>
    <t>Beyond 2015, all shale gas wells will have green completions. We assume they comply with the finalized NSPS for oil and gas. See FR vol 77, no 159 Aug 16, 2012</t>
  </si>
  <si>
    <t>Supply Prices</t>
  </si>
  <si>
    <t>    Henry Hub Spot Price</t>
  </si>
  <si>
    <t>    Lower 48 Average Price</t>
  </si>
  <si>
    <t>  (2012 dollars per thousand cubic feet)</t>
  </si>
  <si>
    <t>    Lower 48 Onshore Price</t>
  </si>
  <si>
    <t>    Lower 48 Offshore Price</t>
  </si>
  <si>
    <t>   Sources:  2011 production:  U.S. Department of the Interior, Office of Natural Resources Revenue; U.S. Energy</t>
  </si>
  <si>
    <t>Information Administration (EIA), Natural Gas Annual 2011, DOE/EIA-0131(2011) (Washington, DC, January 2013); EIA, U.S. Crude Oil,</t>
  </si>
  <si>
    <t>Natural Gas, and Natural Gas Liquids Reserves, DOE/EIA-0216(2011) (Washington, DC, August 2013); and EIA, Office of Energy Analysis</t>
  </si>
  <si>
    <t>(OEA).  2012 production:  EIA, Natural Gas Monthly, DOE/EIA-0130(2013/06) (Washington, DC, June 2013)</t>
  </si>
  <si>
    <t>and EIA, Office of Energy Analysis.  2011 and 2012 natural gas spot prices at Henry Hub:  Thomson Reuters.</t>
  </si>
  <si>
    <t>2011 and 2012 offshore prices based on revenue data from the U.S. Department of the</t>
  </si>
  <si>
    <t>Interior, Office of Natural Resources Revenue; and EIA, OEA.  2011 and 2012 onshore prices based on</t>
  </si>
  <si>
    <t>daily data from Natural Gas Intelligence and assumed gathering charges.  Projections:  EIA, AEO2014 National Energy Modeling System.</t>
  </si>
  <si>
    <t>1983</t>
  </si>
  <si>
    <t>1984</t>
  </si>
  <si>
    <t>1985</t>
  </si>
  <si>
    <t>1986</t>
  </si>
  <si>
    <t>1987</t>
  </si>
  <si>
    <t>1988</t>
  </si>
  <si>
    <t>1989</t>
  </si>
  <si>
    <t>1990</t>
  </si>
  <si>
    <t>1991</t>
  </si>
  <si>
    <t>1992</t>
  </si>
  <si>
    <t>1993</t>
  </si>
  <si>
    <t>1994</t>
  </si>
  <si>
    <t>1995</t>
  </si>
  <si>
    <t>1996</t>
  </si>
  <si>
    <t>1997</t>
  </si>
  <si>
    <t>1998</t>
  </si>
  <si>
    <t>1999</t>
  </si>
  <si>
    <t>2000</t>
  </si>
  <si>
    <t>2001</t>
  </si>
  <si>
    <t>2002</t>
  </si>
  <si>
    <t>Downloaded on 1/09/2014    Last Revised 12/23/2013</t>
  </si>
  <si>
    <t xml:space="preserve">[Index numbers, 2009=100]                                                                                                                                                                                                                                 </t>
  </si>
  <si>
    <t>To bring to $2005</t>
  </si>
  <si>
    <t xml:space="preserve">* Based on estimated state production in the U.S. Crude Oil, NG, and NGL Reserves report found on </t>
  </si>
  <si>
    <t xml:space="preserve">  Domestic NG CUM worksheet, the following assumptions were made:</t>
  </si>
  <si>
    <t>R4 prices allotted as 33% of Rocky Mountain and 67% of Midcontinent</t>
  </si>
  <si>
    <t xml:space="preserve">R6 prices allotted as 26% of Northeast and 74% of Gulf Coast </t>
  </si>
  <si>
    <t>R7 prices allotted as 25% of Southwest, 40% of Gulf Coast, 24% of Midcontinent, and 11% offshore</t>
  </si>
  <si>
    <t>Growth Rate: 2012-2040</t>
  </si>
  <si>
    <t>(2012 dollars per thousand cubic feet)</t>
  </si>
  <si>
    <t>   1/ Includes imports of liquefied natural gas that are later re-exported.</t>
  </si>
  <si>
    <t>   2/ Includes re-exported liquefied natural gas.</t>
  </si>
  <si>
    <t>   Note:  Totals may not equal sum of components due to independent rounding.  Data for 2011 and 2012</t>
  </si>
  <si>
    <t>may differ from official EIA data reports due to internal conversion factors within the AEO2014 National Energy Modeling System.</t>
  </si>
  <si>
    <t>   Sources:  2011 and 2012:  U.S. Energy Information Administration (EIA), Natural Gas Monthly, DOE/EIA-</t>
  </si>
  <si>
    <t>0130(2013/06) (Washington, DC, June 2013) and EIA, Office of Energy Analysis.  Projections:  EIA, AEO2014 National Energy Modeling System.</t>
  </si>
  <si>
    <t>Back to Contents</t>
  </si>
  <si>
    <t>Sourcekey</t>
  </si>
  <si>
    <t xml:space="preserve">EXPNGAM </t>
  </si>
  <si>
    <t>Exported natural gas to Mexico</t>
  </si>
  <si>
    <t>* Exports of NG Liguids</t>
  </si>
  <si>
    <t>Exported natural gas liquids</t>
  </si>
  <si>
    <t>EXPNGAL</t>
  </si>
  <si>
    <t>*Export natural gas supply and transport</t>
  </si>
  <si>
    <t>SCNGAD2</t>
  </si>
  <si>
    <t>SCNGAD3</t>
  </si>
  <si>
    <t>SCNGAD4</t>
  </si>
  <si>
    <t>SCNGAD5</t>
  </si>
  <si>
    <t>SCNGAD6</t>
  </si>
  <si>
    <t>XNGA21N</t>
  </si>
  <si>
    <t>XNGA32N</t>
  </si>
  <si>
    <t>XNGA35N</t>
  </si>
  <si>
    <t>XNGA43N</t>
  </si>
  <si>
    <t>XNGA52N</t>
  </si>
  <si>
    <t>XNGA63N</t>
  </si>
  <si>
    <t>XNGA65N</t>
  </si>
  <si>
    <t>XNGA74N</t>
  </si>
  <si>
    <t>XNGA76N</t>
  </si>
  <si>
    <t>XNGA84N</t>
  </si>
  <si>
    <t>XNGA87N</t>
  </si>
  <si>
    <t>XNGA89N</t>
  </si>
  <si>
    <t>New natural gas pipeline from R2 to R1</t>
  </si>
  <si>
    <t>New natural gas pipeline from R3 to R2</t>
  </si>
  <si>
    <t>New natural gas pipeline from R3 to R5</t>
  </si>
  <si>
    <t>New natural gas pipeline from R4 to R3</t>
  </si>
  <si>
    <t>New natural gas pipeline from R5 to R2</t>
  </si>
  <si>
    <t>New natural gas pipeline from R6 to R3</t>
  </si>
  <si>
    <t>New natural gas pipeline from R6 to R5</t>
  </si>
  <si>
    <t>New natural gas pipeline from R7 to R4</t>
  </si>
  <si>
    <t>New natural gas pipeline from R7 to R6</t>
  </si>
  <si>
    <t>New natural gas pipeline from R8 to R4</t>
  </si>
  <si>
    <t>New natural gas pipeline from R8 to R7</t>
  </si>
  <si>
    <t>New natural gas pipeline from R8 to R9</t>
  </si>
  <si>
    <t xml:space="preserve">Step 3 Price Starting Point: </t>
  </si>
  <si>
    <t>NGACX</t>
  </si>
  <si>
    <t>Canadian Natural Gas</t>
  </si>
  <si>
    <t>SCNGAC1</t>
  </si>
  <si>
    <t>SCNGAC2</t>
  </si>
  <si>
    <t>SCNGAC4</t>
  </si>
  <si>
    <t>Canadian imported natural gas in R1</t>
  </si>
  <si>
    <t>Canadian imported natural gas in R2</t>
  </si>
  <si>
    <t>Canadian imported natural gas in R4</t>
  </si>
  <si>
    <t>From AEO2014 Appendix Table G</t>
  </si>
  <si>
    <t>Imports</t>
  </si>
  <si>
    <t>* Table used for OC and BC factors</t>
  </si>
  <si>
    <t>Emissions Calculations Raw Data</t>
  </si>
  <si>
    <t>* Values not used, updated values calculated below for weighting shale</t>
  </si>
  <si>
    <t>Imported Canadian Natural Gas to R1</t>
  </si>
  <si>
    <t>Imported Canadian Natural Gas to R2</t>
  </si>
  <si>
    <t>Imported Canadian Natural Gas to R4</t>
  </si>
  <si>
    <t>Imported LNG to Existing Terminal    Everett, MA</t>
  </si>
  <si>
    <t>Imported Natural Gas Supply - Canada</t>
  </si>
  <si>
    <t>Imported Natural Gas Supply - Mexico</t>
  </si>
  <si>
    <t>Imported Natural Gas Supply - LNG</t>
  </si>
  <si>
    <t>Mexico</t>
  </si>
  <si>
    <t>Mexico (.965)</t>
  </si>
  <si>
    <t>Washington Natural Gas Exports (No Intransit Deliveries) (MMcf)</t>
  </si>
  <si>
    <t>Texas Natural Gas Exports (No Intransit Deliveries) (MMcf)</t>
  </si>
  <si>
    <t>North Dakota Natural Gas Exports to All Countries (Million Cubic Feet)</t>
  </si>
  <si>
    <t>New York Natural Gas Exports (No Intransit Deliveries) (MMcf)</t>
  </si>
  <si>
    <t>New Hampshire Natural Gas Exports (Million Cubic Feet)</t>
  </si>
  <si>
    <t>Montana Natural Gas Exports (No Intransit Deliveries) (MMcf)</t>
  </si>
  <si>
    <t>Minnesota Natural Gas Exports to All Countries (Million Cubic Feet)</t>
  </si>
  <si>
    <t>Michigan Natural Gas Exports (No Intransit Deliveries) (MMcf)</t>
  </si>
  <si>
    <t>Maine Natural Gas Exports (No Intransit Deliveries) (Million Cubic Feet)</t>
  </si>
  <si>
    <t>Louisiana Natural Gas Exports From All Countries (Million Cubic Feet)</t>
  </si>
  <si>
    <t>Idaho Natural Gas Exports to All Countries (Million Cubic Feet)</t>
  </si>
  <si>
    <t>California Natural Gas Exports (No Intransit Deliveries) (MMcf)</t>
  </si>
  <si>
    <t>Arizona Natural Gas Exports (No Intransit Deliveries) (MMcf)</t>
  </si>
  <si>
    <t>Alaska Natural Gas Exports (No Intransit Deliveries) (MMcf)</t>
  </si>
  <si>
    <t>U.S. Natural Gas Exports (MMcf)</t>
  </si>
  <si>
    <t>NA1284_SWA_2</t>
  </si>
  <si>
    <t>NA1284_STX_2</t>
  </si>
  <si>
    <t>NA1284_SND-Z00_2</t>
  </si>
  <si>
    <t>NA1284_SNY_2</t>
  </si>
  <si>
    <t>NGA_EPG0_EEX_SNH-Z00_MMCF</t>
  </si>
  <si>
    <t>NA1284_SMT_2</t>
  </si>
  <si>
    <t>NA1284_SMN-Z00_2</t>
  </si>
  <si>
    <t>NA1284_SMI_2</t>
  </si>
  <si>
    <t>NGA_EPG0_EEX_SME-Z00_MMCF</t>
  </si>
  <si>
    <t>NGA_EPG0_EEX_SLA-Z00_MMCF</t>
  </si>
  <si>
    <t>NA1284_SID-Z00_2</t>
  </si>
  <si>
    <t>NA1284_SCA_2</t>
  </si>
  <si>
    <t>NA1284_SAZ_2</t>
  </si>
  <si>
    <t>NA1284_SAK_2</t>
  </si>
  <si>
    <t>N9130US2</t>
  </si>
  <si>
    <t xml:space="preserve">Data 1: Natural Gas Exports (Summary) </t>
  </si>
  <si>
    <t xml:space="preserve">Data 1: Natural Gas Imports (Summary) </t>
  </si>
  <si>
    <t>N9100US2</t>
  </si>
  <si>
    <t>NGA_EPG0_IM0_SCA-Z00_MMCF</t>
  </si>
  <si>
    <t>NA1274_SGA-Z00_2</t>
  </si>
  <si>
    <t>NA1274_SID_2</t>
  </si>
  <si>
    <t>NA1274_SLA_2</t>
  </si>
  <si>
    <t>NA1274_SME_2</t>
  </si>
  <si>
    <t>NA1274_SMD-Z00_2</t>
  </si>
  <si>
    <t>NA1274_SMA_2</t>
  </si>
  <si>
    <t>NA1274_SMI_2</t>
  </si>
  <si>
    <t>NA1274_SMN_2</t>
  </si>
  <si>
    <t>NGM_EPG0_IM0_SMS-Z00_MMCF</t>
  </si>
  <si>
    <t>NA1274_SMT_2</t>
  </si>
  <si>
    <t>NA1274_SNH_2</t>
  </si>
  <si>
    <t>NA1274_SNY_2</t>
  </si>
  <si>
    <t>NA1274_SND_2</t>
  </si>
  <si>
    <t>NA1274_STX_2</t>
  </si>
  <si>
    <t>NA1274_SVT_2</t>
  </si>
  <si>
    <t>NA1274_SWA_2</t>
  </si>
  <si>
    <t>U.S. Natural Gas Imports (MMcf)</t>
  </si>
  <si>
    <t>California Natural Gas Imports (No intransit Receipts) (MMcf)</t>
  </si>
  <si>
    <t>Georgia Natural Gas Imports from All Countries (Million Cubic Feet)</t>
  </si>
  <si>
    <t>Idaho Natural Gas Imports (No intransit Receipts) (MMcf)</t>
  </si>
  <si>
    <t>Louisiana Natural Gas Imports (No intransit Receipts) (MMcf)</t>
  </si>
  <si>
    <t>Maine Natural Gas Imports (No intransit Receipts) (MMcf)</t>
  </si>
  <si>
    <t>Maryland Natural Gas Imports from All Countries (Million Cubic Feet)</t>
  </si>
  <si>
    <t>Massachusetts Natural Gas Imports (No intransit Receipts) (MMcf)</t>
  </si>
  <si>
    <t>Michigan Natural Gas Imports (No intransit Receipts) (MMcf)</t>
  </si>
  <si>
    <t>Minnesota Natural Gas Imports (No intransit Receipts) (MMcf)</t>
  </si>
  <si>
    <t>Mississippi Natural Gas Imports (No intransit Receipts) (MMcf)</t>
  </si>
  <si>
    <t>Montana Natural Gas Imports (No intransit Receipts) (MMcf)</t>
  </si>
  <si>
    <t>New Hampshire Natural Gas Imports (No intransit Receipts) (MMcf)</t>
  </si>
  <si>
    <t>New York Natural Gas Imports (No intransit Receipts) (MMcf)</t>
  </si>
  <si>
    <t>North Dakota Natural Gas Imports (No intransit Receipts) (MMcf)</t>
  </si>
  <si>
    <t>Texas Natural Gas Imports (No intransit Receipts) (MMcf)</t>
  </si>
  <si>
    <t>Vermont Natural Gas Imports (No intransit Receipts) (MMcf)</t>
  </si>
  <si>
    <t>Washington Natural Gas Imports (No intransit Receipts) (MMcf)</t>
  </si>
  <si>
    <t>LNG (.035)</t>
  </si>
  <si>
    <t>Net Imports from Canada</t>
  </si>
  <si>
    <t>AVG</t>
  </si>
  <si>
    <t>Henry Hub</t>
  </si>
  <si>
    <t>*10% above average price</t>
  </si>
  <si>
    <t>* Price Shocks</t>
  </si>
  <si>
    <t>% NG lost during extraction, processing, transmission and storage</t>
  </si>
  <si>
    <t>% of methane in NG by volume</t>
  </si>
  <si>
    <t>ft3</t>
  </si>
  <si>
    <t>Natural Gas-energy content</t>
  </si>
  <si>
    <t>Btu/ft3</t>
  </si>
  <si>
    <t>Natural Gas-total energy</t>
  </si>
  <si>
    <t>MMBtu</t>
  </si>
  <si>
    <t>Methane loss per 100 ft3</t>
  </si>
  <si>
    <t>Density of methane</t>
  </si>
  <si>
    <t>lb/ft3</t>
  </si>
  <si>
    <t>Methane loss</t>
  </si>
  <si>
    <t>lb</t>
  </si>
  <si>
    <t>CH4 emission factor</t>
  </si>
  <si>
    <t>lb CH4/MMBtu of NG</t>
  </si>
  <si>
    <t>GJ/mmBtu</t>
  </si>
  <si>
    <t>Caulton et al. (2014). Toward a better understanding and quantification of methane emissions from shale gas development. PNAS 111(17): 6237-6242.</t>
  </si>
  <si>
    <t>this paper mentions: current range of observed CH4 emissions from US natural gas systems (2.3-11.7%) *based on Karion et al. (2013) GRL paper and Allen et al. (2013) PNAS paper.</t>
  </si>
  <si>
    <t>kT CH4/PJ of NG</t>
  </si>
  <si>
    <t>2010-2015</t>
  </si>
  <si>
    <t xml:space="preserve">RECENT STUDY INCORPORATING TOP-DOWN Emission measurements. </t>
  </si>
  <si>
    <t>if top-down estimates selected, which value in the range? (High, Avg)</t>
  </si>
  <si>
    <t>Effectiveness of greencompletions</t>
  </si>
  <si>
    <t>avg</t>
  </si>
  <si>
    <t xml:space="preserve">Bottom-up vs. top-down emission factors: </t>
  </si>
  <si>
    <t>Option "true" will use Weber and Clavin (2012) estimates with regional variation</t>
  </si>
  <si>
    <t>Option "false" will use Caulton et al. (2014) estimates, same values for whole nation.</t>
  </si>
  <si>
    <t>Assumed national average reduction in emissions due to green completions</t>
  </si>
  <si>
    <t>% change in emissions based on regional shale (based on calculation using Weber data)</t>
  </si>
  <si>
    <t>average % of regional NG production from reference run (2025-2050)</t>
  </si>
  <si>
    <t>emissions reduction in later years due to green completions</t>
  </si>
  <si>
    <t>*R9</t>
  </si>
  <si>
    <t>*R7</t>
  </si>
  <si>
    <t>*R4</t>
  </si>
  <si>
    <t>*R2</t>
  </si>
  <si>
    <t>*R8</t>
  </si>
  <si>
    <t>*R7,R8,R9</t>
  </si>
  <si>
    <t>*R3</t>
  </si>
  <si>
    <t>*R5</t>
  </si>
  <si>
    <t>NGAC3</t>
  </si>
  <si>
    <t>NGAC5</t>
  </si>
  <si>
    <t>NGAC6</t>
  </si>
  <si>
    <t>Imported Canadian Natural Gas to R3</t>
  </si>
  <si>
    <t>Imported Canadian Natural Gas to R5</t>
  </si>
  <si>
    <t>Imported Canadian Natural Gas to R6</t>
  </si>
  <si>
    <t>Domestic Natural Gas - R1</t>
  </si>
  <si>
    <t>R1,R2,R3,R4,R5,R6</t>
  </si>
  <si>
    <t>NGAR1</t>
  </si>
  <si>
    <t>Natural Gas - R1</t>
  </si>
  <si>
    <t>R0,R1,R2,R5,R6</t>
  </si>
  <si>
    <t>Imported LNG to Existing Terminal in Manhattan</t>
  </si>
  <si>
    <t>NGALE4</t>
  </si>
  <si>
    <t>Imported LNG to Existing Terminal in Staten Island</t>
  </si>
  <si>
    <t>*R1,R2,R3,R4,R5,R6</t>
  </si>
  <si>
    <t>NGLR1</t>
  </si>
  <si>
    <t>Traded natural gas plant liquids from R1</t>
  </si>
  <si>
    <t>Collector: Natural Gas R1</t>
  </si>
  <si>
    <t>SCNGAD1</t>
  </si>
  <si>
    <t>Domestic natural gas Existing infrastructure in R1</t>
  </si>
  <si>
    <t>XNGAC3E</t>
  </si>
  <si>
    <t>XNGAC5E</t>
  </si>
  <si>
    <t>Existing Pipeline for Import Canadian natural gas to R3</t>
  </si>
  <si>
    <t>Existing Pipeline for Import Canadian natural gas to R5</t>
  </si>
  <si>
    <t>XNGAC6E</t>
  </si>
  <si>
    <t>Existing Pipeline for Import Canadian natural gas to R6</t>
  </si>
  <si>
    <t>XNGAC3N</t>
  </si>
  <si>
    <t>XNGAC6N</t>
  </si>
  <si>
    <t>XNGAC5N</t>
  </si>
  <si>
    <t>New Pipeline for Import Canadian natural gas to R6</t>
  </si>
  <si>
    <t>New Pipeline for Import Canadian natural gas to R3</t>
  </si>
  <si>
    <t>New Pipeline for Import Canadian natural gas to R5</t>
  </si>
  <si>
    <t>XNGALE4E</t>
  </si>
  <si>
    <t>Infrastructure for Import LNG to Existing terminal in R4 - Manhattan</t>
  </si>
  <si>
    <t>Infrastructure for Import LNG to Existing terminal in R5 - Staten Island</t>
  </si>
  <si>
    <t>XNGALE4N</t>
  </si>
  <si>
    <t>New Infrastructure for Import LNG to Existing terminal in R5 - Staten Island</t>
  </si>
  <si>
    <t>_GLOBAL,R0,R1,R2,R3,R4,R5,R6</t>
  </si>
  <si>
    <t>NGAD1</t>
  </si>
  <si>
    <t>SCNGAC3</t>
  </si>
  <si>
    <t>SCNGAC5</t>
  </si>
  <si>
    <t>Canadian imported natural gas in R3</t>
  </si>
  <si>
    <t>Canadian imported natural gas in R5</t>
  </si>
  <si>
    <t>SCNGAC6</t>
  </si>
  <si>
    <t>Canadian imported natural gas in R6</t>
  </si>
  <si>
    <t>SCNGAR1</t>
  </si>
  <si>
    <t>* Domestic Natural Gas Import &amp; Export Technologies</t>
  </si>
  <si>
    <t>EXPNGAR12</t>
  </si>
  <si>
    <t>Export of domestic natural gas from R1 to R2</t>
  </si>
  <si>
    <t>EXPNGAR13</t>
  </si>
  <si>
    <t>Export of domestic natural gas from R1 to R3</t>
  </si>
  <si>
    <t>EXPNGAR14</t>
  </si>
  <si>
    <t>Export of domestic natural gas from R1 to R4</t>
  </si>
  <si>
    <t>EXPNGAR15</t>
  </si>
  <si>
    <t>Export of domestic natural gas from R1 to R5</t>
  </si>
  <si>
    <t>EXPNGAR16</t>
  </si>
  <si>
    <t>Export of domestic natural gas from R1 to R6</t>
  </si>
  <si>
    <t>EXPNGAR23</t>
  </si>
  <si>
    <t>Export of domestic natural gas from R2 to R3</t>
  </si>
  <si>
    <t>EXPNGAR24</t>
  </si>
  <si>
    <t>Export of domestic natural gas from R2 to R4</t>
  </si>
  <si>
    <t>EXPNGAR25</t>
  </si>
  <si>
    <t>Export of domestic natural gas from R2 to R5</t>
  </si>
  <si>
    <t>EXPNGAR34</t>
  </si>
  <si>
    <t>Export of domestic natural gas from R3 to R4</t>
  </si>
  <si>
    <t>EXPNGAR36</t>
  </si>
  <si>
    <t>Export of domestic natural gas from R3 to R6</t>
  </si>
  <si>
    <t>EXPNGAR42</t>
  </si>
  <si>
    <t>Export of domestic natural gas from R4 to R2</t>
  </si>
  <si>
    <t>EXPNGAR45</t>
  </si>
  <si>
    <t>Export of domestic natural gas from R4 to R5</t>
  </si>
  <si>
    <t>EXPNGAR46</t>
  </si>
  <si>
    <t>Export of domestic natural gas from R4 to R6</t>
  </si>
  <si>
    <t>EXPNGAR54</t>
  </si>
  <si>
    <t>Export of domestic natural gas from R5 to R4</t>
  </si>
  <si>
    <t>EXPNGAR64</t>
  </si>
  <si>
    <t>Export of domestic natural gas from R6 to R4</t>
  </si>
  <si>
    <t>IMPNGAR12</t>
  </si>
  <si>
    <t>Import of domestic natural gas from R1 to R2</t>
  </si>
  <si>
    <t>IMPNGAR13</t>
  </si>
  <si>
    <t>Import of domestic natural gas from R1 to R3</t>
  </si>
  <si>
    <t>IMPNGAR14</t>
  </si>
  <si>
    <t>Import of domestic natural gas from R1 to R4</t>
  </si>
  <si>
    <t>IMPNGAR15</t>
  </si>
  <si>
    <t>Import of domestic natural gas from R1 to R5</t>
  </si>
  <si>
    <t>IMPNGAR16</t>
  </si>
  <si>
    <t>Import of domestic natural gas from R1 to R6</t>
  </si>
  <si>
    <t>IMPNGAR23</t>
  </si>
  <si>
    <t>Import of domestic natural gas from R2 to R3</t>
  </si>
  <si>
    <t>IMPNGAR24</t>
  </si>
  <si>
    <t>Import of domestic natural gas from R2 to R4</t>
  </si>
  <si>
    <t>IMPNGAR25</t>
  </si>
  <si>
    <t>Import of domestic natural gas from R2 to R5</t>
  </si>
  <si>
    <t>IMPNGAR34</t>
  </si>
  <si>
    <t>Import of domestic natural gas from R3 to R4</t>
  </si>
  <si>
    <t>IMPNGAR36</t>
  </si>
  <si>
    <t>Import of domestic natural gas from R3 to R6</t>
  </si>
  <si>
    <t>IMPNGAR42</t>
  </si>
  <si>
    <t>Import of domestic natural gas from R4 to R2</t>
  </si>
  <si>
    <t>IMPNGAR45</t>
  </si>
  <si>
    <t>Import of domestic natural gas from R4 to R5</t>
  </si>
  <si>
    <t>IMPNGAR46</t>
  </si>
  <si>
    <t>Import of domestic natural gas from R4 to R6</t>
  </si>
  <si>
    <t>IMPNGAR54</t>
  </si>
  <si>
    <t>Import of domestic natural gas from R5 to R4</t>
  </si>
  <si>
    <t>IMPNGAR64</t>
  </si>
  <si>
    <t>Import of domestic natural gas from R6 to R4</t>
  </si>
  <si>
    <t>*R1</t>
  </si>
  <si>
    <t>*R6</t>
  </si>
  <si>
    <t>XNGA12E</t>
  </si>
  <si>
    <t>Existing natural gas pipeline from R1 to R2</t>
  </si>
  <si>
    <t>XNGA13E</t>
  </si>
  <si>
    <t>Existing natural gas pipeline from R1 to R3</t>
  </si>
  <si>
    <t>XNGA14E</t>
  </si>
  <si>
    <t>Existing natural gas pipeline from R1 to R4</t>
  </si>
  <si>
    <t>XNGA15E</t>
  </si>
  <si>
    <t>Existing natural gas pipeline from R1 to R5</t>
  </si>
  <si>
    <t>XNGA16E</t>
  </si>
  <si>
    <t>Existing natural gas pipeline from R1 to R6</t>
  </si>
  <si>
    <t>XNGA23E</t>
  </si>
  <si>
    <t>Existing natural gas pipeline from R2 to R3</t>
  </si>
  <si>
    <t>XNGA24E</t>
  </si>
  <si>
    <t>Existing natural gas pipeline from R2 to R4</t>
  </si>
  <si>
    <t>XNGA25E</t>
  </si>
  <si>
    <t>Existing natural gas pipeline from R2 to R5</t>
  </si>
  <si>
    <t>XNGA34E</t>
  </si>
  <si>
    <t>Existing natural gas pipeline from R3 to R4</t>
  </si>
  <si>
    <t>XNGA36E</t>
  </si>
  <si>
    <t>Existing natural gas pipeline from R3 to R6</t>
  </si>
  <si>
    <t>XNGA42E</t>
  </si>
  <si>
    <t>Existing natural gas pipeline from R4 to R2</t>
  </si>
  <si>
    <t>XNGA45E</t>
  </si>
  <si>
    <t>Existing natural gas pipeline from R4 to R5</t>
  </si>
  <si>
    <t>XNGA46E</t>
  </si>
  <si>
    <t>Existing natural gas pipeline from R4 to R6</t>
  </si>
  <si>
    <t>XNGA54E</t>
  </si>
  <si>
    <t>Existing natural gas pipeline from R5 to R4</t>
  </si>
  <si>
    <t>XNGA64E</t>
  </si>
  <si>
    <t>Existing natural gas pipeline from R6 to R4</t>
  </si>
  <si>
    <t>XNGA12N</t>
  </si>
  <si>
    <t>New natural gas pipeline from R1 to R2</t>
  </si>
  <si>
    <t>XNGA13N</t>
  </si>
  <si>
    <t>New natural gas pipeline from R1 to R3</t>
  </si>
  <si>
    <t>XNGA14N</t>
  </si>
  <si>
    <t>New natural gas pipeline from R1 to R4</t>
  </si>
  <si>
    <t>XNGA15N</t>
  </si>
  <si>
    <t>New natural gas pipeline from R1 to R5</t>
  </si>
  <si>
    <t>XNGA16N</t>
  </si>
  <si>
    <t>New natural gas pipeline from R1 to R6</t>
  </si>
  <si>
    <t>XNGA23N</t>
  </si>
  <si>
    <t>New natural gas pipeline from R2 to R3</t>
  </si>
  <si>
    <t>XNGA24N</t>
  </si>
  <si>
    <t>New natural gas pipeline from R2 to R4</t>
  </si>
  <si>
    <t>XNGA25N</t>
  </si>
  <si>
    <t>New natural gas pipeline from R2 to R5</t>
  </si>
  <si>
    <t>New natural gas pipeline from R3 to R3</t>
  </si>
  <si>
    <t>XNGA34N</t>
  </si>
  <si>
    <t>New natural gas pipeline from R3 to R4</t>
  </si>
  <si>
    <t>XNGA36N</t>
  </si>
  <si>
    <t>New natural gas pipeline from R3 to R6</t>
  </si>
  <si>
    <t>XNGA42N</t>
  </si>
  <si>
    <t>New natural gas pipeline from R4 to R2</t>
  </si>
  <si>
    <t>XNGA45N</t>
  </si>
  <si>
    <t>New natural gas pipeline from R4 to R5</t>
  </si>
  <si>
    <t>XNGA46N</t>
  </si>
  <si>
    <t>New natural gas pipeline from R4 to R6</t>
  </si>
  <si>
    <t>XNGA54N</t>
  </si>
  <si>
    <t>New natural gas pipeline from R5 to R4</t>
  </si>
  <si>
    <t>XNGA64N</t>
  </si>
  <si>
    <t>New natural gas pipeline from R6 to R4</t>
  </si>
  <si>
    <t>* Emissions Commodities</t>
  </si>
  <si>
    <t>Carbon dioxide</t>
  </si>
  <si>
    <t>Mt</t>
  </si>
  <si>
    <t>ENV</t>
  </si>
  <si>
    <t>Nitrogen oxide</t>
  </si>
  <si>
    <t>kt</t>
  </si>
  <si>
    <t>Particulate matter</t>
  </si>
  <si>
    <t>Fine particulate matter</t>
  </si>
  <si>
    <t>Volatile organic compounds</t>
  </si>
  <si>
    <t>Carbon monoxide</t>
  </si>
  <si>
    <t>Methane</t>
  </si>
  <si>
    <t>Black carbon</t>
  </si>
  <si>
    <t>Organic carbon</t>
  </si>
  <si>
    <t>Sulfur dioxide</t>
  </si>
  <si>
    <t>*R0,R2</t>
  </si>
  <si>
    <t>*R0,R3</t>
  </si>
  <si>
    <t>*R0,R4</t>
  </si>
  <si>
    <t>*R0,R5</t>
  </si>
  <si>
    <t>*R0,R6</t>
  </si>
  <si>
    <t>* NGA Pipeline Technologies from EPAUS9R</t>
  </si>
  <si>
    <t>MINNGLDMY</t>
  </si>
  <si>
    <t>Dummy NGL Resource Supply</t>
  </si>
  <si>
    <t>* Dummy NGA Supply Technologies (COST is 1.25 x the highest price step)</t>
  </si>
  <si>
    <t>2005              in 2005$</t>
  </si>
  <si>
    <t>2010              in 2010$</t>
  </si>
  <si>
    <t>  (2012 dollars per million Btu)</t>
  </si>
  <si>
    <r>
      <t>1</t>
    </r>
    <r>
      <rPr>
        <sz val="10"/>
        <color theme="1"/>
        <rFont val="Arial"/>
        <family val="2"/>
      </rPr>
      <t>Using elemental carbon as a surrogate for black carbon.</t>
    </r>
  </si>
  <si>
    <r>
      <t>2</t>
    </r>
    <r>
      <rPr>
        <sz val="10"/>
        <color theme="1"/>
        <rFont val="Arial"/>
        <family val="2"/>
      </rPr>
      <t>Hg emissions from resource extraction are insignificant.</t>
    </r>
  </si>
  <si>
    <r>
      <t>3</t>
    </r>
    <r>
      <rPr>
        <sz val="10"/>
        <color theme="1"/>
        <rFont val="Arial"/>
        <family val="2"/>
      </rPr>
      <t>Not available.</t>
    </r>
  </si>
  <si>
    <r>
      <t>NO</t>
    </r>
    <r>
      <rPr>
        <b/>
        <vertAlign val="subscript"/>
        <sz val="10"/>
        <color theme="1"/>
        <rFont val="Arial"/>
        <family val="2"/>
      </rPr>
      <t>x</t>
    </r>
  </si>
  <si>
    <r>
      <t>PM</t>
    </r>
    <r>
      <rPr>
        <b/>
        <vertAlign val="subscript"/>
        <sz val="10"/>
        <color theme="1"/>
        <rFont val="Arial"/>
        <family val="2"/>
      </rPr>
      <t>10</t>
    </r>
  </si>
  <si>
    <r>
      <t>PM</t>
    </r>
    <r>
      <rPr>
        <b/>
        <vertAlign val="subscript"/>
        <sz val="10"/>
        <color theme="1"/>
        <rFont val="Arial"/>
        <family val="2"/>
      </rPr>
      <t>2.5</t>
    </r>
  </si>
  <si>
    <r>
      <t>SO</t>
    </r>
    <r>
      <rPr>
        <b/>
        <vertAlign val="subscript"/>
        <sz val="10"/>
        <color theme="1"/>
        <rFont val="Arial"/>
        <family val="2"/>
      </rPr>
      <t>x</t>
    </r>
  </si>
  <si>
    <r>
      <t>CH</t>
    </r>
    <r>
      <rPr>
        <b/>
        <vertAlign val="subscript"/>
        <sz val="10"/>
        <color theme="1"/>
        <rFont val="Arial"/>
        <family val="2"/>
      </rPr>
      <t>4</t>
    </r>
  </si>
  <si>
    <r>
      <t>N</t>
    </r>
    <r>
      <rPr>
        <b/>
        <vertAlign val="subscript"/>
        <sz val="10"/>
        <color theme="1"/>
        <rFont val="Arial"/>
        <family val="2"/>
      </rPr>
      <t>2</t>
    </r>
    <r>
      <rPr>
        <b/>
        <sz val="10"/>
        <color theme="1"/>
        <rFont val="Arial"/>
        <family val="2"/>
      </rPr>
      <t>O</t>
    </r>
  </si>
  <si>
    <r>
      <t>CO</t>
    </r>
    <r>
      <rPr>
        <b/>
        <vertAlign val="subscript"/>
        <sz val="10"/>
        <color theme="1"/>
        <rFont val="Arial"/>
        <family val="2"/>
      </rPr>
      <t>2</t>
    </r>
  </si>
  <si>
    <r>
      <t>BC</t>
    </r>
    <r>
      <rPr>
        <b/>
        <vertAlign val="superscript"/>
        <sz val="10"/>
        <color theme="1"/>
        <rFont val="Arial"/>
        <family val="2"/>
      </rPr>
      <t>1</t>
    </r>
  </si>
  <si>
    <r>
      <t>Hg</t>
    </r>
    <r>
      <rPr>
        <b/>
        <vertAlign val="superscript"/>
        <sz val="10"/>
        <color theme="1"/>
        <rFont val="Arial"/>
        <family val="2"/>
      </rPr>
      <t>2</t>
    </r>
  </si>
  <si>
    <r>
      <t>na</t>
    </r>
    <r>
      <rPr>
        <vertAlign val="superscript"/>
        <sz val="10"/>
        <color theme="1"/>
        <rFont val="Arial"/>
        <family val="2"/>
      </rPr>
      <t>3</t>
    </r>
  </si>
  <si>
    <r>
      <t>Emissions from natural gas distribution to</t>
    </r>
    <r>
      <rPr>
        <b/>
        <sz val="10"/>
        <color rgb="FFFF0000"/>
        <rFont val="Arial"/>
        <family val="2"/>
      </rPr>
      <t xml:space="preserve"> end-use sectors</t>
    </r>
  </si>
  <si>
    <r>
      <t xml:space="preserve">Emissions from Domestic </t>
    </r>
    <r>
      <rPr>
        <b/>
        <sz val="10"/>
        <color rgb="FFFF0000"/>
        <rFont val="Arial"/>
        <family val="2"/>
      </rPr>
      <t>Natural Gas Production</t>
    </r>
  </si>
  <si>
    <r>
      <t xml:space="preserve">Natural gas domestic production </t>
    </r>
    <r>
      <rPr>
        <b/>
        <sz val="10"/>
        <color rgb="FFFF0000"/>
        <rFont val="Arial"/>
        <family val="2"/>
      </rPr>
      <t>CO2 and CH4 update</t>
    </r>
    <r>
      <rPr>
        <b/>
        <sz val="10"/>
        <color theme="1"/>
        <rFont val="Arial"/>
        <family val="2"/>
      </rPr>
      <t>, these numbers will replace the GREET factors above. 4/11/13 pok.</t>
    </r>
  </si>
  <si>
    <t>Unit</t>
  </si>
  <si>
    <t>Csets</t>
  </si>
  <si>
    <t>LimType</t>
  </si>
  <si>
    <t>CTSLvl</t>
  </si>
  <si>
    <t>PeakTS</t>
  </si>
  <si>
    <t>Ctype</t>
  </si>
  <si>
    <t>Tact</t>
  </si>
  <si>
    <t>Tcap</t>
  </si>
  <si>
    <t>Sets</t>
  </si>
  <si>
    <t>PrimaryCG</t>
  </si>
  <si>
    <t>Vintage</t>
  </si>
  <si>
    <t>NRG</t>
  </si>
  <si>
    <t>MIN</t>
  </si>
  <si>
    <t>PRE</t>
  </si>
  <si>
    <t>IMP</t>
  </si>
  <si>
    <t>EXP</t>
  </si>
  <si>
    <t>*TID</t>
  </si>
  <si>
    <t>COST~2010</t>
  </si>
  <si>
    <t>COST~2015</t>
  </si>
  <si>
    <t>COST~2020</t>
  </si>
  <si>
    <t>COST~2025</t>
  </si>
  <si>
    <t>COST~2030</t>
  </si>
  <si>
    <t>COST~2035</t>
  </si>
  <si>
    <t>COST~2040</t>
  </si>
  <si>
    <t>COST~2045</t>
  </si>
  <si>
    <t>COST~2050</t>
  </si>
  <si>
    <t>COST~2055</t>
  </si>
  <si>
    <t>EFF</t>
  </si>
  <si>
    <t>*GROWTH_TIDr</t>
  </si>
  <si>
    <t>*GROWTHr~2010</t>
  </si>
  <si>
    <t>*GROWTHr~2015-2020</t>
  </si>
  <si>
    <t>*GROWTHr~2025-2055</t>
  </si>
  <si>
    <t>*DECAYr~2010</t>
  </si>
  <si>
    <t>*DECAYr~2015-2055</t>
  </si>
  <si>
    <t>AFA</t>
  </si>
  <si>
    <t>ENV_ACT~CO2~2010</t>
  </si>
  <si>
    <t>ENV_ACT~CO2~2015-2055</t>
  </si>
  <si>
    <t>ENV_ACT~VOC~2010</t>
  </si>
  <si>
    <t>ENV_ACT~VOC~2015</t>
  </si>
  <si>
    <t>ENV_ACT~VOC~2020-2055</t>
  </si>
  <si>
    <t>ENV_ACT~CO~2010</t>
  </si>
  <si>
    <t>ENV_ACT~CO~2015</t>
  </si>
  <si>
    <t>ENV_ACT~CO~2020-2055</t>
  </si>
  <si>
    <t>ENV_ACT~NOX~2010</t>
  </si>
  <si>
    <t>ENV_ACT~NOX~2015</t>
  </si>
  <si>
    <t>ENV_ACT~NOX~2020-2055</t>
  </si>
  <si>
    <t>ENV_ACT~PM10~2010</t>
  </si>
  <si>
    <t>ENV_ACT~PM10~2015</t>
  </si>
  <si>
    <t>ENV_ACT~PM10~2020-2055</t>
  </si>
  <si>
    <t>ENV_ACT~PM25~2010</t>
  </si>
  <si>
    <t>ENV_ACT~PM25~2015</t>
  </si>
  <si>
    <t>ENV_ACT~PM25~2020-2055</t>
  </si>
  <si>
    <t>ENV_ACT~SO2~2010</t>
  </si>
  <si>
    <t>ENV_ACT~SO2~2015</t>
  </si>
  <si>
    <t>ENV_ACT~SO2~2020-2055</t>
  </si>
  <si>
    <t>ENV_ACT~CH4~2010-2015</t>
  </si>
  <si>
    <t>ENV_ACT~CH4~2015</t>
  </si>
  <si>
    <t>ENV_ACT~CH4~2020-2055</t>
  </si>
  <si>
    <t>ENV_ACT~N2O~2010</t>
  </si>
  <si>
    <t>ENV_ACT~N2O~2015</t>
  </si>
  <si>
    <t>ENV_ACT~N2O~2020-2055</t>
  </si>
  <si>
    <t>ENV_ACT~OC~2010</t>
  </si>
  <si>
    <t>ENV_ACT~OC~2015</t>
  </si>
  <si>
    <t>ENV_ACT~OC~2020-2055</t>
  </si>
  <si>
    <t>ENV_ACT~BC~2010</t>
  </si>
  <si>
    <t>ENV_ACT~BC~2015</t>
  </si>
  <si>
    <t>ENV_ACT~BC~2020-2055</t>
  </si>
  <si>
    <t>*Minning Natural gas</t>
  </si>
  <si>
    <t>*Extraction Natural gas</t>
  </si>
  <si>
    <t>NCAP_COST</t>
  </si>
  <si>
    <t>Share~UP</t>
  </si>
  <si>
    <t>New Infrastructure for Import LNG to Existing terminal in R4 - Manhattan</t>
  </si>
  <si>
    <t>NCAP_FOM</t>
  </si>
  <si>
    <t>ACT_COST</t>
  </si>
  <si>
    <t>*R1,R2,R3,R4,R5,R7</t>
  </si>
  <si>
    <t>*R1,R2,R3,R4,R5,R8</t>
  </si>
  <si>
    <t>*R1,R2,R3,R4,R5,R9</t>
  </si>
  <si>
    <t>*R1,R2,R3,R4,R5,R10</t>
  </si>
  <si>
    <t>*R1,R2,R3,R4,R5,R11</t>
  </si>
  <si>
    <t>*R1,R2,R3,R4,R5,R12</t>
  </si>
  <si>
    <t>*R1,R2,R3,R4,R5,R13</t>
  </si>
  <si>
    <t>ACT_BND~LO~2010</t>
  </si>
  <si>
    <t>ACT_BND~UP~2010</t>
  </si>
  <si>
    <t>ACT_BND~UP~2015</t>
  </si>
  <si>
    <t>ACT_BND~UP~2020</t>
  </si>
  <si>
    <t>ACT_BND~UP~2055</t>
  </si>
  <si>
    <t>ACT_BND~FX~2010</t>
  </si>
  <si>
    <t>ACT_BND~FX~2015</t>
  </si>
  <si>
    <t>ACT_BND~FX~2020</t>
  </si>
  <si>
    <t>ACT_BND~FX~2025</t>
  </si>
  <si>
    <t>ACT_BND~FX~2030</t>
  </si>
  <si>
    <t>ACT_BND~FX~2035</t>
  </si>
  <si>
    <t>ACT_BND~FX~2040</t>
  </si>
  <si>
    <t>ACT_BND~FX~2045</t>
  </si>
  <si>
    <t>ACT_BND~FX~2050</t>
  </si>
  <si>
    <t>ACT_BND~FX~2055</t>
  </si>
  <si>
    <t>LO</t>
  </si>
  <si>
    <t>Maximum capacity technology growth:</t>
  </si>
  <si>
    <t>~UC_Sets: R_E: R0</t>
  </si>
  <si>
    <t>~UC_Sets: T_SUC:</t>
  </si>
  <si>
    <t>~UC_T</t>
  </si>
  <si>
    <t>UC_N</t>
  </si>
  <si>
    <t>Pset_PN</t>
  </si>
  <si>
    <t>Pset_CI</t>
  </si>
  <si>
    <t>Pset_CO</t>
  </si>
  <si>
    <t>UC_ATTR</t>
  </si>
  <si>
    <t>UC_CAP~2010</t>
  </si>
  <si>
    <t>UC_CAP~2015</t>
  </si>
  <si>
    <t>UC_CAP~2020</t>
  </si>
  <si>
    <t>UC_CAP~2025</t>
  </si>
  <si>
    <t>UC_CAP~2030</t>
  </si>
  <si>
    <t>UC_CAP~2035</t>
  </si>
  <si>
    <t>UC_CAP~2040</t>
  </si>
  <si>
    <t>UC_CAP~2045</t>
  </si>
  <si>
    <t>UC_CAP~2050</t>
  </si>
  <si>
    <t>UC_CAP~2055</t>
  </si>
  <si>
    <t>UC_CAP~RHS</t>
  </si>
  <si>
    <t>UC_RHSRTS</t>
  </si>
  <si>
    <t>UC_RHSRTS~0</t>
  </si>
  <si>
    <t>UC_Desc</t>
  </si>
  <si>
    <t>CAP, GROWTH</t>
  </si>
  <si>
    <t>UP</t>
  </si>
  <si>
    <t>~UC_Sets: R_E: R1</t>
  </si>
  <si>
    <t>UC_GrowthOfNGAR1UP1</t>
  </si>
  <si>
    <t>UC_GrowthOfNGAR1UP2</t>
  </si>
  <si>
    <t>UC_GrowthOfNGAR1UP3</t>
  </si>
  <si>
    <t>UC_GrowthOfNGAR1UP4</t>
  </si>
  <si>
    <t>UC_GrowthOfNGAR1UP5</t>
  </si>
  <si>
    <t>UC_GrowthOfNGAR1UP6</t>
  </si>
  <si>
    <t>UC_GrowthOfNGAR1LO1</t>
  </si>
  <si>
    <t>UC_GrowthOfNGAR1LO2</t>
  </si>
  <si>
    <t>UC_GrowthOfNGAR1LO3</t>
  </si>
  <si>
    <t>UC_GrowthOfNGAR1LO4</t>
  </si>
  <si>
    <t>UC_GrowthOfNGAR1LO5</t>
  </si>
  <si>
    <t>UC_GrowthOfNGAR1LO6</t>
  </si>
  <si>
    <t>~UC_Sets: R_E: R2</t>
  </si>
  <si>
    <t>UC_GrowthOfNGAR2UP1</t>
  </si>
  <si>
    <t>UC_GrowthOfNGAR2UP2</t>
  </si>
  <si>
    <t>UC_GrowthOfNGAR2UP3</t>
  </si>
  <si>
    <t>UC_GrowthOfNGAR2UP4</t>
  </si>
  <si>
    <t>UC_GrowthOfNGAR2UP5</t>
  </si>
  <si>
    <t>UC_GrowthOfNGAR2UP6</t>
  </si>
  <si>
    <t>UC_GrowthOfNGAR2LO1</t>
  </si>
  <si>
    <t>UC_GrowthOfNGAR2LO2</t>
  </si>
  <si>
    <t>UC_GrowthOfNGAR2LO3</t>
  </si>
  <si>
    <t>UC_GrowthOfNGAR2LO4</t>
  </si>
  <si>
    <t>UC_GrowthOfNGAR2LO5</t>
  </si>
  <si>
    <t>UC_GrowthOfNGAR2LO6</t>
  </si>
  <si>
    <t>~UC_Sets: R_E: R3</t>
  </si>
  <si>
    <t>UC_GrowthOfNGAR3UP1</t>
  </si>
  <si>
    <t>UC_GrowthOfNGAR3UP2</t>
  </si>
  <si>
    <t>UC_GrowthOfNGAR3UP3</t>
  </si>
  <si>
    <t>UC_GrowthOfNGAR3UP4</t>
  </si>
  <si>
    <t>UC_GrowthOfNGAR3UP5</t>
  </si>
  <si>
    <t>UC_GrowthOfNGAR3UP6</t>
  </si>
  <si>
    <t>UC_GrowthOfNGAR3LO1</t>
  </si>
  <si>
    <t>UC_GrowthOfNGAR3LO2</t>
  </si>
  <si>
    <t>UC_GrowthOfNGAR3LO3</t>
  </si>
  <si>
    <t>UC_GrowthOfNGAR3LO4</t>
  </si>
  <si>
    <t>UC_GrowthOfNGAR3LO5</t>
  </si>
  <si>
    <t>UC_GrowthOfNGAR3LO6</t>
  </si>
  <si>
    <t>~UC_Sets: R_E: R4</t>
  </si>
  <si>
    <t>UC_GrowthOfNGAR4UP1</t>
  </si>
  <si>
    <t>UC_GrowthOfNGAR4UP2</t>
  </si>
  <si>
    <t>UC_GrowthOfNGAR4UP3</t>
  </si>
  <si>
    <t>UC_GrowthOfNGAR4UP4</t>
  </si>
  <si>
    <t>UC_GrowthOfNGAR4UP5</t>
  </si>
  <si>
    <t>UC_GrowthOfNGAR4UP6</t>
  </si>
  <si>
    <t>UC_GrowthOfNGAR4LO1</t>
  </si>
  <si>
    <t>UC_GrowthOfNGAR4LO2</t>
  </si>
  <si>
    <t>UC_GrowthOfNGAR4LO3</t>
  </si>
  <si>
    <t>UC_GrowthOfNGAR4LO4</t>
  </si>
  <si>
    <t>UC_GrowthOfNGAR4LO5</t>
  </si>
  <si>
    <t>UC_GrowthOfNGAR4LO6</t>
  </si>
  <si>
    <t>~UC_Sets: R_E: R5</t>
  </si>
  <si>
    <t>UC_GrowthOfNGAR5UP1</t>
  </si>
  <si>
    <t>UC_GrowthOfNGAR5UP2</t>
  </si>
  <si>
    <t>UC_GrowthOfNGAR5UP3</t>
  </si>
  <si>
    <t>UC_GrowthOfNGAR5UP4</t>
  </si>
  <si>
    <t>UC_GrowthOfNGAR5UP5</t>
  </si>
  <si>
    <t>UC_GrowthOfNGAR5UP6</t>
  </si>
  <si>
    <t>UC_GrowthOfNGAR5LO1</t>
  </si>
  <si>
    <t>UC_GrowthOfNGAR5LO2</t>
  </si>
  <si>
    <t>UC_GrowthOfNGAR5LO3</t>
  </si>
  <si>
    <t>UC_GrowthOfNGAR5LO4</t>
  </si>
  <si>
    <t>UC_GrowthOfNGAR5LO5</t>
  </si>
  <si>
    <t>UC_GrowthOfNGAR5LO6</t>
  </si>
  <si>
    <t>UC_GrowthOfNGAR0UP1</t>
  </si>
  <si>
    <t>UC_GrowthOfNGAR0UP2</t>
  </si>
  <si>
    <t>UC_GrowthOfNGAR0UP3</t>
  </si>
  <si>
    <t>UC_GrowthOfNGAR0UP4</t>
  </si>
  <si>
    <t>UC_GrowthOfNGAR0UP5</t>
  </si>
  <si>
    <t>UC_GrowthOfNGAR0UP6</t>
  </si>
  <si>
    <t>UC_GrowthOfNGAR0LO1</t>
  </si>
  <si>
    <t>UC_GrowthOfNGAR0LO2</t>
  </si>
  <si>
    <t>UC_GrowthOfNGAR0LO3</t>
  </si>
  <si>
    <t>UC_GrowthOfNGAR0LO4</t>
  </si>
  <si>
    <t>UC_GrowthOfNGAR0LO5</t>
  </si>
  <si>
    <t>UC_GrowthOfNGAR0LO6</t>
  </si>
  <si>
    <t>Pset_PD</t>
  </si>
  <si>
    <t>Cset_CN</t>
  </si>
  <si>
    <t>~UC_T:</t>
  </si>
  <si>
    <t>UC_NGA_CAN</t>
  </si>
  <si>
    <t>SCIMPNGA*</t>
  </si>
  <si>
    <t>UC_FLO~2010</t>
  </si>
  <si>
    <t>UC_FLO~2055</t>
  </si>
  <si>
    <t>SCNGAC*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</si>
</sst>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7" formatCode="0.0"/>
    <numFmt numFmtId="168" formatCode="0.000"/>
    <numFmt numFmtId="169" formatCode="0.0000"/>
    <numFmt numFmtId="170" formatCode="0.00000"/>
    <numFmt numFmtId="171" formatCode="0.0%"/>
    <numFmt numFmtId="172" formatCode="0.00_)"/>
    <numFmt numFmtId="173" formatCode="_(* #,##0_);_(* \(#,##0\);_(* &quot;-&quot;??_);_(@_)"/>
    <numFmt numFmtId="175" formatCode="m\o\n\th\ d\,\ yyyy"/>
    <numFmt numFmtId="176" formatCode="#.00"/>
    <numFmt numFmtId="177" formatCode="#."/>
    <numFmt numFmtId="178" formatCode="yyyy"/>
    <numFmt numFmtId="180" formatCode="0.000000"/>
    <numFmt numFmtId="181" formatCode="\Te\x\t"/>
  </numFmts>
  <fonts count="70"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Arial"/>
      <family val="2"/>
    </font>
    <font>
      <b/>
      <sz val="10"/>
      <name val="Arial"/>
      <family val="2"/>
    </font>
    <font>
      <sz val="10"/>
      <name val="Arial"/>
      <family val="2"/>
    </font>
    <font>
      <sz val="10"/>
      <color indexed="8"/>
      <name val="Arial"/>
      <family val="2"/>
    </font>
    <font>
      <b/>
      <sz val="10"/>
      <color indexed="8"/>
      <name val="Arial"/>
      <family val="2"/>
    </font>
    <font>
      <sz val="10"/>
      <color indexed="10"/>
      <name val="Arial"/>
      <family val="2"/>
    </font>
    <font>
      <sz val="10"/>
      <color indexed="12"/>
      <name val="Arial"/>
      <family val="2"/>
    </font>
    <font>
      <b/>
      <sz val="10"/>
      <color indexed="12"/>
      <name val="Arial"/>
      <family val="2"/>
    </font>
    <font>
      <b/>
      <sz val="10"/>
      <color indexed="11"/>
      <name val="Arial"/>
      <family val="2"/>
    </font>
    <font>
      <sz val="8"/>
      <name val="Arial"/>
      <family val="2"/>
    </font>
    <font>
      <sz val="8"/>
      <color indexed="81"/>
      <name val="Tahoma"/>
      <family val="2"/>
    </font>
    <font>
      <sz val="1"/>
      <color indexed="8"/>
      <name val="Courier"/>
      <family val="3"/>
    </font>
    <font>
      <b/>
      <sz val="1"/>
      <color indexed="8"/>
      <name val="Courier"/>
      <family val="3"/>
    </font>
    <font>
      <sz val="10"/>
      <color indexed="8"/>
      <name val="Arial"/>
      <family val="2"/>
    </font>
    <font>
      <b/>
      <sz val="10"/>
      <name val="Arial"/>
      <family val="2"/>
    </font>
    <font>
      <sz val="8"/>
      <name val="Arial"/>
      <family val="2"/>
    </font>
    <font>
      <sz val="11"/>
      <color theme="1"/>
      <name val="Calibri"/>
      <family val="2"/>
      <scheme val="minor"/>
    </font>
    <font>
      <b/>
      <sz val="11"/>
      <color theme="1"/>
      <name val="Calibri"/>
      <family val="2"/>
      <scheme val="minor"/>
    </font>
    <font>
      <sz val="10"/>
      <name val="Arial"/>
      <family val="2"/>
    </font>
    <font>
      <u/>
      <sz val="10"/>
      <color theme="10"/>
      <name val="Arial"/>
      <family val="2"/>
    </font>
    <font>
      <sz val="10"/>
      <color indexed="9"/>
      <name val="Arial"/>
      <family val="2"/>
    </font>
    <font>
      <sz val="10"/>
      <color indexed="63"/>
      <name val="Arial"/>
      <family val="2"/>
    </font>
    <font>
      <b/>
      <sz val="8"/>
      <color indexed="81"/>
      <name val="Tahoma"/>
      <family val="2"/>
    </font>
    <font>
      <sz val="10"/>
      <color rgb="FFFF0000"/>
      <name val="Arial"/>
      <family val="2"/>
    </font>
    <font>
      <b/>
      <sz val="10"/>
      <color rgb="FFFF0000"/>
      <name val="Arial"/>
      <family val="2"/>
    </font>
    <font>
      <b/>
      <sz val="12"/>
      <color indexed="18"/>
      <name val="Arial"/>
      <family val="2"/>
    </font>
    <font>
      <b/>
      <sz val="9"/>
      <name val="Arial"/>
      <family val="2"/>
    </font>
    <font>
      <sz val="9"/>
      <name val="Arial"/>
      <family val="2"/>
    </font>
    <font>
      <sz val="11"/>
      <name val="Calibri"/>
      <family val="2"/>
      <scheme val="minor"/>
    </font>
    <font>
      <sz val="10"/>
      <color theme="1"/>
      <name val="Arial"/>
      <family val="2"/>
    </font>
    <font>
      <b/>
      <sz val="10"/>
      <color theme="1"/>
      <name val="Arial"/>
      <family val="2"/>
    </font>
    <font>
      <b/>
      <sz val="13.5"/>
      <name val="Calibri"/>
      <family val="2"/>
      <scheme val="minor"/>
    </font>
    <font>
      <b/>
      <sz val="11"/>
      <name val="Calibri"/>
      <family val="2"/>
      <scheme val="minor"/>
    </font>
    <font>
      <vertAlign val="superscript"/>
      <sz val="10"/>
      <color theme="1"/>
      <name val="Arial"/>
      <family val="2"/>
    </font>
    <font>
      <b/>
      <sz val="10"/>
      <color rgb="FF000000"/>
      <name val="Arial"/>
      <family val="2"/>
    </font>
    <font>
      <b/>
      <vertAlign val="subscript"/>
      <sz val="10"/>
      <color theme="1"/>
      <name val="Arial"/>
      <family val="2"/>
    </font>
    <font>
      <b/>
      <vertAlign val="superscript"/>
      <sz val="10"/>
      <color theme="1"/>
      <name val="Arial"/>
      <family val="2"/>
    </font>
    <font>
      <sz val="10"/>
      <color rgb="FF000000"/>
      <name val="Arial"/>
      <family val="2"/>
    </font>
    <font>
      <b/>
      <sz val="10"/>
      <color indexed="18"/>
      <name val="Arial"/>
      <family val="2"/>
    </font>
    <font>
      <b/>
      <i/>
      <sz val="10"/>
      <color indexed="10"/>
      <name val="Arial"/>
      <family val="2"/>
    </font>
    <font>
      <b/>
      <sz val="9"/>
      <color indexed="12"/>
      <name val="Arial"/>
      <family val="2"/>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8"/>
      <name val="Helv"/>
    </font>
    <font>
      <sz val="9"/>
      <name val="Helv"/>
    </font>
    <font>
      <b/>
      <sz val="12"/>
      <name val="Helv"/>
    </font>
    <font>
      <vertAlign val="superscript"/>
      <sz val="12"/>
      <name val="Helv"/>
    </font>
    <font>
      <b/>
      <sz val="18"/>
      <color theme="3"/>
      <name val="Cambria"/>
      <family val="2"/>
      <scheme val="major"/>
    </font>
    <font>
      <sz val="11"/>
      <color rgb="FF9C6500"/>
      <name val="Calibri"/>
      <family val="2"/>
      <scheme val="minor"/>
    </font>
    <font>
      <b/>
      <sz val="12"/>
      <color theme="4"/>
      <name val="Calibri"/>
      <family val="2"/>
      <scheme val="minor"/>
    </font>
    <font>
      <b/>
      <sz val="9"/>
      <color theme="1"/>
      <name val="Calibri"/>
      <family val="2"/>
      <scheme val="minor"/>
    </font>
    <font>
      <sz val="9"/>
      <color theme="1"/>
      <name val="Calibri"/>
      <family val="2"/>
      <scheme val="minor"/>
    </font>
    <font>
      <b/>
      <sz val="9"/>
      <color rgb="FF0000FF"/>
      <name val="Arial"/>
      <family val="2"/>
    </font>
    <font>
      <b/>
      <sz val="10"/>
      <color rgb="FF0033CC"/>
      <name val="Arial"/>
      <family val="2"/>
    </font>
  </fonts>
  <fills count="45">
    <fill>
      <patternFill patternType="none"/>
    </fill>
    <fill>
      <patternFill patternType="gray125"/>
    </fill>
    <fill>
      <patternFill patternType="solid">
        <fgColor indexed="9"/>
        <bgColor indexed="64"/>
      </patternFill>
    </fill>
    <fill>
      <patternFill patternType="solid">
        <fgColor theme="0"/>
        <bgColor indexed="64"/>
      </patternFill>
    </fill>
    <fill>
      <patternFill patternType="solid">
        <fgColor theme="0"/>
        <bgColor indexed="9"/>
      </patternFill>
    </fill>
    <fill>
      <patternFill patternType="solid">
        <fgColor theme="0" tint="-0.14999847407452621"/>
        <bgColor indexed="64"/>
      </patternFill>
    </fill>
    <fill>
      <patternFill patternType="solid">
        <fgColor rgb="FFFF0000"/>
        <bgColor indexed="64"/>
      </patternFill>
    </fill>
    <fill>
      <patternFill patternType="solid">
        <fgColor rgb="FFFFFF99"/>
        <bgColor indexed="64"/>
      </patternFill>
    </fill>
    <fill>
      <patternFill patternType="solid">
        <fgColor indexed="43"/>
        <bgColor indexed="64"/>
      </patternFill>
    </fill>
    <fill>
      <patternFill patternType="solid">
        <fgColor rgb="FFFFFFCC"/>
        <bgColor indexed="64"/>
      </patternFill>
    </fill>
    <fill>
      <patternFill patternType="solid">
        <fgColor rgb="FF92D050"/>
        <bgColor indexed="64"/>
      </patternFill>
    </fill>
    <fill>
      <patternFill patternType="solid">
        <fgColor theme="8" tint="0.39997558519241921"/>
        <bgColor indexed="64"/>
      </patternFill>
    </fill>
    <fill>
      <patternFill patternType="solid">
        <fgColor theme="5" tint="0.59999389629810485"/>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8">
    <border>
      <left/>
      <right/>
      <top/>
      <bottom/>
      <diagonal/>
    </border>
    <border>
      <left/>
      <right/>
      <top style="thin">
        <color indexed="64"/>
      </top>
      <bottom style="double">
        <color indexed="64"/>
      </bottom>
      <diagonal/>
    </border>
    <border>
      <left/>
      <right/>
      <top style="thin">
        <color indexed="64"/>
      </top>
      <bottom/>
      <diagonal/>
    </border>
    <border>
      <left/>
      <right/>
      <top/>
      <bottom style="thick">
        <color theme="4"/>
      </bottom>
      <diagonal/>
    </border>
    <border>
      <left/>
      <right/>
      <top/>
      <bottom style="dashed">
        <color theme="0" tint="-0.24994659260841701"/>
      </bottom>
      <diagonal/>
    </border>
    <border>
      <left/>
      <right/>
      <top/>
      <bottom style="thin">
        <color theme="0" tint="-0.24994659260841701"/>
      </bottom>
      <diagonal/>
    </border>
    <border>
      <left/>
      <right/>
      <top style="thin">
        <color indexed="64"/>
      </top>
      <bottom style="thin">
        <color indexed="64"/>
      </bottom>
      <diagonal/>
    </border>
    <border>
      <left/>
      <right/>
      <top style="thin">
        <color indexed="64"/>
      </top>
      <bottom style="medium">
        <color indexed="6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thin">
        <color indexed="22"/>
      </bottom>
      <diagonal/>
    </border>
    <border>
      <left/>
      <right/>
      <top style="thin">
        <color theme="4"/>
      </top>
      <bottom style="double">
        <color theme="4"/>
      </bottom>
      <diagonal/>
    </border>
    <border>
      <left/>
      <right/>
      <top/>
      <bottom style="thin">
        <color theme="0" tint="-0.249977111117893"/>
      </bottom>
      <diagonal/>
    </border>
  </borders>
  <cellStyleXfs count="152">
    <xf numFmtId="0" fontId="0" fillId="0" borderId="0"/>
    <xf numFmtId="43"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165" fontId="7" fillId="0" borderId="0" applyFont="0" applyFill="0" applyBorder="0" applyAlignment="0" applyProtection="0"/>
    <xf numFmtId="44" fontId="7" fillId="0" borderId="0" applyFont="0" applyFill="0" applyBorder="0" applyAlignment="0" applyProtection="0"/>
    <xf numFmtId="164" fontId="7" fillId="0" borderId="0" applyFont="0" applyFill="0" applyBorder="0" applyAlignment="0" applyProtection="0"/>
    <xf numFmtId="175" fontId="16" fillId="0" borderId="0">
      <protection locked="0"/>
    </xf>
    <xf numFmtId="176" fontId="16" fillId="0" borderId="0">
      <protection locked="0"/>
    </xf>
    <xf numFmtId="177" fontId="17" fillId="0" borderId="0">
      <protection locked="0"/>
    </xf>
    <xf numFmtId="177" fontId="17" fillId="0" borderId="0">
      <protection locked="0"/>
    </xf>
    <xf numFmtId="0" fontId="5" fillId="0" borderId="0" applyNumberFormat="0" applyFill="0" applyBorder="0" applyAlignment="0" applyProtection="0">
      <alignment vertical="top"/>
      <protection locked="0"/>
    </xf>
    <xf numFmtId="0" fontId="7" fillId="0" borderId="0"/>
    <xf numFmtId="0" fontId="21" fillId="0" borderId="0"/>
    <xf numFmtId="0" fontId="7" fillId="0" borderId="0"/>
    <xf numFmtId="0" fontId="18" fillId="0" borderId="0"/>
    <xf numFmtId="0" fontId="4" fillId="0" borderId="0"/>
    <xf numFmtId="0" fontId="4" fillId="0" borderId="0"/>
    <xf numFmtId="0" fontId="18" fillId="0" borderId="0"/>
    <xf numFmtId="0" fontId="7" fillId="0" borderId="0"/>
    <xf numFmtId="9" fontId="4"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178" fontId="4" fillId="0" borderId="0" applyFill="0" applyBorder="0" applyAlignment="0" applyProtection="0">
      <alignment wrapText="1"/>
    </xf>
    <xf numFmtId="178" fontId="7" fillId="0" borderId="0" applyFill="0" applyBorder="0" applyAlignment="0" applyProtection="0">
      <alignment wrapText="1"/>
    </xf>
    <xf numFmtId="178" fontId="7" fillId="0" borderId="0" applyFill="0" applyBorder="0" applyAlignment="0" applyProtection="0">
      <alignment wrapText="1"/>
    </xf>
    <xf numFmtId="178" fontId="7" fillId="0" borderId="0" applyFill="0" applyBorder="0" applyAlignment="0" applyProtection="0">
      <alignment wrapText="1"/>
    </xf>
    <xf numFmtId="0" fontId="19" fillId="0" borderId="0" applyNumberFormat="0" applyFill="0" applyBorder="0">
      <alignment horizontal="center" wrapText="1"/>
    </xf>
    <xf numFmtId="0" fontId="6" fillId="0" borderId="0" applyNumberFormat="0" applyFill="0" applyBorder="0">
      <alignment horizontal="center" wrapText="1"/>
    </xf>
    <xf numFmtId="0" fontId="19" fillId="0" borderId="0" applyNumberFormat="0" applyFill="0" applyBorder="0">
      <alignment horizontal="center" wrapText="1"/>
    </xf>
    <xf numFmtId="0" fontId="6" fillId="0" borderId="0" applyNumberFormat="0" applyFill="0" applyBorder="0">
      <alignment horizontal="center" wrapText="1"/>
    </xf>
    <xf numFmtId="177" fontId="16" fillId="0" borderId="1">
      <protection locked="0"/>
    </xf>
    <xf numFmtId="0" fontId="7" fillId="0" borderId="0"/>
    <xf numFmtId="9" fontId="7" fillId="0" borderId="0" applyFont="0" applyFill="0" applyBorder="0" applyAlignment="0" applyProtection="0"/>
    <xf numFmtId="43" fontId="7" fillId="0" borderId="0" applyFont="0" applyFill="0" applyBorder="0" applyAlignment="0" applyProtection="0"/>
    <xf numFmtId="43" fontId="23" fillId="0" borderId="0" applyFont="0" applyFill="0" applyBorder="0" applyAlignment="0" applyProtection="0"/>
    <xf numFmtId="0" fontId="22" fillId="0" borderId="3" applyNumberFormat="0" applyProtection="0">
      <alignment wrapText="1"/>
    </xf>
    <xf numFmtId="0" fontId="3" fillId="0" borderId="4" applyNumberFormat="0" applyProtection="0">
      <alignment vertical="top"/>
    </xf>
    <xf numFmtId="0" fontId="22" fillId="0" borderId="5" applyNumberFormat="0" applyFill="0" applyProtection="0">
      <alignment wrapText="1"/>
    </xf>
    <xf numFmtId="0" fontId="4" fillId="0" borderId="0"/>
    <xf numFmtId="0" fontId="4" fillId="0" borderId="0"/>
    <xf numFmtId="9" fontId="4" fillId="0" borderId="0" applyFont="0" applyFill="0" applyBorder="0" applyAlignment="0" applyProtection="0"/>
    <xf numFmtId="0" fontId="4" fillId="0" borderId="0"/>
    <xf numFmtId="0" fontId="4" fillId="0" borderId="0"/>
    <xf numFmtId="0" fontId="46" fillId="0" borderId="3" applyNumberFormat="0" applyFill="0" applyAlignment="0" applyProtection="0"/>
    <xf numFmtId="0" fontId="47" fillId="0" borderId="8" applyNumberFormat="0" applyFill="0" applyAlignment="0" applyProtection="0"/>
    <xf numFmtId="0" fontId="48" fillId="0" borderId="9" applyNumberFormat="0" applyFill="0" applyAlignment="0" applyProtection="0"/>
    <xf numFmtId="0" fontId="48" fillId="0" borderId="0" applyNumberFormat="0" applyFill="0" applyBorder="0" applyAlignment="0" applyProtection="0"/>
    <xf numFmtId="0" fontId="49" fillId="14" borderId="0" applyNumberFormat="0" applyBorder="0" applyAlignment="0" applyProtection="0"/>
    <xf numFmtId="0" fontId="50" fillId="15" borderId="0" applyNumberFormat="0" applyBorder="0" applyAlignment="0" applyProtection="0"/>
    <xf numFmtId="0" fontId="51" fillId="17" borderId="10" applyNumberFormat="0" applyAlignment="0" applyProtection="0"/>
    <xf numFmtId="0" fontId="52" fillId="18" borderId="11" applyNumberFormat="0" applyAlignment="0" applyProtection="0"/>
    <xf numFmtId="0" fontId="53" fillId="18" borderId="10" applyNumberFormat="0" applyAlignment="0" applyProtection="0"/>
    <xf numFmtId="0" fontId="54" fillId="0" borderId="12" applyNumberFormat="0" applyFill="0" applyAlignment="0" applyProtection="0"/>
    <xf numFmtId="0" fontId="55" fillId="19" borderId="13" applyNumberFormat="0" applyAlignment="0" applyProtection="0"/>
    <xf numFmtId="0" fontId="56" fillId="0" borderId="0" applyNumberFormat="0" applyFill="0" applyBorder="0" applyAlignment="0" applyProtection="0"/>
    <xf numFmtId="0" fontId="57" fillId="0" borderId="0" applyNumberFormat="0" applyFill="0" applyBorder="0" applyAlignment="0" applyProtection="0"/>
    <xf numFmtId="0" fontId="5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5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5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58"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58" fillId="37" borderId="0" applyNumberFormat="0" applyBorder="0" applyAlignment="0" applyProtection="0"/>
    <xf numFmtId="0" fontId="2" fillId="38" borderId="0" applyNumberFormat="0" applyBorder="0" applyAlignment="0" applyProtection="0"/>
    <xf numFmtId="0" fontId="2" fillId="39" borderId="0" applyNumberFormat="0" applyBorder="0" applyAlignment="0" applyProtection="0"/>
    <xf numFmtId="0" fontId="58" fillId="41" borderId="0" applyNumberFormat="0" applyBorder="0" applyAlignment="0" applyProtection="0"/>
    <xf numFmtId="0" fontId="2" fillId="42" borderId="0" applyNumberFormat="0" applyBorder="0" applyAlignment="0" applyProtection="0"/>
    <xf numFmtId="0" fontId="2" fillId="43" borderId="0" applyNumberFormat="0" applyBorder="0" applyAlignment="0" applyProtection="0"/>
    <xf numFmtId="165" fontId="4" fillId="0" borderId="0" applyFont="0" applyFill="0" applyBorder="0" applyAlignment="0" applyProtection="0"/>
    <xf numFmtId="43" fontId="4" fillId="0" borderId="0" applyFont="0" applyFill="0" applyBorder="0" applyAlignment="0" applyProtection="0"/>
    <xf numFmtId="3" fontId="60" fillId="0" borderId="15" applyAlignment="0">
      <alignment horizontal="right" vertical="center"/>
    </xf>
    <xf numFmtId="0" fontId="4" fillId="0" borderId="0"/>
    <xf numFmtId="0" fontId="62" fillId="0" borderId="0">
      <alignment horizontal="right"/>
    </xf>
    <xf numFmtId="0" fontId="59" fillId="0" borderId="0">
      <alignment horizontal="left"/>
    </xf>
    <xf numFmtId="0" fontId="61" fillId="0" borderId="0">
      <alignment horizontal="left"/>
    </xf>
    <xf numFmtId="0" fontId="4" fillId="0" borderId="0"/>
    <xf numFmtId="0" fontId="2" fillId="0" borderId="0"/>
    <xf numFmtId="0" fontId="22" fillId="0" borderId="16" applyNumberFormat="0" applyFill="0" applyAlignment="0" applyProtection="0"/>
    <xf numFmtId="43" fontId="4" fillId="0" borderId="0" applyFont="0" applyFill="0" applyBorder="0" applyAlignment="0" applyProtection="0"/>
    <xf numFmtId="44" fontId="4" fillId="0" borderId="0" applyFont="0" applyFill="0" applyBorder="0" applyAlignment="0" applyProtection="0"/>
    <xf numFmtId="0" fontId="2" fillId="0" borderId="0"/>
    <xf numFmtId="0" fontId="63" fillId="0" borderId="0" applyNumberFormat="0" applyFill="0" applyBorder="0" applyAlignment="0" applyProtection="0"/>
    <xf numFmtId="0" fontId="64" fillId="16" borderId="0" applyNumberFormat="0" applyBorder="0" applyAlignment="0" applyProtection="0"/>
    <xf numFmtId="0" fontId="58" fillId="24" borderId="0" applyNumberFormat="0" applyBorder="0" applyAlignment="0" applyProtection="0"/>
    <xf numFmtId="0" fontId="58" fillId="28" borderId="0" applyNumberFormat="0" applyBorder="0" applyAlignment="0" applyProtection="0"/>
    <xf numFmtId="0" fontId="58" fillId="32" borderId="0" applyNumberFormat="0" applyBorder="0" applyAlignment="0" applyProtection="0"/>
    <xf numFmtId="0" fontId="58" fillId="36" borderId="0" applyNumberFormat="0" applyBorder="0" applyAlignment="0" applyProtection="0"/>
    <xf numFmtId="0" fontId="58" fillId="40" borderId="0" applyNumberFormat="0" applyBorder="0" applyAlignment="0" applyProtection="0"/>
    <xf numFmtId="0" fontId="58" fillId="44" borderId="0" applyNumberFormat="0" applyBorder="0" applyAlignment="0" applyProtection="0"/>
    <xf numFmtId="171" fontId="4" fillId="0" borderId="0" applyFont="0" applyFill="0" applyBorder="0" applyAlignment="0" applyProtection="0"/>
    <xf numFmtId="0" fontId="2" fillId="20" borderId="14" applyNumberFormat="0" applyFont="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0" fontId="2" fillId="20" borderId="14" applyNumberFormat="0" applyFont="0" applyAlignment="0" applyProtection="0"/>
    <xf numFmtId="171" fontId="4" fillId="0" borderId="0" applyFont="0" applyFill="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171" fontId="4" fillId="0" borderId="0" applyFont="0" applyFill="0" applyBorder="0" applyAlignment="0" applyProtection="0"/>
    <xf numFmtId="0" fontId="2" fillId="38" borderId="0" applyNumberFormat="0" applyBorder="0" applyAlignment="0" applyProtection="0"/>
    <xf numFmtId="0" fontId="2" fillId="39" borderId="0" applyNumberFormat="0" applyBorder="0" applyAlignment="0" applyProtection="0"/>
    <xf numFmtId="0" fontId="2" fillId="42" borderId="0" applyNumberFormat="0" applyBorder="0" applyAlignment="0" applyProtection="0"/>
    <xf numFmtId="0" fontId="2" fillId="43" borderId="0" applyNumberFormat="0" applyBorder="0" applyAlignment="0" applyProtection="0"/>
    <xf numFmtId="0" fontId="5" fillId="0" borderId="0" applyNumberForma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171" fontId="4" fillId="0" borderId="0" applyFont="0" applyFill="0" applyBorder="0" applyAlignment="0" applyProtection="0"/>
    <xf numFmtId="0" fontId="2" fillId="0" borderId="0"/>
    <xf numFmtId="165" fontId="4" fillId="0" borderId="0" applyFont="0" applyFill="0" applyBorder="0" applyAlignment="0" applyProtection="0"/>
    <xf numFmtId="0" fontId="2" fillId="0" borderId="0"/>
    <xf numFmtId="0" fontId="4" fillId="0" borderId="0"/>
    <xf numFmtId="0" fontId="24" fillId="0" borderId="0" applyNumberFormat="0" applyFill="0" applyBorder="0" applyAlignment="0" applyProtection="0">
      <alignment vertical="top"/>
      <protection locked="0"/>
    </xf>
    <xf numFmtId="0" fontId="2" fillId="0" borderId="0"/>
    <xf numFmtId="0" fontId="65" fillId="0" borderId="0" applyNumberFormat="0" applyProtection="0">
      <alignment horizontal="left"/>
    </xf>
    <xf numFmtId="0" fontId="66" fillId="0" borderId="3" applyNumberFormat="0" applyProtection="0">
      <alignment wrapText="1"/>
    </xf>
    <xf numFmtId="0" fontId="66" fillId="0" borderId="17" applyNumberFormat="0" applyProtection="0">
      <alignment wrapText="1"/>
    </xf>
    <xf numFmtId="0" fontId="67" fillId="0" borderId="4" applyNumberFormat="0" applyFont="0" applyProtection="0">
      <alignment wrapText="1"/>
    </xf>
    <xf numFmtId="0" fontId="2" fillId="0" borderId="0"/>
  </cellStyleXfs>
  <cellXfs count="225">
    <xf numFmtId="0" fontId="0" fillId="0" borderId="0" xfId="0"/>
    <xf numFmtId="0" fontId="6" fillId="0" borderId="0" xfId="0" applyFont="1"/>
    <xf numFmtId="0" fontId="7" fillId="0" borderId="0" xfId="0" applyFont="1"/>
    <xf numFmtId="0" fontId="8" fillId="0" borderId="0" xfId="0" applyFont="1"/>
    <xf numFmtId="0" fontId="9" fillId="0" borderId="0" xfId="0" applyFont="1"/>
    <xf numFmtId="0" fontId="0" fillId="2" borderId="0" xfId="0" applyFill="1"/>
    <xf numFmtId="0" fontId="10" fillId="0" borderId="0" xfId="0" applyFont="1"/>
    <xf numFmtId="49" fontId="8" fillId="0" borderId="0" xfId="0" applyNumberFormat="1" applyFont="1"/>
    <xf numFmtId="11" fontId="8" fillId="0" borderId="0" xfId="0" applyNumberFormat="1" applyFont="1"/>
    <xf numFmtId="0" fontId="11" fillId="0" borderId="0" xfId="0" applyFont="1"/>
    <xf numFmtId="0" fontId="12" fillId="0" borderId="0" xfId="0" applyFont="1"/>
    <xf numFmtId="49" fontId="11" fillId="0" borderId="0" xfId="0" applyNumberFormat="1" applyFont="1"/>
    <xf numFmtId="0" fontId="13" fillId="0" borderId="0" xfId="0" applyFont="1"/>
    <xf numFmtId="0" fontId="4" fillId="0" borderId="0" xfId="0" applyFont="1"/>
    <xf numFmtId="0" fontId="0" fillId="3" borderId="0" xfId="0" applyFill="1"/>
    <xf numFmtId="0" fontId="6" fillId="3" borderId="0" xfId="41" applyFont="1" applyFill="1"/>
    <xf numFmtId="0" fontId="4" fillId="3" borderId="0" xfId="41" applyFill="1"/>
    <xf numFmtId="0" fontId="0" fillId="3" borderId="0" xfId="0" applyFill="1" applyAlignment="1">
      <alignment horizontal="center" vertical="center"/>
    </xf>
    <xf numFmtId="0" fontId="4" fillId="3" borderId="0" xfId="0" applyFont="1" applyFill="1" applyAlignment="1">
      <alignment horizontal="center" vertical="center"/>
    </xf>
    <xf numFmtId="0" fontId="6" fillId="3" borderId="0" xfId="0" applyFont="1" applyFill="1"/>
    <xf numFmtId="0" fontId="4" fillId="3" borderId="0" xfId="0" applyFont="1" applyFill="1"/>
    <xf numFmtId="0" fontId="4" fillId="3" borderId="0" xfId="0" applyFont="1" applyFill="1" applyAlignment="1">
      <alignment horizontal="center" wrapText="1"/>
    </xf>
    <xf numFmtId="3" fontId="4" fillId="3" borderId="0" xfId="0" applyNumberFormat="1" applyFont="1" applyFill="1"/>
    <xf numFmtId="0" fontId="24" fillId="3" borderId="0" xfId="11" applyFont="1" applyFill="1" applyBorder="1" applyAlignment="1" applyProtection="1"/>
    <xf numFmtId="0" fontId="6" fillId="3" borderId="0" xfId="0" applyFont="1" applyFill="1" applyAlignment="1">
      <alignment horizontal="center" wrapText="1"/>
    </xf>
    <xf numFmtId="171" fontId="4" fillId="3" borderId="0" xfId="20" applyNumberFormat="1" applyFont="1" applyFill="1" applyBorder="1"/>
    <xf numFmtId="171" fontId="4" fillId="3" borderId="0" xfId="0" applyNumberFormat="1" applyFont="1" applyFill="1"/>
    <xf numFmtId="0" fontId="4" fillId="3" borderId="0" xfId="0" applyFont="1" applyFill="1" applyAlignment="1">
      <alignment horizontal="center"/>
    </xf>
    <xf numFmtId="0" fontId="6" fillId="3" borderId="0" xfId="0" applyFont="1" applyFill="1" applyAlignment="1">
      <alignment wrapText="1"/>
    </xf>
    <xf numFmtId="178" fontId="0" fillId="3" borderId="0" xfId="0" applyNumberFormat="1" applyFill="1"/>
    <xf numFmtId="168" fontId="4" fillId="3" borderId="0" xfId="0" applyNumberFormat="1" applyFont="1" applyFill="1"/>
    <xf numFmtId="0" fontId="4" fillId="3" borderId="0" xfId="0" applyFont="1" applyFill="1" applyAlignment="1">
      <alignment horizontal="left"/>
    </xf>
    <xf numFmtId="0" fontId="6" fillId="3" borderId="0" xfId="0" applyFont="1" applyFill="1" applyAlignment="1">
      <alignment horizontal="center"/>
    </xf>
    <xf numFmtId="2" fontId="4" fillId="3" borderId="0" xfId="0" applyNumberFormat="1" applyFont="1" applyFill="1"/>
    <xf numFmtId="0" fontId="36" fillId="3" borderId="0" xfId="0" applyFont="1" applyFill="1" applyAlignment="1">
      <alignment horizontal="left" vertical="center" wrapText="1"/>
    </xf>
    <xf numFmtId="2" fontId="4" fillId="3" borderId="0" xfId="0" applyNumberFormat="1" applyFont="1" applyFill="1" applyAlignment="1">
      <alignment wrapText="1"/>
    </xf>
    <xf numFmtId="0" fontId="4" fillId="3" borderId="0" xfId="0" applyFont="1" applyFill="1" applyAlignment="1">
      <alignment horizontal="right" wrapText="1"/>
    </xf>
    <xf numFmtId="0" fontId="37" fillId="3" borderId="0" xfId="0" applyFont="1" applyFill="1" applyAlignment="1">
      <alignment wrapText="1"/>
    </xf>
    <xf numFmtId="0" fontId="37" fillId="3" borderId="0" xfId="0" applyFont="1" applyFill="1" applyAlignment="1">
      <alignment horizontal="center" wrapText="1"/>
    </xf>
    <xf numFmtId="0" fontId="4" fillId="3" borderId="0" xfId="0" applyFont="1" applyFill="1" applyAlignment="1">
      <alignment wrapText="1"/>
    </xf>
    <xf numFmtId="2" fontId="37" fillId="3" borderId="0" xfId="0" applyNumberFormat="1" applyFont="1" applyFill="1" applyAlignment="1">
      <alignment wrapText="1"/>
    </xf>
    <xf numFmtId="172" fontId="4" fillId="3" borderId="0" xfId="0" applyNumberFormat="1" applyFont="1" applyFill="1"/>
    <xf numFmtId="168" fontId="4" fillId="3" borderId="0" xfId="0" applyNumberFormat="1" applyFont="1" applyFill="1" applyAlignment="1">
      <alignment horizontal="center"/>
    </xf>
    <xf numFmtId="0" fontId="35" fillId="3" borderId="0" xfId="0" applyFont="1" applyFill="1" applyAlignment="1">
      <alignment horizontal="left" vertical="center" wrapText="1"/>
    </xf>
    <xf numFmtId="0" fontId="35" fillId="3" borderId="0" xfId="0" applyFont="1" applyFill="1" applyAlignment="1">
      <alignment wrapText="1"/>
    </xf>
    <xf numFmtId="0" fontId="35" fillId="3" borderId="0" xfId="0" applyFont="1" applyFill="1" applyAlignment="1">
      <alignment horizontal="center" wrapText="1"/>
    </xf>
    <xf numFmtId="172" fontId="4" fillId="3" borderId="0" xfId="0" applyNumberFormat="1" applyFont="1" applyFill="1" applyAlignment="1">
      <alignment wrapText="1"/>
    </xf>
    <xf numFmtId="2" fontId="28" fillId="3" borderId="0" xfId="0" applyNumberFormat="1" applyFont="1" applyFill="1" applyAlignment="1">
      <alignment wrapText="1"/>
    </xf>
    <xf numFmtId="0" fontId="5" fillId="3" borderId="0" xfId="11" quotePrefix="1" applyFill="1" applyBorder="1" applyAlignment="1" applyProtection="1">
      <alignment horizontal="left"/>
    </xf>
    <xf numFmtId="0" fontId="30" fillId="3" borderId="0" xfId="0" applyFont="1" applyFill="1"/>
    <xf numFmtId="0" fontId="31" fillId="3" borderId="0" xfId="0" applyFont="1" applyFill="1" applyAlignment="1">
      <alignment horizontal="center" wrapText="1"/>
    </xf>
    <xf numFmtId="0" fontId="32" fillId="3" borderId="0" xfId="0" applyFont="1" applyFill="1" applyAlignment="1">
      <alignment wrapText="1"/>
    </xf>
    <xf numFmtId="0" fontId="30" fillId="3" borderId="0" xfId="41" applyFont="1" applyFill="1"/>
    <xf numFmtId="0" fontId="31" fillId="3" borderId="0" xfId="41" applyFont="1" applyFill="1" applyAlignment="1">
      <alignment horizontal="center" wrapText="1"/>
    </xf>
    <xf numFmtId="0" fontId="32" fillId="3" borderId="0" xfId="41" applyFont="1" applyFill="1" applyAlignment="1">
      <alignment wrapText="1"/>
    </xf>
    <xf numFmtId="0" fontId="6" fillId="3" borderId="0" xfId="41" applyFont="1" applyFill="1" applyAlignment="1">
      <alignment horizontal="center" wrapText="1"/>
    </xf>
    <xf numFmtId="0" fontId="6" fillId="3" borderId="0" xfId="41" applyFont="1" applyFill="1" applyAlignment="1">
      <alignment wrapText="1"/>
    </xf>
    <xf numFmtId="178" fontId="4" fillId="3" borderId="0" xfId="41" applyNumberFormat="1" applyFill="1"/>
    <xf numFmtId="178" fontId="28" fillId="3" borderId="0" xfId="41" applyNumberFormat="1" applyFont="1" applyFill="1"/>
    <xf numFmtId="0" fontId="28" fillId="3" borderId="0" xfId="41" applyFont="1" applyFill="1"/>
    <xf numFmtId="1" fontId="4" fillId="3" borderId="0" xfId="41" applyNumberFormat="1" applyFill="1"/>
    <xf numFmtId="180" fontId="4" fillId="3" borderId="0" xfId="41" applyNumberFormat="1" applyFill="1"/>
    <xf numFmtId="171" fontId="6" fillId="3" borderId="0" xfId="20" applyNumberFormat="1" applyFont="1" applyFill="1" applyBorder="1"/>
    <xf numFmtId="171" fontId="29" fillId="3" borderId="0" xfId="41" applyNumberFormat="1" applyFont="1" applyFill="1"/>
    <xf numFmtId="0" fontId="4" fillId="3" borderId="0" xfId="41" applyFill="1" applyAlignment="1">
      <alignment horizontal="center"/>
    </xf>
    <xf numFmtId="171" fontId="4" fillId="3" borderId="0" xfId="20" applyNumberFormat="1" applyFill="1" applyBorder="1" applyAlignment="1">
      <alignment horizontal="center"/>
    </xf>
    <xf numFmtId="0" fontId="6" fillId="3" borderId="0" xfId="41" applyFont="1" applyFill="1" applyAlignment="1">
      <alignment horizontal="center"/>
    </xf>
    <xf numFmtId="0" fontId="28" fillId="3" borderId="0" xfId="0" applyFont="1" applyFill="1"/>
    <xf numFmtId="171" fontId="4" fillId="3" borderId="0" xfId="34" applyNumberFormat="1" applyFont="1" applyFill="1" applyBorder="1"/>
    <xf numFmtId="168" fontId="4" fillId="4" borderId="0" xfId="0" applyNumberFormat="1" applyFont="1" applyFill="1"/>
    <xf numFmtId="3" fontId="4" fillId="3" borderId="0" xfId="35" applyNumberFormat="1" applyFont="1" applyFill="1" applyBorder="1"/>
    <xf numFmtId="170" fontId="4" fillId="3" borderId="0" xfId="0" applyNumberFormat="1" applyFont="1" applyFill="1"/>
    <xf numFmtId="0" fontId="34" fillId="3" borderId="0" xfId="0" applyFont="1" applyFill="1"/>
    <xf numFmtId="0" fontId="35" fillId="3" borderId="0" xfId="0" applyFont="1" applyFill="1"/>
    <xf numFmtId="0" fontId="34" fillId="3" borderId="0" xfId="0" applyFont="1" applyFill="1" applyAlignment="1">
      <alignment horizontal="right"/>
    </xf>
    <xf numFmtId="9" fontId="34" fillId="3" borderId="0" xfId="0" applyNumberFormat="1" applyFont="1" applyFill="1"/>
    <xf numFmtId="2" fontId="34" fillId="3" borderId="0" xfId="0" applyNumberFormat="1" applyFont="1" applyFill="1"/>
    <xf numFmtId="0" fontId="29" fillId="3" borderId="0" xfId="0" applyFont="1" applyFill="1"/>
    <xf numFmtId="0" fontId="39" fillId="3" borderId="0" xfId="0" applyFont="1" applyFill="1" applyAlignment="1">
      <alignment horizontal="center" vertical="center"/>
    </xf>
    <xf numFmtId="0" fontId="35" fillId="3" borderId="0" xfId="0" applyFont="1" applyFill="1" applyAlignment="1">
      <alignment horizontal="center" vertical="center"/>
    </xf>
    <xf numFmtId="0" fontId="35" fillId="3" borderId="0" xfId="0" applyFont="1" applyFill="1" applyAlignment="1">
      <alignment horizontal="center" vertical="center" wrapText="1"/>
    </xf>
    <xf numFmtId="0" fontId="42" fillId="3" borderId="0" xfId="0" applyFont="1" applyFill="1" applyAlignment="1">
      <alignment horizontal="center" vertical="center" wrapText="1"/>
    </xf>
    <xf numFmtId="0" fontId="42" fillId="3" borderId="0" xfId="0" applyFont="1" applyFill="1" applyAlignment="1">
      <alignment vertical="center" wrapText="1"/>
    </xf>
    <xf numFmtId="0" fontId="42" fillId="3" borderId="0" xfId="0" applyFont="1" applyFill="1" applyAlignment="1">
      <alignment vertical="center"/>
    </xf>
    <xf numFmtId="170" fontId="34" fillId="3" borderId="0" xfId="0" applyNumberFormat="1" applyFont="1" applyFill="1" applyAlignment="1">
      <alignment horizontal="right" vertical="center"/>
    </xf>
    <xf numFmtId="4" fontId="34" fillId="3" borderId="0" xfId="0" applyNumberFormat="1" applyFont="1" applyFill="1" applyAlignment="1">
      <alignment horizontal="right" vertical="center"/>
    </xf>
    <xf numFmtId="2" fontId="34" fillId="3" borderId="0" xfId="0" applyNumberFormat="1" applyFont="1" applyFill="1" applyAlignment="1">
      <alignment horizontal="right" vertical="center"/>
    </xf>
    <xf numFmtId="0" fontId="34" fillId="3" borderId="0" xfId="0" applyFont="1" applyFill="1" applyAlignment="1">
      <alignment horizontal="right" vertical="center" wrapText="1"/>
    </xf>
    <xf numFmtId="0" fontId="42" fillId="3" borderId="0" xfId="0" applyFont="1" applyFill="1" applyAlignment="1">
      <alignment horizontal="right" vertical="center" wrapText="1"/>
    </xf>
    <xf numFmtId="2" fontId="42" fillId="3" borderId="0" xfId="0" applyNumberFormat="1" applyFont="1" applyFill="1" applyAlignment="1">
      <alignment horizontal="right" vertical="center" wrapText="1"/>
    </xf>
    <xf numFmtId="170" fontId="28" fillId="3" borderId="0" xfId="0" applyNumberFormat="1" applyFont="1" applyFill="1" applyAlignment="1">
      <alignment horizontal="right" vertical="center"/>
    </xf>
    <xf numFmtId="0" fontId="38" fillId="3" borderId="0" xfId="0" applyFont="1" applyFill="1"/>
    <xf numFmtId="0" fontId="6" fillId="3" borderId="0" xfId="33" applyFont="1" applyFill="1"/>
    <xf numFmtId="0" fontId="4" fillId="3" borderId="0" xfId="33" applyFont="1" applyFill="1"/>
    <xf numFmtId="0" fontId="6" fillId="3" borderId="0" xfId="0" applyFont="1" applyFill="1" applyAlignment="1">
      <alignment horizontal="right" textRotation="90"/>
    </xf>
    <xf numFmtId="0" fontId="6" fillId="3" borderId="0" xfId="0" applyFont="1" applyFill="1" applyAlignment="1">
      <alignment horizontal="right" textRotation="90" wrapText="1"/>
    </xf>
    <xf numFmtId="173" fontId="34" fillId="3" borderId="0" xfId="36" applyNumberFormat="1" applyFont="1" applyFill="1" applyBorder="1"/>
    <xf numFmtId="3" fontId="34" fillId="3" borderId="0" xfId="0" applyNumberFormat="1" applyFont="1" applyFill="1"/>
    <xf numFmtId="9" fontId="35" fillId="3" borderId="0" xfId="20" applyFont="1" applyFill="1" applyBorder="1"/>
    <xf numFmtId="10" fontId="35" fillId="3" borderId="0" xfId="20" applyNumberFormat="1" applyFont="1" applyFill="1" applyBorder="1"/>
    <xf numFmtId="0" fontId="35" fillId="3" borderId="0" xfId="0" applyFont="1" applyFill="1" applyAlignment="1">
      <alignment horizontal="center"/>
    </xf>
    <xf numFmtId="0" fontId="34" fillId="3" borderId="0" xfId="0" applyFont="1" applyFill="1" applyAlignment="1">
      <alignment horizontal="center"/>
    </xf>
    <xf numFmtId="0" fontId="34" fillId="3" borderId="0" xfId="0" applyFont="1" applyFill="1" applyAlignment="1">
      <alignment horizontal="center" wrapText="1"/>
    </xf>
    <xf numFmtId="0" fontId="34" fillId="3" borderId="0" xfId="0" applyFont="1" applyFill="1" applyAlignment="1">
      <alignment horizontal="left"/>
    </xf>
    <xf numFmtId="169" fontId="34" fillId="3" borderId="0" xfId="20" applyNumberFormat="1" applyFont="1" applyFill="1" applyBorder="1" applyAlignment="1">
      <alignment horizontal="center"/>
    </xf>
    <xf numFmtId="10" fontId="34" fillId="3" borderId="0" xfId="20" applyNumberFormat="1" applyFont="1" applyFill="1" applyBorder="1" applyAlignment="1">
      <alignment horizontal="center"/>
    </xf>
    <xf numFmtId="10" fontId="34" fillId="3" borderId="0" xfId="20" applyNumberFormat="1" applyFont="1" applyFill="1" applyBorder="1"/>
    <xf numFmtId="0" fontId="34" fillId="3" borderId="0" xfId="20" applyNumberFormat="1" applyFont="1" applyFill="1" applyBorder="1"/>
    <xf numFmtId="10" fontId="35" fillId="3" borderId="0" xfId="20" applyNumberFormat="1" applyFont="1" applyFill="1" applyBorder="1" applyAlignment="1">
      <alignment horizontal="center"/>
    </xf>
    <xf numFmtId="168" fontId="34" fillId="3" borderId="0" xfId="20" applyNumberFormat="1" applyFont="1" applyFill="1" applyBorder="1"/>
    <xf numFmtId="168" fontId="34" fillId="3" borderId="0" xfId="0" applyNumberFormat="1" applyFont="1" applyFill="1"/>
    <xf numFmtId="0" fontId="4" fillId="3" borderId="0" xfId="40" applyFill="1"/>
    <xf numFmtId="9" fontId="4" fillId="3" borderId="0" xfId="20" applyFont="1" applyFill="1" applyBorder="1"/>
    <xf numFmtId="0" fontId="43" fillId="3" borderId="0" xfId="40" applyFont="1" applyFill="1" applyAlignment="1">
      <alignment horizontal="left"/>
    </xf>
    <xf numFmtId="0" fontId="44" fillId="3" borderId="0" xfId="40" applyFont="1" applyFill="1" applyAlignment="1">
      <alignment horizontal="left"/>
    </xf>
    <xf numFmtId="0" fontId="26" fillId="3" borderId="0" xfId="40" applyFont="1" applyFill="1"/>
    <xf numFmtId="0" fontId="5" fillId="3" borderId="0" xfId="40" applyFont="1" applyFill="1"/>
    <xf numFmtId="0" fontId="25" fillId="3" borderId="0" xfId="40" applyFont="1" applyFill="1"/>
    <xf numFmtId="0" fontId="6" fillId="3" borderId="0" xfId="40" applyFont="1" applyFill="1" applyAlignment="1">
      <alignment horizontal="center" wrapText="1"/>
    </xf>
    <xf numFmtId="178" fontId="4" fillId="3" borderId="0" xfId="40" applyNumberFormat="1" applyFill="1"/>
    <xf numFmtId="0" fontId="6" fillId="3" borderId="0" xfId="40" applyFont="1" applyFill="1" applyAlignment="1">
      <alignment wrapText="1"/>
    </xf>
    <xf numFmtId="0" fontId="4" fillId="3" borderId="0" xfId="0" applyFont="1" applyFill="1" applyAlignment="1">
      <alignment vertical="top" wrapText="1"/>
    </xf>
    <xf numFmtId="0" fontId="6" fillId="3" borderId="0" xfId="0" applyFont="1" applyFill="1" applyAlignment="1">
      <alignment vertical="top"/>
    </xf>
    <xf numFmtId="0" fontId="4" fillId="3" borderId="0" xfId="0" applyFont="1" applyFill="1" applyAlignment="1">
      <alignment horizontal="center" vertical="top" wrapText="1"/>
    </xf>
    <xf numFmtId="0" fontId="4" fillId="3" borderId="0" xfId="16" applyFill="1" applyAlignment="1">
      <alignment vertical="top" wrapText="1"/>
    </xf>
    <xf numFmtId="0" fontId="8" fillId="3" borderId="0" xfId="0" applyFont="1" applyFill="1"/>
    <xf numFmtId="3" fontId="4" fillId="3" borderId="0" xfId="0" applyNumberFormat="1" applyFont="1" applyFill="1" applyAlignment="1">
      <alignment horizontal="center" vertical="top" wrapText="1"/>
    </xf>
    <xf numFmtId="168" fontId="4" fillId="3" borderId="0" xfId="0" applyNumberFormat="1" applyFont="1" applyFill="1" applyAlignment="1">
      <alignment vertical="top" wrapText="1"/>
    </xf>
    <xf numFmtId="0" fontId="6" fillId="3" borderId="0" xfId="17" applyFont="1" applyFill="1"/>
    <xf numFmtId="0" fontId="4" fillId="3" borderId="0" xfId="17" applyFill="1"/>
    <xf numFmtId="0" fontId="4" fillId="3" borderId="0" xfId="16" applyFill="1"/>
    <xf numFmtId="0" fontId="8" fillId="3" borderId="0" xfId="18" applyFont="1" applyFill="1" applyAlignment="1">
      <alignment horizontal="center"/>
    </xf>
    <xf numFmtId="0" fontId="8" fillId="3" borderId="0" xfId="18" applyFont="1" applyFill="1" applyAlignment="1">
      <alignment horizontal="right" wrapText="1"/>
    </xf>
    <xf numFmtId="168" fontId="4" fillId="3" borderId="0" xfId="17" applyNumberFormat="1" applyFill="1"/>
    <xf numFmtId="0" fontId="6" fillId="3" borderId="0" xfId="0" applyFont="1" applyFill="1" applyAlignment="1">
      <alignment vertical="top" wrapText="1"/>
    </xf>
    <xf numFmtId="0" fontId="8" fillId="3" borderId="0" xfId="15" applyFont="1" applyFill="1" applyAlignment="1">
      <alignment horizontal="right" wrapText="1"/>
    </xf>
    <xf numFmtId="0" fontId="8" fillId="3" borderId="0" xfId="0" applyFont="1" applyFill="1" applyAlignment="1">
      <alignment vertical="top"/>
    </xf>
    <xf numFmtId="3" fontId="4" fillId="3" borderId="0" xfId="0" applyNumberFormat="1" applyFont="1" applyFill="1" applyAlignment="1">
      <alignment vertical="top" wrapText="1"/>
    </xf>
    <xf numFmtId="3" fontId="4" fillId="3" borderId="0" xfId="0" applyNumberFormat="1" applyFont="1" applyFill="1" applyAlignment="1">
      <alignment horizontal="center"/>
    </xf>
    <xf numFmtId="14" fontId="4" fillId="3" borderId="0" xfId="0" applyNumberFormat="1" applyFont="1" applyFill="1"/>
    <xf numFmtId="0" fontId="35" fillId="0" borderId="0" xfId="0" applyFont="1" applyAlignment="1">
      <alignment vertical="center"/>
    </xf>
    <xf numFmtId="0" fontId="34" fillId="0" borderId="0" xfId="0" applyFont="1" applyAlignment="1">
      <alignment vertical="center"/>
    </xf>
    <xf numFmtId="0" fontId="4" fillId="0" borderId="0" xfId="41" applyAlignment="1">
      <alignment vertical="center"/>
    </xf>
    <xf numFmtId="0" fontId="34" fillId="0" borderId="0" xfId="14" applyFont="1" applyAlignment="1">
      <alignment vertical="center"/>
    </xf>
    <xf numFmtId="0" fontId="34" fillId="0" borderId="0" xfId="0" applyFont="1" applyAlignment="1">
      <alignment vertical="center" wrapText="1"/>
    </xf>
    <xf numFmtId="181" fontId="12" fillId="0" borderId="0" xfId="0" applyNumberFormat="1" applyFont="1"/>
    <xf numFmtId="181" fontId="6" fillId="7" borderId="2" xfId="0" applyNumberFormat="1" applyFont="1" applyFill="1" applyBorder="1" applyAlignment="1">
      <alignment horizontal="left"/>
    </xf>
    <xf numFmtId="0" fontId="6" fillId="0" borderId="0" xfId="0" applyFont="1" applyAlignment="1">
      <alignment vertical="center"/>
    </xf>
    <xf numFmtId="0" fontId="4" fillId="0" borderId="0" xfId="0" applyFont="1" applyAlignment="1">
      <alignment vertical="center"/>
    </xf>
    <xf numFmtId="181" fontId="6" fillId="8" borderId="6" xfId="0" applyNumberFormat="1" applyFont="1" applyFill="1" applyBorder="1"/>
    <xf numFmtId="0" fontId="6" fillId="7" borderId="0" xfId="41" applyFont="1" applyFill="1" applyAlignment="1">
      <alignment vertical="center"/>
    </xf>
    <xf numFmtId="0" fontId="4" fillId="7" borderId="0" xfId="41" applyFill="1" applyAlignment="1">
      <alignment vertical="center"/>
    </xf>
    <xf numFmtId="0" fontId="34" fillId="7" borderId="0" xfId="0" applyFont="1" applyFill="1" applyAlignment="1">
      <alignment vertical="center"/>
    </xf>
    <xf numFmtId="0" fontId="4" fillId="9" borderId="0" xfId="41" applyFill="1" applyAlignment="1">
      <alignment vertical="center"/>
    </xf>
    <xf numFmtId="0" fontId="34" fillId="9" borderId="0" xfId="0" applyFont="1" applyFill="1" applyAlignment="1">
      <alignment vertical="center"/>
    </xf>
    <xf numFmtId="0" fontId="4" fillId="9" borderId="0" xfId="0" applyFont="1" applyFill="1" applyAlignment="1">
      <alignment vertical="center"/>
    </xf>
    <xf numFmtId="0" fontId="4" fillId="7" borderId="0" xfId="0" applyFont="1" applyFill="1" applyAlignment="1">
      <alignment vertical="center"/>
    </xf>
    <xf numFmtId="0" fontId="12" fillId="0" borderId="0" xfId="0" applyFont="1" applyAlignment="1">
      <alignment horizontal="left"/>
    </xf>
    <xf numFmtId="0" fontId="0" fillId="0" borderId="0" xfId="0" applyAlignment="1">
      <alignment vertical="center"/>
    </xf>
    <xf numFmtId="0" fontId="0" fillId="0" borderId="0" xfId="0" applyAlignment="1">
      <alignment horizontal="center" vertical="center"/>
    </xf>
    <xf numFmtId="0" fontId="4" fillId="0" borderId="0" xfId="0" applyFont="1" applyAlignment="1">
      <alignment horizontal="center" vertical="center"/>
    </xf>
    <xf numFmtId="2" fontId="14" fillId="0" borderId="0" xfId="19" applyNumberFormat="1" applyFont="1" applyAlignment="1">
      <alignment horizontal="center" vertical="center"/>
    </xf>
    <xf numFmtId="2" fontId="0" fillId="0" borderId="0" xfId="0" applyNumberFormat="1" applyAlignment="1">
      <alignment horizontal="center" vertical="center"/>
    </xf>
    <xf numFmtId="0" fontId="33" fillId="0" borderId="0" xfId="0" applyFont="1" applyAlignment="1">
      <alignment horizontal="center" vertical="center"/>
    </xf>
    <xf numFmtId="4" fontId="0" fillId="0" borderId="0" xfId="0" applyNumberFormat="1" applyAlignment="1">
      <alignment horizontal="center" vertical="center"/>
    </xf>
    <xf numFmtId="168" fontId="0" fillId="0" borderId="0" xfId="0" applyNumberFormat="1" applyAlignment="1">
      <alignment horizontal="center" vertical="center"/>
    </xf>
    <xf numFmtId="11" fontId="0" fillId="0" borderId="0" xfId="0" applyNumberFormat="1" applyAlignment="1">
      <alignment horizontal="center" vertical="center"/>
    </xf>
    <xf numFmtId="2" fontId="4" fillId="0" borderId="0" xfId="19" applyNumberFormat="1" applyFont="1" applyAlignment="1">
      <alignment horizontal="center" vertical="center"/>
    </xf>
    <xf numFmtId="167" fontId="0" fillId="0" borderId="0" xfId="0" applyNumberFormat="1" applyAlignment="1">
      <alignment horizontal="center" vertical="center"/>
    </xf>
    <xf numFmtId="169" fontId="0" fillId="0" borderId="0" xfId="0" applyNumberFormat="1" applyAlignment="1">
      <alignment horizontal="center" vertical="center"/>
    </xf>
    <xf numFmtId="2" fontId="4" fillId="0" borderId="0" xfId="0" applyNumberFormat="1" applyFont="1" applyAlignment="1">
      <alignment horizontal="center" vertical="center"/>
    </xf>
    <xf numFmtId="1" fontId="0" fillId="0" borderId="0" xfId="0" applyNumberFormat="1" applyAlignment="1">
      <alignment horizontal="center" vertical="center"/>
    </xf>
    <xf numFmtId="0" fontId="6" fillId="7" borderId="2" xfId="0" applyFont="1" applyFill="1" applyBorder="1" applyAlignment="1">
      <alignment horizontal="left"/>
    </xf>
    <xf numFmtId="181" fontId="6" fillId="6" borderId="2" xfId="0" applyNumberFormat="1" applyFont="1" applyFill="1" applyBorder="1" applyAlignment="1">
      <alignment horizontal="left"/>
    </xf>
    <xf numFmtId="0" fontId="6" fillId="5" borderId="0" xfId="0" applyFont="1" applyFill="1" applyAlignment="1">
      <alignment horizontal="center" vertical="center"/>
    </xf>
    <xf numFmtId="0" fontId="6" fillId="7" borderId="0" xfId="0" applyFont="1" applyFill="1" applyAlignment="1">
      <alignment vertical="center"/>
    </xf>
    <xf numFmtId="0" fontId="0" fillId="7" borderId="0" xfId="0" applyFill="1" applyAlignment="1">
      <alignment vertical="center"/>
    </xf>
    <xf numFmtId="0" fontId="0" fillId="7" borderId="0" xfId="0" applyFill="1" applyAlignment="1">
      <alignment horizontal="center" vertical="center"/>
    </xf>
    <xf numFmtId="0" fontId="6" fillId="7" borderId="0" xfId="0" applyFont="1" applyFill="1" applyAlignment="1">
      <alignment horizontal="center" vertical="center"/>
    </xf>
    <xf numFmtId="170" fontId="6" fillId="7" borderId="0" xfId="0" applyNumberFormat="1" applyFont="1" applyFill="1" applyAlignment="1">
      <alignment horizontal="center" vertical="center"/>
    </xf>
    <xf numFmtId="0" fontId="0" fillId="9" borderId="0" xfId="0" applyFill="1" applyAlignment="1">
      <alignment horizontal="center" vertical="center"/>
    </xf>
    <xf numFmtId="2" fontId="14" fillId="9" borderId="0" xfId="19" applyNumberFormat="1" applyFont="1" applyFill="1" applyAlignment="1">
      <alignment horizontal="center" vertical="center"/>
    </xf>
    <xf numFmtId="43" fontId="0" fillId="9" borderId="0" xfId="36" applyFont="1" applyFill="1" applyAlignment="1">
      <alignment horizontal="center" vertical="center"/>
    </xf>
    <xf numFmtId="168" fontId="0" fillId="9" borderId="0" xfId="0" applyNumberFormat="1" applyFill="1" applyAlignment="1">
      <alignment horizontal="center" vertical="center"/>
    </xf>
    <xf numFmtId="181" fontId="6" fillId="7" borderId="0" xfId="0" applyNumberFormat="1" applyFont="1" applyFill="1" applyAlignment="1">
      <alignment horizontal="left"/>
    </xf>
    <xf numFmtId="0" fontId="6" fillId="7" borderId="0" xfId="0" applyFont="1" applyFill="1" applyAlignment="1">
      <alignment horizontal="left"/>
    </xf>
    <xf numFmtId="181" fontId="6" fillId="0" borderId="0" xfId="0" applyNumberFormat="1" applyFont="1" applyAlignment="1">
      <alignment horizontal="left"/>
    </xf>
    <xf numFmtId="0" fontId="4" fillId="7" borderId="0" xfId="0" applyFont="1" applyFill="1"/>
    <xf numFmtId="0" fontId="4" fillId="7" borderId="0" xfId="43" applyFill="1" applyAlignment="1">
      <alignment horizontal="center" wrapText="1"/>
    </xf>
    <xf numFmtId="2" fontId="0" fillId="7" borderId="0" xfId="0" applyNumberFormat="1" applyFill="1" applyAlignment="1">
      <alignment horizontal="center" vertical="center"/>
    </xf>
    <xf numFmtId="2" fontId="4" fillId="9" borderId="0" xfId="19" applyNumberFormat="1" applyFont="1" applyFill="1" applyAlignment="1">
      <alignment horizontal="center" vertical="center"/>
    </xf>
    <xf numFmtId="4" fontId="0" fillId="9" borderId="0" xfId="0" applyNumberFormat="1" applyFill="1" applyAlignment="1">
      <alignment horizontal="center" vertical="center"/>
    </xf>
    <xf numFmtId="2" fontId="0" fillId="9" borderId="0" xfId="0" applyNumberFormat="1" applyFill="1" applyAlignment="1">
      <alignment horizontal="center" vertical="center"/>
    </xf>
    <xf numFmtId="167" fontId="0" fillId="9" borderId="0" xfId="0" applyNumberFormat="1" applyFill="1" applyAlignment="1">
      <alignment horizontal="center" vertical="center"/>
    </xf>
    <xf numFmtId="2" fontId="4" fillId="9" borderId="0" xfId="0" applyNumberFormat="1" applyFont="1" applyFill="1" applyAlignment="1">
      <alignment horizontal="center" vertical="center"/>
    </xf>
    <xf numFmtId="169" fontId="4" fillId="9" borderId="0" xfId="0" applyNumberFormat="1" applyFont="1" applyFill="1" applyAlignment="1">
      <alignment horizontal="center" vertical="center"/>
    </xf>
    <xf numFmtId="1" fontId="0" fillId="9" borderId="0" xfId="0" applyNumberFormat="1" applyFill="1" applyAlignment="1">
      <alignment horizontal="center" vertical="center"/>
    </xf>
    <xf numFmtId="0" fontId="6" fillId="10" borderId="0" xfId="0" applyFont="1" applyFill="1"/>
    <xf numFmtId="0" fontId="4" fillId="10" borderId="0" xfId="0" applyFont="1" applyFill="1"/>
    <xf numFmtId="0" fontId="45" fillId="0" borderId="0" xfId="0" applyFont="1"/>
    <xf numFmtId="0" fontId="31" fillId="7" borderId="7" xfId="0" applyFont="1" applyFill="1" applyBorder="1"/>
    <xf numFmtId="0" fontId="31" fillId="11" borderId="7" xfId="0" applyFont="1" applyFill="1" applyBorder="1"/>
    <xf numFmtId="0" fontId="31" fillId="12" borderId="7" xfId="0" applyFont="1" applyFill="1" applyBorder="1"/>
    <xf numFmtId="0" fontId="0" fillId="11" borderId="0" xfId="0" applyFill="1"/>
    <xf numFmtId="0" fontId="0" fillId="7" borderId="0" xfId="0" applyFill="1"/>
    <xf numFmtId="0" fontId="0" fillId="13" borderId="0" xfId="0" applyFill="1"/>
    <xf numFmtId="0" fontId="0" fillId="12" borderId="0" xfId="0" applyFill="1"/>
    <xf numFmtId="0" fontId="32" fillId="7" borderId="0" xfId="41" applyFont="1" applyFill="1"/>
    <xf numFmtId="0" fontId="4" fillId="13" borderId="0" xfId="0" applyFont="1" applyFill="1"/>
    <xf numFmtId="0" fontId="68" fillId="0" borderId="0" xfId="0" applyFont="1"/>
    <xf numFmtId="0" fontId="69" fillId="0" borderId="0" xfId="0" applyFont="1"/>
    <xf numFmtId="0" fontId="6" fillId="7" borderId="7" xfId="0" applyFont="1" applyFill="1" applyBorder="1"/>
    <xf numFmtId="0" fontId="31" fillId="7" borderId="7" xfId="0" applyFont="1" applyFill="1" applyBorder="1" applyAlignment="1">
      <alignment wrapText="1"/>
    </xf>
    <xf numFmtId="0" fontId="31" fillId="9" borderId="0" xfId="0" applyFont="1" applyFill="1"/>
    <xf numFmtId="0" fontId="2" fillId="9" borderId="0" xfId="151" applyFill="1" applyAlignment="1">
      <alignment horizontal="left"/>
    </xf>
    <xf numFmtId="0" fontId="2" fillId="9" borderId="0" xfId="151" applyFill="1" applyAlignment="1">
      <alignment wrapText="1"/>
    </xf>
    <xf numFmtId="0" fontId="4" fillId="9" borderId="0" xfId="0" applyFont="1" applyFill="1"/>
    <xf numFmtId="0" fontId="1" fillId="9" borderId="0" xfId="151" applyFont="1" applyFill="1" applyAlignment="1">
      <alignment wrapText="1"/>
    </xf>
    <xf numFmtId="0" fontId="6" fillId="3" borderId="0" xfId="0" applyFont="1" applyFill="1" applyAlignment="1">
      <alignment horizontal="center"/>
    </xf>
    <xf numFmtId="0" fontId="4" fillId="3" borderId="0" xfId="0" applyFont="1" applyFill="1" applyAlignment="1">
      <alignment wrapText="1"/>
    </xf>
    <xf numFmtId="0" fontId="36" fillId="3" borderId="0" xfId="0" applyFont="1" applyFill="1" applyAlignment="1">
      <alignment horizontal="left" vertical="center" wrapText="1"/>
    </xf>
    <xf numFmtId="0" fontId="35" fillId="3" borderId="0" xfId="0" applyFont="1" applyFill="1" applyAlignment="1">
      <alignment horizontal="left" vertical="center" wrapText="1"/>
    </xf>
    <xf numFmtId="0" fontId="34" fillId="3" borderId="0" xfId="0" applyFont="1" applyFill="1" applyAlignment="1">
      <alignment horizontal="center"/>
    </xf>
    <xf numFmtId="0" fontId="42" fillId="3" borderId="0" xfId="0" applyFont="1" applyFill="1" applyAlignment="1">
      <alignment horizontal="center" vertical="center" wrapText="1"/>
    </xf>
    <xf numFmtId="0" fontId="6" fillId="3" borderId="0" xfId="0" applyFont="1" applyFill="1" applyAlignment="1">
      <alignment horizontal="center" wrapText="1"/>
    </xf>
  </cellXfs>
  <cellStyles count="152">
    <cellStyle name="20% - Accent1" xfId="59" builtinId="30" customBuiltin="1"/>
    <cellStyle name="20% - Accent1 2" xfId="106" xr:uid="{00167FA5-F131-4CAA-903F-C068E276DB04}"/>
    <cellStyle name="20% - Accent2" xfId="62" builtinId="34" customBuiltin="1"/>
    <cellStyle name="20% - Accent2 2" xfId="108" xr:uid="{E47E13D7-F3E2-49DC-8C13-CAB4F8B86DC2}"/>
    <cellStyle name="20% - Accent3" xfId="65" builtinId="38" customBuiltin="1"/>
    <cellStyle name="20% - Accent3 2" xfId="110" xr:uid="{1647E9F5-64FC-4D45-AD1D-D67C9BEE3439}"/>
    <cellStyle name="20% - Accent4" xfId="68" builtinId="42" customBuiltin="1"/>
    <cellStyle name="20% - Accent4 2" xfId="112" xr:uid="{C9220C13-7810-42E9-9C48-95BDDA841257}"/>
    <cellStyle name="20% - Accent5" xfId="71" builtinId="46" customBuiltin="1"/>
    <cellStyle name="20% - Accent5 2" xfId="115" xr:uid="{52DA1B43-F306-4705-82B3-93CC646A4AB8}"/>
    <cellStyle name="20% - Accent6" xfId="74" builtinId="50" customBuiltin="1"/>
    <cellStyle name="20% - Accent6 2" xfId="117" xr:uid="{BA31613B-8A2F-4DAB-B63C-B6AF1657921B}"/>
    <cellStyle name="40% - Accent1" xfId="60" builtinId="31" customBuiltin="1"/>
    <cellStyle name="40% - Accent1 2" xfId="107" xr:uid="{581F692C-8A30-4F2F-9B1A-A0760E56B899}"/>
    <cellStyle name="40% - Accent2" xfId="63" builtinId="35" customBuiltin="1"/>
    <cellStyle name="40% - Accent2 2" xfId="109" xr:uid="{4F448487-8484-4605-85C8-DBF96054E63C}"/>
    <cellStyle name="40% - Accent3" xfId="66" builtinId="39" customBuiltin="1"/>
    <cellStyle name="40% - Accent3 2" xfId="111" xr:uid="{01C77DDD-32EE-44C0-A811-14F614985058}"/>
    <cellStyle name="40% - Accent4" xfId="69" builtinId="43" customBuiltin="1"/>
    <cellStyle name="40% - Accent4 2" xfId="113" xr:uid="{AB4A10A3-8B87-45D1-ABD1-FBCF397AB4AC}"/>
    <cellStyle name="40% - Accent5" xfId="72" builtinId="47" customBuiltin="1"/>
    <cellStyle name="40% - Accent5 2" xfId="116" xr:uid="{D4AB04A4-4949-4794-8842-69992313355E}"/>
    <cellStyle name="40% - Accent6" xfId="75" builtinId="51" customBuiltin="1"/>
    <cellStyle name="40% - Accent6 2" xfId="118" xr:uid="{2A954355-336C-4B3D-892B-6B56F3D815CF}"/>
    <cellStyle name="60% - Accent1 2" xfId="91" xr:uid="{E5D397D8-15A9-41CC-B86F-0CA724E952A0}"/>
    <cellStyle name="60% - Accent2 2" xfId="92" xr:uid="{443E9BFB-EBB4-4484-AEF4-F88E2F8A1A65}"/>
    <cellStyle name="60% - Accent3 2" xfId="93" xr:uid="{B410C7E1-5A74-4E00-B0BA-78399BF57EEB}"/>
    <cellStyle name="60% - Accent4 2" xfId="94" xr:uid="{494D5522-AFA3-4B1F-9830-B14550346FA8}"/>
    <cellStyle name="60% - Accent5 2" xfId="95" xr:uid="{3B158F78-2039-44DF-A5CD-7DC9495B5EF0}"/>
    <cellStyle name="60% - Accent6 2" xfId="96" xr:uid="{BB7C2C09-ED8F-4562-8BF2-C394BFFF167C}"/>
    <cellStyle name="Accent1" xfId="58" builtinId="29" customBuiltin="1"/>
    <cellStyle name="Accent2" xfId="61" builtinId="33" customBuiltin="1"/>
    <cellStyle name="Accent3" xfId="64" builtinId="37" customBuiltin="1"/>
    <cellStyle name="Accent4" xfId="67" builtinId="41" customBuiltin="1"/>
    <cellStyle name="Accent5" xfId="70" builtinId="45" customBuiltin="1"/>
    <cellStyle name="Accent6" xfId="73" builtinId="49" customBuiltin="1"/>
    <cellStyle name="Bad" xfId="50" builtinId="27" customBuiltin="1"/>
    <cellStyle name="Body: normal cell" xfId="150" xr:uid="{6A998877-9238-4FFA-88DB-61845D1526E4}"/>
    <cellStyle name="Calculation" xfId="53" builtinId="22" customBuiltin="1"/>
    <cellStyle name="Check Cell" xfId="55" builtinId="23" customBuiltin="1"/>
    <cellStyle name="Comma" xfId="36" builtinId="3"/>
    <cellStyle name="Comma 2" xfId="1" xr:uid="{00000000-0005-0000-0000-000001000000}"/>
    <cellStyle name="Comma 2 2" xfId="77" xr:uid="{93164546-1A82-46AA-B159-166C1FE33582}"/>
    <cellStyle name="Comma 2 4" xfId="35" xr:uid="{00000000-0005-0000-0000-000002000000}"/>
    <cellStyle name="Comma 3" xfId="2" xr:uid="{00000000-0005-0000-0000-000003000000}"/>
    <cellStyle name="Comma 3 2" xfId="142" xr:uid="{0001330A-BB69-48CB-A8C5-8FC774EB99A3}"/>
    <cellStyle name="Comma 4" xfId="3" xr:uid="{00000000-0005-0000-0000-000004000000}"/>
    <cellStyle name="Comma 4 2" xfId="4" xr:uid="{00000000-0005-0000-0000-000005000000}"/>
    <cellStyle name="Comma 4 3" xfId="86" xr:uid="{F732D21F-E21E-4D03-99A2-1F46A750D0CB}"/>
    <cellStyle name="Comma 5" xfId="76" xr:uid="{1B1BB5C9-34DD-4DAF-9323-B647D6E08900}"/>
    <cellStyle name="Currency 2" xfId="5" xr:uid="{00000000-0005-0000-0000-000006000000}"/>
    <cellStyle name="Currency 2 2" xfId="87" xr:uid="{9E0F541D-F6C2-409B-8367-4602BB83F268}"/>
    <cellStyle name="Currency 3" xfId="6" xr:uid="{00000000-0005-0000-0000-000007000000}"/>
    <cellStyle name="Data" xfId="78" xr:uid="{83DFC41D-EA69-415E-92EA-3C560E7CD431}"/>
    <cellStyle name="Date" xfId="7" xr:uid="{00000000-0005-0000-0000-000008000000}"/>
    <cellStyle name="Explanatory Text" xfId="57" builtinId="53" customBuiltin="1"/>
    <cellStyle name="Fixed" xfId="8" xr:uid="{00000000-0005-0000-0000-000009000000}"/>
    <cellStyle name="Good" xfId="49" builtinId="26" customBuiltin="1"/>
    <cellStyle name="Header: bottom row" xfId="148" xr:uid="{74CF1B39-DA0E-4183-B9CA-318CB60B1E27}"/>
    <cellStyle name="header-top" xfId="39" xr:uid="{00000000-0005-0000-0000-00000A000000}"/>
    <cellStyle name="Heading 1" xfId="45" builtinId="16" customBuiltin="1"/>
    <cellStyle name="Heading 2" xfId="46" builtinId="17" customBuiltin="1"/>
    <cellStyle name="Heading 3" xfId="47" builtinId="18" customBuiltin="1"/>
    <cellStyle name="Heading 4" xfId="48" builtinId="19" customBuiltin="1"/>
    <cellStyle name="Heading1" xfId="9" xr:uid="{00000000-0005-0000-0000-00000B000000}"/>
    <cellStyle name="Heading2" xfId="10" xr:uid="{00000000-0005-0000-0000-00000C000000}"/>
    <cellStyle name="Hyperlink" xfId="11" builtinId="8"/>
    <cellStyle name="Hyperlink 2" xfId="119" xr:uid="{48793A92-2B1C-4358-A2C1-08CC5C3A01F7}"/>
    <cellStyle name="Hyperlink 3" xfId="145" xr:uid="{9FA25739-B34D-440E-8B0A-603A1BF03C82}"/>
    <cellStyle name="Input" xfId="51" builtinId="20" customBuiltin="1"/>
    <cellStyle name="Last Header Row" xfId="37" xr:uid="{00000000-0005-0000-0000-00000E000000}"/>
    <cellStyle name="Linked Cell" xfId="54" builtinId="24" customBuiltin="1"/>
    <cellStyle name="Neutral 2" xfId="90" xr:uid="{5ED504F6-55CD-4949-A792-FBD48E7A317E}"/>
    <cellStyle name="Normal" xfId="0" builtinId="0"/>
    <cellStyle name="Normal 10" xfId="43" xr:uid="{A983D159-5822-4B8E-86F4-744DC188061C}"/>
    <cellStyle name="Normal 10 2" xfId="44" xr:uid="{5FF1CB5A-F562-4CD7-94AE-443CC372AA9C}"/>
    <cellStyle name="Normal 10 2 2" xfId="151" xr:uid="{80C072E0-C401-4AD3-A690-AC18E5538C96}"/>
    <cellStyle name="Normal 10 3" xfId="141" xr:uid="{71413B21-D4AF-45F1-81BB-4124A89CF675}"/>
    <cellStyle name="Normal 10 4" xfId="84" xr:uid="{9DEDE3DC-61DE-4A1B-B917-03719A6E5E55}"/>
    <cellStyle name="Normal 2" xfId="12" xr:uid="{00000000-0005-0000-0000-000010000000}"/>
    <cellStyle name="Normal 2 2" xfId="41" xr:uid="{00000000-0005-0000-0000-000011000000}"/>
    <cellStyle name="Normal 2 2 2" xfId="83" xr:uid="{F8553C53-2715-40AB-97D0-0964ABE3FE57}"/>
    <cellStyle name="Normal 2 3" xfId="88" xr:uid="{7B382D53-B96F-4954-AA43-6A16628F06B8}"/>
    <cellStyle name="Normal 3" xfId="13" xr:uid="{00000000-0005-0000-0000-000012000000}"/>
    <cellStyle name="Normal 3 2" xfId="143" xr:uid="{97CFCBD6-E09A-4969-97D9-C5AF70269253}"/>
    <cellStyle name="Normal 3 3" xfId="79" xr:uid="{B02E533F-9A7D-4E13-8A94-D1AF04D6214E}"/>
    <cellStyle name="Normal 4" xfId="40" xr:uid="{00000000-0005-0000-0000-000013000000}"/>
    <cellStyle name="Normal 4 2" xfId="146" xr:uid="{2C06BAE7-0D21-49F7-9FCA-AD828A13ABF3}"/>
    <cellStyle name="Normal 7" xfId="144" xr:uid="{CC2AB751-EC37-41B2-B5FE-A45A599AA3C3}"/>
    <cellStyle name="normal cell" xfId="38" xr:uid="{00000000-0005-0000-0000-000014000000}"/>
    <cellStyle name="Normal_Commodities" xfId="14" xr:uid="{00000000-0005-0000-0000-000015000000}"/>
    <cellStyle name="Normal_Conv" xfId="15" xr:uid="{00000000-0005-0000-0000-000016000000}"/>
    <cellStyle name="Normal_conversion factors" xfId="16" xr:uid="{00000000-0005-0000-0000-000017000000}"/>
    <cellStyle name="Normal_EPAUS9r_08_SRC_Coal_v0.1a" xfId="17" xr:uid="{00000000-0005-0000-0000-000018000000}"/>
    <cellStyle name="Normal_Fuel trans V1" xfId="33" xr:uid="{00000000-0005-0000-0000-000019000000}"/>
    <cellStyle name="Normal_Sheet1" xfId="18" xr:uid="{00000000-0005-0000-0000-00001A000000}"/>
    <cellStyle name="Normal_Tech_RC" xfId="19" xr:uid="{00000000-0005-0000-0000-00001B000000}"/>
    <cellStyle name="Note 2" xfId="104" xr:uid="{7DC3B64B-1061-4A2E-8EF1-995C852C4BD9}"/>
    <cellStyle name="Note 3" xfId="98" xr:uid="{1E1B795F-D898-49E9-90A2-15BBF0233084}"/>
    <cellStyle name="Output" xfId="52" builtinId="21" customBuiltin="1"/>
    <cellStyle name="Parent row" xfId="149" xr:uid="{72C063F4-D9EC-4C27-9EC0-8C4C5DCC651F}"/>
    <cellStyle name="Percent" xfId="20" builtinId="5"/>
    <cellStyle name="Percent 10" xfId="121" xr:uid="{E73B3CF0-408D-402D-8A0D-8E8A309491E5}"/>
    <cellStyle name="Percent 11" xfId="122" xr:uid="{EFECD7B9-1DC1-45A1-B5CA-D1627B35A199}"/>
    <cellStyle name="Percent 12" xfId="123" xr:uid="{B1A74CB1-6817-4C35-8E14-14498014E9ED}"/>
    <cellStyle name="Percent 13" xfId="124" xr:uid="{19AAEA36-950C-4011-972F-723F9467ECB6}"/>
    <cellStyle name="Percent 14" xfId="125" xr:uid="{66104187-9312-4F4B-87B3-D474AEE44209}"/>
    <cellStyle name="Percent 15" xfId="126" xr:uid="{DD7AB364-2EF7-4FE9-9B69-C8291DA6B184}"/>
    <cellStyle name="Percent 16" xfId="127" xr:uid="{C7063D5B-8B17-437C-A346-5E1BF978C38C}"/>
    <cellStyle name="Percent 17" xfId="128" xr:uid="{9C9B7C06-81ED-451C-92D7-4D518987E27E}"/>
    <cellStyle name="Percent 18" xfId="129" xr:uid="{FB352AA8-2291-4072-9E92-FA6AF4D696FD}"/>
    <cellStyle name="Percent 19" xfId="130" xr:uid="{D5F25DF0-58F7-4347-ABB0-04A97D90E974}"/>
    <cellStyle name="Percent 2" xfId="21" xr:uid="{00000000-0005-0000-0000-00001D000000}"/>
    <cellStyle name="Percent 2 2" xfId="42" xr:uid="{00000000-0005-0000-0000-00001E000000}"/>
    <cellStyle name="Percent 2 3" xfId="99" xr:uid="{1AFCC3FC-8ACB-4E08-8275-AD15DD217C5F}"/>
    <cellStyle name="Percent 20" xfId="131" xr:uid="{E4F03923-7611-4C25-B100-14F54D3FB6DD}"/>
    <cellStyle name="Percent 21" xfId="132" xr:uid="{C607CBE4-C938-414A-8CE2-CB60E78738A1}"/>
    <cellStyle name="Percent 22" xfId="133" xr:uid="{DD002687-B490-46EF-B81E-003763CAF06C}"/>
    <cellStyle name="Percent 23" xfId="134" xr:uid="{C1C0C186-FFE6-4A3C-A30B-6E6F05B3BC36}"/>
    <cellStyle name="Percent 24" xfId="135" xr:uid="{6C1174EB-B7BC-4DA3-96CC-368A569A61AE}"/>
    <cellStyle name="Percent 25" xfId="136" xr:uid="{D325181D-2B2B-47E3-9BC5-F6A1AD5CA84B}"/>
    <cellStyle name="Percent 26" xfId="137" xr:uid="{D9677DBA-7382-4EB6-A4D6-11DF24AECF25}"/>
    <cellStyle name="Percent 27" xfId="138" xr:uid="{C43D8BC1-FD7B-4481-A5A4-11D1525B7C1C}"/>
    <cellStyle name="Percent 28" xfId="139" xr:uid="{D6E39394-839A-4D7F-AE0F-439D19F67EA5}"/>
    <cellStyle name="Percent 29" xfId="140" xr:uid="{67291C51-79CB-4A34-BA9E-359932FB8606}"/>
    <cellStyle name="Percent 3" xfId="22" xr:uid="{00000000-0005-0000-0000-00001F000000}"/>
    <cellStyle name="Percent 3 2" xfId="23" xr:uid="{00000000-0005-0000-0000-000020000000}"/>
    <cellStyle name="Percent 3 3" xfId="105" xr:uid="{91BB7ECC-1588-4C58-BA90-AE662D0D4668}"/>
    <cellStyle name="Percent 30" xfId="97" xr:uid="{4E79C648-8F38-4F7F-A6D8-645B49BDC741}"/>
    <cellStyle name="Percent 4" xfId="114" xr:uid="{765C6083-269E-4A21-A998-16D635BBE95F}"/>
    <cellStyle name="Percent 4 2" xfId="34" xr:uid="{00000000-0005-0000-0000-000021000000}"/>
    <cellStyle name="Percent 5" xfId="102" xr:uid="{488EE4DB-D117-4C3C-ABFD-123E017DEC3A}"/>
    <cellStyle name="Percent 6" xfId="100" xr:uid="{80EAC929-0282-40CC-847B-809725BA2B59}"/>
    <cellStyle name="Percent 7" xfId="103" xr:uid="{B42044A5-0AC3-4431-82A8-A9C7DCC0E528}"/>
    <cellStyle name="Percent 8" xfId="101" xr:uid="{2C62DBD0-C4F3-414F-AAFE-81F677733FA4}"/>
    <cellStyle name="Percent 9" xfId="120" xr:uid="{16AA4B20-8712-4D22-9C5E-F22A9746DE19}"/>
    <cellStyle name="Source Superscript" xfId="80" xr:uid="{AC02B46E-CFF3-4CEC-8985-03BB7F6C187D}"/>
    <cellStyle name="Source Text" xfId="81" xr:uid="{DED226D4-C763-4EF1-A562-0720FEF21E54}"/>
    <cellStyle name="Style 29" xfId="24" xr:uid="{00000000-0005-0000-0000-000022000000}"/>
    <cellStyle name="Style 29 2" xfId="25" xr:uid="{00000000-0005-0000-0000-000023000000}"/>
    <cellStyle name="Style 29 3" xfId="26" xr:uid="{00000000-0005-0000-0000-000024000000}"/>
    <cellStyle name="Style 29 3 2" xfId="27" xr:uid="{00000000-0005-0000-0000-000025000000}"/>
    <cellStyle name="Style 35" xfId="28" xr:uid="{00000000-0005-0000-0000-000026000000}"/>
    <cellStyle name="Style 35 2" xfId="29" xr:uid="{00000000-0005-0000-0000-000027000000}"/>
    <cellStyle name="Style 36" xfId="30" xr:uid="{00000000-0005-0000-0000-000028000000}"/>
    <cellStyle name="Style 36 2" xfId="31" xr:uid="{00000000-0005-0000-0000-000029000000}"/>
    <cellStyle name="Table title" xfId="147" xr:uid="{1F51F8BE-DF0A-4F05-AE0D-81409E65D544}"/>
    <cellStyle name="Title 2" xfId="89" xr:uid="{BFA040A3-4A4A-4D40-8D56-F601F1F1833B}"/>
    <cellStyle name="Title-2" xfId="82" xr:uid="{7C37B2C5-8A0F-4034-B6B2-C9B114BE64F4}"/>
    <cellStyle name="Total" xfId="32" builtinId="25" customBuiltin="1"/>
    <cellStyle name="Total 2" xfId="85" xr:uid="{8A8B11E1-7A44-4235-80C9-9E9927412381}"/>
    <cellStyle name="Warning Text" xfId="56" builtinId="11" customBuiltin="1"/>
  </cellStyles>
  <dxfs count="2">
    <dxf>
      <font>
        <b/>
        <i val="0"/>
        <condense val="0"/>
        <extend val="0"/>
      </font>
      <fill>
        <patternFill>
          <bgColor indexed="10"/>
        </patternFill>
      </fill>
    </dxf>
    <dxf>
      <font>
        <b/>
        <i val="0"/>
        <condense val="0"/>
        <extend val="0"/>
      </font>
      <fill>
        <patternFill>
          <bgColor indexed="1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FFFFCC"/>
      <color rgb="FFFFFF99"/>
      <color rgb="FFFFCCFF"/>
      <color rgb="FFFF99FF"/>
      <color rgb="FFFF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37"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theme" Target="theme/theme1.xml"/><Relationship Id="rId35"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_rels/activeX10.xml.rels><?xml version="1.0" encoding="UTF-8" standalone="yes"?>
<Relationships xmlns="http://schemas.openxmlformats.org/package/2006/relationships"><Relationship Id="rId1" Type="http://schemas.microsoft.com/office/2006/relationships/activeXControlBinary" Target="activeX10.bin"/></Relationships>
</file>

<file path=xl/activeX/_rels/activeX11.xml.rels><?xml version="1.0" encoding="UTF-8" standalone="yes"?>
<Relationships xmlns="http://schemas.openxmlformats.org/package/2006/relationships"><Relationship Id="rId1" Type="http://schemas.microsoft.com/office/2006/relationships/activeXControlBinary" Target="activeX11.bin"/></Relationships>
</file>

<file path=xl/activeX/_rels/activeX12.xml.rels><?xml version="1.0" encoding="UTF-8" standalone="yes"?>
<Relationships xmlns="http://schemas.openxmlformats.org/package/2006/relationships"><Relationship Id="rId1" Type="http://schemas.microsoft.com/office/2006/relationships/activeXControlBinary" Target="activeX12.bin"/></Relationships>
</file>

<file path=xl/activeX/_rels/activeX13.xml.rels><?xml version="1.0" encoding="UTF-8" standalone="yes"?>
<Relationships xmlns="http://schemas.openxmlformats.org/package/2006/relationships"><Relationship Id="rId1" Type="http://schemas.microsoft.com/office/2006/relationships/activeXControlBinary" Target="activeX13.bin"/></Relationships>
</file>

<file path=xl/activeX/_rels/activeX14.xml.rels><?xml version="1.0" encoding="UTF-8" standalone="yes"?>
<Relationships xmlns="http://schemas.openxmlformats.org/package/2006/relationships"><Relationship Id="rId1" Type="http://schemas.microsoft.com/office/2006/relationships/activeXControlBinary" Target="activeX14.bin"/></Relationships>
</file>

<file path=xl/activeX/_rels/activeX15.xml.rels><?xml version="1.0" encoding="UTF-8" standalone="yes"?>
<Relationships xmlns="http://schemas.openxmlformats.org/package/2006/relationships"><Relationship Id="rId1" Type="http://schemas.microsoft.com/office/2006/relationships/activeXControlBinary" Target="activeX15.bin"/></Relationships>
</file>

<file path=xl/activeX/_rels/activeX16.xml.rels><?xml version="1.0" encoding="UTF-8" standalone="yes"?>
<Relationships xmlns="http://schemas.openxmlformats.org/package/2006/relationships"><Relationship Id="rId1" Type="http://schemas.microsoft.com/office/2006/relationships/activeXControlBinary" Target="activeX16.bin"/></Relationships>
</file>

<file path=xl/activeX/_rels/activeX17.xml.rels><?xml version="1.0" encoding="UTF-8" standalone="yes"?>
<Relationships xmlns="http://schemas.openxmlformats.org/package/2006/relationships"><Relationship Id="rId1" Type="http://schemas.microsoft.com/office/2006/relationships/activeXControlBinary" Target="activeX17.bin"/></Relationships>
</file>

<file path=xl/activeX/_rels/activeX18.xml.rels><?xml version="1.0" encoding="UTF-8" standalone="yes"?>
<Relationships xmlns="http://schemas.openxmlformats.org/package/2006/relationships"><Relationship Id="rId1" Type="http://schemas.microsoft.com/office/2006/relationships/activeXControlBinary" Target="activeX18.bin"/></Relationships>
</file>

<file path=xl/activeX/_rels/activeX19.xml.rels><?xml version="1.0" encoding="UTF-8" standalone="yes"?>
<Relationships xmlns="http://schemas.openxmlformats.org/package/2006/relationships"><Relationship Id="rId1" Type="http://schemas.microsoft.com/office/2006/relationships/activeXControlBinary" Target="activeX19.bin"/></Relationships>
</file>

<file path=xl/activeX/_rels/activeX20.xml.rels><?xml version="1.0" encoding="UTF-8" standalone="yes"?>
<Relationships xmlns="http://schemas.openxmlformats.org/package/2006/relationships"><Relationship Id="rId1" Type="http://schemas.microsoft.com/office/2006/relationships/activeXControlBinary" Target="activeX20.bin"/></Relationships>
</file>

<file path=xl/activeX/_rels/activeX21.xml.rels><?xml version="1.0" encoding="UTF-8" standalone="yes"?>
<Relationships xmlns="http://schemas.openxmlformats.org/package/2006/relationships"><Relationship Id="rId1" Type="http://schemas.microsoft.com/office/2006/relationships/activeXControlBinary" Target="activeX21.bin"/></Relationships>
</file>

<file path=xl/activeX/_rels/activeX22.xml.rels><?xml version="1.0" encoding="UTF-8" standalone="yes"?>
<Relationships xmlns="http://schemas.openxmlformats.org/package/2006/relationships"><Relationship Id="rId1" Type="http://schemas.microsoft.com/office/2006/relationships/activeXControlBinary" Target="activeX22.bin"/></Relationships>
</file>

<file path=xl/activeX/_rels/activeX23.xml.rels><?xml version="1.0" encoding="UTF-8" standalone="yes"?>
<Relationships xmlns="http://schemas.openxmlformats.org/package/2006/relationships"><Relationship Id="rId1" Type="http://schemas.microsoft.com/office/2006/relationships/activeXControlBinary" Target="activeX23.bin"/></Relationships>
</file>

<file path=xl/activeX/_rels/activeX24.xml.rels><?xml version="1.0" encoding="UTF-8" standalone="yes"?>
<Relationships xmlns="http://schemas.openxmlformats.org/package/2006/relationships"><Relationship Id="rId1" Type="http://schemas.microsoft.com/office/2006/relationships/activeXControlBinary" Target="activeX24.bin"/></Relationships>
</file>

<file path=xl/activeX/_rels/activeX25.xml.rels><?xml version="1.0" encoding="UTF-8" standalone="yes"?>
<Relationships xmlns="http://schemas.openxmlformats.org/package/2006/relationships"><Relationship Id="rId1" Type="http://schemas.microsoft.com/office/2006/relationships/activeXControlBinary" Target="activeX25.bin"/></Relationships>
</file>

<file path=xl/activeX/_rels/activeX26.xml.rels><?xml version="1.0" encoding="UTF-8" standalone="yes"?>
<Relationships xmlns="http://schemas.openxmlformats.org/package/2006/relationships"><Relationship Id="rId1" Type="http://schemas.microsoft.com/office/2006/relationships/activeXControlBinary" Target="activeX26.bin"/></Relationships>
</file>

<file path=xl/activeX/_rels/activeX27.xml.rels><?xml version="1.0" encoding="UTF-8" standalone="yes"?>
<Relationships xmlns="http://schemas.openxmlformats.org/package/2006/relationships"><Relationship Id="rId1" Type="http://schemas.microsoft.com/office/2006/relationships/activeXControlBinary" Target="activeX27.bin"/></Relationships>
</file>

<file path=xl/activeX/_rels/activeX28.xml.rels><?xml version="1.0" encoding="UTF-8" standalone="yes"?>
<Relationships xmlns="http://schemas.openxmlformats.org/package/2006/relationships"><Relationship Id="rId1" Type="http://schemas.microsoft.com/office/2006/relationships/activeXControlBinary" Target="activeX28.bin"/></Relationships>
</file>

<file path=xl/activeX/_rels/activeX29.xml.rels><?xml version="1.0" encoding="UTF-8" standalone="yes"?>
<Relationships xmlns="http://schemas.openxmlformats.org/package/2006/relationships"><Relationship Id="rId1" Type="http://schemas.microsoft.com/office/2006/relationships/activeXControlBinary" Target="activeX29.bin"/></Relationships>
</file>

<file path=xl/activeX/_rels/activeX30.xml.rels><?xml version="1.0" encoding="UTF-8" standalone="yes"?>
<Relationships xmlns="http://schemas.openxmlformats.org/package/2006/relationships"><Relationship Id="rId1" Type="http://schemas.microsoft.com/office/2006/relationships/activeXControlBinary" Target="activeX30.bin"/></Relationships>
</file>

<file path=xl/activeX/_rels/activeX31.xml.rels><?xml version="1.0" encoding="UTF-8" standalone="yes"?>
<Relationships xmlns="http://schemas.openxmlformats.org/package/2006/relationships"><Relationship Id="rId1" Type="http://schemas.microsoft.com/office/2006/relationships/activeXControlBinary" Target="activeX31.bin"/></Relationships>
</file>

<file path=xl/activeX/_rels/activeX32.xml.rels><?xml version="1.0" encoding="UTF-8" standalone="yes"?>
<Relationships xmlns="http://schemas.openxmlformats.org/package/2006/relationships"><Relationship Id="rId1" Type="http://schemas.microsoft.com/office/2006/relationships/activeXControlBinary" Target="activeX32.bin"/></Relationships>
</file>

<file path=xl/activeX/_rels/activeX33.xml.rels><?xml version="1.0" encoding="UTF-8" standalone="yes"?>
<Relationships xmlns="http://schemas.openxmlformats.org/package/2006/relationships"><Relationship Id="rId1" Type="http://schemas.microsoft.com/office/2006/relationships/activeXControlBinary" Target="activeX33.bin"/></Relationships>
</file>

<file path=xl/activeX/_rels/activeX34.xml.rels><?xml version="1.0" encoding="UTF-8" standalone="yes"?>
<Relationships xmlns="http://schemas.openxmlformats.org/package/2006/relationships"><Relationship Id="rId1" Type="http://schemas.microsoft.com/office/2006/relationships/activeXControlBinary" Target="activeX34.bin"/></Relationships>
</file>

<file path=xl/activeX/_rels/activeX35.xml.rels><?xml version="1.0" encoding="UTF-8" standalone="yes"?>
<Relationships xmlns="http://schemas.openxmlformats.org/package/2006/relationships"><Relationship Id="rId1" Type="http://schemas.microsoft.com/office/2006/relationships/activeXControlBinary" Target="activeX35.bin"/></Relationships>
</file>

<file path=xl/activeX/_rels/activeX36.xml.rels><?xml version="1.0" encoding="UTF-8" standalone="yes"?>
<Relationships xmlns="http://schemas.openxmlformats.org/package/2006/relationships"><Relationship Id="rId1" Type="http://schemas.microsoft.com/office/2006/relationships/activeXControlBinary" Target="activeX36.bin"/></Relationships>
</file>

<file path=xl/activeX/_rels/activeX37.xml.rels><?xml version="1.0" encoding="UTF-8" standalone="yes"?>
<Relationships xmlns="http://schemas.openxmlformats.org/package/2006/relationships"><Relationship Id="rId1" Type="http://schemas.microsoft.com/office/2006/relationships/activeXControlBinary" Target="activeX37.bin"/></Relationships>
</file>

<file path=xl/activeX/_rels/activeX38.xml.rels><?xml version="1.0" encoding="UTF-8" standalone="yes"?>
<Relationships xmlns="http://schemas.openxmlformats.org/package/2006/relationships"><Relationship Id="rId1" Type="http://schemas.microsoft.com/office/2006/relationships/activeXControlBinary" Target="activeX38.bin"/></Relationships>
</file>

<file path=xl/activeX/_rels/activeX39.xml.rels><?xml version="1.0" encoding="UTF-8" standalone="yes"?>
<Relationships xmlns="http://schemas.openxmlformats.org/package/2006/relationships"><Relationship Id="rId1" Type="http://schemas.microsoft.com/office/2006/relationships/activeXControlBinary" Target="activeX39.bin"/></Relationships>
</file>

<file path=xl/activeX/_rels/activeX40.xml.rels><?xml version="1.0" encoding="UTF-8" standalone="yes"?>
<Relationships xmlns="http://schemas.openxmlformats.org/package/2006/relationships"><Relationship Id="rId1" Type="http://schemas.microsoft.com/office/2006/relationships/activeXControlBinary" Target="activeX40.bin"/></Relationships>
</file>

<file path=xl/activeX/_rels/activeX41.xml.rels><?xml version="1.0" encoding="UTF-8" standalone="yes"?>
<Relationships xmlns="http://schemas.openxmlformats.org/package/2006/relationships"><Relationship Id="rId1" Type="http://schemas.microsoft.com/office/2006/relationships/activeXControlBinary" Target="activeX41.bin"/></Relationships>
</file>

<file path=xl/activeX/_rels/activeX42.xml.rels><?xml version="1.0" encoding="UTF-8" standalone="yes"?>
<Relationships xmlns="http://schemas.openxmlformats.org/package/2006/relationships"><Relationship Id="rId1" Type="http://schemas.microsoft.com/office/2006/relationships/activeXControlBinary" Target="activeX42.bin"/></Relationships>
</file>

<file path=xl/activeX/_rels/activeX43.xml.rels><?xml version="1.0" encoding="UTF-8" standalone="yes"?>
<Relationships xmlns="http://schemas.openxmlformats.org/package/2006/relationships"><Relationship Id="rId1" Type="http://schemas.microsoft.com/office/2006/relationships/activeXControlBinary" Target="activeX43.bin"/></Relationships>
</file>

<file path=xl/activeX/_rels/activeX44.xml.rels><?xml version="1.0" encoding="UTF-8" standalone="yes"?>
<Relationships xmlns="http://schemas.openxmlformats.org/package/2006/relationships"><Relationship Id="rId1" Type="http://schemas.microsoft.com/office/2006/relationships/activeXControlBinary" Target="activeX44.bin"/></Relationships>
</file>

<file path=xl/activeX/_rels/activeX45.xml.rels><?xml version="1.0" encoding="UTF-8" standalone="yes"?>
<Relationships xmlns="http://schemas.openxmlformats.org/package/2006/relationships"><Relationship Id="rId1" Type="http://schemas.microsoft.com/office/2006/relationships/activeXControlBinary" Target="activeX45.bin"/></Relationships>
</file>

<file path=xl/activeX/_rels/activeX46.xml.rels><?xml version="1.0" encoding="UTF-8" standalone="yes"?>
<Relationships xmlns="http://schemas.openxmlformats.org/package/2006/relationships"><Relationship Id="rId1" Type="http://schemas.microsoft.com/office/2006/relationships/activeXControlBinary" Target="activeX46.bin"/></Relationships>
</file>

<file path=xl/activeX/_rels/activeX47.xml.rels><?xml version="1.0" encoding="UTF-8" standalone="yes"?>
<Relationships xmlns="http://schemas.openxmlformats.org/package/2006/relationships"><Relationship Id="rId1" Type="http://schemas.microsoft.com/office/2006/relationships/activeXControlBinary" Target="activeX47.bin"/></Relationships>
</file>

<file path=xl/activeX/_rels/activeX48.xml.rels><?xml version="1.0" encoding="UTF-8" standalone="yes"?>
<Relationships xmlns="http://schemas.openxmlformats.org/package/2006/relationships"><Relationship Id="rId1" Type="http://schemas.microsoft.com/office/2006/relationships/activeXControlBinary" Target="activeX48.bin"/></Relationships>
</file>

<file path=xl/activeX/_rels/activeX49.xml.rels><?xml version="1.0" encoding="UTF-8" standalone="yes"?>
<Relationships xmlns="http://schemas.openxmlformats.org/package/2006/relationships"><Relationship Id="rId1" Type="http://schemas.microsoft.com/office/2006/relationships/activeXControlBinary" Target="activeX49.bin"/></Relationships>
</file>

<file path=xl/activeX/_rels/activeX50.xml.rels><?xml version="1.0" encoding="UTF-8" standalone="yes"?>
<Relationships xmlns="http://schemas.openxmlformats.org/package/2006/relationships"><Relationship Id="rId1" Type="http://schemas.microsoft.com/office/2006/relationships/activeXControlBinary" Target="activeX50.bin"/></Relationships>
</file>

<file path=xl/activeX/_rels/activeX51.xml.rels><?xml version="1.0" encoding="UTF-8" standalone="yes"?>
<Relationships xmlns="http://schemas.openxmlformats.org/package/2006/relationships"><Relationship Id="rId1" Type="http://schemas.microsoft.com/office/2006/relationships/activeXControlBinary" Target="activeX51.bin"/></Relationships>
</file>

<file path=xl/activeX/_rels/activeX52.xml.rels><?xml version="1.0" encoding="UTF-8" standalone="yes"?>
<Relationships xmlns="http://schemas.openxmlformats.org/package/2006/relationships"><Relationship Id="rId1" Type="http://schemas.microsoft.com/office/2006/relationships/activeXControlBinary" Target="activeX52.bin"/></Relationships>
</file>

<file path=xl/activeX/_rels/activeX53.xml.rels><?xml version="1.0" encoding="UTF-8" standalone="yes"?>
<Relationships xmlns="http://schemas.openxmlformats.org/package/2006/relationships"><Relationship Id="rId1" Type="http://schemas.microsoft.com/office/2006/relationships/activeXControlBinary" Target="activeX53.bin"/></Relationships>
</file>

<file path=xl/activeX/_rels/activeX54.xml.rels><?xml version="1.0" encoding="UTF-8" standalone="yes"?>
<Relationships xmlns="http://schemas.openxmlformats.org/package/2006/relationships"><Relationship Id="rId1" Type="http://schemas.microsoft.com/office/2006/relationships/activeXControlBinary" Target="activeX54.bin"/></Relationships>
</file>

<file path=xl/activeX/_rels/activeX55.xml.rels><?xml version="1.0" encoding="UTF-8" standalone="yes"?>
<Relationships xmlns="http://schemas.openxmlformats.org/package/2006/relationships"><Relationship Id="rId1" Type="http://schemas.microsoft.com/office/2006/relationships/activeXControlBinary" Target="activeX55.bin"/></Relationships>
</file>

<file path=xl/activeX/_rels/activeX56.xml.rels><?xml version="1.0" encoding="UTF-8" standalone="yes"?>
<Relationships xmlns="http://schemas.openxmlformats.org/package/2006/relationships"><Relationship Id="rId1" Type="http://schemas.microsoft.com/office/2006/relationships/activeXControlBinary" Target="activeX56.bin"/></Relationships>
</file>

<file path=xl/activeX/_rels/activeX57.xml.rels><?xml version="1.0" encoding="UTF-8" standalone="yes"?>
<Relationships xmlns="http://schemas.openxmlformats.org/package/2006/relationships"><Relationship Id="rId1" Type="http://schemas.microsoft.com/office/2006/relationships/activeXControlBinary" Target="activeX57.bin"/></Relationships>
</file>

<file path=xl/activeX/_rels/activeX58.xml.rels><?xml version="1.0" encoding="UTF-8" standalone="yes"?>
<Relationships xmlns="http://schemas.openxmlformats.org/package/2006/relationships"><Relationship Id="rId1" Type="http://schemas.microsoft.com/office/2006/relationships/activeXControlBinary" Target="activeX58.bin"/></Relationships>
</file>

<file path=xl/activeX/_rels/activeX59.xml.rels><?xml version="1.0" encoding="UTF-8" standalone="yes"?>
<Relationships xmlns="http://schemas.openxmlformats.org/package/2006/relationships"><Relationship Id="rId1" Type="http://schemas.microsoft.com/office/2006/relationships/activeXControlBinary" Target="activeX59.bin"/></Relationships>
</file>

<file path=xl/activeX/_rels/activeX60.xml.rels><?xml version="1.0" encoding="UTF-8" standalone="yes"?>
<Relationships xmlns="http://schemas.openxmlformats.org/package/2006/relationships"><Relationship Id="rId1" Type="http://schemas.microsoft.com/office/2006/relationships/activeXControlBinary" Target="activeX60.bin"/></Relationships>
</file>

<file path=xl/activeX/_rels/activeX61.xml.rels><?xml version="1.0" encoding="UTF-8" standalone="yes"?>
<Relationships xmlns="http://schemas.openxmlformats.org/package/2006/relationships"><Relationship Id="rId1" Type="http://schemas.microsoft.com/office/2006/relationships/activeXControlBinary" Target="activeX61.bin"/></Relationships>
</file>

<file path=xl/activeX/_rels/activeX62.xml.rels><?xml version="1.0" encoding="UTF-8" standalone="yes"?>
<Relationships xmlns="http://schemas.openxmlformats.org/package/2006/relationships"><Relationship Id="rId1" Type="http://schemas.microsoft.com/office/2006/relationships/activeXControlBinary" Target="activeX62.bin"/></Relationships>
</file>

<file path=xl/activeX/_rels/activeX63.xml.rels><?xml version="1.0" encoding="UTF-8" standalone="yes"?>
<Relationships xmlns="http://schemas.openxmlformats.org/package/2006/relationships"><Relationship Id="rId1" Type="http://schemas.microsoft.com/office/2006/relationships/activeXControlBinary" Target="activeX63.bin"/></Relationships>
</file>

<file path=xl/activeX/_rels/activeX64.xml.rels><?xml version="1.0" encoding="UTF-8" standalone="yes"?>
<Relationships xmlns="http://schemas.openxmlformats.org/package/2006/relationships"><Relationship Id="rId1" Type="http://schemas.microsoft.com/office/2006/relationships/activeXControlBinary" Target="activeX64.bin"/></Relationships>
</file>

<file path=xl/activeX/_rels/activeX65.xml.rels><?xml version="1.0" encoding="UTF-8" standalone="yes"?>
<Relationships xmlns="http://schemas.openxmlformats.org/package/2006/relationships"><Relationship Id="rId1" Type="http://schemas.microsoft.com/office/2006/relationships/activeXControlBinary" Target="activeX65.bin"/></Relationships>
</file>

<file path=xl/activeX/_rels/activeX66.xml.rels><?xml version="1.0" encoding="UTF-8" standalone="yes"?>
<Relationships xmlns="http://schemas.openxmlformats.org/package/2006/relationships"><Relationship Id="rId1" Type="http://schemas.microsoft.com/office/2006/relationships/activeXControlBinary" Target="activeX66.bin"/></Relationships>
</file>

<file path=xl/activeX/_rels/activeX67.xml.rels><?xml version="1.0" encoding="UTF-8" standalone="yes"?>
<Relationships xmlns="http://schemas.openxmlformats.org/package/2006/relationships"><Relationship Id="rId1" Type="http://schemas.microsoft.com/office/2006/relationships/activeXControlBinary" Target="activeX67.bin"/></Relationships>
</file>

<file path=xl/activeX/_rels/activeX68.xml.rels><?xml version="1.0" encoding="UTF-8" standalone="yes"?>
<Relationships xmlns="http://schemas.openxmlformats.org/package/2006/relationships"><Relationship Id="rId1" Type="http://schemas.microsoft.com/office/2006/relationships/activeXControlBinary" Target="activeX68.bin"/></Relationships>
</file>

<file path=xl/activeX/_rels/activeX69.xml.rels><?xml version="1.0" encoding="UTF-8" standalone="yes"?>
<Relationships xmlns="http://schemas.openxmlformats.org/package/2006/relationships"><Relationship Id="rId1" Type="http://schemas.microsoft.com/office/2006/relationships/activeXControlBinary" Target="activeX69.bin"/></Relationships>
</file>

<file path=xl/activeX/activeX1.xml><?xml version="1.0" encoding="utf-8"?>
<ax:ocx xmlns:ax="http://schemas.microsoft.com/office/2006/activeX" xmlns:r="http://schemas.openxmlformats.org/officeDocument/2006/relationships" ax:classid="{D7053240-CE69-11CD-A777-00DD01143C57}" ax:persistence="persistStreamInit" r:id="rId1"/>
</file>

<file path=xl/activeX/activeX2.xml><?xml version="1.0" encoding="utf-8"?>
<ax:ocx xmlns:ax="http://schemas.microsoft.com/office/2006/activeX" xmlns:r="http://schemas.openxmlformats.org/officeDocument/2006/relationships" ax:classid="{D7053240-CE69-11CD-A777-00DD01143C57}" ax:persistence="persistStreamInit" r:id="rId1"/>
</file>

<file path=xl/activeX/activeX3.xml><?xml version="1.0" encoding="utf-8"?>
<ax:ocx xmlns:ax="http://schemas.microsoft.com/office/2006/activeX" xmlns:r="http://schemas.openxmlformats.org/officeDocument/2006/relationships" ax:classid="{D7053240-CE69-11CD-A777-00DD01143C57}" ax:persistence="persistStreamInit" r:id="rId1"/>
</file>

<file path=xl/activeX/activeX4.xml><?xml version="1.0" encoding="utf-8"?>
<ax:ocx xmlns:ax="http://schemas.microsoft.com/office/2006/activeX" xmlns:r="http://schemas.openxmlformats.org/officeDocument/2006/relationships" ax:classid="{D7053240-CE69-11CD-A777-00DD01143C57}" ax:persistence="persistStreamInit" r:id="rId1"/>
</file>

<file path=xl/activeX/activeX5.xml><?xml version="1.0" encoding="utf-8"?>
<ax:ocx xmlns:ax="http://schemas.microsoft.com/office/2006/activeX" xmlns:r="http://schemas.openxmlformats.org/officeDocument/2006/relationships" ax:classid="{D7053240-CE69-11CD-A777-00DD01143C57}" ax:persistence="persistStreamInit" r:id="rId1"/>
</file>

<file path=xl/activeX/activeX6.xml><?xml version="1.0" encoding="utf-8"?>
<ax:ocx xmlns:ax="http://schemas.microsoft.com/office/2006/activeX" xmlns:r="http://schemas.openxmlformats.org/officeDocument/2006/relationships" ax:classid="{D7053240-CE69-11CD-A777-00DD01143C57}" ax:persistence="persistStreamInit" r:id="rId1"/>
</file>

<file path=xl/activeX/activeX7.xml><?xml version="1.0" encoding="utf-8"?>
<ax:ocx xmlns:ax="http://schemas.microsoft.com/office/2006/activeX" xmlns:r="http://schemas.openxmlformats.org/officeDocument/2006/relationships" ax:classid="{D7053240-CE69-11CD-A777-00DD01143C57}" ax:persistence="persistStreamInit" r:id="rId1"/>
</file>

<file path=xl/activeX/activeX8.xml><?xml version="1.0" encoding="utf-8"?>
<ax:ocx xmlns:ax="http://schemas.microsoft.com/office/2006/activeX" xmlns:r="http://schemas.openxmlformats.org/officeDocument/2006/relationships" ax:classid="{D7053240-CE69-11CD-A777-00DD01143C57}" ax:persistence="persistStreamInit" r:id="rId1"/>
</file>

<file path=xl/activeX/activeX9.xml><?xml version="1.0" encoding="utf-8"?>
<ax:ocx xmlns:ax="http://schemas.microsoft.com/office/2006/activeX" xmlns:r="http://schemas.openxmlformats.org/officeDocument/2006/relationships" ax:classid="{D7053240-CE69-11CD-A777-00DD01143C57}" ax:persistence="persistStreamInit" r:id="rId1"/>
</file>

<file path=xl/activeX/activeX10.xml><?xml version="1.0" encoding="utf-8"?>
<ax:ocx xmlns:ax="http://schemas.microsoft.com/office/2006/activeX" xmlns:r="http://schemas.openxmlformats.org/officeDocument/2006/relationships" ax:classid="{D7053240-CE69-11CD-A777-00DD01143C57}" ax:persistence="persistStreamInit" r:id="rId1"/>
</file>

<file path=xl/activeX/activeX11.xml><?xml version="1.0" encoding="utf-8"?>
<ax:ocx xmlns:ax="http://schemas.microsoft.com/office/2006/activeX" xmlns:r="http://schemas.openxmlformats.org/officeDocument/2006/relationships" ax:classid="{D7053240-CE69-11CD-A777-00DD01143C57}" ax:persistence="persistStreamInit" r:id="rId1"/>
</file>

<file path=xl/activeX/activeX12.xml><?xml version="1.0" encoding="utf-8"?>
<ax:ocx xmlns:ax="http://schemas.microsoft.com/office/2006/activeX" xmlns:r="http://schemas.openxmlformats.org/officeDocument/2006/relationships" ax:classid="{D7053240-CE69-11CD-A777-00DD01143C57}" ax:persistence="persistStreamInit" r:id="rId1"/>
</file>

<file path=xl/activeX/activeX13.xml><?xml version="1.0" encoding="utf-8"?>
<ax:ocx xmlns:ax="http://schemas.microsoft.com/office/2006/activeX" xmlns:r="http://schemas.openxmlformats.org/officeDocument/2006/relationships" ax:classid="{D7053240-CE69-11CD-A777-00DD01143C57}" ax:persistence="persistStreamInit" r:id="rId1"/>
</file>

<file path=xl/activeX/activeX14.xml><?xml version="1.0" encoding="utf-8"?>
<ax:ocx xmlns:ax="http://schemas.microsoft.com/office/2006/activeX" xmlns:r="http://schemas.openxmlformats.org/officeDocument/2006/relationships" ax:classid="{D7053240-CE69-11CD-A777-00DD01143C57}" ax:persistence="persistStreamInit" r:id="rId1"/>
</file>

<file path=xl/activeX/activeX15.xml><?xml version="1.0" encoding="utf-8"?>
<ax:ocx xmlns:ax="http://schemas.microsoft.com/office/2006/activeX" xmlns:r="http://schemas.openxmlformats.org/officeDocument/2006/relationships" ax:classid="{D7053240-CE69-11CD-A777-00DD01143C57}" ax:persistence="persistStreamInit" r:id="rId1"/>
</file>

<file path=xl/activeX/activeX16.xml><?xml version="1.0" encoding="utf-8"?>
<ax:ocx xmlns:ax="http://schemas.microsoft.com/office/2006/activeX" xmlns:r="http://schemas.openxmlformats.org/officeDocument/2006/relationships" ax:classid="{D7053240-CE69-11CD-A777-00DD01143C57}" ax:persistence="persistStreamInit" r:id="rId1"/>
</file>

<file path=xl/activeX/activeX17.xml><?xml version="1.0" encoding="utf-8"?>
<ax:ocx xmlns:ax="http://schemas.microsoft.com/office/2006/activeX" xmlns:r="http://schemas.openxmlformats.org/officeDocument/2006/relationships" ax:classid="{D7053240-CE69-11CD-A777-00DD01143C57}" ax:persistence="persistStreamInit" r:id="rId1"/>
</file>

<file path=xl/activeX/activeX18.xml><?xml version="1.0" encoding="utf-8"?>
<ax:ocx xmlns:ax="http://schemas.microsoft.com/office/2006/activeX" xmlns:r="http://schemas.openxmlformats.org/officeDocument/2006/relationships" ax:classid="{D7053240-CE69-11CD-A777-00DD01143C57}" ax:persistence="persistStreamInit" r:id="rId1"/>
</file>

<file path=xl/activeX/activeX19.xml><?xml version="1.0" encoding="utf-8"?>
<ax:ocx xmlns:ax="http://schemas.microsoft.com/office/2006/activeX" xmlns:r="http://schemas.openxmlformats.org/officeDocument/2006/relationships" ax:classid="{D7053240-CE69-11CD-A777-00DD01143C57}" ax:persistence="persistStreamInit" r:id="rId1"/>
</file>

<file path=xl/activeX/activeX20.xml><?xml version="1.0" encoding="utf-8"?>
<ax:ocx xmlns:ax="http://schemas.microsoft.com/office/2006/activeX" xmlns:r="http://schemas.openxmlformats.org/officeDocument/2006/relationships" ax:classid="{D7053240-CE69-11CD-A777-00DD01143C57}" ax:persistence="persistStreamInit" r:id="rId1"/>
</file>

<file path=xl/activeX/activeX21.xml><?xml version="1.0" encoding="utf-8"?>
<ax:ocx xmlns:ax="http://schemas.microsoft.com/office/2006/activeX" xmlns:r="http://schemas.openxmlformats.org/officeDocument/2006/relationships" ax:classid="{D7053240-CE69-11CD-A777-00DD01143C57}" ax:persistence="persistStreamInit" r:id="rId1"/>
</file>

<file path=xl/activeX/activeX22.xml><?xml version="1.0" encoding="utf-8"?>
<ax:ocx xmlns:ax="http://schemas.microsoft.com/office/2006/activeX" xmlns:r="http://schemas.openxmlformats.org/officeDocument/2006/relationships" ax:classid="{D7053240-CE69-11CD-A777-00DD01143C57}" ax:persistence="persistStreamInit" r:id="rId1"/>
</file>

<file path=xl/activeX/activeX23.xml><?xml version="1.0" encoding="utf-8"?>
<ax:ocx xmlns:ax="http://schemas.microsoft.com/office/2006/activeX" xmlns:r="http://schemas.openxmlformats.org/officeDocument/2006/relationships" ax:classid="{D7053240-CE69-11CD-A777-00DD01143C57}" ax:persistence="persistStreamInit" r:id="rId1"/>
</file>

<file path=xl/activeX/activeX24.xml><?xml version="1.0" encoding="utf-8"?>
<ax:ocx xmlns:ax="http://schemas.microsoft.com/office/2006/activeX" xmlns:r="http://schemas.openxmlformats.org/officeDocument/2006/relationships" ax:classid="{D7053240-CE69-11CD-A777-00DD01143C57}" ax:persistence="persistStreamInit" r:id="rId1"/>
</file>

<file path=xl/activeX/activeX25.xml><?xml version="1.0" encoding="utf-8"?>
<ax:ocx xmlns:ax="http://schemas.microsoft.com/office/2006/activeX" xmlns:r="http://schemas.openxmlformats.org/officeDocument/2006/relationships" ax:classid="{D7053240-CE69-11CD-A777-00DD01143C57}" ax:persistence="persistStreamInit" r:id="rId1"/>
</file>

<file path=xl/activeX/activeX26.xml><?xml version="1.0" encoding="utf-8"?>
<ax:ocx xmlns:ax="http://schemas.microsoft.com/office/2006/activeX" xmlns:r="http://schemas.openxmlformats.org/officeDocument/2006/relationships" ax:classid="{D7053240-CE69-11CD-A777-00DD01143C57}" ax:persistence="persistStreamInit" r:id="rId1"/>
</file>

<file path=xl/activeX/activeX27.xml><?xml version="1.0" encoding="utf-8"?>
<ax:ocx xmlns:ax="http://schemas.microsoft.com/office/2006/activeX" xmlns:r="http://schemas.openxmlformats.org/officeDocument/2006/relationships" ax:classid="{D7053240-CE69-11CD-A777-00DD01143C57}" ax:persistence="persistStreamInit" r:id="rId1"/>
</file>

<file path=xl/activeX/activeX28.xml><?xml version="1.0" encoding="utf-8"?>
<ax:ocx xmlns:ax="http://schemas.microsoft.com/office/2006/activeX" xmlns:r="http://schemas.openxmlformats.org/officeDocument/2006/relationships" ax:classid="{D7053240-CE69-11CD-A777-00DD01143C57}" ax:persistence="persistStreamInit" r:id="rId1"/>
</file>

<file path=xl/activeX/activeX29.xml><?xml version="1.0" encoding="utf-8"?>
<ax:ocx xmlns:ax="http://schemas.microsoft.com/office/2006/activeX" xmlns:r="http://schemas.openxmlformats.org/officeDocument/2006/relationships" ax:classid="{D7053240-CE69-11CD-A777-00DD01143C57}" ax:persistence="persistStreamInit" r:id="rId1"/>
</file>

<file path=xl/activeX/activeX30.xml><?xml version="1.0" encoding="utf-8"?>
<ax:ocx xmlns:ax="http://schemas.microsoft.com/office/2006/activeX" xmlns:r="http://schemas.openxmlformats.org/officeDocument/2006/relationships" ax:classid="{D7053240-CE69-11CD-A777-00DD01143C57}" ax:persistence="persistStreamInit" r:id="rId1"/>
</file>

<file path=xl/activeX/activeX31.xml><?xml version="1.0" encoding="utf-8"?>
<ax:ocx xmlns:ax="http://schemas.microsoft.com/office/2006/activeX" xmlns:r="http://schemas.openxmlformats.org/officeDocument/2006/relationships" ax:classid="{D7053240-CE69-11CD-A777-00DD01143C57}" ax:persistence="persistStreamInit" r:id="rId1"/>
</file>

<file path=xl/activeX/activeX32.xml><?xml version="1.0" encoding="utf-8"?>
<ax:ocx xmlns:ax="http://schemas.microsoft.com/office/2006/activeX" xmlns:r="http://schemas.openxmlformats.org/officeDocument/2006/relationships" ax:classid="{D7053240-CE69-11CD-A777-00DD01143C57}" ax:persistence="persistStreamInit" r:id="rId1"/>
</file>

<file path=xl/activeX/activeX33.xml><?xml version="1.0" encoding="utf-8"?>
<ax:ocx xmlns:ax="http://schemas.microsoft.com/office/2006/activeX" xmlns:r="http://schemas.openxmlformats.org/officeDocument/2006/relationships" ax:classid="{D7053240-CE69-11CD-A777-00DD01143C57}" ax:persistence="persistStreamInit" r:id="rId1"/>
</file>

<file path=xl/activeX/activeX34.xml><?xml version="1.0" encoding="utf-8"?>
<ax:ocx xmlns:ax="http://schemas.microsoft.com/office/2006/activeX" xmlns:r="http://schemas.openxmlformats.org/officeDocument/2006/relationships" ax:classid="{D7053240-CE69-11CD-A777-00DD01143C57}" ax:persistence="persistStreamInit" r:id="rId1"/>
</file>

<file path=xl/activeX/activeX35.xml><?xml version="1.0" encoding="utf-8"?>
<ax:ocx xmlns:ax="http://schemas.microsoft.com/office/2006/activeX" xmlns:r="http://schemas.openxmlformats.org/officeDocument/2006/relationships" ax:classid="{D7053240-CE69-11CD-A777-00DD01143C57}" ax:persistence="persistStreamInit" r:id="rId1"/>
</file>

<file path=xl/activeX/activeX36.xml><?xml version="1.0" encoding="utf-8"?>
<ax:ocx xmlns:ax="http://schemas.microsoft.com/office/2006/activeX" xmlns:r="http://schemas.openxmlformats.org/officeDocument/2006/relationships" ax:classid="{D7053240-CE69-11CD-A777-00DD01143C57}" ax:persistence="persistStreamInit" r:id="rId1"/>
</file>

<file path=xl/activeX/activeX37.xml><?xml version="1.0" encoding="utf-8"?>
<ax:ocx xmlns:ax="http://schemas.microsoft.com/office/2006/activeX" xmlns:r="http://schemas.openxmlformats.org/officeDocument/2006/relationships" ax:classid="{D7053240-CE69-11CD-A777-00DD01143C57}" ax:persistence="persistStreamInit" r:id="rId1"/>
</file>

<file path=xl/activeX/activeX38.xml><?xml version="1.0" encoding="utf-8"?>
<ax:ocx xmlns:ax="http://schemas.microsoft.com/office/2006/activeX" xmlns:r="http://schemas.openxmlformats.org/officeDocument/2006/relationships" ax:classid="{D7053240-CE69-11CD-A777-00DD01143C57}" ax:persistence="persistStreamInit" r:id="rId1"/>
</file>

<file path=xl/activeX/activeX39.xml><?xml version="1.0" encoding="utf-8"?>
<ax:ocx xmlns:ax="http://schemas.microsoft.com/office/2006/activeX" xmlns:r="http://schemas.openxmlformats.org/officeDocument/2006/relationships" ax:classid="{D7053240-CE69-11CD-A777-00DD01143C57}" ax:persistence="persistStreamInit" r:id="rId1"/>
</file>

<file path=xl/activeX/activeX40.xml><?xml version="1.0" encoding="utf-8"?>
<ax:ocx xmlns:ax="http://schemas.microsoft.com/office/2006/activeX" xmlns:r="http://schemas.openxmlformats.org/officeDocument/2006/relationships" ax:classid="{D7053240-CE69-11CD-A777-00DD01143C57}" ax:persistence="persistStreamInit" r:id="rId1"/>
</file>

<file path=xl/activeX/activeX41.xml><?xml version="1.0" encoding="utf-8"?>
<ax:ocx xmlns:ax="http://schemas.microsoft.com/office/2006/activeX" xmlns:r="http://schemas.openxmlformats.org/officeDocument/2006/relationships" ax:classid="{D7053240-CE69-11CD-A777-00DD01143C57}" ax:persistence="persistStreamInit" r:id="rId1"/>
</file>

<file path=xl/activeX/activeX42.xml><?xml version="1.0" encoding="utf-8"?>
<ax:ocx xmlns:ax="http://schemas.microsoft.com/office/2006/activeX" xmlns:r="http://schemas.openxmlformats.org/officeDocument/2006/relationships" ax:classid="{D7053240-CE69-11CD-A777-00DD01143C57}" ax:persistence="persistStreamInit" r:id="rId1"/>
</file>

<file path=xl/activeX/activeX43.xml><?xml version="1.0" encoding="utf-8"?>
<ax:ocx xmlns:ax="http://schemas.microsoft.com/office/2006/activeX" xmlns:r="http://schemas.openxmlformats.org/officeDocument/2006/relationships" ax:classid="{D7053240-CE69-11CD-A777-00DD01143C57}" ax:persistence="persistStreamInit" r:id="rId1"/>
</file>

<file path=xl/activeX/activeX44.xml><?xml version="1.0" encoding="utf-8"?>
<ax:ocx xmlns:ax="http://schemas.microsoft.com/office/2006/activeX" xmlns:r="http://schemas.openxmlformats.org/officeDocument/2006/relationships" ax:classid="{D7053240-CE69-11CD-A777-00DD01143C57}" ax:persistence="persistStreamInit" r:id="rId1"/>
</file>

<file path=xl/activeX/activeX45.xml><?xml version="1.0" encoding="utf-8"?>
<ax:ocx xmlns:ax="http://schemas.microsoft.com/office/2006/activeX" xmlns:r="http://schemas.openxmlformats.org/officeDocument/2006/relationships" ax:classid="{D7053240-CE69-11CD-A777-00DD01143C57}" ax:persistence="persistStreamInit" r:id="rId1"/>
</file>

<file path=xl/activeX/activeX46.xml><?xml version="1.0" encoding="utf-8"?>
<ax:ocx xmlns:ax="http://schemas.microsoft.com/office/2006/activeX" xmlns:r="http://schemas.openxmlformats.org/officeDocument/2006/relationships" ax:classid="{D7053240-CE69-11CD-A777-00DD01143C57}" ax:persistence="persistStreamInit" r:id="rId1"/>
</file>

<file path=xl/activeX/activeX47.xml><?xml version="1.0" encoding="utf-8"?>
<ax:ocx xmlns:ax="http://schemas.microsoft.com/office/2006/activeX" xmlns:r="http://schemas.openxmlformats.org/officeDocument/2006/relationships" ax:classid="{D7053240-CE69-11CD-A777-00DD01143C57}" ax:persistence="persistStreamInit" r:id="rId1"/>
</file>

<file path=xl/activeX/activeX48.xml><?xml version="1.0" encoding="utf-8"?>
<ax:ocx xmlns:ax="http://schemas.microsoft.com/office/2006/activeX" xmlns:r="http://schemas.openxmlformats.org/officeDocument/2006/relationships" ax:classid="{D7053240-CE69-11CD-A777-00DD01143C57}" ax:persistence="persistStreamInit" r:id="rId1"/>
</file>

<file path=xl/activeX/activeX49.xml><?xml version="1.0" encoding="utf-8"?>
<ax:ocx xmlns:ax="http://schemas.microsoft.com/office/2006/activeX" xmlns:r="http://schemas.openxmlformats.org/officeDocument/2006/relationships" ax:classid="{D7053240-CE69-11CD-A777-00DD01143C57}" ax:persistence="persistStreamInit" r:id="rId1"/>
</file>

<file path=xl/activeX/activeX50.xml><?xml version="1.0" encoding="utf-8"?>
<ax:ocx xmlns:ax="http://schemas.microsoft.com/office/2006/activeX" xmlns:r="http://schemas.openxmlformats.org/officeDocument/2006/relationships" ax:classid="{D7053240-CE69-11CD-A777-00DD01143C57}" ax:persistence="persistStreamInit" r:id="rId1"/>
</file>

<file path=xl/activeX/activeX51.xml><?xml version="1.0" encoding="utf-8"?>
<ax:ocx xmlns:ax="http://schemas.microsoft.com/office/2006/activeX" xmlns:r="http://schemas.openxmlformats.org/officeDocument/2006/relationships" ax:classid="{D7053240-CE69-11CD-A777-00DD01143C57}" ax:persistence="persistStreamInit" r:id="rId1"/>
</file>

<file path=xl/activeX/activeX52.xml><?xml version="1.0" encoding="utf-8"?>
<ax:ocx xmlns:ax="http://schemas.microsoft.com/office/2006/activeX" xmlns:r="http://schemas.openxmlformats.org/officeDocument/2006/relationships" ax:classid="{D7053240-CE69-11CD-A777-00DD01143C57}" ax:persistence="persistStreamInit" r:id="rId1"/>
</file>

<file path=xl/activeX/activeX53.xml><?xml version="1.0" encoding="utf-8"?>
<ax:ocx xmlns:ax="http://schemas.microsoft.com/office/2006/activeX" xmlns:r="http://schemas.openxmlformats.org/officeDocument/2006/relationships" ax:classid="{D7053240-CE69-11CD-A777-00DD01143C57}" ax:persistence="persistStreamInit" r:id="rId1"/>
</file>

<file path=xl/activeX/activeX54.xml><?xml version="1.0" encoding="utf-8"?>
<ax:ocx xmlns:ax="http://schemas.microsoft.com/office/2006/activeX" xmlns:r="http://schemas.openxmlformats.org/officeDocument/2006/relationships" ax:classid="{D7053240-CE69-11CD-A777-00DD01143C57}" ax:persistence="persistStreamInit" r:id="rId1"/>
</file>

<file path=xl/activeX/activeX55.xml><?xml version="1.0" encoding="utf-8"?>
<ax:ocx xmlns:ax="http://schemas.microsoft.com/office/2006/activeX" xmlns:r="http://schemas.openxmlformats.org/officeDocument/2006/relationships" ax:classid="{D7053240-CE69-11CD-A777-00DD01143C57}" ax:persistence="persistStreamInit" r:id="rId1"/>
</file>

<file path=xl/activeX/activeX56.xml><?xml version="1.0" encoding="utf-8"?>
<ax:ocx xmlns:ax="http://schemas.microsoft.com/office/2006/activeX" xmlns:r="http://schemas.openxmlformats.org/officeDocument/2006/relationships" ax:classid="{D7053240-CE69-11CD-A777-00DD01143C57}" ax:persistence="persistStreamInit" r:id="rId1"/>
</file>

<file path=xl/activeX/activeX57.xml><?xml version="1.0" encoding="utf-8"?>
<ax:ocx xmlns:ax="http://schemas.microsoft.com/office/2006/activeX" xmlns:r="http://schemas.openxmlformats.org/officeDocument/2006/relationships" ax:classid="{D7053240-CE69-11CD-A777-00DD01143C57}" ax:persistence="persistStreamInit" r:id="rId1"/>
</file>

<file path=xl/activeX/activeX58.xml><?xml version="1.0" encoding="utf-8"?>
<ax:ocx xmlns:ax="http://schemas.microsoft.com/office/2006/activeX" xmlns:r="http://schemas.openxmlformats.org/officeDocument/2006/relationships" ax:classid="{D7053240-CE69-11CD-A777-00DD01143C57}" ax:persistence="persistStreamInit" r:id="rId1"/>
</file>

<file path=xl/activeX/activeX59.xml><?xml version="1.0" encoding="utf-8"?>
<ax:ocx xmlns:ax="http://schemas.microsoft.com/office/2006/activeX" xmlns:r="http://schemas.openxmlformats.org/officeDocument/2006/relationships" ax:classid="{D7053240-CE69-11CD-A777-00DD01143C57}" ax:persistence="persistStreamInit" r:id="rId1"/>
</file>

<file path=xl/activeX/activeX60.xml><?xml version="1.0" encoding="utf-8"?>
<ax:ocx xmlns:ax="http://schemas.microsoft.com/office/2006/activeX" xmlns:r="http://schemas.openxmlformats.org/officeDocument/2006/relationships" ax:classid="{D7053240-CE69-11CD-A777-00DD01143C57}" ax:persistence="persistStreamInit" r:id="rId1"/>
</file>

<file path=xl/activeX/activeX61.xml><?xml version="1.0" encoding="utf-8"?>
<ax:ocx xmlns:ax="http://schemas.microsoft.com/office/2006/activeX" xmlns:r="http://schemas.openxmlformats.org/officeDocument/2006/relationships" ax:classid="{D7053240-CE69-11CD-A777-00DD01143C57}" ax:persistence="persistStreamInit" r:id="rId1"/>
</file>

<file path=xl/activeX/activeX62.xml><?xml version="1.0" encoding="utf-8"?>
<ax:ocx xmlns:ax="http://schemas.microsoft.com/office/2006/activeX" xmlns:r="http://schemas.openxmlformats.org/officeDocument/2006/relationships" ax:classid="{D7053240-CE69-11CD-A777-00DD01143C57}" ax:persistence="persistStreamInit" r:id="rId1"/>
</file>

<file path=xl/activeX/activeX63.xml><?xml version="1.0" encoding="utf-8"?>
<ax:ocx xmlns:ax="http://schemas.microsoft.com/office/2006/activeX" xmlns:r="http://schemas.openxmlformats.org/officeDocument/2006/relationships" ax:classid="{D7053240-CE69-11CD-A777-00DD01143C57}" ax:persistence="persistStreamInit" r:id="rId1"/>
</file>

<file path=xl/activeX/activeX64.xml><?xml version="1.0" encoding="utf-8"?>
<ax:ocx xmlns:ax="http://schemas.microsoft.com/office/2006/activeX" xmlns:r="http://schemas.openxmlformats.org/officeDocument/2006/relationships" ax:classid="{D7053240-CE69-11CD-A777-00DD01143C57}" ax:persistence="persistStreamInit" r:id="rId1"/>
</file>

<file path=xl/activeX/activeX65.xml><?xml version="1.0" encoding="utf-8"?>
<ax:ocx xmlns:ax="http://schemas.microsoft.com/office/2006/activeX" xmlns:r="http://schemas.openxmlformats.org/officeDocument/2006/relationships" ax:classid="{D7053240-CE69-11CD-A777-00DD01143C57}" ax:persistence="persistStreamInit" r:id="rId1"/>
</file>

<file path=xl/activeX/activeX66.xml><?xml version="1.0" encoding="utf-8"?>
<ax:ocx xmlns:ax="http://schemas.microsoft.com/office/2006/activeX" xmlns:r="http://schemas.openxmlformats.org/officeDocument/2006/relationships" ax:classid="{D7053240-CE69-11CD-A777-00DD01143C57}" ax:persistence="persistStreamInit" r:id="rId1"/>
</file>

<file path=xl/activeX/activeX67.xml><?xml version="1.0" encoding="utf-8"?>
<ax:ocx xmlns:ax="http://schemas.microsoft.com/office/2006/activeX" xmlns:r="http://schemas.openxmlformats.org/officeDocument/2006/relationships" ax:classid="{D7053240-CE69-11CD-A777-00DD01143C57}" ax:persistence="persistStreamInit" r:id="rId1"/>
</file>

<file path=xl/activeX/activeX68.xml><?xml version="1.0" encoding="utf-8"?>
<ax:ocx xmlns:ax="http://schemas.microsoft.com/office/2006/activeX" xmlns:r="http://schemas.openxmlformats.org/officeDocument/2006/relationships" ax:classid="{D7053240-CE69-11CD-A777-00DD01143C57}" ax:persistence="persistStreamInit" r:id="rId1"/>
</file>

<file path=xl/activeX/activeX69.xml><?xml version="1.0" encoding="utf-8"?>
<ax:ocx xmlns:ax="http://schemas.microsoft.com/office/2006/activeX" xmlns:r="http://schemas.openxmlformats.org/officeDocument/2006/relationships" ax:classid="{D7053240-CE69-11CD-A777-00DD01143C57}" ax:persistence="persistStreamInit" r:id="rId1"/>
</file>

<file path=xl/drawings/_rels/drawing7.xml.rels><?xml version="1.0" encoding="UTF-8" standalone="yes"?>
<Relationships xmlns="http://schemas.openxmlformats.org/package/2006/relationships"><Relationship Id="rId2" Type="http://schemas.openxmlformats.org/officeDocument/2006/relationships/image" Target="../media/image37.jpeg"/><Relationship Id="rId1" Type="http://schemas.openxmlformats.org/officeDocument/2006/relationships/image" Target="../media/image36.jpeg"/></Relationships>
</file>

<file path=xl/drawings/_rels/vmlDrawing1.vml.rels><?xml version="1.0" encoding="UTF-8" standalone="yes"?>
<Relationships xmlns="http://schemas.openxmlformats.org/package/2006/relationships"><Relationship Id="rId8" Type="http://schemas.openxmlformats.org/officeDocument/2006/relationships/image" Target="../media/image1.emf"/><Relationship Id="rId3" Type="http://schemas.openxmlformats.org/officeDocument/2006/relationships/image" Target="../media/image6.emf"/><Relationship Id="rId7" Type="http://schemas.openxmlformats.org/officeDocument/2006/relationships/image" Target="../media/image2.emf"/><Relationship Id="rId2" Type="http://schemas.openxmlformats.org/officeDocument/2006/relationships/image" Target="../media/image7.emf"/><Relationship Id="rId1" Type="http://schemas.openxmlformats.org/officeDocument/2006/relationships/image" Target="../media/image8.emf"/><Relationship Id="rId6" Type="http://schemas.openxmlformats.org/officeDocument/2006/relationships/image" Target="../media/image3.emf"/><Relationship Id="rId5" Type="http://schemas.openxmlformats.org/officeDocument/2006/relationships/image" Target="../media/image4.emf"/><Relationship Id="rId4"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3" Type="http://schemas.openxmlformats.org/officeDocument/2006/relationships/image" Target="../media/image11.emf"/><Relationship Id="rId2" Type="http://schemas.openxmlformats.org/officeDocument/2006/relationships/image" Target="../media/image12.emf"/><Relationship Id="rId1" Type="http://schemas.openxmlformats.org/officeDocument/2006/relationships/image" Target="../media/image13.emf"/><Relationship Id="rId5" Type="http://schemas.openxmlformats.org/officeDocument/2006/relationships/image" Target="../media/image9.emf"/><Relationship Id="rId4" Type="http://schemas.openxmlformats.org/officeDocument/2006/relationships/image" Target="../media/image10.emf"/></Relationships>
</file>

<file path=xl/drawings/_rels/vmlDrawing5.vml.rels><?xml version="1.0" encoding="UTF-8" standalone="yes"?>
<Relationships xmlns="http://schemas.openxmlformats.org/package/2006/relationships"><Relationship Id="rId3" Type="http://schemas.openxmlformats.org/officeDocument/2006/relationships/image" Target="../media/image15.emf"/><Relationship Id="rId2" Type="http://schemas.openxmlformats.org/officeDocument/2006/relationships/image" Target="../media/image16.emf"/><Relationship Id="rId1" Type="http://schemas.openxmlformats.org/officeDocument/2006/relationships/image" Target="../media/image17.emf"/><Relationship Id="rId4" Type="http://schemas.openxmlformats.org/officeDocument/2006/relationships/image" Target="../media/image14.emf"/></Relationships>
</file>

<file path=xl/drawings/_rels/vmlDrawing6.vml.rels><?xml version="1.0" encoding="UTF-8" standalone="yes"?>
<Relationships xmlns="http://schemas.openxmlformats.org/package/2006/relationships"><Relationship Id="rId3" Type="http://schemas.openxmlformats.org/officeDocument/2006/relationships/image" Target="../media/image20.emf"/><Relationship Id="rId2" Type="http://schemas.openxmlformats.org/officeDocument/2006/relationships/image" Target="../media/image21.emf"/><Relationship Id="rId1" Type="http://schemas.openxmlformats.org/officeDocument/2006/relationships/image" Target="../media/image22.emf"/><Relationship Id="rId5" Type="http://schemas.openxmlformats.org/officeDocument/2006/relationships/image" Target="../media/image18.emf"/><Relationship Id="rId4" Type="http://schemas.openxmlformats.org/officeDocument/2006/relationships/image" Target="../media/image19.emf"/></Relationships>
</file>

<file path=xl/drawings/_rels/vmlDrawing7.vml.rels><?xml version="1.0" encoding="UTF-8" standalone="yes"?>
<Relationships xmlns="http://schemas.openxmlformats.org/package/2006/relationships"><Relationship Id="rId3" Type="http://schemas.openxmlformats.org/officeDocument/2006/relationships/image" Target="../media/image27.emf"/><Relationship Id="rId7" Type="http://schemas.openxmlformats.org/officeDocument/2006/relationships/image" Target="../media/image23.emf"/><Relationship Id="rId2" Type="http://schemas.openxmlformats.org/officeDocument/2006/relationships/image" Target="../media/image28.emf"/><Relationship Id="rId1" Type="http://schemas.openxmlformats.org/officeDocument/2006/relationships/image" Target="../media/image29.emf"/><Relationship Id="rId6" Type="http://schemas.openxmlformats.org/officeDocument/2006/relationships/image" Target="../media/image24.emf"/><Relationship Id="rId5" Type="http://schemas.openxmlformats.org/officeDocument/2006/relationships/image" Target="../media/image25.emf"/><Relationship Id="rId4" Type="http://schemas.openxmlformats.org/officeDocument/2006/relationships/image" Target="../media/image26.emf"/></Relationships>
</file>

<file path=xl/drawings/_rels/vmlDrawing8.vml.rels><?xml version="1.0" encoding="UTF-8" standalone="yes"?>
<Relationships xmlns="http://schemas.openxmlformats.org/package/2006/relationships"><Relationship Id="rId3" Type="http://schemas.openxmlformats.org/officeDocument/2006/relationships/image" Target="../media/image33.emf"/><Relationship Id="rId2" Type="http://schemas.openxmlformats.org/officeDocument/2006/relationships/image" Target="../media/image34.emf"/><Relationship Id="rId1" Type="http://schemas.openxmlformats.org/officeDocument/2006/relationships/image" Target="../media/image35.emf"/><Relationship Id="rId6" Type="http://schemas.openxmlformats.org/officeDocument/2006/relationships/image" Target="../media/image30.emf"/><Relationship Id="rId5" Type="http://schemas.openxmlformats.org/officeDocument/2006/relationships/image" Target="../media/image31.emf"/><Relationship Id="rId4" Type="http://schemas.openxmlformats.org/officeDocument/2006/relationships/image" Target="../media/image32.emf"/></Relationships>
</file>

<file path=xl/drawings/_rels/vmlDrawing11.vml.rels><?xml version="1.0" encoding="UTF-8" standalone="yes"?>
<Relationships xmlns="http://schemas.openxmlformats.org/package/2006/relationships"><Relationship Id="rId3" Type="http://schemas.openxmlformats.org/officeDocument/2006/relationships/image" Target="../media/image41.emf"/><Relationship Id="rId2" Type="http://schemas.openxmlformats.org/officeDocument/2006/relationships/image" Target="../media/image42.emf"/><Relationship Id="rId1" Type="http://schemas.openxmlformats.org/officeDocument/2006/relationships/image" Target="../media/image43.emf"/><Relationship Id="rId6" Type="http://schemas.openxmlformats.org/officeDocument/2006/relationships/image" Target="../media/image38.emf"/><Relationship Id="rId5" Type="http://schemas.openxmlformats.org/officeDocument/2006/relationships/image" Target="../media/image39.emf"/><Relationship Id="rId4" Type="http://schemas.openxmlformats.org/officeDocument/2006/relationships/image" Target="../media/image40.emf"/></Relationships>
</file>

<file path=xl/drawings/_rels/vmlDrawing12.vml.rels><?xml version="1.0" encoding="UTF-8" standalone="yes"?>
<Relationships xmlns="http://schemas.openxmlformats.org/package/2006/relationships"><Relationship Id="rId3" Type="http://schemas.openxmlformats.org/officeDocument/2006/relationships/image" Target="../media/image48.emf"/><Relationship Id="rId7" Type="http://schemas.openxmlformats.org/officeDocument/2006/relationships/image" Target="../media/image44.emf"/><Relationship Id="rId2" Type="http://schemas.openxmlformats.org/officeDocument/2006/relationships/image" Target="../media/image49.emf"/><Relationship Id="rId1" Type="http://schemas.openxmlformats.org/officeDocument/2006/relationships/image" Target="../media/image50.emf"/><Relationship Id="rId6" Type="http://schemas.openxmlformats.org/officeDocument/2006/relationships/image" Target="../media/image45.emf"/><Relationship Id="rId5" Type="http://schemas.openxmlformats.org/officeDocument/2006/relationships/image" Target="../media/image46.emf"/><Relationship Id="rId4" Type="http://schemas.openxmlformats.org/officeDocument/2006/relationships/image" Target="../media/image47.emf"/></Relationships>
</file>

<file path=xl/drawings/_rels/vmlDrawing13.vml.rels><?xml version="1.0" encoding="UTF-8" standalone="yes"?>
<Relationships xmlns="http://schemas.openxmlformats.org/package/2006/relationships"><Relationship Id="rId3" Type="http://schemas.openxmlformats.org/officeDocument/2006/relationships/image" Target="../media/image53.emf"/><Relationship Id="rId2" Type="http://schemas.openxmlformats.org/officeDocument/2006/relationships/image" Target="../media/image54.emf"/><Relationship Id="rId1" Type="http://schemas.openxmlformats.org/officeDocument/2006/relationships/image" Target="../media/image55.emf"/><Relationship Id="rId5" Type="http://schemas.openxmlformats.org/officeDocument/2006/relationships/image" Target="../media/image51.emf"/><Relationship Id="rId4" Type="http://schemas.openxmlformats.org/officeDocument/2006/relationships/image" Target="../media/image52.emf"/></Relationships>
</file>

<file path=xl/drawings/_rels/vmlDrawing14.vml.rels><?xml version="1.0" encoding="UTF-8" standalone="yes"?>
<Relationships xmlns="http://schemas.openxmlformats.org/package/2006/relationships"><Relationship Id="rId3" Type="http://schemas.openxmlformats.org/officeDocument/2006/relationships/image" Target="../media/image57.emf"/><Relationship Id="rId2" Type="http://schemas.openxmlformats.org/officeDocument/2006/relationships/image" Target="../media/image58.emf"/><Relationship Id="rId1" Type="http://schemas.openxmlformats.org/officeDocument/2006/relationships/image" Target="../media/image59.emf"/><Relationship Id="rId4" Type="http://schemas.openxmlformats.org/officeDocument/2006/relationships/image" Target="../media/image56.emf"/></Relationships>
</file>

<file path=xl/drawings/_rels/vmlDrawing15.vml.rels><?xml version="1.0" encoding="UTF-8" standalone="yes"?>
<Relationships xmlns="http://schemas.openxmlformats.org/package/2006/relationships"><Relationship Id="rId3" Type="http://schemas.openxmlformats.org/officeDocument/2006/relationships/image" Target="../media/image62.emf"/><Relationship Id="rId2" Type="http://schemas.openxmlformats.org/officeDocument/2006/relationships/image" Target="../media/image63.emf"/><Relationship Id="rId1" Type="http://schemas.openxmlformats.org/officeDocument/2006/relationships/image" Target="../media/image64.emf"/><Relationship Id="rId5" Type="http://schemas.openxmlformats.org/officeDocument/2006/relationships/image" Target="../media/image60.emf"/><Relationship Id="rId4" Type="http://schemas.openxmlformats.org/officeDocument/2006/relationships/image" Target="../media/image61.emf"/></Relationships>
</file>

<file path=xl/drawings/_rels/vmlDrawing16.vml.rels><?xml version="1.0" encoding="UTF-8" standalone="yes"?>
<Relationships xmlns="http://schemas.openxmlformats.org/package/2006/relationships"><Relationship Id="rId3" Type="http://schemas.openxmlformats.org/officeDocument/2006/relationships/image" Target="../media/image69.emf"/><Relationship Id="rId7" Type="http://schemas.openxmlformats.org/officeDocument/2006/relationships/image" Target="../media/image65.emf"/><Relationship Id="rId2" Type="http://schemas.openxmlformats.org/officeDocument/2006/relationships/image" Target="../media/image70.emf"/><Relationship Id="rId1" Type="http://schemas.openxmlformats.org/officeDocument/2006/relationships/image" Target="../media/image71.emf"/><Relationship Id="rId6" Type="http://schemas.openxmlformats.org/officeDocument/2006/relationships/image" Target="../media/image66.emf"/><Relationship Id="rId5" Type="http://schemas.openxmlformats.org/officeDocument/2006/relationships/image" Target="../media/image67.emf"/><Relationship Id="rId4" Type="http://schemas.openxmlformats.org/officeDocument/2006/relationships/image" Target="../media/image68.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9525</xdr:colOff>
          <xdr:row>3</xdr:row>
          <xdr:rowOff>95250</xdr:rowOff>
        </xdr:from>
        <xdr:to>
          <xdr:col>4</xdr:col>
          <xdr:colOff>981075</xdr:colOff>
          <xdr:row>4</xdr:row>
          <xdr:rowOff>114300</xdr:rowOff>
        </xdr:to>
        <xdr:sp macro="" textlink="">
          <xdr:nvSpPr>
            <xdr:cNvPr id="2049" name="cmdEnergySets"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4</xdr:row>
          <xdr:rowOff>171450</xdr:rowOff>
        </xdr:from>
        <xdr:to>
          <xdr:col>4</xdr:col>
          <xdr:colOff>981075</xdr:colOff>
          <xdr:row>5</xdr:row>
          <xdr:rowOff>190500</xdr:rowOff>
        </xdr:to>
        <xdr:sp macro="" textlink="">
          <xdr:nvSpPr>
            <xdr:cNvPr id="2051" name="cmdDemandSets" hidden="1">
              <a:extLst>
                <a:ext uri="{63B3BB69-23CF-44E3-9099-C40C66FF867C}">
                  <a14:compatExt spid="_x0000_s2051"/>
                </a:ext>
                <a:ext uri="{FF2B5EF4-FFF2-40B4-BE49-F238E27FC236}">
                  <a16:creationId xmlns:a16="http://schemas.microsoft.com/office/drawing/2014/main" id="{00000000-0008-0000-0000-000003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1000125</xdr:colOff>
          <xdr:row>4</xdr:row>
          <xdr:rowOff>171450</xdr:rowOff>
        </xdr:from>
        <xdr:to>
          <xdr:col>4</xdr:col>
          <xdr:colOff>1971675</xdr:colOff>
          <xdr:row>5</xdr:row>
          <xdr:rowOff>190500</xdr:rowOff>
        </xdr:to>
        <xdr:sp macro="" textlink="">
          <xdr:nvSpPr>
            <xdr:cNvPr id="2052" name="cmdEmissionSets" hidden="1">
              <a:extLst>
                <a:ext uri="{63B3BB69-23CF-44E3-9099-C40C66FF867C}">
                  <a14:compatExt spid="_x0000_s2052"/>
                </a:ext>
                <a:ext uri="{FF2B5EF4-FFF2-40B4-BE49-F238E27FC236}">
                  <a16:creationId xmlns:a16="http://schemas.microsoft.com/office/drawing/2014/main" id="{00000000-0008-0000-0000-000004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1000125</xdr:colOff>
          <xdr:row>3</xdr:row>
          <xdr:rowOff>95250</xdr:rowOff>
        </xdr:from>
        <xdr:to>
          <xdr:col>4</xdr:col>
          <xdr:colOff>1971675</xdr:colOff>
          <xdr:row>4</xdr:row>
          <xdr:rowOff>114300</xdr:rowOff>
        </xdr:to>
        <xdr:sp macro="" textlink="">
          <xdr:nvSpPr>
            <xdr:cNvPr id="2053" name="cmdMaterialSets" hidden="1">
              <a:extLst>
                <a:ext uri="{63B3BB69-23CF-44E3-9099-C40C66FF867C}">
                  <a14:compatExt spid="_x0000_s2053"/>
                </a:ext>
                <a:ext uri="{FF2B5EF4-FFF2-40B4-BE49-F238E27FC236}">
                  <a16:creationId xmlns:a16="http://schemas.microsoft.com/office/drawing/2014/main" id="{00000000-0008-0000-0000-000005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142875</xdr:rowOff>
        </xdr:from>
        <xdr:to>
          <xdr:col>0</xdr:col>
          <xdr:colOff>828675</xdr:colOff>
          <xdr:row>4</xdr:row>
          <xdr:rowOff>0</xdr:rowOff>
        </xdr:to>
        <xdr:sp macro="" textlink="">
          <xdr:nvSpPr>
            <xdr:cNvPr id="2061" name="cmdCheckCommoditiesSheet" hidden="1">
              <a:extLst>
                <a:ext uri="{63B3BB69-23CF-44E3-9099-C40C66FF867C}">
                  <a14:compatExt spid="_x0000_s2061"/>
                </a:ext>
                <a:ext uri="{FF2B5EF4-FFF2-40B4-BE49-F238E27FC236}">
                  <a16:creationId xmlns:a16="http://schemas.microsoft.com/office/drawing/2014/main" id="{00000000-0008-0000-0000-00000D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4</xdr:row>
          <xdr:rowOff>171450</xdr:rowOff>
        </xdr:from>
        <xdr:to>
          <xdr:col>3</xdr:col>
          <xdr:colOff>676275</xdr:colOff>
          <xdr:row>5</xdr:row>
          <xdr:rowOff>190500</xdr:rowOff>
        </xdr:to>
        <xdr:sp macro="" textlink="">
          <xdr:nvSpPr>
            <xdr:cNvPr id="2063" name="cmdCommUnit" hidden="1">
              <a:extLst>
                <a:ext uri="{63B3BB69-23CF-44E3-9099-C40C66FF867C}">
                  <a14:compatExt spid="_x0000_s2063"/>
                </a:ext>
                <a:ext uri="{FF2B5EF4-FFF2-40B4-BE49-F238E27FC236}">
                  <a16:creationId xmlns:a16="http://schemas.microsoft.com/office/drawing/2014/main" id="{00000000-0008-0000-0000-00000F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66675</xdr:colOff>
          <xdr:row>2</xdr:row>
          <xdr:rowOff>114300</xdr:rowOff>
        </xdr:from>
        <xdr:to>
          <xdr:col>3</xdr:col>
          <xdr:colOff>619125</xdr:colOff>
          <xdr:row>4</xdr:row>
          <xdr:rowOff>104775</xdr:rowOff>
        </xdr:to>
        <xdr:sp macro="" textlink="">
          <xdr:nvSpPr>
            <xdr:cNvPr id="2073" name="cmdRefreshUnits" hidden="1">
              <a:extLst>
                <a:ext uri="{63B3BB69-23CF-44E3-9099-C40C66FF867C}">
                  <a14:compatExt spid="_x0000_s2073"/>
                </a:ext>
                <a:ext uri="{FF2B5EF4-FFF2-40B4-BE49-F238E27FC236}">
                  <a16:creationId xmlns:a16="http://schemas.microsoft.com/office/drawing/2014/main" id="{00000000-0008-0000-0000-000019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542925</xdr:colOff>
          <xdr:row>2</xdr:row>
          <xdr:rowOff>0</xdr:rowOff>
        </xdr:from>
        <xdr:to>
          <xdr:col>4</xdr:col>
          <xdr:colOff>1514475</xdr:colOff>
          <xdr:row>3</xdr:row>
          <xdr:rowOff>76200</xdr:rowOff>
        </xdr:to>
        <xdr:sp macro="" textlink="">
          <xdr:nvSpPr>
            <xdr:cNvPr id="2074" name="cmdTaxSubSets" hidden="1">
              <a:extLst>
                <a:ext uri="{63B3BB69-23CF-44E3-9099-C40C66FF867C}">
                  <a14:compatExt spid="_x0000_s2074"/>
                </a:ext>
                <a:ext uri="{FF2B5EF4-FFF2-40B4-BE49-F238E27FC236}">
                  <a16:creationId xmlns:a16="http://schemas.microsoft.com/office/drawing/2014/main" id="{00000000-0008-0000-0000-00001A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19050</xdr:colOff>
          <xdr:row>4</xdr:row>
          <xdr:rowOff>19050</xdr:rowOff>
        </xdr:from>
        <xdr:to>
          <xdr:col>5</xdr:col>
          <xdr:colOff>1819275</xdr:colOff>
          <xdr:row>5</xdr:row>
          <xdr:rowOff>95250</xdr:rowOff>
        </xdr:to>
        <xdr:sp macro="" textlink="">
          <xdr:nvSpPr>
            <xdr:cNvPr id="1025" name="cmdTechnologySets" hidden="1">
              <a:extLst>
                <a:ext uri="{63B3BB69-23CF-44E3-9099-C40C66FF867C}">
                  <a14:compatExt spid="_x0000_s1025"/>
                </a:ext>
                <a:ext uri="{FF2B5EF4-FFF2-40B4-BE49-F238E27FC236}">
                  <a16:creationId xmlns:a16="http://schemas.microsoft.com/office/drawing/2014/main" id="{00000000-0008-0000-0700-000001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152400</xdr:rowOff>
        </xdr:from>
        <xdr:to>
          <xdr:col>1</xdr:col>
          <xdr:colOff>0</xdr:colOff>
          <xdr:row>4</xdr:row>
          <xdr:rowOff>0</xdr:rowOff>
        </xdr:to>
        <xdr:sp macro="" textlink="">
          <xdr:nvSpPr>
            <xdr:cNvPr id="1034" name="cmdCheckTechnologiesSheet" hidden="1">
              <a:extLst>
                <a:ext uri="{63B3BB69-23CF-44E3-9099-C40C66FF867C}">
                  <a14:compatExt spid="_x0000_s1034"/>
                </a:ext>
                <a:ext uri="{FF2B5EF4-FFF2-40B4-BE49-F238E27FC236}">
                  <a16:creationId xmlns:a16="http://schemas.microsoft.com/office/drawing/2014/main" id="{00000000-0008-0000-0700-00000A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4</xdr:row>
          <xdr:rowOff>19050</xdr:rowOff>
        </xdr:from>
        <xdr:to>
          <xdr:col>4</xdr:col>
          <xdr:colOff>0</xdr:colOff>
          <xdr:row>5</xdr:row>
          <xdr:rowOff>95250</xdr:rowOff>
        </xdr:to>
        <xdr:sp macro="" textlink="">
          <xdr:nvSpPr>
            <xdr:cNvPr id="1035" name="cmdTACTUnit" hidden="1">
              <a:extLst>
                <a:ext uri="{63B3BB69-23CF-44E3-9099-C40C66FF867C}">
                  <a14:compatExt spid="_x0000_s1035"/>
                </a:ext>
                <a:ext uri="{FF2B5EF4-FFF2-40B4-BE49-F238E27FC236}">
                  <a16:creationId xmlns:a16="http://schemas.microsoft.com/office/drawing/2014/main" id="{00000000-0008-0000-0700-00000B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4</xdr:row>
          <xdr:rowOff>19050</xdr:rowOff>
        </xdr:from>
        <xdr:to>
          <xdr:col>4</xdr:col>
          <xdr:colOff>647700</xdr:colOff>
          <xdr:row>5</xdr:row>
          <xdr:rowOff>95250</xdr:rowOff>
        </xdr:to>
        <xdr:sp macro="" textlink="">
          <xdr:nvSpPr>
            <xdr:cNvPr id="1036" name="cmdTCAPUnit" hidden="1">
              <a:extLst>
                <a:ext uri="{63B3BB69-23CF-44E3-9099-C40C66FF867C}">
                  <a14:compatExt spid="_x0000_s1036"/>
                </a:ext>
                <a:ext uri="{FF2B5EF4-FFF2-40B4-BE49-F238E27FC236}">
                  <a16:creationId xmlns:a16="http://schemas.microsoft.com/office/drawing/2014/main" id="{00000000-0008-0000-0700-00000C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381000</xdr:colOff>
          <xdr:row>1</xdr:row>
          <xdr:rowOff>152400</xdr:rowOff>
        </xdr:from>
        <xdr:to>
          <xdr:col>4</xdr:col>
          <xdr:colOff>285750</xdr:colOff>
          <xdr:row>3</xdr:row>
          <xdr:rowOff>200025</xdr:rowOff>
        </xdr:to>
        <xdr:sp macro="" textlink="">
          <xdr:nvSpPr>
            <xdr:cNvPr id="1135" name="cmdRefreshUnits" hidden="1">
              <a:extLst>
                <a:ext uri="{63B3BB69-23CF-44E3-9099-C40C66FF867C}">
                  <a14:compatExt spid="_x0000_s1135"/>
                </a:ext>
                <a:ext uri="{FF2B5EF4-FFF2-40B4-BE49-F238E27FC236}">
                  <a16:creationId xmlns:a16="http://schemas.microsoft.com/office/drawing/2014/main" id="{00000000-0008-0000-0700-00006F04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19050</xdr:colOff>
          <xdr:row>4</xdr:row>
          <xdr:rowOff>19050</xdr:rowOff>
        </xdr:from>
        <xdr:to>
          <xdr:col>4</xdr:col>
          <xdr:colOff>990600</xdr:colOff>
          <xdr:row>5</xdr:row>
          <xdr:rowOff>38100</xdr:rowOff>
        </xdr:to>
        <xdr:sp macro="" textlink="">
          <xdr:nvSpPr>
            <xdr:cNvPr id="10242" name="cmdConstraintSets" hidden="1">
              <a:extLst>
                <a:ext uri="{63B3BB69-23CF-44E3-9099-C40C66FF867C}">
                  <a14:compatExt spid="_x0000_s10242"/>
                </a:ext>
                <a:ext uri="{FF2B5EF4-FFF2-40B4-BE49-F238E27FC236}">
                  <a16:creationId xmlns:a16="http://schemas.microsoft.com/office/drawing/2014/main" id="{00000000-0008-0000-0900-00000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0</xdr:rowOff>
        </xdr:from>
        <xdr:to>
          <xdr:col>0</xdr:col>
          <xdr:colOff>790575</xdr:colOff>
          <xdr:row>4</xdr:row>
          <xdr:rowOff>0</xdr:rowOff>
        </xdr:to>
        <xdr:sp macro="" textlink="">
          <xdr:nvSpPr>
            <xdr:cNvPr id="10246" name="cmdCheckConstraintsSheet" hidden="1">
              <a:extLst>
                <a:ext uri="{63B3BB69-23CF-44E3-9099-C40C66FF867C}">
                  <a14:compatExt spid="_x0000_s10246"/>
                </a:ext>
                <a:ext uri="{FF2B5EF4-FFF2-40B4-BE49-F238E27FC236}">
                  <a16:creationId xmlns:a16="http://schemas.microsoft.com/office/drawing/2014/main" id="{00000000-0008-0000-0900-00000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4</xdr:row>
          <xdr:rowOff>9525</xdr:rowOff>
        </xdr:from>
        <xdr:to>
          <xdr:col>3</xdr:col>
          <xdr:colOff>571500</xdr:colOff>
          <xdr:row>5</xdr:row>
          <xdr:rowOff>28575</xdr:rowOff>
        </xdr:to>
        <xdr:sp macro="" textlink="">
          <xdr:nvSpPr>
            <xdr:cNvPr id="10247" name="cmdConstraintUnit" hidden="1">
              <a:extLst>
                <a:ext uri="{63B3BB69-23CF-44E3-9099-C40C66FF867C}">
                  <a14:compatExt spid="_x0000_s10247"/>
                </a:ext>
                <a:ext uri="{FF2B5EF4-FFF2-40B4-BE49-F238E27FC236}">
                  <a16:creationId xmlns:a16="http://schemas.microsoft.com/office/drawing/2014/main" id="{00000000-0008-0000-0900-00000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xdr:row>
          <xdr:rowOff>47625</xdr:rowOff>
        </xdr:from>
        <xdr:to>
          <xdr:col>3</xdr:col>
          <xdr:colOff>571500</xdr:colOff>
          <xdr:row>4</xdr:row>
          <xdr:rowOff>19050</xdr:rowOff>
        </xdr:to>
        <xdr:sp macro="" textlink="">
          <xdr:nvSpPr>
            <xdr:cNvPr id="10359" name="cmdRefreshUnits" hidden="1">
              <a:extLst>
                <a:ext uri="{63B3BB69-23CF-44E3-9099-C40C66FF867C}">
                  <a14:compatExt spid="_x0000_s10359"/>
                </a:ext>
                <a:ext uri="{FF2B5EF4-FFF2-40B4-BE49-F238E27FC236}">
                  <a16:creationId xmlns:a16="http://schemas.microsoft.com/office/drawing/2014/main" id="{00000000-0008-0000-0900-00007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9525</xdr:colOff>
          <xdr:row>4</xdr:row>
          <xdr:rowOff>9525</xdr:rowOff>
        </xdr:from>
        <xdr:to>
          <xdr:col>0</xdr:col>
          <xdr:colOff>695325</xdr:colOff>
          <xdr:row>5</xdr:row>
          <xdr:rowOff>0</xdr:rowOff>
        </xdr:to>
        <xdr:sp macro="" textlink="">
          <xdr:nvSpPr>
            <xdr:cNvPr id="4097" name="cmdAddParameter" hidden="1">
              <a:extLst>
                <a:ext uri="{63B3BB69-23CF-44E3-9099-C40C66FF867C}">
                  <a14:compatExt spid="_x0000_s4097"/>
                </a:ext>
                <a:ext uri="{FF2B5EF4-FFF2-40B4-BE49-F238E27FC236}">
                  <a16:creationId xmlns:a16="http://schemas.microsoft.com/office/drawing/2014/main" id="{00000000-0008-0000-0A00-000001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xdr:row>
          <xdr:rowOff>19050</xdr:rowOff>
        </xdr:from>
        <xdr:to>
          <xdr:col>2</xdr:col>
          <xdr:colOff>1390650</xdr:colOff>
          <xdr:row>4</xdr:row>
          <xdr:rowOff>0</xdr:rowOff>
        </xdr:to>
        <xdr:sp macro="" textlink="">
          <xdr:nvSpPr>
            <xdr:cNvPr id="4098" name="cmdCommNameAndDesc" hidden="1">
              <a:extLst>
                <a:ext uri="{63B3BB69-23CF-44E3-9099-C40C66FF867C}">
                  <a14:compatExt spid="_x0000_s4098"/>
                </a:ext>
                <a:ext uri="{FF2B5EF4-FFF2-40B4-BE49-F238E27FC236}">
                  <a16:creationId xmlns:a16="http://schemas.microsoft.com/office/drawing/2014/main" id="{00000000-0008-0000-0A00-000002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0</xdr:rowOff>
        </xdr:from>
        <xdr:to>
          <xdr:col>0</xdr:col>
          <xdr:colOff>695325</xdr:colOff>
          <xdr:row>5</xdr:row>
          <xdr:rowOff>238125</xdr:rowOff>
        </xdr:to>
        <xdr:sp macro="" textlink="">
          <xdr:nvSpPr>
            <xdr:cNvPr id="4100" name="cmdAddParamQualifier" hidden="1">
              <a:extLst>
                <a:ext uri="{63B3BB69-23CF-44E3-9099-C40C66FF867C}">
                  <a14:compatExt spid="_x0000_s4100"/>
                </a:ext>
                <a:ext uri="{FF2B5EF4-FFF2-40B4-BE49-F238E27FC236}">
                  <a16:creationId xmlns:a16="http://schemas.microsoft.com/office/drawing/2014/main" id="{00000000-0008-0000-0A00-000004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19050</xdr:rowOff>
        </xdr:from>
        <xdr:to>
          <xdr:col>0</xdr:col>
          <xdr:colOff>695325</xdr:colOff>
          <xdr:row>4</xdr:row>
          <xdr:rowOff>0</xdr:rowOff>
        </xdr:to>
        <xdr:sp macro="" textlink="">
          <xdr:nvSpPr>
            <xdr:cNvPr id="4106" name="cmdCheckCommDataSheet" hidden="1">
              <a:extLst>
                <a:ext uri="{63B3BB69-23CF-44E3-9099-C40C66FF867C}">
                  <a14:compatExt spid="_x0000_s4106"/>
                </a:ext>
                <a:ext uri="{FF2B5EF4-FFF2-40B4-BE49-F238E27FC236}">
                  <a16:creationId xmlns:a16="http://schemas.microsoft.com/office/drawing/2014/main" id="{00000000-0008-0000-0A00-00000A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1409700</xdr:colOff>
          <xdr:row>2</xdr:row>
          <xdr:rowOff>76200</xdr:rowOff>
        </xdr:from>
        <xdr:to>
          <xdr:col>4</xdr:col>
          <xdr:colOff>0</xdr:colOff>
          <xdr:row>4</xdr:row>
          <xdr:rowOff>0</xdr:rowOff>
        </xdr:to>
        <xdr:sp macro="" textlink="">
          <xdr:nvSpPr>
            <xdr:cNvPr id="4299" name="cmdRefreshUnits" hidden="1">
              <a:extLst>
                <a:ext uri="{63B3BB69-23CF-44E3-9099-C40C66FF867C}">
                  <a14:compatExt spid="_x0000_s4299"/>
                </a:ext>
                <a:ext uri="{FF2B5EF4-FFF2-40B4-BE49-F238E27FC236}">
                  <a16:creationId xmlns:a16="http://schemas.microsoft.com/office/drawing/2014/main" id="{00000000-0008-0000-0A00-0000CB10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38100</xdr:colOff>
          <xdr:row>2</xdr:row>
          <xdr:rowOff>152400</xdr:rowOff>
        </xdr:from>
        <xdr:to>
          <xdr:col>2</xdr:col>
          <xdr:colOff>1581150</xdr:colOff>
          <xdr:row>4</xdr:row>
          <xdr:rowOff>9525</xdr:rowOff>
        </xdr:to>
        <xdr:sp macro="" textlink="">
          <xdr:nvSpPr>
            <xdr:cNvPr id="3074" name="cmdTechNameAndDesc" hidden="1">
              <a:extLst>
                <a:ext uri="{63B3BB69-23CF-44E3-9099-C40C66FF867C}">
                  <a14:compatExt spid="_x0000_s3074"/>
                </a:ext>
                <a:ext uri="{FF2B5EF4-FFF2-40B4-BE49-F238E27FC236}">
                  <a16:creationId xmlns:a16="http://schemas.microsoft.com/office/drawing/2014/main" id="{00000000-0008-0000-0B00-000002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2</xdr:row>
          <xdr:rowOff>142875</xdr:rowOff>
        </xdr:from>
        <xdr:to>
          <xdr:col>4</xdr:col>
          <xdr:colOff>600075</xdr:colOff>
          <xdr:row>4</xdr:row>
          <xdr:rowOff>0</xdr:rowOff>
        </xdr:to>
        <xdr:sp macro="" textlink="">
          <xdr:nvSpPr>
            <xdr:cNvPr id="3075" name="cmdCommIN" hidden="1">
              <a:extLst>
                <a:ext uri="{63B3BB69-23CF-44E3-9099-C40C66FF867C}">
                  <a14:compatExt spid="_x0000_s3075"/>
                </a:ext>
                <a:ext uri="{FF2B5EF4-FFF2-40B4-BE49-F238E27FC236}">
                  <a16:creationId xmlns:a16="http://schemas.microsoft.com/office/drawing/2014/main" id="{00000000-0008-0000-0B00-000003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2</xdr:row>
          <xdr:rowOff>142875</xdr:rowOff>
        </xdr:from>
        <xdr:to>
          <xdr:col>6</xdr:col>
          <xdr:colOff>0</xdr:colOff>
          <xdr:row>4</xdr:row>
          <xdr:rowOff>0</xdr:rowOff>
        </xdr:to>
        <xdr:sp macro="" textlink="">
          <xdr:nvSpPr>
            <xdr:cNvPr id="3076" name="cmdCommOUT" hidden="1">
              <a:extLst>
                <a:ext uri="{63B3BB69-23CF-44E3-9099-C40C66FF867C}">
                  <a14:compatExt spid="_x0000_s3076"/>
                </a:ext>
                <a:ext uri="{FF2B5EF4-FFF2-40B4-BE49-F238E27FC236}">
                  <a16:creationId xmlns:a16="http://schemas.microsoft.com/office/drawing/2014/main" id="{00000000-0008-0000-0B00-000004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200025</xdr:rowOff>
        </xdr:from>
        <xdr:to>
          <xdr:col>1</xdr:col>
          <xdr:colOff>9525</xdr:colOff>
          <xdr:row>4</xdr:row>
          <xdr:rowOff>219075</xdr:rowOff>
        </xdr:to>
        <xdr:sp macro="" textlink="">
          <xdr:nvSpPr>
            <xdr:cNvPr id="3077" name="cmdAddParameter" hidden="1">
              <a:extLst>
                <a:ext uri="{63B3BB69-23CF-44E3-9099-C40C66FF867C}">
                  <a14:compatExt spid="_x0000_s3077"/>
                </a:ext>
                <a:ext uri="{FF2B5EF4-FFF2-40B4-BE49-F238E27FC236}">
                  <a16:creationId xmlns:a16="http://schemas.microsoft.com/office/drawing/2014/main" id="{00000000-0008-0000-0B00-000005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9525</xdr:rowOff>
        </xdr:from>
        <xdr:to>
          <xdr:col>1</xdr:col>
          <xdr:colOff>9525</xdr:colOff>
          <xdr:row>6</xdr:row>
          <xdr:rowOff>28575</xdr:rowOff>
        </xdr:to>
        <xdr:sp macro="" textlink="">
          <xdr:nvSpPr>
            <xdr:cNvPr id="3079" name="cmdAddParamQualifier" hidden="1">
              <a:extLst>
                <a:ext uri="{63B3BB69-23CF-44E3-9099-C40C66FF867C}">
                  <a14:compatExt spid="_x0000_s3079"/>
                </a:ext>
                <a:ext uri="{FF2B5EF4-FFF2-40B4-BE49-F238E27FC236}">
                  <a16:creationId xmlns:a16="http://schemas.microsoft.com/office/drawing/2014/main" id="{00000000-0008-0000-0B00-000007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152400</xdr:rowOff>
        </xdr:from>
        <xdr:to>
          <xdr:col>1</xdr:col>
          <xdr:colOff>9525</xdr:colOff>
          <xdr:row>4</xdr:row>
          <xdr:rowOff>9525</xdr:rowOff>
        </xdr:to>
        <xdr:sp macro="" textlink="">
          <xdr:nvSpPr>
            <xdr:cNvPr id="3080" name="cmdCheckTechDataSheet" hidden="1">
              <a:extLst>
                <a:ext uri="{63B3BB69-23CF-44E3-9099-C40C66FF867C}">
                  <a14:compatExt spid="_x0000_s3080"/>
                </a:ext>
                <a:ext uri="{FF2B5EF4-FFF2-40B4-BE49-F238E27FC236}">
                  <a16:creationId xmlns:a16="http://schemas.microsoft.com/office/drawing/2014/main" id="{00000000-0008-0000-0B00-000008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xdr:row>
          <xdr:rowOff>19050</xdr:rowOff>
        </xdr:from>
        <xdr:to>
          <xdr:col>4</xdr:col>
          <xdr:colOff>28575</xdr:colOff>
          <xdr:row>4</xdr:row>
          <xdr:rowOff>9525</xdr:rowOff>
        </xdr:to>
        <xdr:sp macro="" textlink="">
          <xdr:nvSpPr>
            <xdr:cNvPr id="3112" name="cmdRefreshUnits" hidden="1">
              <a:extLst>
                <a:ext uri="{63B3BB69-23CF-44E3-9099-C40C66FF867C}">
                  <a14:compatExt spid="_x0000_s3112"/>
                </a:ext>
                <a:ext uri="{FF2B5EF4-FFF2-40B4-BE49-F238E27FC236}">
                  <a16:creationId xmlns:a16="http://schemas.microsoft.com/office/drawing/2014/main" id="{00000000-0008-0000-0B00-0000280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19050</xdr:colOff>
          <xdr:row>3</xdr:row>
          <xdr:rowOff>0</xdr:rowOff>
        </xdr:from>
        <xdr:to>
          <xdr:col>2</xdr:col>
          <xdr:colOff>1000125</xdr:colOff>
          <xdr:row>4</xdr:row>
          <xdr:rowOff>19050</xdr:rowOff>
        </xdr:to>
        <xdr:sp macro="" textlink="">
          <xdr:nvSpPr>
            <xdr:cNvPr id="11265" name="cmdConstrNameAndDesc" hidden="1">
              <a:extLst>
                <a:ext uri="{63B3BB69-23CF-44E3-9099-C40C66FF867C}">
                  <a14:compatExt spid="_x0000_s11265"/>
                </a:ext>
                <a:ext uri="{FF2B5EF4-FFF2-40B4-BE49-F238E27FC236}">
                  <a16:creationId xmlns:a16="http://schemas.microsoft.com/office/drawing/2014/main" id="{00000000-0008-0000-1400-00000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xdr:row>
          <xdr:rowOff>0</xdr:rowOff>
        </xdr:from>
        <xdr:to>
          <xdr:col>4</xdr:col>
          <xdr:colOff>657225</xdr:colOff>
          <xdr:row>4</xdr:row>
          <xdr:rowOff>19050</xdr:rowOff>
        </xdr:to>
        <xdr:sp macro="" textlink="">
          <xdr:nvSpPr>
            <xdr:cNvPr id="11266" name="cmdTechName" hidden="1">
              <a:extLst>
                <a:ext uri="{63B3BB69-23CF-44E3-9099-C40C66FF867C}">
                  <a14:compatExt spid="_x0000_s11266"/>
                </a:ext>
                <a:ext uri="{FF2B5EF4-FFF2-40B4-BE49-F238E27FC236}">
                  <a16:creationId xmlns:a16="http://schemas.microsoft.com/office/drawing/2014/main" id="{00000000-0008-0000-1400-000002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4</xdr:row>
          <xdr:rowOff>0</xdr:rowOff>
        </xdr:from>
        <xdr:to>
          <xdr:col>1</xdr:col>
          <xdr:colOff>0</xdr:colOff>
          <xdr:row>5</xdr:row>
          <xdr:rowOff>9525</xdr:rowOff>
        </xdr:to>
        <xdr:sp macro="" textlink="">
          <xdr:nvSpPr>
            <xdr:cNvPr id="11268" name="cmdAddParameter" hidden="1">
              <a:extLst>
                <a:ext uri="{63B3BB69-23CF-44E3-9099-C40C66FF867C}">
                  <a14:compatExt spid="_x0000_s11268"/>
                </a:ext>
                <a:ext uri="{FF2B5EF4-FFF2-40B4-BE49-F238E27FC236}">
                  <a16:creationId xmlns:a16="http://schemas.microsoft.com/office/drawing/2014/main" id="{00000000-0008-0000-1400-000004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152400</xdr:rowOff>
        </xdr:from>
        <xdr:to>
          <xdr:col>1</xdr:col>
          <xdr:colOff>0</xdr:colOff>
          <xdr:row>4</xdr:row>
          <xdr:rowOff>9525</xdr:rowOff>
        </xdr:to>
        <xdr:sp macro="" textlink="">
          <xdr:nvSpPr>
            <xdr:cNvPr id="11271" name="cmdCheckConstrDataSheet" hidden="1">
              <a:extLst>
                <a:ext uri="{63B3BB69-23CF-44E3-9099-C40C66FF867C}">
                  <a14:compatExt spid="_x0000_s11271"/>
                </a:ext>
                <a:ext uri="{FF2B5EF4-FFF2-40B4-BE49-F238E27FC236}">
                  <a16:creationId xmlns:a16="http://schemas.microsoft.com/office/drawing/2014/main" id="{00000000-0008-0000-1400-000007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0</xdr:rowOff>
        </xdr:from>
        <xdr:to>
          <xdr:col>1</xdr:col>
          <xdr:colOff>0</xdr:colOff>
          <xdr:row>6</xdr:row>
          <xdr:rowOff>19050</xdr:rowOff>
        </xdr:to>
        <xdr:sp macro="" textlink="">
          <xdr:nvSpPr>
            <xdr:cNvPr id="11361" name="cmdAddParamQualifier" hidden="1">
              <a:extLst>
                <a:ext uri="{63B3BB69-23CF-44E3-9099-C40C66FF867C}">
                  <a14:compatExt spid="_x0000_s11361"/>
                </a:ext>
                <a:ext uri="{FF2B5EF4-FFF2-40B4-BE49-F238E27FC236}">
                  <a16:creationId xmlns:a16="http://schemas.microsoft.com/office/drawing/2014/main" id="{00000000-0008-0000-1400-000061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1009650</xdr:colOff>
          <xdr:row>2</xdr:row>
          <xdr:rowOff>28575</xdr:rowOff>
        </xdr:from>
        <xdr:to>
          <xdr:col>4</xdr:col>
          <xdr:colOff>0</xdr:colOff>
          <xdr:row>4</xdr:row>
          <xdr:rowOff>19050</xdr:rowOff>
        </xdr:to>
        <xdr:sp macro="" textlink="">
          <xdr:nvSpPr>
            <xdr:cNvPr id="11374" name="cmdRefreshUnits" hidden="1">
              <a:extLst>
                <a:ext uri="{63B3BB69-23CF-44E3-9099-C40C66FF867C}">
                  <a14:compatExt spid="_x0000_s11374"/>
                </a:ext>
                <a:ext uri="{FF2B5EF4-FFF2-40B4-BE49-F238E27FC236}">
                  <a16:creationId xmlns:a16="http://schemas.microsoft.com/office/drawing/2014/main" id="{00000000-0008-0000-1400-00006E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16</xdr:col>
      <xdr:colOff>133351</xdr:colOff>
      <xdr:row>5</xdr:row>
      <xdr:rowOff>38100</xdr:rowOff>
    </xdr:from>
    <xdr:to>
      <xdr:col>21</xdr:col>
      <xdr:colOff>565066</xdr:colOff>
      <xdr:row>21</xdr:row>
      <xdr:rowOff>104775</xdr:rowOff>
    </xdr:to>
    <xdr:pic>
      <xdr:nvPicPr>
        <xdr:cNvPr id="4" name="Picture 3" descr="OGSM supply region map.jpg">
          <a:extLst>
            <a:ext uri="{FF2B5EF4-FFF2-40B4-BE49-F238E27FC236}">
              <a16:creationId xmlns:a16="http://schemas.microsoft.com/office/drawing/2014/main" id="{00000000-0008-0000-1500-000004000000}"/>
            </a:ext>
          </a:extLst>
        </xdr:cNvPr>
        <xdr:cNvPicPr>
          <a:picLocks noChangeAspect="1"/>
        </xdr:cNvPicPr>
      </xdr:nvPicPr>
      <xdr:blipFill>
        <a:blip xmlns:r="http://schemas.openxmlformats.org/officeDocument/2006/relationships" r:embed="rId1" cstate="print"/>
        <a:stretch>
          <a:fillRect/>
        </a:stretch>
      </xdr:blipFill>
      <xdr:spPr>
        <a:xfrm>
          <a:off x="13144501" y="1247775"/>
          <a:ext cx="3765465" cy="2743200"/>
        </a:xfrm>
        <a:prstGeom prst="rect">
          <a:avLst/>
        </a:prstGeom>
      </xdr:spPr>
    </xdr:pic>
    <xdr:clientData/>
  </xdr:twoCellAnchor>
  <xdr:twoCellAnchor editAs="oneCell">
    <xdr:from>
      <xdr:col>22</xdr:col>
      <xdr:colOff>28575</xdr:colOff>
      <xdr:row>5</xdr:row>
      <xdr:rowOff>180975</xdr:rowOff>
    </xdr:from>
    <xdr:to>
      <xdr:col>24</xdr:col>
      <xdr:colOff>1074273</xdr:colOff>
      <xdr:row>19</xdr:row>
      <xdr:rowOff>114300</xdr:rowOff>
    </xdr:to>
    <xdr:pic>
      <xdr:nvPicPr>
        <xdr:cNvPr id="5" name="Picture 4" descr="Texas Oil and Gas Districts.jpg">
          <a:extLst>
            <a:ext uri="{FF2B5EF4-FFF2-40B4-BE49-F238E27FC236}">
              <a16:creationId xmlns:a16="http://schemas.microsoft.com/office/drawing/2014/main" id="{00000000-0008-0000-1500-000005000000}"/>
            </a:ext>
          </a:extLst>
        </xdr:cNvPr>
        <xdr:cNvPicPr>
          <a:picLocks noChangeAspect="1"/>
        </xdr:cNvPicPr>
      </xdr:nvPicPr>
      <xdr:blipFill>
        <a:blip xmlns:r="http://schemas.openxmlformats.org/officeDocument/2006/relationships" r:embed="rId2" cstate="print"/>
        <a:stretch>
          <a:fillRect/>
        </a:stretch>
      </xdr:blipFill>
      <xdr:spPr>
        <a:xfrm>
          <a:off x="16983075" y="1390650"/>
          <a:ext cx="2264898" cy="2286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19050</xdr:colOff>
          <xdr:row>3</xdr:row>
          <xdr:rowOff>0</xdr:rowOff>
        </xdr:from>
        <xdr:to>
          <xdr:col>2</xdr:col>
          <xdr:colOff>1000125</xdr:colOff>
          <xdr:row>4</xdr:row>
          <xdr:rowOff>19050</xdr:rowOff>
        </xdr:to>
        <xdr:sp macro="" textlink="">
          <xdr:nvSpPr>
            <xdr:cNvPr id="71681" name="cmdConstrNameAndDesc" hidden="1">
              <a:extLst>
                <a:ext uri="{63B3BB69-23CF-44E3-9099-C40C66FF867C}">
                  <a14:compatExt spid="_x0000_s71681"/>
                </a:ext>
                <a:ext uri="{FF2B5EF4-FFF2-40B4-BE49-F238E27FC236}">
                  <a16:creationId xmlns:a16="http://schemas.microsoft.com/office/drawing/2014/main" id="{00000000-0008-0000-1B00-000001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0</xdr:colOff>
          <xdr:row>3</xdr:row>
          <xdr:rowOff>0</xdr:rowOff>
        </xdr:from>
        <xdr:to>
          <xdr:col>4</xdr:col>
          <xdr:colOff>657225</xdr:colOff>
          <xdr:row>4</xdr:row>
          <xdr:rowOff>19050</xdr:rowOff>
        </xdr:to>
        <xdr:sp macro="" textlink="">
          <xdr:nvSpPr>
            <xdr:cNvPr id="71682" name="cmdTechName" hidden="1">
              <a:extLst>
                <a:ext uri="{63B3BB69-23CF-44E3-9099-C40C66FF867C}">
                  <a14:compatExt spid="_x0000_s71682"/>
                </a:ext>
                <a:ext uri="{FF2B5EF4-FFF2-40B4-BE49-F238E27FC236}">
                  <a16:creationId xmlns:a16="http://schemas.microsoft.com/office/drawing/2014/main" id="{00000000-0008-0000-1B00-000002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4</xdr:row>
          <xdr:rowOff>0</xdr:rowOff>
        </xdr:from>
        <xdr:to>
          <xdr:col>1</xdr:col>
          <xdr:colOff>0</xdr:colOff>
          <xdr:row>5</xdr:row>
          <xdr:rowOff>9525</xdr:rowOff>
        </xdr:to>
        <xdr:sp macro="" textlink="">
          <xdr:nvSpPr>
            <xdr:cNvPr id="71683" name="cmdAddParameter" hidden="1">
              <a:extLst>
                <a:ext uri="{63B3BB69-23CF-44E3-9099-C40C66FF867C}">
                  <a14:compatExt spid="_x0000_s71683"/>
                </a:ext>
                <a:ext uri="{FF2B5EF4-FFF2-40B4-BE49-F238E27FC236}">
                  <a16:creationId xmlns:a16="http://schemas.microsoft.com/office/drawing/2014/main" id="{00000000-0008-0000-1B00-000003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152400</xdr:rowOff>
        </xdr:from>
        <xdr:to>
          <xdr:col>1</xdr:col>
          <xdr:colOff>0</xdr:colOff>
          <xdr:row>4</xdr:row>
          <xdr:rowOff>9525</xdr:rowOff>
        </xdr:to>
        <xdr:sp macro="" textlink="">
          <xdr:nvSpPr>
            <xdr:cNvPr id="71684" name="cmdCheckConstrDataSheet" hidden="1">
              <a:extLst>
                <a:ext uri="{63B3BB69-23CF-44E3-9099-C40C66FF867C}">
                  <a14:compatExt spid="_x0000_s71684"/>
                </a:ext>
                <a:ext uri="{FF2B5EF4-FFF2-40B4-BE49-F238E27FC236}">
                  <a16:creationId xmlns:a16="http://schemas.microsoft.com/office/drawing/2014/main" id="{00000000-0008-0000-1B00-000004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0</xdr:rowOff>
        </xdr:from>
        <xdr:to>
          <xdr:col>1</xdr:col>
          <xdr:colOff>0</xdr:colOff>
          <xdr:row>6</xdr:row>
          <xdr:rowOff>19050</xdr:rowOff>
        </xdr:to>
        <xdr:sp macro="" textlink="">
          <xdr:nvSpPr>
            <xdr:cNvPr id="71685" name="cmdAddParamQualifier" hidden="1">
              <a:extLst>
                <a:ext uri="{63B3BB69-23CF-44E3-9099-C40C66FF867C}">
                  <a14:compatExt spid="_x0000_s71685"/>
                </a:ext>
                <a:ext uri="{FF2B5EF4-FFF2-40B4-BE49-F238E27FC236}">
                  <a16:creationId xmlns:a16="http://schemas.microsoft.com/office/drawing/2014/main" id="{00000000-0008-0000-1B00-000005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1009650</xdr:colOff>
          <xdr:row>2</xdr:row>
          <xdr:rowOff>28575</xdr:rowOff>
        </xdr:from>
        <xdr:to>
          <xdr:col>4</xdr:col>
          <xdr:colOff>0</xdr:colOff>
          <xdr:row>4</xdr:row>
          <xdr:rowOff>19050</xdr:rowOff>
        </xdr:to>
        <xdr:sp macro="" textlink="">
          <xdr:nvSpPr>
            <xdr:cNvPr id="71686" name="cmdRefreshUnits" hidden="1">
              <a:extLst>
                <a:ext uri="{63B3BB69-23CF-44E3-9099-C40C66FF867C}">
                  <a14:compatExt spid="_x0000_s71686"/>
                </a:ext>
                <a:ext uri="{FF2B5EF4-FFF2-40B4-BE49-F238E27FC236}">
                  <a16:creationId xmlns:a16="http://schemas.microsoft.com/office/drawing/2014/main" id="{00000000-0008-0000-1B00-0000061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9.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38100</xdr:colOff>
          <xdr:row>2</xdr:row>
          <xdr:rowOff>152400</xdr:rowOff>
        </xdr:from>
        <xdr:to>
          <xdr:col>2</xdr:col>
          <xdr:colOff>1581150</xdr:colOff>
          <xdr:row>4</xdr:row>
          <xdr:rowOff>9525</xdr:rowOff>
        </xdr:to>
        <xdr:sp macro="" textlink="">
          <xdr:nvSpPr>
            <xdr:cNvPr id="70657" name="cmdTechNameAndDesc" hidden="1">
              <a:extLst>
                <a:ext uri="{63B3BB69-23CF-44E3-9099-C40C66FF867C}">
                  <a14:compatExt spid="_x0000_s70657"/>
                </a:ext>
                <a:ext uri="{FF2B5EF4-FFF2-40B4-BE49-F238E27FC236}">
                  <a16:creationId xmlns:a16="http://schemas.microsoft.com/office/drawing/2014/main" id="{00000000-0008-0000-1C00-000001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2</xdr:row>
          <xdr:rowOff>142875</xdr:rowOff>
        </xdr:from>
        <xdr:to>
          <xdr:col>4</xdr:col>
          <xdr:colOff>600075</xdr:colOff>
          <xdr:row>4</xdr:row>
          <xdr:rowOff>0</xdr:rowOff>
        </xdr:to>
        <xdr:sp macro="" textlink="">
          <xdr:nvSpPr>
            <xdr:cNvPr id="70658" name="cmdCommIN" hidden="1">
              <a:extLst>
                <a:ext uri="{63B3BB69-23CF-44E3-9099-C40C66FF867C}">
                  <a14:compatExt spid="_x0000_s70658"/>
                </a:ext>
                <a:ext uri="{FF2B5EF4-FFF2-40B4-BE49-F238E27FC236}">
                  <a16:creationId xmlns:a16="http://schemas.microsoft.com/office/drawing/2014/main" id="{00000000-0008-0000-1C00-000002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xdr:colOff>
          <xdr:row>2</xdr:row>
          <xdr:rowOff>142875</xdr:rowOff>
        </xdr:from>
        <xdr:to>
          <xdr:col>6</xdr:col>
          <xdr:colOff>0</xdr:colOff>
          <xdr:row>4</xdr:row>
          <xdr:rowOff>0</xdr:rowOff>
        </xdr:to>
        <xdr:sp macro="" textlink="">
          <xdr:nvSpPr>
            <xdr:cNvPr id="70659" name="cmdCommOUT" hidden="1">
              <a:extLst>
                <a:ext uri="{63B3BB69-23CF-44E3-9099-C40C66FF867C}">
                  <a14:compatExt spid="_x0000_s70659"/>
                </a:ext>
                <a:ext uri="{FF2B5EF4-FFF2-40B4-BE49-F238E27FC236}">
                  <a16:creationId xmlns:a16="http://schemas.microsoft.com/office/drawing/2014/main" id="{00000000-0008-0000-1C00-000003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200025</xdr:rowOff>
        </xdr:from>
        <xdr:to>
          <xdr:col>1</xdr:col>
          <xdr:colOff>9525</xdr:colOff>
          <xdr:row>4</xdr:row>
          <xdr:rowOff>219075</xdr:rowOff>
        </xdr:to>
        <xdr:sp macro="" textlink="">
          <xdr:nvSpPr>
            <xdr:cNvPr id="70660" name="cmdAddParameter" hidden="1">
              <a:extLst>
                <a:ext uri="{63B3BB69-23CF-44E3-9099-C40C66FF867C}">
                  <a14:compatExt spid="_x0000_s70660"/>
                </a:ext>
                <a:ext uri="{FF2B5EF4-FFF2-40B4-BE49-F238E27FC236}">
                  <a16:creationId xmlns:a16="http://schemas.microsoft.com/office/drawing/2014/main" id="{00000000-0008-0000-1C00-000004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9525</xdr:rowOff>
        </xdr:from>
        <xdr:to>
          <xdr:col>1</xdr:col>
          <xdr:colOff>9525</xdr:colOff>
          <xdr:row>6</xdr:row>
          <xdr:rowOff>28575</xdr:rowOff>
        </xdr:to>
        <xdr:sp macro="" textlink="">
          <xdr:nvSpPr>
            <xdr:cNvPr id="70661" name="cmdAddParamQualifier" hidden="1">
              <a:extLst>
                <a:ext uri="{63B3BB69-23CF-44E3-9099-C40C66FF867C}">
                  <a14:compatExt spid="_x0000_s70661"/>
                </a:ext>
                <a:ext uri="{FF2B5EF4-FFF2-40B4-BE49-F238E27FC236}">
                  <a16:creationId xmlns:a16="http://schemas.microsoft.com/office/drawing/2014/main" id="{00000000-0008-0000-1C00-000005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152400</xdr:rowOff>
        </xdr:from>
        <xdr:to>
          <xdr:col>1</xdr:col>
          <xdr:colOff>9525</xdr:colOff>
          <xdr:row>4</xdr:row>
          <xdr:rowOff>9525</xdr:rowOff>
        </xdr:to>
        <xdr:sp macro="" textlink="">
          <xdr:nvSpPr>
            <xdr:cNvPr id="70662" name="cmdCheckTechDataSheet" hidden="1">
              <a:extLst>
                <a:ext uri="{63B3BB69-23CF-44E3-9099-C40C66FF867C}">
                  <a14:compatExt spid="_x0000_s70662"/>
                </a:ext>
                <a:ext uri="{FF2B5EF4-FFF2-40B4-BE49-F238E27FC236}">
                  <a16:creationId xmlns:a16="http://schemas.microsoft.com/office/drawing/2014/main" id="{00000000-0008-0000-1C00-000006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0</xdr:colOff>
          <xdr:row>2</xdr:row>
          <xdr:rowOff>19050</xdr:rowOff>
        </xdr:from>
        <xdr:to>
          <xdr:col>4</xdr:col>
          <xdr:colOff>28575</xdr:colOff>
          <xdr:row>4</xdr:row>
          <xdr:rowOff>9525</xdr:rowOff>
        </xdr:to>
        <xdr:sp macro="" textlink="">
          <xdr:nvSpPr>
            <xdr:cNvPr id="70663" name="cmdRefreshUnits" hidden="1">
              <a:extLst>
                <a:ext uri="{63B3BB69-23CF-44E3-9099-C40C66FF867C}">
                  <a14:compatExt spid="_x0000_s70663"/>
                </a:ext>
                <a:ext uri="{FF2B5EF4-FFF2-40B4-BE49-F238E27FC236}">
                  <a16:creationId xmlns:a16="http://schemas.microsoft.com/office/drawing/2014/main" id="{00000000-0008-0000-1C00-0000071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0.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9525</xdr:colOff>
          <xdr:row>4</xdr:row>
          <xdr:rowOff>9525</xdr:rowOff>
        </xdr:from>
        <xdr:to>
          <xdr:col>0</xdr:col>
          <xdr:colOff>695325</xdr:colOff>
          <xdr:row>5</xdr:row>
          <xdr:rowOff>0</xdr:rowOff>
        </xdr:to>
        <xdr:sp macro="" textlink="">
          <xdr:nvSpPr>
            <xdr:cNvPr id="69633" name="cmdAddParameter" hidden="1">
              <a:extLst>
                <a:ext uri="{63B3BB69-23CF-44E3-9099-C40C66FF867C}">
                  <a14:compatExt spid="_x0000_s69633"/>
                </a:ext>
                <a:ext uri="{FF2B5EF4-FFF2-40B4-BE49-F238E27FC236}">
                  <a16:creationId xmlns:a16="http://schemas.microsoft.com/office/drawing/2014/main" id="{00000000-0008-0000-1D00-000001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3</xdr:row>
          <xdr:rowOff>19050</xdr:rowOff>
        </xdr:from>
        <xdr:to>
          <xdr:col>2</xdr:col>
          <xdr:colOff>1390650</xdr:colOff>
          <xdr:row>4</xdr:row>
          <xdr:rowOff>0</xdr:rowOff>
        </xdr:to>
        <xdr:sp macro="" textlink="">
          <xdr:nvSpPr>
            <xdr:cNvPr id="69634" name="cmdCommNameAndDesc" hidden="1">
              <a:extLst>
                <a:ext uri="{63B3BB69-23CF-44E3-9099-C40C66FF867C}">
                  <a14:compatExt spid="_x0000_s69634"/>
                </a:ext>
                <a:ext uri="{FF2B5EF4-FFF2-40B4-BE49-F238E27FC236}">
                  <a16:creationId xmlns:a16="http://schemas.microsoft.com/office/drawing/2014/main" id="{00000000-0008-0000-1D00-000002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5</xdr:row>
          <xdr:rowOff>0</xdr:rowOff>
        </xdr:from>
        <xdr:to>
          <xdr:col>0</xdr:col>
          <xdr:colOff>695325</xdr:colOff>
          <xdr:row>5</xdr:row>
          <xdr:rowOff>238125</xdr:rowOff>
        </xdr:to>
        <xdr:sp macro="" textlink="">
          <xdr:nvSpPr>
            <xdr:cNvPr id="69635" name="cmdAddParamQualifier" hidden="1">
              <a:extLst>
                <a:ext uri="{63B3BB69-23CF-44E3-9099-C40C66FF867C}">
                  <a14:compatExt spid="_x0000_s69635"/>
                </a:ext>
                <a:ext uri="{FF2B5EF4-FFF2-40B4-BE49-F238E27FC236}">
                  <a16:creationId xmlns:a16="http://schemas.microsoft.com/office/drawing/2014/main" id="{00000000-0008-0000-1D00-000003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19050</xdr:rowOff>
        </xdr:from>
        <xdr:to>
          <xdr:col>0</xdr:col>
          <xdr:colOff>695325</xdr:colOff>
          <xdr:row>4</xdr:row>
          <xdr:rowOff>0</xdr:rowOff>
        </xdr:to>
        <xdr:sp macro="" textlink="">
          <xdr:nvSpPr>
            <xdr:cNvPr id="69636" name="cmdCheckCommDataSheet" hidden="1">
              <a:extLst>
                <a:ext uri="{63B3BB69-23CF-44E3-9099-C40C66FF867C}">
                  <a14:compatExt spid="_x0000_s69636"/>
                </a:ext>
                <a:ext uri="{FF2B5EF4-FFF2-40B4-BE49-F238E27FC236}">
                  <a16:creationId xmlns:a16="http://schemas.microsoft.com/office/drawing/2014/main" id="{00000000-0008-0000-1D00-000004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1409700</xdr:colOff>
          <xdr:row>2</xdr:row>
          <xdr:rowOff>76200</xdr:rowOff>
        </xdr:from>
        <xdr:to>
          <xdr:col>4</xdr:col>
          <xdr:colOff>0</xdr:colOff>
          <xdr:row>4</xdr:row>
          <xdr:rowOff>0</xdr:rowOff>
        </xdr:to>
        <xdr:sp macro="" textlink="">
          <xdr:nvSpPr>
            <xdr:cNvPr id="69637" name="cmdRefreshUnits" hidden="1">
              <a:extLst>
                <a:ext uri="{63B3BB69-23CF-44E3-9099-C40C66FF867C}">
                  <a14:compatExt spid="_x0000_s69637"/>
                </a:ext>
                <a:ext uri="{FF2B5EF4-FFF2-40B4-BE49-F238E27FC236}">
                  <a16:creationId xmlns:a16="http://schemas.microsoft.com/office/drawing/2014/main" id="{00000000-0008-0000-1D00-00000510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19050</xdr:colOff>
          <xdr:row>4</xdr:row>
          <xdr:rowOff>19050</xdr:rowOff>
        </xdr:from>
        <xdr:to>
          <xdr:col>4</xdr:col>
          <xdr:colOff>990600</xdr:colOff>
          <xdr:row>5</xdr:row>
          <xdr:rowOff>38100</xdr:rowOff>
        </xdr:to>
        <xdr:sp macro="" textlink="">
          <xdr:nvSpPr>
            <xdr:cNvPr id="68609" name="cmdConstraintSets" hidden="1">
              <a:extLst>
                <a:ext uri="{63B3BB69-23CF-44E3-9099-C40C66FF867C}">
                  <a14:compatExt spid="_x0000_s68609"/>
                </a:ext>
                <a:ext uri="{FF2B5EF4-FFF2-40B4-BE49-F238E27FC236}">
                  <a16:creationId xmlns:a16="http://schemas.microsoft.com/office/drawing/2014/main" id="{00000000-0008-0000-1E00-000001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3</xdr:row>
          <xdr:rowOff>0</xdr:rowOff>
        </xdr:from>
        <xdr:to>
          <xdr:col>0</xdr:col>
          <xdr:colOff>790575</xdr:colOff>
          <xdr:row>4</xdr:row>
          <xdr:rowOff>0</xdr:rowOff>
        </xdr:to>
        <xdr:sp macro="" textlink="">
          <xdr:nvSpPr>
            <xdr:cNvPr id="68610" name="cmdCheckConstraintsSheet" hidden="1">
              <a:extLst>
                <a:ext uri="{63B3BB69-23CF-44E3-9099-C40C66FF867C}">
                  <a14:compatExt spid="_x0000_s68610"/>
                </a:ext>
                <a:ext uri="{FF2B5EF4-FFF2-40B4-BE49-F238E27FC236}">
                  <a16:creationId xmlns:a16="http://schemas.microsoft.com/office/drawing/2014/main" id="{00000000-0008-0000-1E00-000002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4</xdr:row>
          <xdr:rowOff>9525</xdr:rowOff>
        </xdr:from>
        <xdr:to>
          <xdr:col>3</xdr:col>
          <xdr:colOff>571500</xdr:colOff>
          <xdr:row>5</xdr:row>
          <xdr:rowOff>28575</xdr:rowOff>
        </xdr:to>
        <xdr:sp macro="" textlink="">
          <xdr:nvSpPr>
            <xdr:cNvPr id="68611" name="cmdConstraintUnit" hidden="1">
              <a:extLst>
                <a:ext uri="{63B3BB69-23CF-44E3-9099-C40C66FF867C}">
                  <a14:compatExt spid="_x0000_s68611"/>
                </a:ext>
                <a:ext uri="{FF2B5EF4-FFF2-40B4-BE49-F238E27FC236}">
                  <a16:creationId xmlns:a16="http://schemas.microsoft.com/office/drawing/2014/main" id="{00000000-0008-0000-1E00-000003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19050</xdr:colOff>
          <xdr:row>2</xdr:row>
          <xdr:rowOff>47625</xdr:rowOff>
        </xdr:from>
        <xdr:to>
          <xdr:col>3</xdr:col>
          <xdr:colOff>571500</xdr:colOff>
          <xdr:row>4</xdr:row>
          <xdr:rowOff>19050</xdr:rowOff>
        </xdr:to>
        <xdr:sp macro="" textlink="">
          <xdr:nvSpPr>
            <xdr:cNvPr id="68612" name="cmdRefreshUnits" hidden="1">
              <a:extLst>
                <a:ext uri="{63B3BB69-23CF-44E3-9099-C40C66FF867C}">
                  <a14:compatExt spid="_x0000_s68612"/>
                </a:ext>
                <a:ext uri="{FF2B5EF4-FFF2-40B4-BE49-F238E27FC236}">
                  <a16:creationId xmlns:a16="http://schemas.microsoft.com/office/drawing/2014/main" id="{00000000-0008-0000-1E00-0000040C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19050</xdr:colOff>
          <xdr:row>4</xdr:row>
          <xdr:rowOff>19050</xdr:rowOff>
        </xdr:from>
        <xdr:to>
          <xdr:col>5</xdr:col>
          <xdr:colOff>1819275</xdr:colOff>
          <xdr:row>5</xdr:row>
          <xdr:rowOff>95250</xdr:rowOff>
        </xdr:to>
        <xdr:sp macro="" textlink="">
          <xdr:nvSpPr>
            <xdr:cNvPr id="67585" name="cmdTechnologySets" hidden="1">
              <a:extLst>
                <a:ext uri="{63B3BB69-23CF-44E3-9099-C40C66FF867C}">
                  <a14:compatExt spid="_x0000_s67585"/>
                </a:ext>
                <a:ext uri="{FF2B5EF4-FFF2-40B4-BE49-F238E27FC236}">
                  <a16:creationId xmlns:a16="http://schemas.microsoft.com/office/drawing/2014/main" id="{00000000-0008-0000-1F00-000001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152400</xdr:rowOff>
        </xdr:from>
        <xdr:to>
          <xdr:col>1</xdr:col>
          <xdr:colOff>0</xdr:colOff>
          <xdr:row>4</xdr:row>
          <xdr:rowOff>0</xdr:rowOff>
        </xdr:to>
        <xdr:sp macro="" textlink="">
          <xdr:nvSpPr>
            <xdr:cNvPr id="67586" name="cmdCheckTechnologiesSheet" hidden="1">
              <a:extLst>
                <a:ext uri="{63B3BB69-23CF-44E3-9099-C40C66FF867C}">
                  <a14:compatExt spid="_x0000_s67586"/>
                </a:ext>
                <a:ext uri="{FF2B5EF4-FFF2-40B4-BE49-F238E27FC236}">
                  <a16:creationId xmlns:a16="http://schemas.microsoft.com/office/drawing/2014/main" id="{00000000-0008-0000-1F00-000002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4</xdr:row>
          <xdr:rowOff>19050</xdr:rowOff>
        </xdr:from>
        <xdr:to>
          <xdr:col>4</xdr:col>
          <xdr:colOff>0</xdr:colOff>
          <xdr:row>5</xdr:row>
          <xdr:rowOff>95250</xdr:rowOff>
        </xdr:to>
        <xdr:sp macro="" textlink="">
          <xdr:nvSpPr>
            <xdr:cNvPr id="67587" name="cmdTACTUnit" hidden="1">
              <a:extLst>
                <a:ext uri="{63B3BB69-23CF-44E3-9099-C40C66FF867C}">
                  <a14:compatExt spid="_x0000_s67587"/>
                </a:ext>
                <a:ext uri="{FF2B5EF4-FFF2-40B4-BE49-F238E27FC236}">
                  <a16:creationId xmlns:a16="http://schemas.microsoft.com/office/drawing/2014/main" id="{00000000-0008-0000-1F00-000003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4</xdr:row>
          <xdr:rowOff>19050</xdr:rowOff>
        </xdr:from>
        <xdr:to>
          <xdr:col>4</xdr:col>
          <xdr:colOff>647700</xdr:colOff>
          <xdr:row>5</xdr:row>
          <xdr:rowOff>95250</xdr:rowOff>
        </xdr:to>
        <xdr:sp macro="" textlink="">
          <xdr:nvSpPr>
            <xdr:cNvPr id="67588" name="cmdTCAPUnit" hidden="1">
              <a:extLst>
                <a:ext uri="{63B3BB69-23CF-44E3-9099-C40C66FF867C}">
                  <a14:compatExt spid="_x0000_s67588"/>
                </a:ext>
                <a:ext uri="{FF2B5EF4-FFF2-40B4-BE49-F238E27FC236}">
                  <a16:creationId xmlns:a16="http://schemas.microsoft.com/office/drawing/2014/main" id="{00000000-0008-0000-1F00-000004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381000</xdr:colOff>
          <xdr:row>1</xdr:row>
          <xdr:rowOff>152400</xdr:rowOff>
        </xdr:from>
        <xdr:to>
          <xdr:col>4</xdr:col>
          <xdr:colOff>285750</xdr:colOff>
          <xdr:row>3</xdr:row>
          <xdr:rowOff>200025</xdr:rowOff>
        </xdr:to>
        <xdr:sp macro="" textlink="">
          <xdr:nvSpPr>
            <xdr:cNvPr id="67589" name="cmdRefreshUnits" hidden="1">
              <a:extLst>
                <a:ext uri="{63B3BB69-23CF-44E3-9099-C40C66FF867C}">
                  <a14:compatExt spid="_x0000_s67589"/>
                </a:ext>
                <a:ext uri="{FF2B5EF4-FFF2-40B4-BE49-F238E27FC236}">
                  <a16:creationId xmlns:a16="http://schemas.microsoft.com/office/drawing/2014/main" id="{00000000-0008-0000-1F00-00000508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1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4</xdr:col>
          <xdr:colOff>9525</xdr:colOff>
          <xdr:row>3</xdr:row>
          <xdr:rowOff>95250</xdr:rowOff>
        </xdr:from>
        <xdr:to>
          <xdr:col>4</xdr:col>
          <xdr:colOff>981075</xdr:colOff>
          <xdr:row>4</xdr:row>
          <xdr:rowOff>114300</xdr:rowOff>
        </xdr:to>
        <xdr:sp macro="" textlink="">
          <xdr:nvSpPr>
            <xdr:cNvPr id="66561" name="cmdEnergySets" hidden="1">
              <a:extLst>
                <a:ext uri="{63B3BB69-23CF-44E3-9099-C40C66FF867C}">
                  <a14:compatExt spid="_x0000_s66561"/>
                </a:ext>
                <a:ext uri="{FF2B5EF4-FFF2-40B4-BE49-F238E27FC236}">
                  <a16:creationId xmlns:a16="http://schemas.microsoft.com/office/drawing/2014/main" id="{00000000-0008-0000-2000-000001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9525</xdr:colOff>
          <xdr:row>4</xdr:row>
          <xdr:rowOff>171450</xdr:rowOff>
        </xdr:from>
        <xdr:to>
          <xdr:col>4</xdr:col>
          <xdr:colOff>981075</xdr:colOff>
          <xdr:row>5</xdr:row>
          <xdr:rowOff>190500</xdr:rowOff>
        </xdr:to>
        <xdr:sp macro="" textlink="">
          <xdr:nvSpPr>
            <xdr:cNvPr id="66562" name="cmdDemandSets" hidden="1">
              <a:extLst>
                <a:ext uri="{63B3BB69-23CF-44E3-9099-C40C66FF867C}">
                  <a14:compatExt spid="_x0000_s66562"/>
                </a:ext>
                <a:ext uri="{FF2B5EF4-FFF2-40B4-BE49-F238E27FC236}">
                  <a16:creationId xmlns:a16="http://schemas.microsoft.com/office/drawing/2014/main" id="{00000000-0008-0000-2000-000002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1000125</xdr:colOff>
          <xdr:row>4</xdr:row>
          <xdr:rowOff>171450</xdr:rowOff>
        </xdr:from>
        <xdr:to>
          <xdr:col>4</xdr:col>
          <xdr:colOff>1971675</xdr:colOff>
          <xdr:row>5</xdr:row>
          <xdr:rowOff>190500</xdr:rowOff>
        </xdr:to>
        <xdr:sp macro="" textlink="">
          <xdr:nvSpPr>
            <xdr:cNvPr id="66563" name="cmdEmissionSets" hidden="1">
              <a:extLst>
                <a:ext uri="{63B3BB69-23CF-44E3-9099-C40C66FF867C}">
                  <a14:compatExt spid="_x0000_s66563"/>
                </a:ext>
                <a:ext uri="{FF2B5EF4-FFF2-40B4-BE49-F238E27FC236}">
                  <a16:creationId xmlns:a16="http://schemas.microsoft.com/office/drawing/2014/main" id="{00000000-0008-0000-2000-000003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1000125</xdr:colOff>
          <xdr:row>3</xdr:row>
          <xdr:rowOff>95250</xdr:rowOff>
        </xdr:from>
        <xdr:to>
          <xdr:col>4</xdr:col>
          <xdr:colOff>1971675</xdr:colOff>
          <xdr:row>4</xdr:row>
          <xdr:rowOff>114300</xdr:rowOff>
        </xdr:to>
        <xdr:sp macro="" textlink="">
          <xdr:nvSpPr>
            <xdr:cNvPr id="66564" name="cmdMaterialSets" hidden="1">
              <a:extLst>
                <a:ext uri="{63B3BB69-23CF-44E3-9099-C40C66FF867C}">
                  <a14:compatExt spid="_x0000_s66564"/>
                </a:ext>
                <a:ext uri="{FF2B5EF4-FFF2-40B4-BE49-F238E27FC236}">
                  <a16:creationId xmlns:a16="http://schemas.microsoft.com/office/drawing/2014/main" id="{00000000-0008-0000-2000-000004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9525</xdr:colOff>
          <xdr:row>2</xdr:row>
          <xdr:rowOff>142875</xdr:rowOff>
        </xdr:from>
        <xdr:to>
          <xdr:col>0</xdr:col>
          <xdr:colOff>828675</xdr:colOff>
          <xdr:row>4</xdr:row>
          <xdr:rowOff>0</xdr:rowOff>
        </xdr:to>
        <xdr:sp macro="" textlink="">
          <xdr:nvSpPr>
            <xdr:cNvPr id="66565" name="cmdCheckCommoditiesSheet" hidden="1">
              <a:extLst>
                <a:ext uri="{63B3BB69-23CF-44E3-9099-C40C66FF867C}">
                  <a14:compatExt spid="_x0000_s66565"/>
                </a:ext>
                <a:ext uri="{FF2B5EF4-FFF2-40B4-BE49-F238E27FC236}">
                  <a16:creationId xmlns:a16="http://schemas.microsoft.com/office/drawing/2014/main" id="{00000000-0008-0000-2000-000005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xdr:colOff>
          <xdr:row>4</xdr:row>
          <xdr:rowOff>171450</xdr:rowOff>
        </xdr:from>
        <xdr:to>
          <xdr:col>3</xdr:col>
          <xdr:colOff>676275</xdr:colOff>
          <xdr:row>5</xdr:row>
          <xdr:rowOff>190500</xdr:rowOff>
        </xdr:to>
        <xdr:sp macro="" textlink="">
          <xdr:nvSpPr>
            <xdr:cNvPr id="66566" name="cmdCommUnit" hidden="1">
              <a:extLst>
                <a:ext uri="{63B3BB69-23CF-44E3-9099-C40C66FF867C}">
                  <a14:compatExt spid="_x0000_s66566"/>
                </a:ext>
                <a:ext uri="{FF2B5EF4-FFF2-40B4-BE49-F238E27FC236}">
                  <a16:creationId xmlns:a16="http://schemas.microsoft.com/office/drawing/2014/main" id="{00000000-0008-0000-2000-000006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66675</xdr:colOff>
          <xdr:row>2</xdr:row>
          <xdr:rowOff>114300</xdr:rowOff>
        </xdr:from>
        <xdr:to>
          <xdr:col>3</xdr:col>
          <xdr:colOff>619125</xdr:colOff>
          <xdr:row>4</xdr:row>
          <xdr:rowOff>104775</xdr:rowOff>
        </xdr:to>
        <xdr:sp macro="" textlink="">
          <xdr:nvSpPr>
            <xdr:cNvPr id="66567" name="cmdRefreshUnits" hidden="1">
              <a:extLst>
                <a:ext uri="{63B3BB69-23CF-44E3-9099-C40C66FF867C}">
                  <a14:compatExt spid="_x0000_s66567"/>
                </a:ext>
                <a:ext uri="{FF2B5EF4-FFF2-40B4-BE49-F238E27FC236}">
                  <a16:creationId xmlns:a16="http://schemas.microsoft.com/office/drawing/2014/main" id="{00000000-0008-0000-2000-0000070401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a.ad.epa.gov\ord\Users\clenox\Desktop\2014%20EPAUS9r\Workbooks_9r_2014\EPAUS9r_14_Com_v0.2.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V2626umcec001\nrml_appcd\Documents%20and%20Settings\Owner\My%20Documents\MARKAL\EPA%20national%20model\Supply%20&amp;%20Ups\coal\CMM_SUPPLY_dat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2626umcec001\nrml_appcd\EMODEL\China\Anhui\Scen4\MODEL.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V2626umcec001\nrml_appcd\Documents%20and%20Settings\Evelyn\My%20Documents\MARKAL\EPA%20national%20model\from%20EPA\EPA%20CD\EPA%20CD\all%20files\MARKAL-coal2002BU.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nswerV6/Answer_Databases/MI/Workbooks%20with%20optimal%20solutions_MI/NGA_MI/EIA-StatetoStateCapacity.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modities"/>
      <sheetName val="Constraints"/>
      <sheetName val="Technologies"/>
      <sheetName val="ConstrData"/>
      <sheetName val="CommData_Demand"/>
      <sheetName val="TechData_COM"/>
      <sheetName val="TechData_Emis"/>
      <sheetName val="TechData_SESC"/>
      <sheetName val="TechData_ZZ"/>
      <sheetName val="Sol_PV"/>
      <sheetName val="AEO14 Renew"/>
      <sheetName val="RESID"/>
      <sheetName val="Mkt Shares raw"/>
      <sheetName val="CLT raw data"/>
      <sheetName val="Aggregated Data"/>
      <sheetName val="AEO14 Com Tech"/>
      <sheetName val="DMD ByRegion"/>
      <sheetName val="ComDemand"/>
      <sheetName val="CMCalc"/>
      <sheetName val="Pop"/>
      <sheetName val="Conversion Factors"/>
      <sheetName val="EmisCO2Coef"/>
      <sheetName val="EmisBC"/>
      <sheetName val="EmisOC"/>
      <sheetName val="EmisCom"/>
    </sheetNames>
    <sheetDataSet>
      <sheetData sheetId="0" refreshError="1"/>
      <sheetData sheetId="1" refreshError="1"/>
      <sheetData sheetId="2" refreshError="1"/>
      <sheetData sheetId="3" refreshError="1"/>
      <sheetData sheetId="4" refreshError="1"/>
      <sheetData sheetId="5">
        <row r="144">
          <cell r="M144">
            <v>13.954581858223868</v>
          </cell>
        </row>
      </sheetData>
      <sheetData sheetId="6" refreshError="1"/>
      <sheetData sheetId="7" refreshError="1"/>
      <sheetData sheetId="8" refreshError="1"/>
      <sheetData sheetId="9" refreshError="1"/>
      <sheetData sheetId="10" refreshError="1"/>
      <sheetData sheetId="11">
        <row r="4">
          <cell r="C4">
            <v>3.3204180167301636</v>
          </cell>
        </row>
      </sheetData>
      <sheetData sheetId="12">
        <row r="3">
          <cell r="B3">
            <v>0.53103953457529296</v>
          </cell>
        </row>
      </sheetData>
      <sheetData sheetId="13">
        <row r="15">
          <cell r="G15">
            <v>0.11350499555190985</v>
          </cell>
        </row>
      </sheetData>
      <sheetData sheetId="14" refreshError="1"/>
      <sheetData sheetId="15" refreshError="1"/>
      <sheetData sheetId="16" refreshError="1"/>
      <sheetData sheetId="17" refreshError="1"/>
      <sheetData sheetId="18" refreshError="1"/>
      <sheetData sheetId="19" refreshError="1"/>
      <sheetData sheetId="20">
        <row r="2">
          <cell r="B2">
            <v>24</v>
          </cell>
        </row>
        <row r="3">
          <cell r="B3">
            <v>365</v>
          </cell>
        </row>
        <row r="4">
          <cell r="B4">
            <v>1055.056</v>
          </cell>
        </row>
        <row r="5">
          <cell r="B5">
            <v>3.4119999999999999</v>
          </cell>
        </row>
        <row r="6">
          <cell r="B6">
            <v>1000000000000000</v>
          </cell>
        </row>
        <row r="7">
          <cell r="B7">
            <v>1000000</v>
          </cell>
        </row>
        <row r="9">
          <cell r="B9">
            <v>1000000000</v>
          </cell>
        </row>
      </sheetData>
      <sheetData sheetId="21" refreshError="1"/>
      <sheetData sheetId="22" refreshError="1"/>
      <sheetData sheetId="23" refreshError="1"/>
      <sheetData sheetId="2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m2025curves"/>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EL"/>
    </sheet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TEMS"/>
      <sheetName val="M-TID"/>
      <sheetName val="M-TS"/>
      <sheetName val="MARKAL data"/>
      <sheetName val="energy carriers"/>
      <sheetName val="Summary"/>
      <sheetName val="CUM"/>
      <sheetName val="Res-Sulfur"/>
      <sheetName val="Reserves"/>
      <sheetName val="Steps"/>
      <sheetName val="Period Averages"/>
      <sheetName val="Coal Supply Curves"/>
      <sheetName val="Supply Curve Mapping"/>
      <sheetName val="Key to Supply Curve Report"/>
    </sheetNames>
    <sheetDataSet>
      <sheetData sheetId="0" refreshError="1"/>
      <sheetData sheetId="1" refreshError="1"/>
      <sheetData sheetId="2" refreshError="1"/>
      <sheetData sheetId="3" refreshError="1"/>
      <sheetData sheetId="4" refreshError="1"/>
      <sheetData sheetId="5"/>
      <sheetData sheetId="6" refreshError="1"/>
      <sheetData sheetId="7"/>
      <sheetData sheetId="8"/>
      <sheetData sheetId="9">
        <row r="5">
          <cell r="Y5">
            <v>1000000</v>
          </cell>
        </row>
        <row r="6">
          <cell r="Y6">
            <v>1.0550559999999999E-6</v>
          </cell>
        </row>
      </sheetData>
      <sheetData sheetId="10" refreshError="1"/>
      <sheetData sheetId="11" refreshError="1"/>
      <sheetData sheetId="12"/>
      <sheetData sheetId="1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ents"/>
      <sheetName val="Major Pipeline Summary"/>
      <sheetName val="Inflow By Region"/>
      <sheetName val="Outflow By Region"/>
      <sheetName val="Region to Region Capacity Map"/>
      <sheetName val="Inflow By State"/>
      <sheetName val="Outflow By State"/>
      <sheetName val="Inflow By State and Pipeline"/>
      <sheetName val="Outflow By State and Pipeline"/>
      <sheetName val="Regions"/>
      <sheetName val="Pipeline State2State Capacity"/>
      <sheetName val="State2StateAIMMS"/>
      <sheetName val="Pipeline State2State CapacityH"/>
      <sheetName val="InFlow Single Year"/>
      <sheetName val="Outflow Single Year"/>
    </sheetNames>
    <sheetDataSet>
      <sheetData sheetId="0"/>
      <sheetData sheetId="1"/>
      <sheetData sheetId="2"/>
      <sheetData sheetId="3"/>
      <sheetData sheetId="4"/>
      <sheetData sheetId="5"/>
      <sheetData sheetId="6"/>
      <sheetData sheetId="7"/>
      <sheetData sheetId="8"/>
      <sheetData sheetId="9">
        <row r="3">
          <cell r="B3" t="str">
            <v>Alberta</v>
          </cell>
          <cell r="C3" t="str">
            <v>Canada</v>
          </cell>
        </row>
        <row r="4">
          <cell r="B4" t="str">
            <v>British Columbia</v>
          </cell>
          <cell r="C4" t="str">
            <v>Canada</v>
          </cell>
        </row>
        <row r="5">
          <cell r="B5" t="str">
            <v>Manitoba</v>
          </cell>
          <cell r="C5" t="str">
            <v>Canada</v>
          </cell>
        </row>
        <row r="6">
          <cell r="B6" t="str">
            <v>New Brunswick</v>
          </cell>
          <cell r="C6" t="str">
            <v>Canada</v>
          </cell>
        </row>
        <row r="7">
          <cell r="B7" t="str">
            <v>Ontario</v>
          </cell>
          <cell r="C7" t="str">
            <v>Canada</v>
          </cell>
        </row>
        <row r="8">
          <cell r="B8" t="str">
            <v>Quebec</v>
          </cell>
          <cell r="C8" t="str">
            <v>Canada</v>
          </cell>
        </row>
        <row r="9">
          <cell r="B9" t="str">
            <v>Saskatchewan</v>
          </cell>
          <cell r="C9" t="str">
            <v>Canada</v>
          </cell>
        </row>
        <row r="10">
          <cell r="B10" t="str">
            <v>Arizona</v>
          </cell>
          <cell r="C10" t="str">
            <v>Mountain</v>
          </cell>
        </row>
        <row r="11">
          <cell r="B11" t="str">
            <v>Colorado</v>
          </cell>
          <cell r="C11" t="str">
            <v>Mountain</v>
          </cell>
        </row>
        <row r="12">
          <cell r="B12" t="str">
            <v>Idaho</v>
          </cell>
          <cell r="C12" t="str">
            <v>Mountain</v>
          </cell>
        </row>
        <row r="13">
          <cell r="B13" t="str">
            <v>Montana</v>
          </cell>
          <cell r="C13" t="str">
            <v>Mountain</v>
          </cell>
        </row>
        <row r="14">
          <cell r="B14" t="str">
            <v>Nebraska</v>
          </cell>
          <cell r="C14" t="str">
            <v>Mountain</v>
          </cell>
        </row>
        <row r="15">
          <cell r="B15" t="str">
            <v>Nevada</v>
          </cell>
          <cell r="C15" t="str">
            <v>Mountain</v>
          </cell>
        </row>
        <row r="16">
          <cell r="B16" t="str">
            <v>New Mexico</v>
          </cell>
          <cell r="C16" t="str">
            <v>Mountain</v>
          </cell>
        </row>
        <row r="17">
          <cell r="B17" t="str">
            <v>North Dakota</v>
          </cell>
          <cell r="C17" t="str">
            <v>Mountain</v>
          </cell>
        </row>
        <row r="18">
          <cell r="B18" t="str">
            <v>South Dakota</v>
          </cell>
          <cell r="C18" t="str">
            <v>Mountain</v>
          </cell>
        </row>
        <row r="19">
          <cell r="B19" t="str">
            <v>Utah</v>
          </cell>
          <cell r="C19" t="str">
            <v>Mountain</v>
          </cell>
        </row>
        <row r="20">
          <cell r="B20" t="str">
            <v>Wyoming</v>
          </cell>
          <cell r="C20" t="str">
            <v>Mountain</v>
          </cell>
        </row>
        <row r="21">
          <cell r="B21" t="str">
            <v>Gulf of Mexico</v>
          </cell>
          <cell r="C21" t="str">
            <v>Gulf of Mexico</v>
          </cell>
        </row>
        <row r="22">
          <cell r="B22" t="str">
            <v>Gulf of Mexico - Deepwater</v>
          </cell>
          <cell r="C22" t="str">
            <v>Gulf of Mexico</v>
          </cell>
        </row>
        <row r="23">
          <cell r="B23" t="str">
            <v>Mexico</v>
          </cell>
          <cell r="C23" t="str">
            <v>Mexico</v>
          </cell>
        </row>
        <row r="24">
          <cell r="B24" t="str">
            <v>Illinois</v>
          </cell>
          <cell r="C24" t="str">
            <v>Midwest</v>
          </cell>
        </row>
        <row r="25">
          <cell r="B25" t="str">
            <v>Indiana</v>
          </cell>
          <cell r="C25" t="str">
            <v>Midwest</v>
          </cell>
        </row>
        <row r="26">
          <cell r="B26" t="str">
            <v>Iowa</v>
          </cell>
          <cell r="C26" t="str">
            <v>Midwest</v>
          </cell>
        </row>
        <row r="27">
          <cell r="B27" t="str">
            <v>Kentucky</v>
          </cell>
          <cell r="C27" t="str">
            <v>Midwest</v>
          </cell>
        </row>
        <row r="28">
          <cell r="B28" t="str">
            <v>Michigan</v>
          </cell>
          <cell r="C28" t="str">
            <v>Midwest</v>
          </cell>
        </row>
        <row r="29">
          <cell r="B29" t="str">
            <v>Minnesota</v>
          </cell>
          <cell r="C29" t="str">
            <v>Midwest</v>
          </cell>
        </row>
        <row r="30">
          <cell r="B30" t="str">
            <v>Missouri</v>
          </cell>
          <cell r="C30" t="str">
            <v>Midwest</v>
          </cell>
        </row>
        <row r="31">
          <cell r="B31" t="str">
            <v>Tennessee</v>
          </cell>
          <cell r="C31" t="str">
            <v>Midwest</v>
          </cell>
        </row>
        <row r="32">
          <cell r="B32" t="str">
            <v>Wisconsin</v>
          </cell>
          <cell r="C32" t="str">
            <v>Midwest</v>
          </cell>
        </row>
        <row r="33">
          <cell r="B33" t="str">
            <v>Connecticut</v>
          </cell>
          <cell r="C33" t="str">
            <v>Northeast</v>
          </cell>
        </row>
        <row r="34">
          <cell r="B34" t="str">
            <v>Delaware</v>
          </cell>
          <cell r="C34" t="str">
            <v>Northeast</v>
          </cell>
        </row>
        <row r="35">
          <cell r="B35" t="str">
            <v>District of Columbia</v>
          </cell>
          <cell r="C35" t="str">
            <v>Northeast</v>
          </cell>
        </row>
        <row r="36">
          <cell r="B36" t="str">
            <v>Maine</v>
          </cell>
          <cell r="C36" t="str">
            <v>Northeast</v>
          </cell>
        </row>
        <row r="37">
          <cell r="B37" t="str">
            <v>Maryland</v>
          </cell>
          <cell r="C37" t="str">
            <v>Northeast</v>
          </cell>
        </row>
        <row r="38">
          <cell r="B38" t="str">
            <v>Massachusetts</v>
          </cell>
          <cell r="C38" t="str">
            <v>Northeast</v>
          </cell>
        </row>
        <row r="39">
          <cell r="B39" t="str">
            <v>New Hampshire</v>
          </cell>
          <cell r="C39" t="str">
            <v>Northeast</v>
          </cell>
        </row>
        <row r="40">
          <cell r="B40" t="str">
            <v>New Jersey</v>
          </cell>
          <cell r="C40" t="str">
            <v>Northeast</v>
          </cell>
        </row>
        <row r="41">
          <cell r="B41" t="str">
            <v>New York</v>
          </cell>
          <cell r="C41" t="str">
            <v>Northeast</v>
          </cell>
        </row>
        <row r="42">
          <cell r="B42" t="str">
            <v>Ohio</v>
          </cell>
          <cell r="C42" t="str">
            <v>Northeast</v>
          </cell>
        </row>
        <row r="43">
          <cell r="B43" t="str">
            <v>Pennsylvania</v>
          </cell>
          <cell r="C43" t="str">
            <v>Northeast</v>
          </cell>
        </row>
        <row r="44">
          <cell r="B44" t="str">
            <v>Rhode Island</v>
          </cell>
          <cell r="C44" t="str">
            <v>Northeast</v>
          </cell>
        </row>
        <row r="45">
          <cell r="B45" t="str">
            <v>Vermont</v>
          </cell>
          <cell r="C45" t="str">
            <v>Northeast</v>
          </cell>
        </row>
        <row r="46">
          <cell r="B46" t="str">
            <v>Virginia</v>
          </cell>
          <cell r="C46" t="str">
            <v>Northeast</v>
          </cell>
        </row>
        <row r="47">
          <cell r="B47" t="str">
            <v>West Virginia</v>
          </cell>
          <cell r="C47" t="str">
            <v>Northeast</v>
          </cell>
        </row>
        <row r="48">
          <cell r="B48" t="str">
            <v>Florida</v>
          </cell>
          <cell r="C48" t="str">
            <v>Southeast</v>
          </cell>
        </row>
        <row r="49">
          <cell r="B49" t="str">
            <v>Georgia</v>
          </cell>
          <cell r="C49" t="str">
            <v>Southeast</v>
          </cell>
        </row>
        <row r="50">
          <cell r="B50" t="str">
            <v>North Carolina</v>
          </cell>
          <cell r="C50" t="str">
            <v>Southeast</v>
          </cell>
        </row>
        <row r="51">
          <cell r="B51" t="str">
            <v>South Carolina</v>
          </cell>
          <cell r="C51" t="str">
            <v>Southeast</v>
          </cell>
        </row>
        <row r="52">
          <cell r="B52" t="str">
            <v>Alabama</v>
          </cell>
          <cell r="C52" t="str">
            <v>South Central</v>
          </cell>
        </row>
        <row r="53">
          <cell r="B53" t="str">
            <v>Arkansas</v>
          </cell>
          <cell r="C53" t="str">
            <v>South Central</v>
          </cell>
        </row>
        <row r="54">
          <cell r="B54" t="str">
            <v>Kansas</v>
          </cell>
          <cell r="C54" t="str">
            <v>South Central</v>
          </cell>
        </row>
        <row r="55">
          <cell r="B55" t="str">
            <v>Louisiana</v>
          </cell>
          <cell r="C55" t="str">
            <v>South Central</v>
          </cell>
        </row>
        <row r="56">
          <cell r="B56" t="str">
            <v>Mississippi</v>
          </cell>
          <cell r="C56" t="str">
            <v>South Central</v>
          </cell>
        </row>
        <row r="57">
          <cell r="B57" t="str">
            <v>Oklahoma</v>
          </cell>
          <cell r="C57" t="str">
            <v>South Central</v>
          </cell>
        </row>
        <row r="58">
          <cell r="B58" t="str">
            <v>Texas</v>
          </cell>
          <cell r="C58" t="str">
            <v>South Central</v>
          </cell>
        </row>
        <row r="59">
          <cell r="B59" t="str">
            <v>California</v>
          </cell>
          <cell r="C59" t="str">
            <v>Pacific</v>
          </cell>
        </row>
        <row r="60">
          <cell r="B60" t="str">
            <v>Oregon</v>
          </cell>
          <cell r="C60" t="str">
            <v>Pacific</v>
          </cell>
        </row>
        <row r="61">
          <cell r="B61" t="str">
            <v>Washington</v>
          </cell>
          <cell r="C61" t="str">
            <v>Pacific</v>
          </cell>
        </row>
      </sheetData>
      <sheetData sheetId="10"/>
      <sheetData sheetId="11"/>
      <sheetData sheetId="12"/>
      <sheetData sheetId="13"/>
      <sheetData sheetId="1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18" Type="http://schemas.openxmlformats.org/officeDocument/2006/relationships/control" Target="../activeX/activeX8.xml"/><Relationship Id="rId3" Type="http://schemas.openxmlformats.org/officeDocument/2006/relationships/vmlDrawing" Target="../drawings/vmlDrawing1.vml"/><Relationship Id="rId7" Type="http://schemas.openxmlformats.org/officeDocument/2006/relationships/image" Target="../media/image2.emf"/><Relationship Id="rId12" Type="http://schemas.openxmlformats.org/officeDocument/2006/relationships/control" Target="../activeX/activeX5.xml"/><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control" Target="../activeX/activeX7.xml"/><Relationship Id="rId1" Type="http://schemas.openxmlformats.org/officeDocument/2006/relationships/printerSettings" Target="../printerSettings/printerSettings1.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control" Target="../activeX/activeX4.xml"/><Relationship Id="rId19" Type="http://schemas.openxmlformats.org/officeDocument/2006/relationships/image" Target="../media/image8.emf"/><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ntrol" Target="../activeX/activeX6.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control" Target="../activeX/activeX11.xml"/><Relationship Id="rId13" Type="http://schemas.openxmlformats.org/officeDocument/2006/relationships/image" Target="../media/image13.emf"/><Relationship Id="rId3" Type="http://schemas.openxmlformats.org/officeDocument/2006/relationships/vmlDrawing" Target="../drawings/vmlDrawing4.vml"/><Relationship Id="rId7" Type="http://schemas.openxmlformats.org/officeDocument/2006/relationships/image" Target="../media/image10.emf"/><Relationship Id="rId12" Type="http://schemas.openxmlformats.org/officeDocument/2006/relationships/control" Target="../activeX/activeX13.xml"/><Relationship Id="rId2" Type="http://schemas.openxmlformats.org/officeDocument/2006/relationships/drawing" Target="../drawings/drawing2.xml"/><Relationship Id="rId1" Type="http://schemas.openxmlformats.org/officeDocument/2006/relationships/printerSettings" Target="../printerSettings/printerSettings4.bin"/><Relationship Id="rId6" Type="http://schemas.openxmlformats.org/officeDocument/2006/relationships/control" Target="../activeX/activeX10.xml"/><Relationship Id="rId11" Type="http://schemas.openxmlformats.org/officeDocument/2006/relationships/image" Target="../media/image12.emf"/><Relationship Id="rId5" Type="http://schemas.openxmlformats.org/officeDocument/2006/relationships/image" Target="../media/image9.emf"/><Relationship Id="rId10" Type="http://schemas.openxmlformats.org/officeDocument/2006/relationships/control" Target="../activeX/activeX12.xml"/><Relationship Id="rId4" Type="http://schemas.openxmlformats.org/officeDocument/2006/relationships/control" Target="../activeX/activeX9.xml"/><Relationship Id="rId9" Type="http://schemas.openxmlformats.org/officeDocument/2006/relationships/image" Target="../media/image11.emf"/></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8" Type="http://schemas.openxmlformats.org/officeDocument/2006/relationships/control" Target="../activeX/activeX16.xml"/><Relationship Id="rId3" Type="http://schemas.openxmlformats.org/officeDocument/2006/relationships/vmlDrawing" Target="../drawings/vmlDrawing5.vml"/><Relationship Id="rId7" Type="http://schemas.openxmlformats.org/officeDocument/2006/relationships/image" Target="../media/image15.emf"/><Relationship Id="rId2" Type="http://schemas.openxmlformats.org/officeDocument/2006/relationships/drawing" Target="../drawings/drawing3.xml"/><Relationship Id="rId1" Type="http://schemas.openxmlformats.org/officeDocument/2006/relationships/printerSettings" Target="../printerSettings/printerSettings6.bin"/><Relationship Id="rId6" Type="http://schemas.openxmlformats.org/officeDocument/2006/relationships/control" Target="../activeX/activeX15.xml"/><Relationship Id="rId11" Type="http://schemas.openxmlformats.org/officeDocument/2006/relationships/image" Target="../media/image17.emf"/><Relationship Id="rId5" Type="http://schemas.openxmlformats.org/officeDocument/2006/relationships/image" Target="../media/image14.emf"/><Relationship Id="rId10" Type="http://schemas.openxmlformats.org/officeDocument/2006/relationships/control" Target="../activeX/activeX17.xml"/><Relationship Id="rId4" Type="http://schemas.openxmlformats.org/officeDocument/2006/relationships/control" Target="../activeX/activeX14.xml"/><Relationship Id="rId9" Type="http://schemas.openxmlformats.org/officeDocument/2006/relationships/image" Target="../media/image16.emf"/></Relationships>
</file>

<file path=xl/worksheets/_rels/sheet10.xml.rels><?xml version="1.0" encoding="UTF-8" standalone="yes"?>
<Relationships xmlns="http://schemas.openxmlformats.org/package/2006/relationships"><Relationship Id="rId8" Type="http://schemas.openxmlformats.org/officeDocument/2006/relationships/control" Target="../activeX/activeX20.xml"/><Relationship Id="rId13" Type="http://schemas.openxmlformats.org/officeDocument/2006/relationships/image" Target="../media/image22.emf"/><Relationship Id="rId3" Type="http://schemas.openxmlformats.org/officeDocument/2006/relationships/vmlDrawing" Target="../drawings/vmlDrawing6.vml"/><Relationship Id="rId7" Type="http://schemas.openxmlformats.org/officeDocument/2006/relationships/image" Target="../media/image19.emf"/><Relationship Id="rId12" Type="http://schemas.openxmlformats.org/officeDocument/2006/relationships/control" Target="../activeX/activeX22.xml"/><Relationship Id="rId2" Type="http://schemas.openxmlformats.org/officeDocument/2006/relationships/drawing" Target="../drawings/drawing4.xml"/><Relationship Id="rId1" Type="http://schemas.openxmlformats.org/officeDocument/2006/relationships/printerSettings" Target="../printerSettings/printerSettings7.bin"/><Relationship Id="rId6" Type="http://schemas.openxmlformats.org/officeDocument/2006/relationships/control" Target="../activeX/activeX19.xml"/><Relationship Id="rId11" Type="http://schemas.openxmlformats.org/officeDocument/2006/relationships/image" Target="../media/image21.emf"/><Relationship Id="rId5" Type="http://schemas.openxmlformats.org/officeDocument/2006/relationships/image" Target="../media/image18.emf"/><Relationship Id="rId10" Type="http://schemas.openxmlformats.org/officeDocument/2006/relationships/control" Target="../activeX/activeX21.xml"/><Relationship Id="rId4" Type="http://schemas.openxmlformats.org/officeDocument/2006/relationships/control" Target="../activeX/activeX18.xml"/><Relationship Id="rId9" Type="http://schemas.openxmlformats.org/officeDocument/2006/relationships/image" Target="../media/image20.emf"/></Relationships>
</file>

<file path=xl/worksheets/_rels/sheet11.xml.rels><?xml version="1.0" encoding="UTF-8" standalone="yes"?>
<Relationships xmlns="http://schemas.openxmlformats.org/package/2006/relationships"><Relationship Id="rId8" Type="http://schemas.openxmlformats.org/officeDocument/2006/relationships/control" Target="../activeX/activeX25.xml"/><Relationship Id="rId13" Type="http://schemas.openxmlformats.org/officeDocument/2006/relationships/image" Target="../media/image27.emf"/><Relationship Id="rId3" Type="http://schemas.openxmlformats.org/officeDocument/2006/relationships/vmlDrawing" Target="../drawings/vmlDrawing7.vml"/><Relationship Id="rId7" Type="http://schemas.openxmlformats.org/officeDocument/2006/relationships/image" Target="../media/image24.emf"/><Relationship Id="rId12" Type="http://schemas.openxmlformats.org/officeDocument/2006/relationships/control" Target="../activeX/activeX27.xml"/><Relationship Id="rId17" Type="http://schemas.openxmlformats.org/officeDocument/2006/relationships/image" Target="../media/image29.emf"/><Relationship Id="rId2" Type="http://schemas.openxmlformats.org/officeDocument/2006/relationships/drawing" Target="../drawings/drawing5.xml"/><Relationship Id="rId16" Type="http://schemas.openxmlformats.org/officeDocument/2006/relationships/control" Target="../activeX/activeX29.xml"/><Relationship Id="rId1" Type="http://schemas.openxmlformats.org/officeDocument/2006/relationships/printerSettings" Target="../printerSettings/printerSettings8.bin"/><Relationship Id="rId6" Type="http://schemas.openxmlformats.org/officeDocument/2006/relationships/control" Target="../activeX/activeX24.xml"/><Relationship Id="rId11" Type="http://schemas.openxmlformats.org/officeDocument/2006/relationships/image" Target="../media/image26.emf"/><Relationship Id="rId5" Type="http://schemas.openxmlformats.org/officeDocument/2006/relationships/image" Target="../media/image23.emf"/><Relationship Id="rId15" Type="http://schemas.openxmlformats.org/officeDocument/2006/relationships/image" Target="../media/image28.emf"/><Relationship Id="rId10" Type="http://schemas.openxmlformats.org/officeDocument/2006/relationships/control" Target="../activeX/activeX26.xml"/><Relationship Id="rId4" Type="http://schemas.openxmlformats.org/officeDocument/2006/relationships/control" Target="../activeX/activeX23.xml"/><Relationship Id="rId9" Type="http://schemas.openxmlformats.org/officeDocument/2006/relationships/image" Target="../media/image25.emf"/><Relationship Id="rId14" Type="http://schemas.openxmlformats.org/officeDocument/2006/relationships/control" Target="../activeX/activeX28.xml"/></Relationships>
</file>

<file path=xl/worksheets/_rels/sheet12.xml.rels><?xml version="1.0" encoding="UTF-8" standalone="yes"?>
<Relationships xmlns="http://schemas.openxmlformats.org/package/2006/relationships"><Relationship Id="rId8" Type="http://schemas.openxmlformats.org/officeDocument/2006/relationships/control" Target="../activeX/activeX32.xml"/><Relationship Id="rId13" Type="http://schemas.openxmlformats.org/officeDocument/2006/relationships/image" Target="../media/image34.emf"/><Relationship Id="rId3" Type="http://schemas.openxmlformats.org/officeDocument/2006/relationships/vmlDrawing" Target="../drawings/vmlDrawing8.vml"/><Relationship Id="rId7" Type="http://schemas.openxmlformats.org/officeDocument/2006/relationships/image" Target="../media/image31.emf"/><Relationship Id="rId12" Type="http://schemas.openxmlformats.org/officeDocument/2006/relationships/control" Target="../activeX/activeX34.xml"/><Relationship Id="rId2" Type="http://schemas.openxmlformats.org/officeDocument/2006/relationships/drawing" Target="../drawings/drawing6.xml"/><Relationship Id="rId1" Type="http://schemas.openxmlformats.org/officeDocument/2006/relationships/printerSettings" Target="../printerSettings/printerSettings9.bin"/><Relationship Id="rId6" Type="http://schemas.openxmlformats.org/officeDocument/2006/relationships/control" Target="../activeX/activeX31.xml"/><Relationship Id="rId11" Type="http://schemas.openxmlformats.org/officeDocument/2006/relationships/image" Target="../media/image33.emf"/><Relationship Id="rId5" Type="http://schemas.openxmlformats.org/officeDocument/2006/relationships/image" Target="../media/image30.emf"/><Relationship Id="rId15" Type="http://schemas.openxmlformats.org/officeDocument/2006/relationships/image" Target="../media/image35.emf"/><Relationship Id="rId10" Type="http://schemas.openxmlformats.org/officeDocument/2006/relationships/control" Target="../activeX/activeX33.xml"/><Relationship Id="rId4" Type="http://schemas.openxmlformats.org/officeDocument/2006/relationships/control" Target="../activeX/activeX30.xml"/><Relationship Id="rId9" Type="http://schemas.openxmlformats.org/officeDocument/2006/relationships/image" Target="../media/image32.emf"/><Relationship Id="rId14" Type="http://schemas.openxmlformats.org/officeDocument/2006/relationships/control" Target="../activeX/activeX35.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7.xml"/><Relationship Id="rId1" Type="http://schemas.openxmlformats.org/officeDocument/2006/relationships/printerSettings" Target="../printerSettings/printerSettings10.bin"/><Relationship Id="rId4" Type="http://schemas.openxmlformats.org/officeDocument/2006/relationships/comments" Target="../comments3.xml"/></Relationships>
</file>

<file path=xl/worksheets/_rels/sheet1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10.vml"/><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8" Type="http://schemas.openxmlformats.org/officeDocument/2006/relationships/control" Target="../activeX/activeX38.xml"/><Relationship Id="rId13" Type="http://schemas.openxmlformats.org/officeDocument/2006/relationships/image" Target="../media/image42.emf"/><Relationship Id="rId3" Type="http://schemas.openxmlformats.org/officeDocument/2006/relationships/vmlDrawing" Target="../drawings/vmlDrawing11.vml"/><Relationship Id="rId7" Type="http://schemas.openxmlformats.org/officeDocument/2006/relationships/image" Target="../media/image39.emf"/><Relationship Id="rId12" Type="http://schemas.openxmlformats.org/officeDocument/2006/relationships/control" Target="../activeX/activeX40.xml"/><Relationship Id="rId2" Type="http://schemas.openxmlformats.org/officeDocument/2006/relationships/drawing" Target="../drawings/drawing8.xml"/><Relationship Id="rId1" Type="http://schemas.openxmlformats.org/officeDocument/2006/relationships/printerSettings" Target="../printerSettings/printerSettings13.bin"/><Relationship Id="rId6" Type="http://schemas.openxmlformats.org/officeDocument/2006/relationships/control" Target="../activeX/activeX37.xml"/><Relationship Id="rId11" Type="http://schemas.openxmlformats.org/officeDocument/2006/relationships/image" Target="../media/image41.emf"/><Relationship Id="rId5" Type="http://schemas.openxmlformats.org/officeDocument/2006/relationships/image" Target="../media/image38.emf"/><Relationship Id="rId15" Type="http://schemas.openxmlformats.org/officeDocument/2006/relationships/image" Target="../media/image43.emf"/><Relationship Id="rId10" Type="http://schemas.openxmlformats.org/officeDocument/2006/relationships/control" Target="../activeX/activeX39.xml"/><Relationship Id="rId4" Type="http://schemas.openxmlformats.org/officeDocument/2006/relationships/control" Target="../activeX/activeX36.xml"/><Relationship Id="rId9" Type="http://schemas.openxmlformats.org/officeDocument/2006/relationships/image" Target="../media/image40.emf"/><Relationship Id="rId14" Type="http://schemas.openxmlformats.org/officeDocument/2006/relationships/control" Target="../activeX/activeX41.xml"/></Relationships>
</file>

<file path=xl/worksheets/_rels/sheet17.xml.rels><?xml version="1.0" encoding="UTF-8" standalone="yes"?>
<Relationships xmlns="http://schemas.openxmlformats.org/package/2006/relationships"><Relationship Id="rId8" Type="http://schemas.openxmlformats.org/officeDocument/2006/relationships/control" Target="../activeX/activeX44.xml"/><Relationship Id="rId13" Type="http://schemas.openxmlformats.org/officeDocument/2006/relationships/image" Target="../media/image48.emf"/><Relationship Id="rId3" Type="http://schemas.openxmlformats.org/officeDocument/2006/relationships/vmlDrawing" Target="../drawings/vmlDrawing12.vml"/><Relationship Id="rId7" Type="http://schemas.openxmlformats.org/officeDocument/2006/relationships/image" Target="../media/image45.emf"/><Relationship Id="rId12" Type="http://schemas.openxmlformats.org/officeDocument/2006/relationships/control" Target="../activeX/activeX46.xml"/><Relationship Id="rId17" Type="http://schemas.openxmlformats.org/officeDocument/2006/relationships/image" Target="../media/image50.emf"/><Relationship Id="rId2" Type="http://schemas.openxmlformats.org/officeDocument/2006/relationships/drawing" Target="../drawings/drawing9.xml"/><Relationship Id="rId16" Type="http://schemas.openxmlformats.org/officeDocument/2006/relationships/control" Target="../activeX/activeX48.xml"/><Relationship Id="rId1" Type="http://schemas.openxmlformats.org/officeDocument/2006/relationships/printerSettings" Target="../printerSettings/printerSettings14.bin"/><Relationship Id="rId6" Type="http://schemas.openxmlformats.org/officeDocument/2006/relationships/control" Target="../activeX/activeX43.xml"/><Relationship Id="rId11" Type="http://schemas.openxmlformats.org/officeDocument/2006/relationships/image" Target="../media/image47.emf"/><Relationship Id="rId5" Type="http://schemas.openxmlformats.org/officeDocument/2006/relationships/image" Target="../media/image44.emf"/><Relationship Id="rId15" Type="http://schemas.openxmlformats.org/officeDocument/2006/relationships/image" Target="../media/image49.emf"/><Relationship Id="rId10" Type="http://schemas.openxmlformats.org/officeDocument/2006/relationships/control" Target="../activeX/activeX45.xml"/><Relationship Id="rId4" Type="http://schemas.openxmlformats.org/officeDocument/2006/relationships/control" Target="../activeX/activeX42.xml"/><Relationship Id="rId9" Type="http://schemas.openxmlformats.org/officeDocument/2006/relationships/image" Target="../media/image46.emf"/><Relationship Id="rId14" Type="http://schemas.openxmlformats.org/officeDocument/2006/relationships/control" Target="../activeX/activeX47.xml"/></Relationships>
</file>

<file path=xl/worksheets/_rels/sheet18.xml.rels><?xml version="1.0" encoding="UTF-8" standalone="yes"?>
<Relationships xmlns="http://schemas.openxmlformats.org/package/2006/relationships"><Relationship Id="rId8" Type="http://schemas.openxmlformats.org/officeDocument/2006/relationships/control" Target="../activeX/activeX51.xml"/><Relationship Id="rId13" Type="http://schemas.openxmlformats.org/officeDocument/2006/relationships/image" Target="../media/image55.emf"/><Relationship Id="rId3" Type="http://schemas.openxmlformats.org/officeDocument/2006/relationships/vmlDrawing" Target="../drawings/vmlDrawing13.vml"/><Relationship Id="rId7" Type="http://schemas.openxmlformats.org/officeDocument/2006/relationships/image" Target="../media/image52.emf"/><Relationship Id="rId12" Type="http://schemas.openxmlformats.org/officeDocument/2006/relationships/control" Target="../activeX/activeX53.xml"/><Relationship Id="rId2" Type="http://schemas.openxmlformats.org/officeDocument/2006/relationships/drawing" Target="../drawings/drawing10.xml"/><Relationship Id="rId1" Type="http://schemas.openxmlformats.org/officeDocument/2006/relationships/printerSettings" Target="../printerSettings/printerSettings15.bin"/><Relationship Id="rId6" Type="http://schemas.openxmlformats.org/officeDocument/2006/relationships/control" Target="../activeX/activeX50.xml"/><Relationship Id="rId11" Type="http://schemas.openxmlformats.org/officeDocument/2006/relationships/image" Target="../media/image54.emf"/><Relationship Id="rId5" Type="http://schemas.openxmlformats.org/officeDocument/2006/relationships/image" Target="../media/image51.emf"/><Relationship Id="rId10" Type="http://schemas.openxmlformats.org/officeDocument/2006/relationships/control" Target="../activeX/activeX52.xml"/><Relationship Id="rId4" Type="http://schemas.openxmlformats.org/officeDocument/2006/relationships/control" Target="../activeX/activeX49.xml"/><Relationship Id="rId9" Type="http://schemas.openxmlformats.org/officeDocument/2006/relationships/image" Target="../media/image53.emf"/></Relationships>
</file>

<file path=xl/worksheets/_rels/sheet19.xml.rels><?xml version="1.0" encoding="UTF-8" standalone="yes"?>
<Relationships xmlns="http://schemas.openxmlformats.org/package/2006/relationships"><Relationship Id="rId8" Type="http://schemas.openxmlformats.org/officeDocument/2006/relationships/control" Target="../activeX/activeX56.xml"/><Relationship Id="rId3" Type="http://schemas.openxmlformats.org/officeDocument/2006/relationships/vmlDrawing" Target="../drawings/vmlDrawing14.vml"/><Relationship Id="rId7" Type="http://schemas.openxmlformats.org/officeDocument/2006/relationships/image" Target="../media/image57.emf"/><Relationship Id="rId2" Type="http://schemas.openxmlformats.org/officeDocument/2006/relationships/drawing" Target="../drawings/drawing11.xml"/><Relationship Id="rId1" Type="http://schemas.openxmlformats.org/officeDocument/2006/relationships/printerSettings" Target="../printerSettings/printerSettings16.bin"/><Relationship Id="rId6" Type="http://schemas.openxmlformats.org/officeDocument/2006/relationships/control" Target="../activeX/activeX55.xml"/><Relationship Id="rId11" Type="http://schemas.openxmlformats.org/officeDocument/2006/relationships/image" Target="../media/image59.emf"/><Relationship Id="rId5" Type="http://schemas.openxmlformats.org/officeDocument/2006/relationships/image" Target="../media/image56.emf"/><Relationship Id="rId10" Type="http://schemas.openxmlformats.org/officeDocument/2006/relationships/control" Target="../activeX/activeX57.xml"/><Relationship Id="rId4" Type="http://schemas.openxmlformats.org/officeDocument/2006/relationships/control" Target="../activeX/activeX54.xml"/><Relationship Id="rId9" Type="http://schemas.openxmlformats.org/officeDocument/2006/relationships/image" Target="../media/image58.emf"/></Relationships>
</file>

<file path=xl/worksheets/_rels/sheet20.xml.rels><?xml version="1.0" encoding="UTF-8" standalone="yes"?>
<Relationships xmlns="http://schemas.openxmlformats.org/package/2006/relationships"><Relationship Id="rId8" Type="http://schemas.openxmlformats.org/officeDocument/2006/relationships/control" Target="../activeX/activeX60.xml"/><Relationship Id="rId13" Type="http://schemas.openxmlformats.org/officeDocument/2006/relationships/image" Target="../media/image64.emf"/><Relationship Id="rId3" Type="http://schemas.openxmlformats.org/officeDocument/2006/relationships/vmlDrawing" Target="../drawings/vmlDrawing15.vml"/><Relationship Id="rId7" Type="http://schemas.openxmlformats.org/officeDocument/2006/relationships/image" Target="../media/image61.emf"/><Relationship Id="rId12" Type="http://schemas.openxmlformats.org/officeDocument/2006/relationships/control" Target="../activeX/activeX62.xml"/><Relationship Id="rId2" Type="http://schemas.openxmlformats.org/officeDocument/2006/relationships/drawing" Target="../drawings/drawing12.xml"/><Relationship Id="rId1" Type="http://schemas.openxmlformats.org/officeDocument/2006/relationships/printerSettings" Target="../printerSettings/printerSettings17.bin"/><Relationship Id="rId6" Type="http://schemas.openxmlformats.org/officeDocument/2006/relationships/control" Target="../activeX/activeX59.xml"/><Relationship Id="rId11" Type="http://schemas.openxmlformats.org/officeDocument/2006/relationships/image" Target="../media/image63.emf"/><Relationship Id="rId5" Type="http://schemas.openxmlformats.org/officeDocument/2006/relationships/image" Target="../media/image60.emf"/><Relationship Id="rId10" Type="http://schemas.openxmlformats.org/officeDocument/2006/relationships/control" Target="../activeX/activeX61.xml"/><Relationship Id="rId4" Type="http://schemas.openxmlformats.org/officeDocument/2006/relationships/control" Target="../activeX/activeX58.xml"/><Relationship Id="rId9" Type="http://schemas.openxmlformats.org/officeDocument/2006/relationships/image" Target="../media/image62.emf"/></Relationships>
</file>

<file path=xl/worksheets/_rels/sheet21.xml.rels><?xml version="1.0" encoding="UTF-8" standalone="yes"?>
<Relationships xmlns="http://schemas.openxmlformats.org/package/2006/relationships"><Relationship Id="rId8" Type="http://schemas.openxmlformats.org/officeDocument/2006/relationships/control" Target="../activeX/activeX65.xml"/><Relationship Id="rId13" Type="http://schemas.openxmlformats.org/officeDocument/2006/relationships/image" Target="../media/image69.emf"/><Relationship Id="rId3" Type="http://schemas.openxmlformats.org/officeDocument/2006/relationships/vmlDrawing" Target="../drawings/vmlDrawing16.vml"/><Relationship Id="rId7" Type="http://schemas.openxmlformats.org/officeDocument/2006/relationships/image" Target="../media/image66.emf"/><Relationship Id="rId12" Type="http://schemas.openxmlformats.org/officeDocument/2006/relationships/control" Target="../activeX/activeX67.xml"/><Relationship Id="rId17" Type="http://schemas.openxmlformats.org/officeDocument/2006/relationships/image" Target="../media/image71.emf"/><Relationship Id="rId2" Type="http://schemas.openxmlformats.org/officeDocument/2006/relationships/drawing" Target="../drawings/drawing13.xml"/><Relationship Id="rId16" Type="http://schemas.openxmlformats.org/officeDocument/2006/relationships/control" Target="../activeX/activeX69.xml"/><Relationship Id="rId1" Type="http://schemas.openxmlformats.org/officeDocument/2006/relationships/printerSettings" Target="../printerSettings/printerSettings18.bin"/><Relationship Id="rId6" Type="http://schemas.openxmlformats.org/officeDocument/2006/relationships/control" Target="../activeX/activeX64.xml"/><Relationship Id="rId11" Type="http://schemas.openxmlformats.org/officeDocument/2006/relationships/image" Target="../media/image68.emf"/><Relationship Id="rId5" Type="http://schemas.openxmlformats.org/officeDocument/2006/relationships/image" Target="../media/image65.emf"/><Relationship Id="rId15" Type="http://schemas.openxmlformats.org/officeDocument/2006/relationships/image" Target="../media/image70.emf"/><Relationship Id="rId10" Type="http://schemas.openxmlformats.org/officeDocument/2006/relationships/control" Target="../activeX/activeX66.xml"/><Relationship Id="rId4" Type="http://schemas.openxmlformats.org/officeDocument/2006/relationships/control" Target="../activeX/activeX63.xml"/><Relationship Id="rId9" Type="http://schemas.openxmlformats.org/officeDocument/2006/relationships/image" Target="../media/image67.emf"/><Relationship Id="rId14" Type="http://schemas.openxmlformats.org/officeDocument/2006/relationships/control" Target="../activeX/activeX68.xml"/></Relationships>
</file>

<file path=xl/worksheets/_rels/sheet22.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17.vml"/><Relationship Id="rId1" Type="http://schemas.openxmlformats.org/officeDocument/2006/relationships/printerSettings" Target="../printerSettings/printerSettings19.bin"/></Relationships>
</file>

<file path=xl/worksheets/_rels/sheet23.xml.rels><?xml version="1.0" encoding="UTF-8" standalone="yes"?>
<Relationships xmlns="http://schemas.openxmlformats.org/package/2006/relationships"><Relationship Id="rId3" Type="http://schemas.openxmlformats.org/officeDocument/2006/relationships/hyperlink" Target="mailto:infoctr@eia.gov" TargetMode="External"/><Relationship Id="rId2" Type="http://schemas.openxmlformats.org/officeDocument/2006/relationships/hyperlink" Target="http://www.eia.gov/" TargetMode="External"/><Relationship Id="rId1" Type="http://schemas.openxmlformats.org/officeDocument/2006/relationships/hyperlink" Target="http://www.eia.gov/dnav/ng/ng_prod_sum_a_epg0_fgw_mmcf_a.htm" TargetMode="External"/><Relationship Id="rId6" Type="http://schemas.openxmlformats.org/officeDocument/2006/relationships/hyperlink" Target="mailto:infoctr@eia.gov" TargetMode="External"/><Relationship Id="rId5" Type="http://schemas.openxmlformats.org/officeDocument/2006/relationships/hyperlink" Target="http://www.eia.gov/" TargetMode="External"/><Relationship Id="rId4" Type="http://schemas.openxmlformats.org/officeDocument/2006/relationships/hyperlink" Target="http://www.eia.gov/dnav/ng/ng_prod_sum_a_epg0_fgg_mmcf_a.htm"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www.bea.gov/national/nipaweb/SelectTable.asp?Selected=Y"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1:F32"/>
  <sheetViews>
    <sheetView workbookViewId="0">
      <pane xSplit="3" ySplit="7" topLeftCell="D8" activePane="bottomRight" state="frozen"/>
      <selection pane="topRight" activeCell="D1" sqref="D1"/>
      <selection pane="bottomLeft" activeCell="A8" sqref="A8"/>
      <selection pane="bottomRight" activeCell="A2" sqref="A2"/>
    </sheetView>
  </sheetViews>
  <sheetFormatPr defaultRowHeight="12.75" x14ac:dyDescent="0.2"/>
  <cols>
    <col min="1" max="1" width="12.5703125" customWidth="1"/>
    <col min="2" max="2" width="12.28515625" customWidth="1"/>
    <col min="3" max="3" width="29.7109375" customWidth="1"/>
    <col min="4" max="4" width="10.28515625" customWidth="1"/>
    <col min="5" max="5" width="29.7109375" customWidth="1"/>
    <col min="6" max="6" width="10.28515625" customWidth="1"/>
  </cols>
  <sheetData>
    <row r="1" spans="1:6" x14ac:dyDescent="0.2">
      <c r="A1" s="1" t="s">
        <v>34</v>
      </c>
      <c r="B1" s="2"/>
    </row>
    <row r="4" spans="1:6" ht="17.25" customHeight="1" x14ac:dyDescent="0.2"/>
    <row r="5" spans="1:6" ht="17.25" customHeight="1" x14ac:dyDescent="0.2">
      <c r="C5" s="3"/>
    </row>
    <row r="6" spans="1:6" ht="15.75" customHeight="1" x14ac:dyDescent="0.2"/>
    <row r="7" spans="1:6" x14ac:dyDescent="0.2">
      <c r="B7" s="4" t="s">
        <v>25</v>
      </c>
      <c r="C7" s="1" t="s">
        <v>26</v>
      </c>
      <c r="D7" s="1" t="s">
        <v>20</v>
      </c>
      <c r="E7" s="1" t="s">
        <v>24</v>
      </c>
      <c r="F7" s="1" t="s">
        <v>21</v>
      </c>
    </row>
    <row r="8" spans="1:6" x14ac:dyDescent="0.2">
      <c r="B8" s="1"/>
      <c r="C8" s="1"/>
      <c r="D8" s="1"/>
      <c r="E8" s="3"/>
      <c r="F8" s="1"/>
    </row>
    <row r="9" spans="1:6" x14ac:dyDescent="0.2">
      <c r="D9" s="3"/>
      <c r="E9" s="3"/>
    </row>
    <row r="11" spans="1:6" x14ac:dyDescent="0.2">
      <c r="B11" s="3"/>
      <c r="C11" s="3"/>
      <c r="D11" s="12"/>
      <c r="E11" s="12"/>
    </row>
    <row r="12" spans="1:6" x14ac:dyDescent="0.2">
      <c r="B12" s="3"/>
      <c r="C12" s="3"/>
      <c r="E12" s="3"/>
    </row>
    <row r="13" spans="1:6" x14ac:dyDescent="0.2">
      <c r="B13" s="3"/>
      <c r="C13" s="3"/>
    </row>
    <row r="14" spans="1:6" x14ac:dyDescent="0.2">
      <c r="B14" s="3"/>
      <c r="C14" s="3"/>
      <c r="D14" s="6"/>
    </row>
    <row r="15" spans="1:6" x14ac:dyDescent="0.2">
      <c r="B15" s="3"/>
      <c r="C15" s="3"/>
      <c r="E15" s="3"/>
    </row>
    <row r="16" spans="1:6" x14ac:dyDescent="0.2">
      <c r="B16" s="3"/>
      <c r="C16" s="3"/>
      <c r="E16" s="3"/>
    </row>
    <row r="17" spans="2:5" x14ac:dyDescent="0.2">
      <c r="B17" s="3"/>
      <c r="C17" s="3"/>
      <c r="E17" s="3"/>
    </row>
    <row r="18" spans="2:5" x14ac:dyDescent="0.2">
      <c r="B18" s="3"/>
      <c r="C18" s="3"/>
      <c r="E18" s="3"/>
    </row>
    <row r="19" spans="2:5" x14ac:dyDescent="0.2">
      <c r="B19" s="3"/>
      <c r="C19" s="3"/>
      <c r="E19" s="3"/>
    </row>
    <row r="20" spans="2:5" x14ac:dyDescent="0.2">
      <c r="D20" s="6"/>
    </row>
    <row r="21" spans="2:5" x14ac:dyDescent="0.2">
      <c r="E21" s="3"/>
    </row>
    <row r="23" spans="2:5" x14ac:dyDescent="0.2">
      <c r="B23" s="3"/>
      <c r="C23" s="3"/>
      <c r="D23" s="3"/>
      <c r="E23" s="3"/>
    </row>
    <row r="24" spans="2:5" x14ac:dyDescent="0.2">
      <c r="B24" s="3"/>
      <c r="C24" s="3"/>
    </row>
    <row r="25" spans="2:5" x14ac:dyDescent="0.2">
      <c r="B25" s="3"/>
      <c r="C25" s="3"/>
      <c r="D25" s="6"/>
      <c r="E25" s="3"/>
    </row>
    <row r="26" spans="2:5" x14ac:dyDescent="0.2">
      <c r="B26" s="4"/>
      <c r="C26" s="3"/>
      <c r="E26" s="3"/>
    </row>
    <row r="27" spans="2:5" x14ac:dyDescent="0.2">
      <c r="E27" s="3"/>
    </row>
    <row r="29" spans="2:5" x14ac:dyDescent="0.2">
      <c r="B29" s="3"/>
      <c r="C29" s="3"/>
      <c r="D29" s="3"/>
      <c r="E29" s="3"/>
    </row>
    <row r="30" spans="2:5" x14ac:dyDescent="0.2">
      <c r="B30" s="3"/>
      <c r="C30" s="3"/>
    </row>
    <row r="31" spans="2:5" x14ac:dyDescent="0.2">
      <c r="B31" s="3"/>
      <c r="C31" s="3"/>
      <c r="E31" s="3"/>
    </row>
    <row r="32" spans="2:5" x14ac:dyDescent="0.2">
      <c r="B32" s="3"/>
      <c r="C32" s="3"/>
      <c r="E32" s="3"/>
    </row>
  </sheetData>
  <phoneticPr fontId="0" type="noConversion"/>
  <pageMargins left="0.75" right="0.75" top="1" bottom="1" header="0.5" footer="0.5"/>
  <pageSetup paperSize="9" orientation="portrait" horizontalDpi="1200" verticalDpi="0" r:id="rId1"/>
  <headerFooter alignWithMargins="0"/>
  <drawing r:id="rId2"/>
  <legacyDrawing r:id="rId3"/>
  <controls>
    <mc:AlternateContent xmlns:mc="http://schemas.openxmlformats.org/markup-compatibility/2006">
      <mc:Choice Requires="x14">
        <control shapeId="2074" r:id="rId4" name="cmdTaxSubSets">
          <controlPr defaultSize="0" autoLine="0" r:id="rId5">
            <anchor moveWithCells="1">
              <from>
                <xdr:col>4</xdr:col>
                <xdr:colOff>542925</xdr:colOff>
                <xdr:row>2</xdr:row>
                <xdr:rowOff>0</xdr:rowOff>
              </from>
              <to>
                <xdr:col>4</xdr:col>
                <xdr:colOff>1514475</xdr:colOff>
                <xdr:row>3</xdr:row>
                <xdr:rowOff>76200</xdr:rowOff>
              </to>
            </anchor>
          </controlPr>
        </control>
      </mc:Choice>
      <mc:Fallback>
        <control shapeId="2074" r:id="rId4" name="cmdTaxSubSets"/>
      </mc:Fallback>
    </mc:AlternateContent>
    <mc:AlternateContent xmlns:mc="http://schemas.openxmlformats.org/markup-compatibility/2006">
      <mc:Choice Requires="x14">
        <control shapeId="2073" r:id="rId6" name="cmdRefreshUnits">
          <controlPr defaultSize="0" autoLine="0" r:id="rId7">
            <anchor moveWithCells="1">
              <from>
                <xdr:col>3</xdr:col>
                <xdr:colOff>66675</xdr:colOff>
                <xdr:row>2</xdr:row>
                <xdr:rowOff>114300</xdr:rowOff>
              </from>
              <to>
                <xdr:col>3</xdr:col>
                <xdr:colOff>619125</xdr:colOff>
                <xdr:row>4</xdr:row>
                <xdr:rowOff>104775</xdr:rowOff>
              </to>
            </anchor>
          </controlPr>
        </control>
      </mc:Choice>
      <mc:Fallback>
        <control shapeId="2073" r:id="rId6" name="cmdRefreshUnits"/>
      </mc:Fallback>
    </mc:AlternateContent>
    <mc:AlternateContent xmlns:mc="http://schemas.openxmlformats.org/markup-compatibility/2006">
      <mc:Choice Requires="x14">
        <control shapeId="2063" r:id="rId8" name="cmdCommUnit">
          <controlPr defaultSize="0" autoLine="0" r:id="rId9">
            <anchor moveWithCells="1">
              <from>
                <xdr:col>3</xdr:col>
                <xdr:colOff>9525</xdr:colOff>
                <xdr:row>4</xdr:row>
                <xdr:rowOff>171450</xdr:rowOff>
              </from>
              <to>
                <xdr:col>3</xdr:col>
                <xdr:colOff>676275</xdr:colOff>
                <xdr:row>5</xdr:row>
                <xdr:rowOff>190500</xdr:rowOff>
              </to>
            </anchor>
          </controlPr>
        </control>
      </mc:Choice>
      <mc:Fallback>
        <control shapeId="2063" r:id="rId8" name="cmdCommUnit"/>
      </mc:Fallback>
    </mc:AlternateContent>
    <mc:AlternateContent xmlns:mc="http://schemas.openxmlformats.org/markup-compatibility/2006">
      <mc:Choice Requires="x14">
        <control shapeId="2061" r:id="rId10" name="cmdCheckCommoditiesSheet">
          <controlPr defaultSize="0" autoLine="0" autoPict="0" r:id="rId11">
            <anchor moveWithCells="1">
              <from>
                <xdr:col>0</xdr:col>
                <xdr:colOff>9525</xdr:colOff>
                <xdr:row>2</xdr:row>
                <xdr:rowOff>142875</xdr:rowOff>
              </from>
              <to>
                <xdr:col>0</xdr:col>
                <xdr:colOff>828675</xdr:colOff>
                <xdr:row>4</xdr:row>
                <xdr:rowOff>0</xdr:rowOff>
              </to>
            </anchor>
          </controlPr>
        </control>
      </mc:Choice>
      <mc:Fallback>
        <control shapeId="2061" r:id="rId10" name="cmdCheckCommoditiesSheet"/>
      </mc:Fallback>
    </mc:AlternateContent>
    <mc:AlternateContent xmlns:mc="http://schemas.openxmlformats.org/markup-compatibility/2006">
      <mc:Choice Requires="x14">
        <control shapeId="2053" r:id="rId12" name="cmdMaterialSets">
          <controlPr defaultSize="0" autoLine="0" r:id="rId13">
            <anchor moveWithCells="1">
              <from>
                <xdr:col>4</xdr:col>
                <xdr:colOff>1000125</xdr:colOff>
                <xdr:row>3</xdr:row>
                <xdr:rowOff>95250</xdr:rowOff>
              </from>
              <to>
                <xdr:col>4</xdr:col>
                <xdr:colOff>1971675</xdr:colOff>
                <xdr:row>4</xdr:row>
                <xdr:rowOff>114300</xdr:rowOff>
              </to>
            </anchor>
          </controlPr>
        </control>
      </mc:Choice>
      <mc:Fallback>
        <control shapeId="2053" r:id="rId12" name="cmdMaterialSets"/>
      </mc:Fallback>
    </mc:AlternateContent>
    <mc:AlternateContent xmlns:mc="http://schemas.openxmlformats.org/markup-compatibility/2006">
      <mc:Choice Requires="x14">
        <control shapeId="2052" r:id="rId14" name="cmdEmissionSets">
          <controlPr defaultSize="0" autoLine="0" r:id="rId15">
            <anchor moveWithCells="1">
              <from>
                <xdr:col>4</xdr:col>
                <xdr:colOff>1000125</xdr:colOff>
                <xdr:row>4</xdr:row>
                <xdr:rowOff>171450</xdr:rowOff>
              </from>
              <to>
                <xdr:col>4</xdr:col>
                <xdr:colOff>1971675</xdr:colOff>
                <xdr:row>5</xdr:row>
                <xdr:rowOff>190500</xdr:rowOff>
              </to>
            </anchor>
          </controlPr>
        </control>
      </mc:Choice>
      <mc:Fallback>
        <control shapeId="2052" r:id="rId14" name="cmdEmissionSets"/>
      </mc:Fallback>
    </mc:AlternateContent>
    <mc:AlternateContent xmlns:mc="http://schemas.openxmlformats.org/markup-compatibility/2006">
      <mc:Choice Requires="x14">
        <control shapeId="2051" r:id="rId16" name="cmdDemandSets">
          <controlPr defaultSize="0" autoLine="0" r:id="rId17">
            <anchor moveWithCells="1">
              <from>
                <xdr:col>4</xdr:col>
                <xdr:colOff>9525</xdr:colOff>
                <xdr:row>4</xdr:row>
                <xdr:rowOff>171450</xdr:rowOff>
              </from>
              <to>
                <xdr:col>4</xdr:col>
                <xdr:colOff>981075</xdr:colOff>
                <xdr:row>5</xdr:row>
                <xdr:rowOff>190500</xdr:rowOff>
              </to>
            </anchor>
          </controlPr>
        </control>
      </mc:Choice>
      <mc:Fallback>
        <control shapeId="2051" r:id="rId16" name="cmdDemandSets"/>
      </mc:Fallback>
    </mc:AlternateContent>
    <mc:AlternateContent xmlns:mc="http://schemas.openxmlformats.org/markup-compatibility/2006">
      <mc:Choice Requires="x14">
        <control shapeId="2049" r:id="rId18" name="cmdEnergySets">
          <controlPr defaultSize="0" autoLine="0" r:id="rId19">
            <anchor moveWithCells="1">
              <from>
                <xdr:col>4</xdr:col>
                <xdr:colOff>9525</xdr:colOff>
                <xdr:row>3</xdr:row>
                <xdr:rowOff>95250</xdr:rowOff>
              </from>
              <to>
                <xdr:col>4</xdr:col>
                <xdr:colOff>981075</xdr:colOff>
                <xdr:row>4</xdr:row>
                <xdr:rowOff>114300</xdr:rowOff>
              </to>
            </anchor>
          </controlPr>
        </control>
      </mc:Choice>
      <mc:Fallback>
        <control shapeId="2049" r:id="rId18" name="cmdEnergySets"/>
      </mc:Fallback>
    </mc:AlternateContent>
  </control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433F6-E0B0-42C0-A190-F276D7127C6D}">
  <sheetPr>
    <tabColor theme="8"/>
  </sheetPr>
  <dimension ref="A2:U129"/>
  <sheetViews>
    <sheetView topLeftCell="K1" workbookViewId="0">
      <selection activeCell="S130" sqref="S130"/>
    </sheetView>
  </sheetViews>
  <sheetFormatPr defaultRowHeight="12.75" x14ac:dyDescent="0.2"/>
  <cols>
    <col min="1" max="1" width="37" bestFit="1" customWidth="1"/>
    <col min="2" max="2" width="10.5703125" bestFit="1" customWidth="1"/>
    <col min="3" max="3" width="7.28515625" bestFit="1" customWidth="1"/>
    <col min="4" max="4" width="8.140625" bestFit="1" customWidth="1"/>
    <col min="5" max="5" width="14.42578125" bestFit="1" customWidth="1"/>
    <col min="6" max="6" width="4.7109375" bestFit="1" customWidth="1"/>
    <col min="7" max="7" width="7.85546875" bestFit="1" customWidth="1"/>
    <col min="8" max="17" width="12.7109375" bestFit="1" customWidth="1"/>
    <col min="18" max="18" width="12.140625" bestFit="1" customWidth="1"/>
    <col min="19" max="19" width="11" bestFit="1" customWidth="1"/>
    <col min="20" max="20" width="13.140625" bestFit="1" customWidth="1"/>
    <col min="21" max="21" width="8.42578125" bestFit="1" customWidth="1"/>
  </cols>
  <sheetData>
    <row r="2" spans="1:21" s="198" customFormat="1" x14ac:dyDescent="0.2">
      <c r="A2" s="197" t="s">
        <v>1174</v>
      </c>
    </row>
    <row r="3" spans="1:21" x14ac:dyDescent="0.2">
      <c r="A3" s="199" t="s">
        <v>1199</v>
      </c>
    </row>
    <row r="4" spans="1:21" x14ac:dyDescent="0.2">
      <c r="A4" s="199" t="s">
        <v>1176</v>
      </c>
    </row>
    <row r="5" spans="1:21" x14ac:dyDescent="0.2">
      <c r="G5" s="199" t="s">
        <v>1177</v>
      </c>
    </row>
    <row r="6" spans="1:21" ht="13.5" thickBot="1" x14ac:dyDescent="0.25">
      <c r="A6" s="200" t="s">
        <v>1178</v>
      </c>
      <c r="B6" s="201" t="s">
        <v>1179</v>
      </c>
      <c r="C6" s="201" t="s">
        <v>1180</v>
      </c>
      <c r="D6" s="201" t="s">
        <v>1181</v>
      </c>
      <c r="E6" s="200" t="s">
        <v>1182</v>
      </c>
      <c r="F6" s="200" t="s">
        <v>137</v>
      </c>
      <c r="G6" s="200" t="s">
        <v>1079</v>
      </c>
      <c r="H6" s="200" t="s">
        <v>1183</v>
      </c>
      <c r="I6" s="200" t="s">
        <v>1184</v>
      </c>
      <c r="J6" s="200" t="s">
        <v>1185</v>
      </c>
      <c r="K6" s="200" t="s">
        <v>1186</v>
      </c>
      <c r="L6" s="200" t="s">
        <v>1187</v>
      </c>
      <c r="M6" s="200" t="s">
        <v>1188</v>
      </c>
      <c r="N6" s="200" t="s">
        <v>1189</v>
      </c>
      <c r="O6" s="200" t="s">
        <v>1190</v>
      </c>
      <c r="P6" s="200" t="s">
        <v>1191</v>
      </c>
      <c r="Q6" s="200" t="s">
        <v>1192</v>
      </c>
      <c r="R6" s="200" t="s">
        <v>1193</v>
      </c>
      <c r="S6" s="200" t="s">
        <v>1194</v>
      </c>
      <c r="T6" s="202" t="s">
        <v>1195</v>
      </c>
      <c r="U6" s="200" t="s">
        <v>1196</v>
      </c>
    </row>
    <row r="7" spans="1:21" x14ac:dyDescent="0.2">
      <c r="A7" s="187" t="s">
        <v>1200</v>
      </c>
      <c r="B7" s="203" t="str">
        <f>TechData_R0!B9</f>
        <v>MINNGAD1</v>
      </c>
      <c r="C7" s="203"/>
      <c r="D7" s="203"/>
      <c r="E7" s="204" t="s">
        <v>1197</v>
      </c>
      <c r="F7" s="204"/>
      <c r="G7" s="204" t="s">
        <v>1198</v>
      </c>
      <c r="H7" s="205">
        <f>TechData_R0!G9</f>
        <v>1.25</v>
      </c>
      <c r="I7" s="205">
        <f>TechData_R0!H9</f>
        <v>1.1000000000000001</v>
      </c>
      <c r="J7" s="205">
        <f t="shared" ref="J7:Q7" si="0">I7</f>
        <v>1.1000000000000001</v>
      </c>
      <c r="K7" s="205">
        <f>TechData_R0!I9</f>
        <v>1.1000000000000001</v>
      </c>
      <c r="L7" s="205">
        <f t="shared" si="0"/>
        <v>1.1000000000000001</v>
      </c>
      <c r="M7" s="205">
        <f t="shared" si="0"/>
        <v>1.1000000000000001</v>
      </c>
      <c r="N7" s="205">
        <f t="shared" si="0"/>
        <v>1.1000000000000001</v>
      </c>
      <c r="O7" s="205">
        <f t="shared" si="0"/>
        <v>1.1000000000000001</v>
      </c>
      <c r="P7" s="205">
        <f t="shared" si="0"/>
        <v>1.1000000000000001</v>
      </c>
      <c r="Q7" s="205">
        <f t="shared" si="0"/>
        <v>1.1000000000000001</v>
      </c>
      <c r="R7" s="204">
        <f>MAX(1,TechData_R0!F9)</f>
        <v>1</v>
      </c>
      <c r="S7" s="204"/>
      <c r="T7" s="206">
        <v>5</v>
      </c>
      <c r="U7" s="207"/>
    </row>
    <row r="8" spans="1:21" x14ac:dyDescent="0.2">
      <c r="A8" s="187" t="s">
        <v>1201</v>
      </c>
      <c r="B8" s="203" t="str">
        <f>TechData_R0!B10</f>
        <v>MINNGAD2</v>
      </c>
      <c r="C8" s="203"/>
      <c r="D8" s="203"/>
      <c r="E8" s="204" t="s">
        <v>1197</v>
      </c>
      <c r="F8" s="204"/>
      <c r="G8" s="204" t="s">
        <v>1198</v>
      </c>
      <c r="H8" s="205">
        <f>TechData_R0!G10</f>
        <v>1.25</v>
      </c>
      <c r="I8" s="205">
        <f>TechData_R0!H10</f>
        <v>1.1000000000000001</v>
      </c>
      <c r="J8" s="205">
        <f t="shared" ref="J8:J12" si="1">I8</f>
        <v>1.1000000000000001</v>
      </c>
      <c r="K8" s="205">
        <f>TechData_R0!I10</f>
        <v>1.1000000000000001</v>
      </c>
      <c r="L8" s="205">
        <f t="shared" ref="L8:L12" si="2">K8</f>
        <v>1.1000000000000001</v>
      </c>
      <c r="M8" s="205">
        <f t="shared" ref="M8:M12" si="3">L8</f>
        <v>1.1000000000000001</v>
      </c>
      <c r="N8" s="205">
        <f t="shared" ref="N8:N12" si="4">M8</f>
        <v>1.1000000000000001</v>
      </c>
      <c r="O8" s="205">
        <f t="shared" ref="O8:O12" si="5">N8</f>
        <v>1.1000000000000001</v>
      </c>
      <c r="P8" s="205">
        <f t="shared" ref="P8:P12" si="6">O8</f>
        <v>1.1000000000000001</v>
      </c>
      <c r="Q8" s="205">
        <f t="shared" ref="Q8:Q12" si="7">P8</f>
        <v>1.1000000000000001</v>
      </c>
      <c r="R8" s="204">
        <f>MAX(1,TechData_R0!F10)</f>
        <v>1</v>
      </c>
      <c r="S8" s="204"/>
      <c r="T8" s="206">
        <v>5</v>
      </c>
      <c r="U8" s="207"/>
    </row>
    <row r="9" spans="1:21" x14ac:dyDescent="0.2">
      <c r="A9" s="187" t="s">
        <v>1202</v>
      </c>
      <c r="B9" s="203" t="str">
        <f>TechData_R0!B11</f>
        <v>MINNGAD3</v>
      </c>
      <c r="C9" s="203"/>
      <c r="D9" s="203"/>
      <c r="E9" s="204" t="s">
        <v>1197</v>
      </c>
      <c r="F9" s="204"/>
      <c r="G9" s="204" t="s">
        <v>1198</v>
      </c>
      <c r="H9" s="205">
        <f>TechData_R0!G11</f>
        <v>1.25</v>
      </c>
      <c r="I9" s="205">
        <f>TechData_R0!H11</f>
        <v>1.1000000000000001</v>
      </c>
      <c r="J9" s="205">
        <f t="shared" si="1"/>
        <v>1.1000000000000001</v>
      </c>
      <c r="K9" s="205">
        <f>TechData_R0!I11</f>
        <v>1.1000000000000001</v>
      </c>
      <c r="L9" s="205">
        <f t="shared" si="2"/>
        <v>1.1000000000000001</v>
      </c>
      <c r="M9" s="205">
        <f t="shared" si="3"/>
        <v>1.1000000000000001</v>
      </c>
      <c r="N9" s="205">
        <f t="shared" si="4"/>
        <v>1.1000000000000001</v>
      </c>
      <c r="O9" s="205">
        <f t="shared" si="5"/>
        <v>1.1000000000000001</v>
      </c>
      <c r="P9" s="205">
        <f t="shared" si="6"/>
        <v>1.1000000000000001</v>
      </c>
      <c r="Q9" s="205">
        <f t="shared" si="7"/>
        <v>1.1000000000000001</v>
      </c>
      <c r="R9" s="204">
        <f>MAX(1,TechData_R0!F11)</f>
        <v>1</v>
      </c>
      <c r="S9" s="204"/>
      <c r="T9" s="206">
        <v>5</v>
      </c>
      <c r="U9" s="207"/>
    </row>
    <row r="10" spans="1:21" x14ac:dyDescent="0.2">
      <c r="A10" s="187" t="s">
        <v>1203</v>
      </c>
      <c r="B10" s="203" t="str">
        <f>TechData_R0!B12</f>
        <v>MINNGAD4</v>
      </c>
      <c r="C10" s="203"/>
      <c r="D10" s="203"/>
      <c r="E10" s="204" t="s">
        <v>1197</v>
      </c>
      <c r="F10" s="204"/>
      <c r="G10" s="204" t="s">
        <v>1198</v>
      </c>
      <c r="H10" s="205">
        <f>TechData_R0!G12</f>
        <v>1.25</v>
      </c>
      <c r="I10" s="205">
        <f>TechData_R0!H12</f>
        <v>1.1000000000000001</v>
      </c>
      <c r="J10" s="205">
        <f t="shared" si="1"/>
        <v>1.1000000000000001</v>
      </c>
      <c r="K10" s="205">
        <f>TechData_R0!I12</f>
        <v>1.1000000000000001</v>
      </c>
      <c r="L10" s="205">
        <f t="shared" si="2"/>
        <v>1.1000000000000001</v>
      </c>
      <c r="M10" s="205">
        <f t="shared" si="3"/>
        <v>1.1000000000000001</v>
      </c>
      <c r="N10" s="205">
        <f t="shared" si="4"/>
        <v>1.1000000000000001</v>
      </c>
      <c r="O10" s="205">
        <f t="shared" si="5"/>
        <v>1.1000000000000001</v>
      </c>
      <c r="P10" s="205">
        <f t="shared" si="6"/>
        <v>1.1000000000000001</v>
      </c>
      <c r="Q10" s="205">
        <f t="shared" si="7"/>
        <v>1.1000000000000001</v>
      </c>
      <c r="R10" s="204">
        <f>MAX(1,TechData_R0!F12)</f>
        <v>1</v>
      </c>
      <c r="S10" s="204"/>
      <c r="T10" s="206">
        <v>5</v>
      </c>
      <c r="U10" s="207"/>
    </row>
    <row r="11" spans="1:21" x14ac:dyDescent="0.2">
      <c r="A11" s="187" t="s">
        <v>1204</v>
      </c>
      <c r="B11" s="203" t="str">
        <f>TechData_R0!B13</f>
        <v>MINNGAD5</v>
      </c>
      <c r="C11" s="203"/>
      <c r="D11" s="203"/>
      <c r="E11" s="204" t="s">
        <v>1197</v>
      </c>
      <c r="F11" s="204"/>
      <c r="G11" s="204" t="s">
        <v>1198</v>
      </c>
      <c r="H11" s="205">
        <f>TechData_R0!G13</f>
        <v>1.25</v>
      </c>
      <c r="I11" s="205">
        <f>TechData_R0!H13</f>
        <v>1.1000000000000001</v>
      </c>
      <c r="J11" s="205">
        <f t="shared" si="1"/>
        <v>1.1000000000000001</v>
      </c>
      <c r="K11" s="205">
        <f>TechData_R0!I13</f>
        <v>1.1000000000000001</v>
      </c>
      <c r="L11" s="205">
        <f t="shared" si="2"/>
        <v>1.1000000000000001</v>
      </c>
      <c r="M11" s="205">
        <f t="shared" si="3"/>
        <v>1.1000000000000001</v>
      </c>
      <c r="N11" s="205">
        <f t="shared" si="4"/>
        <v>1.1000000000000001</v>
      </c>
      <c r="O11" s="205">
        <f t="shared" si="5"/>
        <v>1.1000000000000001</v>
      </c>
      <c r="P11" s="205">
        <f t="shared" si="6"/>
        <v>1.1000000000000001</v>
      </c>
      <c r="Q11" s="205">
        <f t="shared" si="7"/>
        <v>1.1000000000000001</v>
      </c>
      <c r="R11" s="204" t="e">
        <f>MAX(1,TechData_R0!F13)</f>
        <v>#REF!</v>
      </c>
      <c r="S11" s="204"/>
      <c r="T11" s="206">
        <v>5</v>
      </c>
      <c r="U11" s="207"/>
    </row>
    <row r="12" spans="1:21" x14ac:dyDescent="0.2">
      <c r="A12" s="187" t="s">
        <v>1205</v>
      </c>
      <c r="B12" s="203" t="str">
        <f>TechData_R0!B14</f>
        <v>MINNGAD6</v>
      </c>
      <c r="C12" s="203"/>
      <c r="D12" s="203"/>
      <c r="E12" s="204" t="s">
        <v>1197</v>
      </c>
      <c r="F12" s="204"/>
      <c r="G12" s="204" t="s">
        <v>1198</v>
      </c>
      <c r="H12" s="205">
        <f>TechData_R0!G14</f>
        <v>1.25</v>
      </c>
      <c r="I12" s="205">
        <f>TechData_R0!H14</f>
        <v>1.1000000000000001</v>
      </c>
      <c r="J12" s="205">
        <f t="shared" si="1"/>
        <v>1.1000000000000001</v>
      </c>
      <c r="K12" s="205">
        <f>TechData_R0!I14</f>
        <v>1.1000000000000001</v>
      </c>
      <c r="L12" s="205">
        <f t="shared" si="2"/>
        <v>1.1000000000000001</v>
      </c>
      <c r="M12" s="205">
        <f t="shared" si="3"/>
        <v>1.1000000000000001</v>
      </c>
      <c r="N12" s="205">
        <f t="shared" si="4"/>
        <v>1.1000000000000001</v>
      </c>
      <c r="O12" s="205">
        <f t="shared" si="5"/>
        <v>1.1000000000000001</v>
      </c>
      <c r="P12" s="205">
        <f t="shared" si="6"/>
        <v>1.1000000000000001</v>
      </c>
      <c r="Q12" s="205">
        <f t="shared" si="7"/>
        <v>1.1000000000000001</v>
      </c>
      <c r="R12" s="204" t="e">
        <f>MAX(1,TechData_R0!F14)</f>
        <v>#REF!</v>
      </c>
      <c r="S12" s="204"/>
      <c r="T12" s="206">
        <v>5</v>
      </c>
      <c r="U12" s="207"/>
    </row>
    <row r="14" spans="1:21" x14ac:dyDescent="0.2">
      <c r="G14" s="199" t="s">
        <v>1177</v>
      </c>
    </row>
    <row r="15" spans="1:21" ht="13.5" thickBot="1" x14ac:dyDescent="0.25">
      <c r="A15" s="200" t="s">
        <v>1178</v>
      </c>
      <c r="B15" s="201" t="s">
        <v>1179</v>
      </c>
      <c r="C15" s="201" t="s">
        <v>1180</v>
      </c>
      <c r="D15" s="201" t="s">
        <v>1181</v>
      </c>
      <c r="E15" s="200" t="s">
        <v>1182</v>
      </c>
      <c r="F15" s="200" t="s">
        <v>137</v>
      </c>
      <c r="G15" s="200" t="s">
        <v>1079</v>
      </c>
      <c r="H15" s="200" t="s">
        <v>1183</v>
      </c>
      <c r="I15" s="200" t="s">
        <v>1184</v>
      </c>
      <c r="J15" s="200" t="s">
        <v>1185</v>
      </c>
      <c r="K15" s="200" t="s">
        <v>1186</v>
      </c>
      <c r="L15" s="200" t="s">
        <v>1187</v>
      </c>
      <c r="M15" s="200" t="s">
        <v>1188</v>
      </c>
      <c r="N15" s="200" t="s">
        <v>1189</v>
      </c>
      <c r="O15" s="200" t="s">
        <v>1190</v>
      </c>
      <c r="P15" s="200" t="s">
        <v>1191</v>
      </c>
      <c r="Q15" s="200" t="s">
        <v>1192</v>
      </c>
      <c r="R15" s="200" t="s">
        <v>1193</v>
      </c>
      <c r="S15" s="200" t="s">
        <v>1194</v>
      </c>
      <c r="T15" s="202" t="s">
        <v>1195</v>
      </c>
      <c r="U15" s="200" t="s">
        <v>1196</v>
      </c>
    </row>
    <row r="16" spans="1:21" x14ac:dyDescent="0.2">
      <c r="A16" s="187" t="s">
        <v>1206</v>
      </c>
      <c r="B16" s="203" t="str">
        <f>TechData_R0!B9</f>
        <v>MINNGAD1</v>
      </c>
      <c r="C16" s="203"/>
      <c r="D16" s="203"/>
      <c r="E16" s="204" t="s">
        <v>1197</v>
      </c>
      <c r="F16" s="204"/>
      <c r="G16" s="187" t="s">
        <v>1173</v>
      </c>
      <c r="H16" s="205">
        <f>1-TechData_R0!J9+1</f>
        <v>0.89999999999999991</v>
      </c>
      <c r="I16" s="205">
        <f>1-TechData_R0!K9+1</f>
        <v>0.99</v>
      </c>
      <c r="J16" s="205">
        <f>I16</f>
        <v>0.99</v>
      </c>
      <c r="K16" s="205">
        <f>J16</f>
        <v>0.99</v>
      </c>
      <c r="L16" s="205">
        <f t="shared" ref="L16" si="8">K16</f>
        <v>0.99</v>
      </c>
      <c r="M16" s="205">
        <f t="shared" ref="M16" si="9">L16</f>
        <v>0.99</v>
      </c>
      <c r="N16" s="205">
        <f t="shared" ref="N16" si="10">M16</f>
        <v>0.99</v>
      </c>
      <c r="O16" s="205">
        <f t="shared" ref="O16" si="11">N16</f>
        <v>0.99</v>
      </c>
      <c r="P16" s="205">
        <f t="shared" ref="P16" si="12">O16</f>
        <v>0.99</v>
      </c>
      <c r="Q16" s="205">
        <f t="shared" ref="Q16" si="13">P16</f>
        <v>0.99</v>
      </c>
      <c r="R16" s="204">
        <v>1</v>
      </c>
      <c r="S16" s="204"/>
      <c r="T16" s="206">
        <v>5</v>
      </c>
      <c r="U16" s="207"/>
    </row>
    <row r="17" spans="1:21" x14ac:dyDescent="0.2">
      <c r="A17" s="187" t="s">
        <v>1207</v>
      </c>
      <c r="B17" s="203" t="str">
        <f>TechData_R0!B10</f>
        <v>MINNGAD2</v>
      </c>
      <c r="C17" s="203"/>
      <c r="D17" s="203"/>
      <c r="E17" s="204" t="s">
        <v>1197</v>
      </c>
      <c r="F17" s="204"/>
      <c r="G17" s="187" t="s">
        <v>1173</v>
      </c>
      <c r="H17" s="205">
        <f>1-TechData_R0!J10+1</f>
        <v>0.89999999999999991</v>
      </c>
      <c r="I17" s="205">
        <f>1-TechData_R0!K10+1</f>
        <v>0.99</v>
      </c>
      <c r="J17" s="205">
        <f t="shared" ref="J17:K17" si="14">I17</f>
        <v>0.99</v>
      </c>
      <c r="K17" s="205">
        <f t="shared" si="14"/>
        <v>0.99</v>
      </c>
      <c r="L17" s="205">
        <f t="shared" ref="L17:L21" si="15">K17</f>
        <v>0.99</v>
      </c>
      <c r="M17" s="205">
        <f t="shared" ref="M17:M21" si="16">L17</f>
        <v>0.99</v>
      </c>
      <c r="N17" s="205">
        <f t="shared" ref="N17:N21" si="17">M17</f>
        <v>0.99</v>
      </c>
      <c r="O17" s="205">
        <f t="shared" ref="O17:O21" si="18">N17</f>
        <v>0.99</v>
      </c>
      <c r="P17" s="205">
        <f t="shared" ref="P17:P21" si="19">O17</f>
        <v>0.99</v>
      </c>
      <c r="Q17" s="205">
        <f t="shared" ref="Q17:Q21" si="20">P17</f>
        <v>0.99</v>
      </c>
      <c r="R17" s="204">
        <v>1</v>
      </c>
      <c r="S17" s="204"/>
      <c r="T17" s="206">
        <v>5</v>
      </c>
      <c r="U17" s="207"/>
    </row>
    <row r="18" spans="1:21" x14ac:dyDescent="0.2">
      <c r="A18" s="187" t="s">
        <v>1208</v>
      </c>
      <c r="B18" s="203" t="str">
        <f>TechData_R0!B11</f>
        <v>MINNGAD3</v>
      </c>
      <c r="C18" s="203"/>
      <c r="D18" s="203"/>
      <c r="E18" s="204" t="s">
        <v>1197</v>
      </c>
      <c r="F18" s="204"/>
      <c r="G18" s="187" t="s">
        <v>1173</v>
      </c>
      <c r="H18" s="205">
        <f>1-TechData_R0!J11+1</f>
        <v>0.89999999999999991</v>
      </c>
      <c r="I18" s="205">
        <f>1-TechData_R0!K11+1</f>
        <v>0.99</v>
      </c>
      <c r="J18" s="205">
        <f t="shared" ref="J18:K18" si="21">I18</f>
        <v>0.99</v>
      </c>
      <c r="K18" s="205">
        <f t="shared" si="21"/>
        <v>0.99</v>
      </c>
      <c r="L18" s="205">
        <f t="shared" si="15"/>
        <v>0.99</v>
      </c>
      <c r="M18" s="205">
        <f t="shared" si="16"/>
        <v>0.99</v>
      </c>
      <c r="N18" s="205">
        <f t="shared" si="17"/>
        <v>0.99</v>
      </c>
      <c r="O18" s="205">
        <f t="shared" si="18"/>
        <v>0.99</v>
      </c>
      <c r="P18" s="205">
        <f t="shared" si="19"/>
        <v>0.99</v>
      </c>
      <c r="Q18" s="205">
        <f t="shared" si="20"/>
        <v>0.99</v>
      </c>
      <c r="R18" s="204">
        <v>1</v>
      </c>
      <c r="S18" s="204"/>
      <c r="T18" s="206">
        <v>5</v>
      </c>
      <c r="U18" s="207"/>
    </row>
    <row r="19" spans="1:21" x14ac:dyDescent="0.2">
      <c r="A19" s="187" t="s">
        <v>1209</v>
      </c>
      <c r="B19" s="203" t="str">
        <f>TechData_R0!B12</f>
        <v>MINNGAD4</v>
      </c>
      <c r="C19" s="203"/>
      <c r="D19" s="203"/>
      <c r="E19" s="204" t="s">
        <v>1197</v>
      </c>
      <c r="F19" s="204"/>
      <c r="G19" s="187" t="s">
        <v>1173</v>
      </c>
      <c r="H19" s="205">
        <f>1-TechData_R0!J12+1</f>
        <v>0.89999999999999991</v>
      </c>
      <c r="I19" s="205">
        <f>1-TechData_R0!K12+1</f>
        <v>0.99</v>
      </c>
      <c r="J19" s="205">
        <f t="shared" ref="J19:K19" si="22">I19</f>
        <v>0.99</v>
      </c>
      <c r="K19" s="205">
        <f t="shared" si="22"/>
        <v>0.99</v>
      </c>
      <c r="L19" s="205">
        <f t="shared" si="15"/>
        <v>0.99</v>
      </c>
      <c r="M19" s="205">
        <f t="shared" si="16"/>
        <v>0.99</v>
      </c>
      <c r="N19" s="205">
        <f t="shared" si="17"/>
        <v>0.99</v>
      </c>
      <c r="O19" s="205">
        <f t="shared" si="18"/>
        <v>0.99</v>
      </c>
      <c r="P19" s="205">
        <f t="shared" si="19"/>
        <v>0.99</v>
      </c>
      <c r="Q19" s="205">
        <f t="shared" si="20"/>
        <v>0.99</v>
      </c>
      <c r="R19" s="204">
        <v>1</v>
      </c>
      <c r="S19" s="204"/>
      <c r="T19" s="206">
        <v>5</v>
      </c>
      <c r="U19" s="207"/>
    </row>
    <row r="20" spans="1:21" x14ac:dyDescent="0.2">
      <c r="A20" s="187" t="s">
        <v>1210</v>
      </c>
      <c r="B20" s="203" t="str">
        <f>TechData_R0!B13</f>
        <v>MINNGAD5</v>
      </c>
      <c r="C20" s="203"/>
      <c r="D20" s="203"/>
      <c r="E20" s="204" t="s">
        <v>1197</v>
      </c>
      <c r="F20" s="204"/>
      <c r="G20" s="187" t="s">
        <v>1173</v>
      </c>
      <c r="H20" s="205">
        <f>1-TechData_R0!J13+1</f>
        <v>0.89999999999999991</v>
      </c>
      <c r="I20" s="205">
        <f>1-TechData_R0!K13+1</f>
        <v>0.99</v>
      </c>
      <c r="J20" s="205">
        <f t="shared" ref="J20:K20" si="23">I20</f>
        <v>0.99</v>
      </c>
      <c r="K20" s="205">
        <f t="shared" si="23"/>
        <v>0.99</v>
      </c>
      <c r="L20" s="205">
        <f t="shared" si="15"/>
        <v>0.99</v>
      </c>
      <c r="M20" s="205">
        <f t="shared" si="16"/>
        <v>0.99</v>
      </c>
      <c r="N20" s="205">
        <f t="shared" si="17"/>
        <v>0.99</v>
      </c>
      <c r="O20" s="205">
        <f t="shared" si="18"/>
        <v>0.99</v>
      </c>
      <c r="P20" s="205">
        <f t="shared" si="19"/>
        <v>0.99</v>
      </c>
      <c r="Q20" s="205">
        <f t="shared" si="20"/>
        <v>0.99</v>
      </c>
      <c r="R20" s="204">
        <v>1</v>
      </c>
      <c r="S20" s="204"/>
      <c r="T20" s="206">
        <v>5</v>
      </c>
      <c r="U20" s="207"/>
    </row>
    <row r="21" spans="1:21" x14ac:dyDescent="0.2">
      <c r="A21" s="187" t="s">
        <v>1211</v>
      </c>
      <c r="B21" s="203" t="str">
        <f>TechData_R0!B14</f>
        <v>MINNGAD6</v>
      </c>
      <c r="C21" s="203"/>
      <c r="D21" s="203"/>
      <c r="E21" s="204" t="s">
        <v>1197</v>
      </c>
      <c r="F21" s="204"/>
      <c r="G21" s="187" t="s">
        <v>1173</v>
      </c>
      <c r="H21" s="205">
        <f>1-TechData_R0!J14+1</f>
        <v>0.89999999999999991</v>
      </c>
      <c r="I21" s="205">
        <f>1-TechData_R0!K14+1</f>
        <v>0.99</v>
      </c>
      <c r="J21" s="205">
        <f t="shared" ref="J21:K21" si="24">I21</f>
        <v>0.99</v>
      </c>
      <c r="K21" s="205">
        <f t="shared" si="24"/>
        <v>0.99</v>
      </c>
      <c r="L21" s="205">
        <f t="shared" si="15"/>
        <v>0.99</v>
      </c>
      <c r="M21" s="205">
        <f t="shared" si="16"/>
        <v>0.99</v>
      </c>
      <c r="N21" s="205">
        <f t="shared" si="17"/>
        <v>0.99</v>
      </c>
      <c r="O21" s="205">
        <f t="shared" si="18"/>
        <v>0.99</v>
      </c>
      <c r="P21" s="205">
        <f t="shared" si="19"/>
        <v>0.99</v>
      </c>
      <c r="Q21" s="205">
        <f t="shared" si="20"/>
        <v>0.99</v>
      </c>
      <c r="R21" s="204">
        <v>1</v>
      </c>
      <c r="S21" s="204"/>
      <c r="T21" s="206">
        <v>5</v>
      </c>
      <c r="U21" s="207"/>
    </row>
    <row r="24" spans="1:21" s="198" customFormat="1" x14ac:dyDescent="0.2">
      <c r="A24" s="197" t="s">
        <v>1174</v>
      </c>
    </row>
    <row r="25" spans="1:21" x14ac:dyDescent="0.2">
      <c r="A25" s="199" t="s">
        <v>1212</v>
      </c>
    </row>
    <row r="26" spans="1:21" x14ac:dyDescent="0.2">
      <c r="A26" s="199" t="s">
        <v>1176</v>
      </c>
    </row>
    <row r="27" spans="1:21" x14ac:dyDescent="0.2">
      <c r="G27" s="199" t="s">
        <v>1177</v>
      </c>
    </row>
    <row r="28" spans="1:21" ht="13.5" thickBot="1" x14ac:dyDescent="0.25">
      <c r="A28" s="200" t="s">
        <v>1178</v>
      </c>
      <c r="B28" s="201" t="s">
        <v>1179</v>
      </c>
      <c r="C28" s="201" t="s">
        <v>1180</v>
      </c>
      <c r="D28" s="201" t="s">
        <v>1181</v>
      </c>
      <c r="E28" s="200" t="s">
        <v>1182</v>
      </c>
      <c r="F28" s="200" t="s">
        <v>137</v>
      </c>
      <c r="G28" s="200" t="s">
        <v>1079</v>
      </c>
      <c r="H28" s="200" t="s">
        <v>1183</v>
      </c>
      <c r="I28" s="200" t="s">
        <v>1184</v>
      </c>
      <c r="J28" s="200" t="s">
        <v>1185</v>
      </c>
      <c r="K28" s="200" t="s">
        <v>1186</v>
      </c>
      <c r="L28" s="200" t="s">
        <v>1187</v>
      </c>
      <c r="M28" s="200" t="s">
        <v>1188</v>
      </c>
      <c r="N28" s="200" t="s">
        <v>1189</v>
      </c>
      <c r="O28" s="200" t="s">
        <v>1190</v>
      </c>
      <c r="P28" s="200" t="s">
        <v>1191</v>
      </c>
      <c r="Q28" s="200" t="s">
        <v>1192</v>
      </c>
      <c r="R28" s="200" t="s">
        <v>1193</v>
      </c>
      <c r="S28" s="200" t="s">
        <v>1194</v>
      </c>
      <c r="T28" s="202" t="s">
        <v>1195</v>
      </c>
      <c r="U28" s="200" t="s">
        <v>1196</v>
      </c>
    </row>
    <row r="29" spans="1:21" x14ac:dyDescent="0.2">
      <c r="A29" s="187" t="s">
        <v>1213</v>
      </c>
      <c r="B29" s="203" t="str">
        <f>TechData_R0!B16</f>
        <v>MINNGAD1</v>
      </c>
      <c r="C29" s="203"/>
      <c r="D29" s="203"/>
      <c r="E29" s="204" t="s">
        <v>1197</v>
      </c>
      <c r="F29" s="204"/>
      <c r="G29" s="204" t="s">
        <v>1198</v>
      </c>
      <c r="H29" s="205">
        <f>TechData_R0!G16</f>
        <v>1.25</v>
      </c>
      <c r="I29" s="205">
        <f>TechData_R0!H16</f>
        <v>1.1000000000000001</v>
      </c>
      <c r="J29" s="205">
        <f t="shared" ref="J29" si="25">I29</f>
        <v>1.1000000000000001</v>
      </c>
      <c r="K29" s="205">
        <f>TechData_R0!I16</f>
        <v>1.1000000000000001</v>
      </c>
      <c r="L29" s="205">
        <f t="shared" ref="L29" si="26">K29</f>
        <v>1.1000000000000001</v>
      </c>
      <c r="M29" s="205">
        <f t="shared" ref="M29" si="27">L29</f>
        <v>1.1000000000000001</v>
      </c>
      <c r="N29" s="205">
        <f t="shared" ref="N29" si="28">M29</f>
        <v>1.1000000000000001</v>
      </c>
      <c r="O29" s="205">
        <f t="shared" ref="O29" si="29">N29</f>
        <v>1.1000000000000001</v>
      </c>
      <c r="P29" s="205">
        <f t="shared" ref="P29" si="30">O29</f>
        <v>1.1000000000000001</v>
      </c>
      <c r="Q29" s="205">
        <f t="shared" ref="Q29" si="31">P29</f>
        <v>1.1000000000000001</v>
      </c>
      <c r="R29" s="204">
        <f>MAX(1,TechData_R0!F16)</f>
        <v>1</v>
      </c>
      <c r="S29" s="204"/>
      <c r="T29" s="206">
        <v>5</v>
      </c>
      <c r="U29" s="207"/>
    </row>
    <row r="30" spans="1:21" x14ac:dyDescent="0.2">
      <c r="A30" s="187" t="s">
        <v>1214</v>
      </c>
      <c r="B30" s="203" t="str">
        <f>TechData_R0!B17</f>
        <v>MINNGAD2</v>
      </c>
      <c r="C30" s="203"/>
      <c r="D30" s="203"/>
      <c r="E30" s="204" t="s">
        <v>1197</v>
      </c>
      <c r="F30" s="204"/>
      <c r="G30" s="204" t="s">
        <v>1198</v>
      </c>
      <c r="H30" s="205">
        <f>TechData_R0!G17</f>
        <v>1.25</v>
      </c>
      <c r="I30" s="205">
        <f>TechData_R0!H17</f>
        <v>1.1000000000000001</v>
      </c>
      <c r="J30" s="205">
        <f t="shared" ref="J30:J34" si="32">I30</f>
        <v>1.1000000000000001</v>
      </c>
      <c r="K30" s="205">
        <f>TechData_R0!I17</f>
        <v>1.1000000000000001</v>
      </c>
      <c r="L30" s="205">
        <f t="shared" ref="L30:L34" si="33">K30</f>
        <v>1.1000000000000001</v>
      </c>
      <c r="M30" s="205">
        <f t="shared" ref="M30:M34" si="34">L30</f>
        <v>1.1000000000000001</v>
      </c>
      <c r="N30" s="205">
        <f t="shared" ref="N30:N34" si="35">M30</f>
        <v>1.1000000000000001</v>
      </c>
      <c r="O30" s="205">
        <f t="shared" ref="O30:O34" si="36">N30</f>
        <v>1.1000000000000001</v>
      </c>
      <c r="P30" s="205">
        <f t="shared" ref="P30:P34" si="37">O30</f>
        <v>1.1000000000000001</v>
      </c>
      <c r="Q30" s="205">
        <f t="shared" ref="Q30:Q34" si="38">P30</f>
        <v>1.1000000000000001</v>
      </c>
      <c r="R30" s="204">
        <f>MAX(1,TechData_R0!F17)</f>
        <v>1</v>
      </c>
      <c r="S30" s="204"/>
      <c r="T30" s="206">
        <v>5</v>
      </c>
      <c r="U30" s="207"/>
    </row>
    <row r="31" spans="1:21" x14ac:dyDescent="0.2">
      <c r="A31" s="187" t="s">
        <v>1215</v>
      </c>
      <c r="B31" s="203" t="str">
        <f>TechData_R0!B18</f>
        <v>MINNGAD3</v>
      </c>
      <c r="C31" s="203"/>
      <c r="D31" s="203"/>
      <c r="E31" s="204" t="s">
        <v>1197</v>
      </c>
      <c r="F31" s="204"/>
      <c r="G31" s="204" t="s">
        <v>1198</v>
      </c>
      <c r="H31" s="205">
        <f>TechData_R0!G18</f>
        <v>1.25</v>
      </c>
      <c r="I31" s="205">
        <f>TechData_R0!H18</f>
        <v>1.1000000000000001</v>
      </c>
      <c r="J31" s="205">
        <f t="shared" si="32"/>
        <v>1.1000000000000001</v>
      </c>
      <c r="K31" s="205">
        <f>TechData_R0!I18</f>
        <v>1.1000000000000001</v>
      </c>
      <c r="L31" s="205">
        <f t="shared" si="33"/>
        <v>1.1000000000000001</v>
      </c>
      <c r="M31" s="205">
        <f t="shared" si="34"/>
        <v>1.1000000000000001</v>
      </c>
      <c r="N31" s="205">
        <f t="shared" si="35"/>
        <v>1.1000000000000001</v>
      </c>
      <c r="O31" s="205">
        <f t="shared" si="36"/>
        <v>1.1000000000000001</v>
      </c>
      <c r="P31" s="205">
        <f t="shared" si="37"/>
        <v>1.1000000000000001</v>
      </c>
      <c r="Q31" s="205">
        <f t="shared" si="38"/>
        <v>1.1000000000000001</v>
      </c>
      <c r="R31" s="204">
        <f>MAX(1,TechData_R0!F18)</f>
        <v>1</v>
      </c>
      <c r="S31" s="204"/>
      <c r="T31" s="206">
        <v>5</v>
      </c>
      <c r="U31" s="207"/>
    </row>
    <row r="32" spans="1:21" x14ac:dyDescent="0.2">
      <c r="A32" s="187" t="s">
        <v>1216</v>
      </c>
      <c r="B32" s="203" t="str">
        <f>TechData_R0!B19</f>
        <v>MINNGAD4</v>
      </c>
      <c r="C32" s="203"/>
      <c r="D32" s="203"/>
      <c r="E32" s="204" t="s">
        <v>1197</v>
      </c>
      <c r="F32" s="204"/>
      <c r="G32" s="204" t="s">
        <v>1198</v>
      </c>
      <c r="H32" s="205">
        <f>TechData_R0!G19</f>
        <v>1.25</v>
      </c>
      <c r="I32" s="205">
        <f>TechData_R0!H19</f>
        <v>1.1000000000000001</v>
      </c>
      <c r="J32" s="205">
        <f t="shared" si="32"/>
        <v>1.1000000000000001</v>
      </c>
      <c r="K32" s="205">
        <f>TechData_R0!I19</f>
        <v>1.1000000000000001</v>
      </c>
      <c r="L32" s="205">
        <f t="shared" si="33"/>
        <v>1.1000000000000001</v>
      </c>
      <c r="M32" s="205">
        <f t="shared" si="34"/>
        <v>1.1000000000000001</v>
      </c>
      <c r="N32" s="205">
        <f t="shared" si="35"/>
        <v>1.1000000000000001</v>
      </c>
      <c r="O32" s="205">
        <f t="shared" si="36"/>
        <v>1.1000000000000001</v>
      </c>
      <c r="P32" s="205">
        <f t="shared" si="37"/>
        <v>1.1000000000000001</v>
      </c>
      <c r="Q32" s="205">
        <f t="shared" si="38"/>
        <v>1.1000000000000001</v>
      </c>
      <c r="R32" s="204">
        <f>MAX(1,TechData_R0!F19)</f>
        <v>1</v>
      </c>
      <c r="S32" s="204"/>
      <c r="T32" s="206">
        <v>5</v>
      </c>
      <c r="U32" s="207"/>
    </row>
    <row r="33" spans="1:21" x14ac:dyDescent="0.2">
      <c r="A33" s="187" t="s">
        <v>1217</v>
      </c>
      <c r="B33" s="203" t="str">
        <f>TechData_R0!B20</f>
        <v>MINNGAD5</v>
      </c>
      <c r="C33" s="203"/>
      <c r="D33" s="203"/>
      <c r="E33" s="204" t="s">
        <v>1197</v>
      </c>
      <c r="F33" s="204"/>
      <c r="G33" s="204" t="s">
        <v>1198</v>
      </c>
      <c r="H33" s="205">
        <f>TechData_R0!G20</f>
        <v>1.25</v>
      </c>
      <c r="I33" s="205">
        <f>TechData_R0!H20</f>
        <v>1.1000000000000001</v>
      </c>
      <c r="J33" s="205">
        <f t="shared" si="32"/>
        <v>1.1000000000000001</v>
      </c>
      <c r="K33" s="205">
        <f>TechData_R0!I20</f>
        <v>1.1000000000000001</v>
      </c>
      <c r="L33" s="205">
        <f t="shared" si="33"/>
        <v>1.1000000000000001</v>
      </c>
      <c r="M33" s="205">
        <f t="shared" si="34"/>
        <v>1.1000000000000001</v>
      </c>
      <c r="N33" s="205">
        <f t="shared" si="35"/>
        <v>1.1000000000000001</v>
      </c>
      <c r="O33" s="205">
        <f t="shared" si="36"/>
        <v>1.1000000000000001</v>
      </c>
      <c r="P33" s="205">
        <f t="shared" si="37"/>
        <v>1.1000000000000001</v>
      </c>
      <c r="Q33" s="205">
        <f t="shared" si="38"/>
        <v>1.1000000000000001</v>
      </c>
      <c r="R33" s="204">
        <f>MAX(1,TechData_R0!F20)</f>
        <v>1</v>
      </c>
      <c r="S33" s="204"/>
      <c r="T33" s="206">
        <v>5</v>
      </c>
      <c r="U33" s="207"/>
    </row>
    <row r="34" spans="1:21" x14ac:dyDescent="0.2">
      <c r="A34" s="187" t="s">
        <v>1218</v>
      </c>
      <c r="B34" s="203" t="str">
        <f>TechData_R0!B21</f>
        <v>MINNGAD6</v>
      </c>
      <c r="C34" s="203"/>
      <c r="D34" s="203"/>
      <c r="E34" s="204" t="s">
        <v>1197</v>
      </c>
      <c r="F34" s="204"/>
      <c r="G34" s="204" t="s">
        <v>1198</v>
      </c>
      <c r="H34" s="205">
        <f>TechData_R0!G21</f>
        <v>1.25</v>
      </c>
      <c r="I34" s="205">
        <f>TechData_R0!H21</f>
        <v>1.1000000000000001</v>
      </c>
      <c r="J34" s="205">
        <f t="shared" si="32"/>
        <v>1.1000000000000001</v>
      </c>
      <c r="K34" s="205">
        <f>TechData_R0!I21</f>
        <v>1.1000000000000001</v>
      </c>
      <c r="L34" s="205">
        <f t="shared" si="33"/>
        <v>1.1000000000000001</v>
      </c>
      <c r="M34" s="205">
        <f t="shared" si="34"/>
        <v>1.1000000000000001</v>
      </c>
      <c r="N34" s="205">
        <f t="shared" si="35"/>
        <v>1.1000000000000001</v>
      </c>
      <c r="O34" s="205">
        <f t="shared" si="36"/>
        <v>1.1000000000000001</v>
      </c>
      <c r="P34" s="205">
        <f t="shared" si="37"/>
        <v>1.1000000000000001</v>
      </c>
      <c r="Q34" s="205">
        <f t="shared" si="38"/>
        <v>1.1000000000000001</v>
      </c>
      <c r="R34" s="204">
        <f>MAX(1,TechData_R0!F21)</f>
        <v>1</v>
      </c>
      <c r="S34" s="204"/>
      <c r="T34" s="206">
        <v>5</v>
      </c>
      <c r="U34" s="207"/>
    </row>
    <row r="36" spans="1:21" x14ac:dyDescent="0.2">
      <c r="G36" s="199" t="s">
        <v>1177</v>
      </c>
    </row>
    <row r="37" spans="1:21" ht="13.5" thickBot="1" x14ac:dyDescent="0.25">
      <c r="A37" s="200" t="s">
        <v>1178</v>
      </c>
      <c r="B37" s="201" t="s">
        <v>1179</v>
      </c>
      <c r="C37" s="201" t="s">
        <v>1180</v>
      </c>
      <c r="D37" s="201" t="s">
        <v>1181</v>
      </c>
      <c r="E37" s="200" t="s">
        <v>1182</v>
      </c>
      <c r="F37" s="200" t="s">
        <v>137</v>
      </c>
      <c r="G37" s="200" t="s">
        <v>1079</v>
      </c>
      <c r="H37" s="200" t="s">
        <v>1183</v>
      </c>
      <c r="I37" s="200" t="s">
        <v>1184</v>
      </c>
      <c r="J37" s="200" t="s">
        <v>1185</v>
      </c>
      <c r="K37" s="200" t="s">
        <v>1186</v>
      </c>
      <c r="L37" s="200" t="s">
        <v>1187</v>
      </c>
      <c r="M37" s="200" t="s">
        <v>1188</v>
      </c>
      <c r="N37" s="200" t="s">
        <v>1189</v>
      </c>
      <c r="O37" s="200" t="s">
        <v>1190</v>
      </c>
      <c r="P37" s="200" t="s">
        <v>1191</v>
      </c>
      <c r="Q37" s="200" t="s">
        <v>1192</v>
      </c>
      <c r="R37" s="200" t="s">
        <v>1193</v>
      </c>
      <c r="S37" s="200" t="s">
        <v>1194</v>
      </c>
      <c r="T37" s="202" t="s">
        <v>1195</v>
      </c>
      <c r="U37" s="200" t="s">
        <v>1196</v>
      </c>
    </row>
    <row r="38" spans="1:21" x14ac:dyDescent="0.2">
      <c r="A38" s="187" t="s">
        <v>1219</v>
      </c>
      <c r="B38" s="203" t="str">
        <f>TechData_R0!B16</f>
        <v>MINNGAD1</v>
      </c>
      <c r="C38" s="203"/>
      <c r="D38" s="203"/>
      <c r="E38" s="204" t="s">
        <v>1197</v>
      </c>
      <c r="F38" s="204"/>
      <c r="G38" s="187" t="s">
        <v>1173</v>
      </c>
      <c r="H38" s="205">
        <f>1-TechData_R0!J16+1</f>
        <v>0.89999999999999991</v>
      </c>
      <c r="I38" s="205">
        <f>1-TechData_R0!K16+1</f>
        <v>0.99</v>
      </c>
      <c r="J38" s="205">
        <f>I38</f>
        <v>0.99</v>
      </c>
      <c r="K38" s="205">
        <f>J38</f>
        <v>0.99</v>
      </c>
      <c r="L38" s="205">
        <f t="shared" ref="L38" si="39">K38</f>
        <v>0.99</v>
      </c>
      <c r="M38" s="205">
        <f t="shared" ref="M38" si="40">L38</f>
        <v>0.99</v>
      </c>
      <c r="N38" s="205">
        <f t="shared" ref="N38" si="41">M38</f>
        <v>0.99</v>
      </c>
      <c r="O38" s="205">
        <f t="shared" ref="O38" si="42">N38</f>
        <v>0.99</v>
      </c>
      <c r="P38" s="205">
        <f t="shared" ref="P38" si="43">O38</f>
        <v>0.99</v>
      </c>
      <c r="Q38" s="205">
        <f t="shared" ref="Q38" si="44">P38</f>
        <v>0.99</v>
      </c>
      <c r="R38" s="204">
        <v>1</v>
      </c>
      <c r="S38" s="204"/>
      <c r="T38" s="206">
        <v>5</v>
      </c>
      <c r="U38" s="207"/>
    </row>
    <row r="39" spans="1:21" x14ac:dyDescent="0.2">
      <c r="A39" s="187" t="s">
        <v>1220</v>
      </c>
      <c r="B39" s="203" t="str">
        <f>TechData_R0!B17</f>
        <v>MINNGAD2</v>
      </c>
      <c r="C39" s="203"/>
      <c r="D39" s="203"/>
      <c r="E39" s="204" t="s">
        <v>1197</v>
      </c>
      <c r="F39" s="204"/>
      <c r="G39" s="187" t="s">
        <v>1173</v>
      </c>
      <c r="H39" s="205">
        <f>1-TechData_R0!J17+1</f>
        <v>0.89999999999999991</v>
      </c>
      <c r="I39" s="205">
        <f>1-TechData_R0!K17+1</f>
        <v>0.99</v>
      </c>
      <c r="J39" s="205">
        <f t="shared" ref="J39:K39" si="45">I39</f>
        <v>0.99</v>
      </c>
      <c r="K39" s="205">
        <f t="shared" si="45"/>
        <v>0.99</v>
      </c>
      <c r="L39" s="205">
        <f t="shared" ref="L39:L43" si="46">K39</f>
        <v>0.99</v>
      </c>
      <c r="M39" s="205">
        <f t="shared" ref="M39:M43" si="47">L39</f>
        <v>0.99</v>
      </c>
      <c r="N39" s="205">
        <f t="shared" ref="N39:N43" si="48">M39</f>
        <v>0.99</v>
      </c>
      <c r="O39" s="205">
        <f t="shared" ref="O39:O43" si="49">N39</f>
        <v>0.99</v>
      </c>
      <c r="P39" s="205">
        <f t="shared" ref="P39:P43" si="50">O39</f>
        <v>0.99</v>
      </c>
      <c r="Q39" s="205">
        <f t="shared" ref="Q39:Q43" si="51">P39</f>
        <v>0.99</v>
      </c>
      <c r="R39" s="204">
        <v>1</v>
      </c>
      <c r="S39" s="204"/>
      <c r="T39" s="206">
        <v>5</v>
      </c>
      <c r="U39" s="207"/>
    </row>
    <row r="40" spans="1:21" x14ac:dyDescent="0.2">
      <c r="A40" s="187" t="s">
        <v>1221</v>
      </c>
      <c r="B40" s="203" t="str">
        <f>TechData_R0!B18</f>
        <v>MINNGAD3</v>
      </c>
      <c r="C40" s="203"/>
      <c r="D40" s="203"/>
      <c r="E40" s="204" t="s">
        <v>1197</v>
      </c>
      <c r="F40" s="204"/>
      <c r="G40" s="187" t="s">
        <v>1173</v>
      </c>
      <c r="H40" s="205">
        <f>1-TechData_R0!J18+1</f>
        <v>0.89999999999999991</v>
      </c>
      <c r="I40" s="205">
        <f>1-TechData_R0!K18+1</f>
        <v>0.99</v>
      </c>
      <c r="J40" s="205">
        <f t="shared" ref="J40:K40" si="52">I40</f>
        <v>0.99</v>
      </c>
      <c r="K40" s="205">
        <f t="shared" si="52"/>
        <v>0.99</v>
      </c>
      <c r="L40" s="205">
        <f t="shared" si="46"/>
        <v>0.99</v>
      </c>
      <c r="M40" s="205">
        <f t="shared" si="47"/>
        <v>0.99</v>
      </c>
      <c r="N40" s="205">
        <f t="shared" si="48"/>
        <v>0.99</v>
      </c>
      <c r="O40" s="205">
        <f t="shared" si="49"/>
        <v>0.99</v>
      </c>
      <c r="P40" s="205">
        <f t="shared" si="50"/>
        <v>0.99</v>
      </c>
      <c r="Q40" s="205">
        <f t="shared" si="51"/>
        <v>0.99</v>
      </c>
      <c r="R40" s="204">
        <v>1</v>
      </c>
      <c r="S40" s="204"/>
      <c r="T40" s="206">
        <v>5</v>
      </c>
      <c r="U40" s="207"/>
    </row>
    <row r="41" spans="1:21" x14ac:dyDescent="0.2">
      <c r="A41" s="187" t="s">
        <v>1222</v>
      </c>
      <c r="B41" s="203" t="str">
        <f>TechData_R0!B19</f>
        <v>MINNGAD4</v>
      </c>
      <c r="C41" s="203"/>
      <c r="D41" s="203"/>
      <c r="E41" s="204" t="s">
        <v>1197</v>
      </c>
      <c r="F41" s="204"/>
      <c r="G41" s="187" t="s">
        <v>1173</v>
      </c>
      <c r="H41" s="205">
        <f>1-TechData_R0!J19+1</f>
        <v>0.89999999999999991</v>
      </c>
      <c r="I41" s="205">
        <f>1-TechData_R0!K19+1</f>
        <v>0.99</v>
      </c>
      <c r="J41" s="205">
        <f t="shared" ref="J41:K41" si="53">I41</f>
        <v>0.99</v>
      </c>
      <c r="K41" s="205">
        <f t="shared" si="53"/>
        <v>0.99</v>
      </c>
      <c r="L41" s="205">
        <f t="shared" si="46"/>
        <v>0.99</v>
      </c>
      <c r="M41" s="205">
        <f t="shared" si="47"/>
        <v>0.99</v>
      </c>
      <c r="N41" s="205">
        <f t="shared" si="48"/>
        <v>0.99</v>
      </c>
      <c r="O41" s="205">
        <f t="shared" si="49"/>
        <v>0.99</v>
      </c>
      <c r="P41" s="205">
        <f t="shared" si="50"/>
        <v>0.99</v>
      </c>
      <c r="Q41" s="205">
        <f t="shared" si="51"/>
        <v>0.99</v>
      </c>
      <c r="R41" s="204">
        <v>1</v>
      </c>
      <c r="S41" s="204"/>
      <c r="T41" s="206">
        <v>5</v>
      </c>
      <c r="U41" s="207"/>
    </row>
    <row r="42" spans="1:21" x14ac:dyDescent="0.2">
      <c r="A42" s="187" t="s">
        <v>1223</v>
      </c>
      <c r="B42" s="203" t="str">
        <f>TechData_R0!B20</f>
        <v>MINNGAD5</v>
      </c>
      <c r="C42" s="203"/>
      <c r="D42" s="203"/>
      <c r="E42" s="204" t="s">
        <v>1197</v>
      </c>
      <c r="F42" s="204"/>
      <c r="G42" s="187" t="s">
        <v>1173</v>
      </c>
      <c r="H42" s="205">
        <f>1-TechData_R0!J20+1</f>
        <v>0.89999999999999991</v>
      </c>
      <c r="I42" s="205">
        <f>1-TechData_R0!K20+1</f>
        <v>0.99</v>
      </c>
      <c r="J42" s="205">
        <f t="shared" ref="J42:K42" si="54">I42</f>
        <v>0.99</v>
      </c>
      <c r="K42" s="205">
        <f t="shared" si="54"/>
        <v>0.99</v>
      </c>
      <c r="L42" s="205">
        <f t="shared" si="46"/>
        <v>0.99</v>
      </c>
      <c r="M42" s="205">
        <f t="shared" si="47"/>
        <v>0.99</v>
      </c>
      <c r="N42" s="205">
        <f t="shared" si="48"/>
        <v>0.99</v>
      </c>
      <c r="O42" s="205">
        <f t="shared" si="49"/>
        <v>0.99</v>
      </c>
      <c r="P42" s="205">
        <f t="shared" si="50"/>
        <v>0.99</v>
      </c>
      <c r="Q42" s="205">
        <f t="shared" si="51"/>
        <v>0.99</v>
      </c>
      <c r="R42" s="204">
        <v>1</v>
      </c>
      <c r="S42" s="204"/>
      <c r="T42" s="206">
        <v>5</v>
      </c>
      <c r="U42" s="207"/>
    </row>
    <row r="43" spans="1:21" x14ac:dyDescent="0.2">
      <c r="A43" s="187" t="s">
        <v>1224</v>
      </c>
      <c r="B43" s="203" t="str">
        <f>TechData_R0!B21</f>
        <v>MINNGAD6</v>
      </c>
      <c r="C43" s="203"/>
      <c r="D43" s="203"/>
      <c r="E43" s="204" t="s">
        <v>1197</v>
      </c>
      <c r="F43" s="204"/>
      <c r="G43" s="187" t="s">
        <v>1173</v>
      </c>
      <c r="H43" s="205">
        <f>1-TechData_R0!J21+1</f>
        <v>0.89999999999999991</v>
      </c>
      <c r="I43" s="205">
        <f>1-TechData_R0!K21+1</f>
        <v>0.99</v>
      </c>
      <c r="J43" s="205">
        <f t="shared" ref="J43:K43" si="55">I43</f>
        <v>0.99</v>
      </c>
      <c r="K43" s="205">
        <f t="shared" si="55"/>
        <v>0.99</v>
      </c>
      <c r="L43" s="205">
        <f t="shared" si="46"/>
        <v>0.99</v>
      </c>
      <c r="M43" s="205">
        <f t="shared" si="47"/>
        <v>0.99</v>
      </c>
      <c r="N43" s="205">
        <f t="shared" si="48"/>
        <v>0.99</v>
      </c>
      <c r="O43" s="205">
        <f t="shared" si="49"/>
        <v>0.99</v>
      </c>
      <c r="P43" s="205">
        <f t="shared" si="50"/>
        <v>0.99</v>
      </c>
      <c r="Q43" s="205">
        <f t="shared" si="51"/>
        <v>0.99</v>
      </c>
      <c r="R43" s="204">
        <v>1</v>
      </c>
      <c r="S43" s="204"/>
      <c r="T43" s="206">
        <v>5</v>
      </c>
      <c r="U43" s="207"/>
    </row>
    <row r="46" spans="1:21" s="198" customFormat="1" x14ac:dyDescent="0.2">
      <c r="A46" s="197" t="s">
        <v>1174</v>
      </c>
    </row>
    <row r="47" spans="1:21" x14ac:dyDescent="0.2">
      <c r="A47" s="199" t="s">
        <v>1225</v>
      </c>
    </row>
    <row r="48" spans="1:21" x14ac:dyDescent="0.2">
      <c r="A48" s="199" t="s">
        <v>1176</v>
      </c>
    </row>
    <row r="49" spans="1:21" x14ac:dyDescent="0.2">
      <c r="G49" s="199" t="s">
        <v>1177</v>
      </c>
    </row>
    <row r="50" spans="1:21" ht="13.5" thickBot="1" x14ac:dyDescent="0.25">
      <c r="A50" s="200" t="s">
        <v>1178</v>
      </c>
      <c r="B50" s="201" t="s">
        <v>1179</v>
      </c>
      <c r="C50" s="201" t="s">
        <v>1180</v>
      </c>
      <c r="D50" s="201" t="s">
        <v>1181</v>
      </c>
      <c r="E50" s="200" t="s">
        <v>1182</v>
      </c>
      <c r="F50" s="200" t="s">
        <v>137</v>
      </c>
      <c r="G50" s="200" t="s">
        <v>1079</v>
      </c>
      <c r="H50" s="200" t="s">
        <v>1183</v>
      </c>
      <c r="I50" s="200" t="s">
        <v>1184</v>
      </c>
      <c r="J50" s="200" t="s">
        <v>1185</v>
      </c>
      <c r="K50" s="200" t="s">
        <v>1186</v>
      </c>
      <c r="L50" s="200" t="s">
        <v>1187</v>
      </c>
      <c r="M50" s="200" t="s">
        <v>1188</v>
      </c>
      <c r="N50" s="200" t="s">
        <v>1189</v>
      </c>
      <c r="O50" s="200" t="s">
        <v>1190</v>
      </c>
      <c r="P50" s="200" t="s">
        <v>1191</v>
      </c>
      <c r="Q50" s="200" t="s">
        <v>1192</v>
      </c>
      <c r="R50" s="200" t="s">
        <v>1193</v>
      </c>
      <c r="S50" s="200" t="s">
        <v>1194</v>
      </c>
      <c r="T50" s="202" t="s">
        <v>1195</v>
      </c>
      <c r="U50" s="200" t="s">
        <v>1196</v>
      </c>
    </row>
    <row r="51" spans="1:21" x14ac:dyDescent="0.2">
      <c r="A51" s="187" t="s">
        <v>1226</v>
      </c>
      <c r="B51" s="203" t="str">
        <f>TechData_R0!B23</f>
        <v>MINNGAD1</v>
      </c>
      <c r="C51" s="203"/>
      <c r="D51" s="203"/>
      <c r="E51" s="204" t="s">
        <v>1197</v>
      </c>
      <c r="F51" s="204"/>
      <c r="G51" s="204" t="s">
        <v>1198</v>
      </c>
      <c r="H51" s="205">
        <f>TechData_R0!G23</f>
        <v>1.25</v>
      </c>
      <c r="I51" s="205">
        <f>TechData_R0!H23</f>
        <v>1.1000000000000001</v>
      </c>
      <c r="J51" s="205">
        <f t="shared" ref="J51" si="56">I51</f>
        <v>1.1000000000000001</v>
      </c>
      <c r="K51" s="205">
        <f>TechData_R0!I23</f>
        <v>1.1000000000000001</v>
      </c>
      <c r="L51" s="205">
        <f t="shared" ref="L51" si="57">K51</f>
        <v>1.1000000000000001</v>
      </c>
      <c r="M51" s="205">
        <f t="shared" ref="M51" si="58">L51</f>
        <v>1.1000000000000001</v>
      </c>
      <c r="N51" s="205">
        <f t="shared" ref="N51" si="59">M51</f>
        <v>1.1000000000000001</v>
      </c>
      <c r="O51" s="205">
        <f t="shared" ref="O51" si="60">N51</f>
        <v>1.1000000000000001</v>
      </c>
      <c r="P51" s="205">
        <f t="shared" ref="P51" si="61">O51</f>
        <v>1.1000000000000001</v>
      </c>
      <c r="Q51" s="205">
        <f t="shared" ref="Q51" si="62">P51</f>
        <v>1.1000000000000001</v>
      </c>
      <c r="R51" s="204">
        <f>MAX(1,TechData_R0!F23)</f>
        <v>1</v>
      </c>
      <c r="S51" s="204"/>
      <c r="T51" s="206">
        <v>5</v>
      </c>
      <c r="U51" s="207"/>
    </row>
    <row r="52" spans="1:21" x14ac:dyDescent="0.2">
      <c r="A52" s="187" t="s">
        <v>1227</v>
      </c>
      <c r="B52" s="203" t="str">
        <f>TechData_R0!B24</f>
        <v>MINNGAD2</v>
      </c>
      <c r="C52" s="203"/>
      <c r="D52" s="203"/>
      <c r="E52" s="204" t="s">
        <v>1197</v>
      </c>
      <c r="F52" s="204"/>
      <c r="G52" s="204" t="s">
        <v>1198</v>
      </c>
      <c r="H52" s="205">
        <f>TechData_R0!G24</f>
        <v>1.25</v>
      </c>
      <c r="I52" s="205">
        <f>TechData_R0!H24</f>
        <v>1.1000000000000001</v>
      </c>
      <c r="J52" s="205">
        <f t="shared" ref="J52:J56" si="63">I52</f>
        <v>1.1000000000000001</v>
      </c>
      <c r="K52" s="205">
        <f>TechData_R0!I24</f>
        <v>1.1000000000000001</v>
      </c>
      <c r="L52" s="205">
        <f t="shared" ref="L52:L56" si="64">K52</f>
        <v>1.1000000000000001</v>
      </c>
      <c r="M52" s="205">
        <f t="shared" ref="M52:M56" si="65">L52</f>
        <v>1.1000000000000001</v>
      </c>
      <c r="N52" s="205">
        <f t="shared" ref="N52:N56" si="66">M52</f>
        <v>1.1000000000000001</v>
      </c>
      <c r="O52" s="205">
        <f t="shared" ref="O52:O56" si="67">N52</f>
        <v>1.1000000000000001</v>
      </c>
      <c r="P52" s="205">
        <f t="shared" ref="P52:P56" si="68">O52</f>
        <v>1.1000000000000001</v>
      </c>
      <c r="Q52" s="205">
        <f t="shared" ref="Q52:Q56" si="69">P52</f>
        <v>1.1000000000000001</v>
      </c>
      <c r="R52" s="204">
        <f>MAX(1,TechData_R0!F24)</f>
        <v>1</v>
      </c>
      <c r="S52" s="204"/>
      <c r="T52" s="206">
        <v>5</v>
      </c>
      <c r="U52" s="207"/>
    </row>
    <row r="53" spans="1:21" x14ac:dyDescent="0.2">
      <c r="A53" s="187" t="s">
        <v>1228</v>
      </c>
      <c r="B53" s="203" t="str">
        <f>TechData_R0!B25</f>
        <v>MINNGAD3</v>
      </c>
      <c r="C53" s="203"/>
      <c r="D53" s="203"/>
      <c r="E53" s="204" t="s">
        <v>1197</v>
      </c>
      <c r="F53" s="204"/>
      <c r="G53" s="204" t="s">
        <v>1198</v>
      </c>
      <c r="H53" s="205">
        <f>TechData_R0!G25</f>
        <v>1.25</v>
      </c>
      <c r="I53" s="205">
        <f>TechData_R0!H25</f>
        <v>1.1000000000000001</v>
      </c>
      <c r="J53" s="205">
        <f t="shared" si="63"/>
        <v>1.1000000000000001</v>
      </c>
      <c r="K53" s="205">
        <f>TechData_R0!I25</f>
        <v>1.1000000000000001</v>
      </c>
      <c r="L53" s="205">
        <f t="shared" si="64"/>
        <v>1.1000000000000001</v>
      </c>
      <c r="M53" s="205">
        <f t="shared" si="65"/>
        <v>1.1000000000000001</v>
      </c>
      <c r="N53" s="205">
        <f t="shared" si="66"/>
        <v>1.1000000000000001</v>
      </c>
      <c r="O53" s="205">
        <f t="shared" si="67"/>
        <v>1.1000000000000001</v>
      </c>
      <c r="P53" s="205">
        <f t="shared" si="68"/>
        <v>1.1000000000000001</v>
      </c>
      <c r="Q53" s="205">
        <f t="shared" si="69"/>
        <v>1.1000000000000001</v>
      </c>
      <c r="R53" s="204">
        <f>MAX(1,TechData_R0!F25)</f>
        <v>1</v>
      </c>
      <c r="S53" s="204"/>
      <c r="T53" s="206">
        <v>5</v>
      </c>
      <c r="U53" s="207"/>
    </row>
    <row r="54" spans="1:21" x14ac:dyDescent="0.2">
      <c r="A54" s="187" t="s">
        <v>1229</v>
      </c>
      <c r="B54" s="203" t="str">
        <f>TechData_R0!B26</f>
        <v>MINNGAD4</v>
      </c>
      <c r="C54" s="203"/>
      <c r="D54" s="203"/>
      <c r="E54" s="204" t="s">
        <v>1197</v>
      </c>
      <c r="F54" s="204"/>
      <c r="G54" s="204" t="s">
        <v>1198</v>
      </c>
      <c r="H54" s="205">
        <f>TechData_R0!G26</f>
        <v>1.1000000000000001</v>
      </c>
      <c r="I54" s="205">
        <f>TechData_R0!H26</f>
        <v>1.1000000000000001</v>
      </c>
      <c r="J54" s="205">
        <f t="shared" si="63"/>
        <v>1.1000000000000001</v>
      </c>
      <c r="K54" s="205">
        <f>TechData_R0!I26</f>
        <v>1.1000000000000001</v>
      </c>
      <c r="L54" s="205">
        <f t="shared" si="64"/>
        <v>1.1000000000000001</v>
      </c>
      <c r="M54" s="205">
        <f t="shared" si="65"/>
        <v>1.1000000000000001</v>
      </c>
      <c r="N54" s="205">
        <f t="shared" si="66"/>
        <v>1.1000000000000001</v>
      </c>
      <c r="O54" s="205">
        <f t="shared" si="67"/>
        <v>1.1000000000000001</v>
      </c>
      <c r="P54" s="205">
        <f t="shared" si="68"/>
        <v>1.1000000000000001</v>
      </c>
      <c r="Q54" s="205">
        <f t="shared" si="69"/>
        <v>1.1000000000000001</v>
      </c>
      <c r="R54" s="204">
        <f>MAX(1,TechData_R0!F26)</f>
        <v>1</v>
      </c>
      <c r="S54" s="204"/>
      <c r="T54" s="206">
        <v>5</v>
      </c>
      <c r="U54" s="207"/>
    </row>
    <row r="55" spans="1:21" x14ac:dyDescent="0.2">
      <c r="A55" s="187" t="s">
        <v>1230</v>
      </c>
      <c r="B55" s="203" t="str">
        <f>TechData_R0!B27</f>
        <v>MINNGAD5</v>
      </c>
      <c r="C55" s="203"/>
      <c r="D55" s="203"/>
      <c r="E55" s="204" t="s">
        <v>1197</v>
      </c>
      <c r="F55" s="204"/>
      <c r="G55" s="204" t="s">
        <v>1198</v>
      </c>
      <c r="H55" s="205">
        <f>TechData_R0!G27</f>
        <v>1.01</v>
      </c>
      <c r="I55" s="205">
        <f>TechData_R0!H27</f>
        <v>1.01</v>
      </c>
      <c r="J55" s="205">
        <f t="shared" si="63"/>
        <v>1.01</v>
      </c>
      <c r="K55" s="205">
        <f>TechData_R0!I27</f>
        <v>1.01</v>
      </c>
      <c r="L55" s="205">
        <f t="shared" si="64"/>
        <v>1.01</v>
      </c>
      <c r="M55" s="205">
        <f t="shared" si="65"/>
        <v>1.01</v>
      </c>
      <c r="N55" s="205">
        <f t="shared" si="66"/>
        <v>1.01</v>
      </c>
      <c r="O55" s="205">
        <f t="shared" si="67"/>
        <v>1.01</v>
      </c>
      <c r="P55" s="205">
        <f t="shared" si="68"/>
        <v>1.01</v>
      </c>
      <c r="Q55" s="205">
        <f t="shared" si="69"/>
        <v>1.01</v>
      </c>
      <c r="R55" s="204">
        <f>MAX(1,TechData_R0!F27)</f>
        <v>1</v>
      </c>
      <c r="S55" s="204"/>
      <c r="T55" s="206">
        <v>5</v>
      </c>
      <c r="U55" s="207"/>
    </row>
    <row r="56" spans="1:21" x14ac:dyDescent="0.2">
      <c r="A56" s="187" t="s">
        <v>1231</v>
      </c>
      <c r="B56" s="203" t="str">
        <f>TechData_R0!B28</f>
        <v>MINNGAD6</v>
      </c>
      <c r="C56" s="203"/>
      <c r="D56" s="203"/>
      <c r="E56" s="204" t="s">
        <v>1197</v>
      </c>
      <c r="F56" s="204"/>
      <c r="G56" s="204" t="s">
        <v>1198</v>
      </c>
      <c r="H56" s="205">
        <f>TechData_R0!G28</f>
        <v>1.01</v>
      </c>
      <c r="I56" s="205">
        <f>TechData_R0!H28</f>
        <v>1.01</v>
      </c>
      <c r="J56" s="205">
        <f t="shared" si="63"/>
        <v>1.01</v>
      </c>
      <c r="K56" s="205">
        <f>TechData_R0!I28</f>
        <v>1.01</v>
      </c>
      <c r="L56" s="205">
        <f t="shared" si="64"/>
        <v>1.01</v>
      </c>
      <c r="M56" s="205">
        <f t="shared" si="65"/>
        <v>1.01</v>
      </c>
      <c r="N56" s="205">
        <f t="shared" si="66"/>
        <v>1.01</v>
      </c>
      <c r="O56" s="205">
        <f t="shared" si="67"/>
        <v>1.01</v>
      </c>
      <c r="P56" s="205">
        <f t="shared" si="68"/>
        <v>1.01</v>
      </c>
      <c r="Q56" s="205">
        <f t="shared" si="69"/>
        <v>1.01</v>
      </c>
      <c r="R56" s="204">
        <f>MAX(1,TechData_R0!F28)</f>
        <v>1</v>
      </c>
      <c r="S56" s="204"/>
      <c r="T56" s="206">
        <v>5</v>
      </c>
      <c r="U56" s="207"/>
    </row>
    <row r="58" spans="1:21" x14ac:dyDescent="0.2">
      <c r="G58" s="199" t="s">
        <v>1177</v>
      </c>
    </row>
    <row r="59" spans="1:21" ht="13.5" thickBot="1" x14ac:dyDescent="0.25">
      <c r="A59" s="200" t="s">
        <v>1178</v>
      </c>
      <c r="B59" s="201" t="s">
        <v>1179</v>
      </c>
      <c r="C59" s="201" t="s">
        <v>1180</v>
      </c>
      <c r="D59" s="201" t="s">
        <v>1181</v>
      </c>
      <c r="E59" s="200" t="s">
        <v>1182</v>
      </c>
      <c r="F59" s="200" t="s">
        <v>137</v>
      </c>
      <c r="G59" s="200" t="s">
        <v>1079</v>
      </c>
      <c r="H59" s="200" t="s">
        <v>1183</v>
      </c>
      <c r="I59" s="200" t="s">
        <v>1184</v>
      </c>
      <c r="J59" s="200" t="s">
        <v>1185</v>
      </c>
      <c r="K59" s="200" t="s">
        <v>1186</v>
      </c>
      <c r="L59" s="200" t="s">
        <v>1187</v>
      </c>
      <c r="M59" s="200" t="s">
        <v>1188</v>
      </c>
      <c r="N59" s="200" t="s">
        <v>1189</v>
      </c>
      <c r="O59" s="200" t="s">
        <v>1190</v>
      </c>
      <c r="P59" s="200" t="s">
        <v>1191</v>
      </c>
      <c r="Q59" s="200" t="s">
        <v>1192</v>
      </c>
      <c r="R59" s="200" t="s">
        <v>1193</v>
      </c>
      <c r="S59" s="200" t="s">
        <v>1194</v>
      </c>
      <c r="T59" s="202" t="s">
        <v>1195</v>
      </c>
      <c r="U59" s="200" t="s">
        <v>1196</v>
      </c>
    </row>
    <row r="60" spans="1:21" x14ac:dyDescent="0.2">
      <c r="A60" s="187" t="s">
        <v>1232</v>
      </c>
      <c r="B60" s="203" t="str">
        <f>TechData_R0!B23</f>
        <v>MINNGAD1</v>
      </c>
      <c r="C60" s="203"/>
      <c r="D60" s="203"/>
      <c r="E60" s="204" t="s">
        <v>1197</v>
      </c>
      <c r="F60" s="204"/>
      <c r="G60" s="187" t="s">
        <v>1173</v>
      </c>
      <c r="H60" s="205">
        <f>1-TechData_R0!J23+1</f>
        <v>0.89999999999999991</v>
      </c>
      <c r="I60" s="205">
        <f>1-TechData_R0!K23+1</f>
        <v>0.99</v>
      </c>
      <c r="J60" s="205">
        <f>I60</f>
        <v>0.99</v>
      </c>
      <c r="K60" s="205">
        <f>J60</f>
        <v>0.99</v>
      </c>
      <c r="L60" s="205">
        <f t="shared" ref="L60" si="70">K60</f>
        <v>0.99</v>
      </c>
      <c r="M60" s="205">
        <f t="shared" ref="M60" si="71">L60</f>
        <v>0.99</v>
      </c>
      <c r="N60" s="205">
        <f t="shared" ref="N60" si="72">M60</f>
        <v>0.99</v>
      </c>
      <c r="O60" s="205">
        <f t="shared" ref="O60" si="73">N60</f>
        <v>0.99</v>
      </c>
      <c r="P60" s="205">
        <f t="shared" ref="P60" si="74">O60</f>
        <v>0.99</v>
      </c>
      <c r="Q60" s="205">
        <f t="shared" ref="Q60" si="75">P60</f>
        <v>0.99</v>
      </c>
      <c r="R60" s="204">
        <v>1</v>
      </c>
      <c r="S60" s="204"/>
      <c r="T60" s="206">
        <v>5</v>
      </c>
      <c r="U60" s="207"/>
    </row>
    <row r="61" spans="1:21" x14ac:dyDescent="0.2">
      <c r="A61" s="187" t="s">
        <v>1233</v>
      </c>
      <c r="B61" s="203" t="str">
        <f>TechData_R0!B24</f>
        <v>MINNGAD2</v>
      </c>
      <c r="C61" s="203"/>
      <c r="D61" s="203"/>
      <c r="E61" s="204" t="s">
        <v>1197</v>
      </c>
      <c r="F61" s="204"/>
      <c r="G61" s="187" t="s">
        <v>1173</v>
      </c>
      <c r="H61" s="205">
        <f>1-TechData_R0!J24+1</f>
        <v>0.89999999999999991</v>
      </c>
      <c r="I61" s="205">
        <f>1-TechData_R0!K24+1</f>
        <v>0.99</v>
      </c>
      <c r="J61" s="205">
        <f t="shared" ref="J61:K61" si="76">I61</f>
        <v>0.99</v>
      </c>
      <c r="K61" s="205">
        <f t="shared" si="76"/>
        <v>0.99</v>
      </c>
      <c r="L61" s="205">
        <f t="shared" ref="L61:L65" si="77">K61</f>
        <v>0.99</v>
      </c>
      <c r="M61" s="205">
        <f t="shared" ref="M61:M65" si="78">L61</f>
        <v>0.99</v>
      </c>
      <c r="N61" s="205">
        <f t="shared" ref="N61:N65" si="79">M61</f>
        <v>0.99</v>
      </c>
      <c r="O61" s="205">
        <f t="shared" ref="O61:O65" si="80">N61</f>
        <v>0.99</v>
      </c>
      <c r="P61" s="205">
        <f t="shared" ref="P61:P65" si="81">O61</f>
        <v>0.99</v>
      </c>
      <c r="Q61" s="205">
        <f t="shared" ref="Q61:Q65" si="82">P61</f>
        <v>0.99</v>
      </c>
      <c r="R61" s="204">
        <v>1</v>
      </c>
      <c r="S61" s="204"/>
      <c r="T61" s="206">
        <v>5</v>
      </c>
      <c r="U61" s="207"/>
    </row>
    <row r="62" spans="1:21" x14ac:dyDescent="0.2">
      <c r="A62" s="187" t="s">
        <v>1234</v>
      </c>
      <c r="B62" s="203" t="str">
        <f>TechData_R0!B25</f>
        <v>MINNGAD3</v>
      </c>
      <c r="C62" s="203"/>
      <c r="D62" s="203"/>
      <c r="E62" s="204" t="s">
        <v>1197</v>
      </c>
      <c r="F62" s="204"/>
      <c r="G62" s="187" t="s">
        <v>1173</v>
      </c>
      <c r="H62" s="205">
        <f>1-TechData_R0!J25+1</f>
        <v>0.89999999999999991</v>
      </c>
      <c r="I62" s="205">
        <f>1-TechData_R0!K25+1</f>
        <v>0.99</v>
      </c>
      <c r="J62" s="205">
        <f t="shared" ref="J62:K62" si="83">I62</f>
        <v>0.99</v>
      </c>
      <c r="K62" s="205">
        <f t="shared" si="83"/>
        <v>0.99</v>
      </c>
      <c r="L62" s="205">
        <f t="shared" si="77"/>
        <v>0.99</v>
      </c>
      <c r="M62" s="205">
        <f t="shared" si="78"/>
        <v>0.99</v>
      </c>
      <c r="N62" s="205">
        <f t="shared" si="79"/>
        <v>0.99</v>
      </c>
      <c r="O62" s="205">
        <f t="shared" si="80"/>
        <v>0.99</v>
      </c>
      <c r="P62" s="205">
        <f t="shared" si="81"/>
        <v>0.99</v>
      </c>
      <c r="Q62" s="205">
        <f t="shared" si="82"/>
        <v>0.99</v>
      </c>
      <c r="R62" s="204">
        <v>1</v>
      </c>
      <c r="S62" s="204"/>
      <c r="T62" s="206">
        <v>5</v>
      </c>
      <c r="U62" s="207"/>
    </row>
    <row r="63" spans="1:21" x14ac:dyDescent="0.2">
      <c r="A63" s="187" t="s">
        <v>1235</v>
      </c>
      <c r="B63" s="203" t="str">
        <f>TechData_R0!B26</f>
        <v>MINNGAD4</v>
      </c>
      <c r="C63" s="203"/>
      <c r="D63" s="203"/>
      <c r="E63" s="204" t="s">
        <v>1197</v>
      </c>
      <c r="F63" s="204"/>
      <c r="G63" s="187" t="s">
        <v>1173</v>
      </c>
      <c r="H63" s="205">
        <f>1-TechData_R0!J26+1</f>
        <v>0.89999999999999991</v>
      </c>
      <c r="I63" s="205">
        <f>1-TechData_R0!K26+1</f>
        <v>0.99</v>
      </c>
      <c r="J63" s="205">
        <f t="shared" ref="J63:K63" si="84">I63</f>
        <v>0.99</v>
      </c>
      <c r="K63" s="205">
        <f t="shared" si="84"/>
        <v>0.99</v>
      </c>
      <c r="L63" s="205">
        <f t="shared" si="77"/>
        <v>0.99</v>
      </c>
      <c r="M63" s="205">
        <f t="shared" si="78"/>
        <v>0.99</v>
      </c>
      <c r="N63" s="205">
        <f t="shared" si="79"/>
        <v>0.99</v>
      </c>
      <c r="O63" s="205">
        <f t="shared" si="80"/>
        <v>0.99</v>
      </c>
      <c r="P63" s="205">
        <f t="shared" si="81"/>
        <v>0.99</v>
      </c>
      <c r="Q63" s="205">
        <f t="shared" si="82"/>
        <v>0.99</v>
      </c>
      <c r="R63" s="204">
        <v>1</v>
      </c>
      <c r="S63" s="204"/>
      <c r="T63" s="206">
        <v>5</v>
      </c>
      <c r="U63" s="207"/>
    </row>
    <row r="64" spans="1:21" x14ac:dyDescent="0.2">
      <c r="A64" s="187" t="s">
        <v>1236</v>
      </c>
      <c r="B64" s="203" t="str">
        <f>TechData_R0!B27</f>
        <v>MINNGAD5</v>
      </c>
      <c r="C64" s="203"/>
      <c r="D64" s="203"/>
      <c r="E64" s="204" t="s">
        <v>1197</v>
      </c>
      <c r="F64" s="204"/>
      <c r="G64" s="187" t="s">
        <v>1173</v>
      </c>
      <c r="H64" s="205">
        <f>1-TechData_R0!J27+1</f>
        <v>0.89999999999999991</v>
      </c>
      <c r="I64" s="205">
        <f>1-TechData_R0!K27+1</f>
        <v>0.99</v>
      </c>
      <c r="J64" s="205">
        <f t="shared" ref="J64:K64" si="85">I64</f>
        <v>0.99</v>
      </c>
      <c r="K64" s="205">
        <f t="shared" si="85"/>
        <v>0.99</v>
      </c>
      <c r="L64" s="205">
        <f t="shared" si="77"/>
        <v>0.99</v>
      </c>
      <c r="M64" s="205">
        <f t="shared" si="78"/>
        <v>0.99</v>
      </c>
      <c r="N64" s="205">
        <f t="shared" si="79"/>
        <v>0.99</v>
      </c>
      <c r="O64" s="205">
        <f t="shared" si="80"/>
        <v>0.99</v>
      </c>
      <c r="P64" s="205">
        <f t="shared" si="81"/>
        <v>0.99</v>
      </c>
      <c r="Q64" s="205">
        <f t="shared" si="82"/>
        <v>0.99</v>
      </c>
      <c r="R64" s="204">
        <v>1</v>
      </c>
      <c r="S64" s="204"/>
      <c r="T64" s="206">
        <v>5</v>
      </c>
      <c r="U64" s="207"/>
    </row>
    <row r="65" spans="1:21" x14ac:dyDescent="0.2">
      <c r="A65" s="187" t="s">
        <v>1237</v>
      </c>
      <c r="B65" s="203" t="str">
        <f>TechData_R0!B28</f>
        <v>MINNGAD6</v>
      </c>
      <c r="C65" s="203"/>
      <c r="D65" s="203"/>
      <c r="E65" s="204" t="s">
        <v>1197</v>
      </c>
      <c r="F65" s="204"/>
      <c r="G65" s="187" t="s">
        <v>1173</v>
      </c>
      <c r="H65" s="205">
        <f>1-TechData_R0!J28+1</f>
        <v>0.89999999999999991</v>
      </c>
      <c r="I65" s="205">
        <f>1-TechData_R0!K28+1</f>
        <v>0.99</v>
      </c>
      <c r="J65" s="205">
        <f t="shared" ref="J65:K65" si="86">I65</f>
        <v>0.99</v>
      </c>
      <c r="K65" s="205">
        <f t="shared" si="86"/>
        <v>0.99</v>
      </c>
      <c r="L65" s="205">
        <f t="shared" si="77"/>
        <v>0.99</v>
      </c>
      <c r="M65" s="205">
        <f t="shared" si="78"/>
        <v>0.99</v>
      </c>
      <c r="N65" s="205">
        <f t="shared" si="79"/>
        <v>0.99</v>
      </c>
      <c r="O65" s="205">
        <f t="shared" si="80"/>
        <v>0.99</v>
      </c>
      <c r="P65" s="205">
        <f t="shared" si="81"/>
        <v>0.99</v>
      </c>
      <c r="Q65" s="205">
        <f t="shared" si="82"/>
        <v>0.99</v>
      </c>
      <c r="R65" s="204">
        <v>1</v>
      </c>
      <c r="S65" s="204"/>
      <c r="T65" s="206">
        <v>5</v>
      </c>
      <c r="U65" s="207"/>
    </row>
    <row r="67" spans="1:21" s="198" customFormat="1" x14ac:dyDescent="0.2">
      <c r="A67" s="197" t="s">
        <v>1174</v>
      </c>
    </row>
    <row r="68" spans="1:21" x14ac:dyDescent="0.2">
      <c r="A68" s="199" t="s">
        <v>1238</v>
      </c>
    </row>
    <row r="69" spans="1:21" x14ac:dyDescent="0.2">
      <c r="A69" s="199" t="s">
        <v>1176</v>
      </c>
    </row>
    <row r="70" spans="1:21" x14ac:dyDescent="0.2">
      <c r="G70" s="199" t="s">
        <v>1177</v>
      </c>
    </row>
    <row r="71" spans="1:21" ht="13.5" thickBot="1" x14ac:dyDescent="0.25">
      <c r="A71" s="200" t="s">
        <v>1178</v>
      </c>
      <c r="B71" s="201" t="s">
        <v>1179</v>
      </c>
      <c r="C71" s="201" t="s">
        <v>1180</v>
      </c>
      <c r="D71" s="201" t="s">
        <v>1181</v>
      </c>
      <c r="E71" s="200" t="s">
        <v>1182</v>
      </c>
      <c r="F71" s="200" t="s">
        <v>137</v>
      </c>
      <c r="G71" s="200" t="s">
        <v>1079</v>
      </c>
      <c r="H71" s="200" t="s">
        <v>1183</v>
      </c>
      <c r="I71" s="200" t="s">
        <v>1184</v>
      </c>
      <c r="J71" s="200" t="s">
        <v>1185</v>
      </c>
      <c r="K71" s="200" t="s">
        <v>1186</v>
      </c>
      <c r="L71" s="200" t="s">
        <v>1187</v>
      </c>
      <c r="M71" s="200" t="s">
        <v>1188</v>
      </c>
      <c r="N71" s="200" t="s">
        <v>1189</v>
      </c>
      <c r="O71" s="200" t="s">
        <v>1190</v>
      </c>
      <c r="P71" s="200" t="s">
        <v>1191</v>
      </c>
      <c r="Q71" s="200" t="s">
        <v>1192</v>
      </c>
      <c r="R71" s="200" t="s">
        <v>1193</v>
      </c>
      <c r="S71" s="200" t="s">
        <v>1194</v>
      </c>
      <c r="T71" s="202" t="s">
        <v>1195</v>
      </c>
      <c r="U71" s="200" t="s">
        <v>1196</v>
      </c>
    </row>
    <row r="72" spans="1:21" x14ac:dyDescent="0.2">
      <c r="A72" s="187" t="s">
        <v>1239</v>
      </c>
      <c r="B72" s="203" t="str">
        <f>TechData_R0!B30</f>
        <v>MINNGAD1</v>
      </c>
      <c r="C72" s="203"/>
      <c r="D72" s="203"/>
      <c r="E72" s="204" t="s">
        <v>1197</v>
      </c>
      <c r="F72" s="204"/>
      <c r="G72" s="204" t="s">
        <v>1198</v>
      </c>
      <c r="H72" s="205">
        <f>TechData_R0!G30</f>
        <v>1.1000000000000001</v>
      </c>
      <c r="I72" s="205">
        <f>TechData_R0!H30</f>
        <v>1.05</v>
      </c>
      <c r="J72" s="205">
        <f t="shared" ref="J72" si="87">I72</f>
        <v>1.05</v>
      </c>
      <c r="K72" s="205">
        <f>TechData_R0!I30</f>
        <v>1.01</v>
      </c>
      <c r="L72" s="205">
        <f t="shared" ref="L72" si="88">K72</f>
        <v>1.01</v>
      </c>
      <c r="M72" s="205">
        <f t="shared" ref="M72" si="89">L72</f>
        <v>1.01</v>
      </c>
      <c r="N72" s="205">
        <f t="shared" ref="N72" si="90">M72</f>
        <v>1.01</v>
      </c>
      <c r="O72" s="205">
        <f t="shared" ref="O72" si="91">N72</f>
        <v>1.01</v>
      </c>
      <c r="P72" s="205">
        <f t="shared" ref="P72" si="92">O72</f>
        <v>1.01</v>
      </c>
      <c r="Q72" s="205">
        <f t="shared" ref="Q72" si="93">P72</f>
        <v>1.01</v>
      </c>
      <c r="R72" s="204">
        <f>MAX(1,TechData_R0!F30)</f>
        <v>1</v>
      </c>
      <c r="S72" s="204"/>
      <c r="T72" s="206">
        <v>5</v>
      </c>
      <c r="U72" s="207"/>
    </row>
    <row r="73" spans="1:21" x14ac:dyDescent="0.2">
      <c r="A73" s="187" t="s">
        <v>1240</v>
      </c>
      <c r="B73" s="203" t="str">
        <f>TechData_R0!B31</f>
        <v>MINNGAD2</v>
      </c>
      <c r="C73" s="203"/>
      <c r="D73" s="203"/>
      <c r="E73" s="204" t="s">
        <v>1197</v>
      </c>
      <c r="F73" s="204"/>
      <c r="G73" s="204" t="s">
        <v>1198</v>
      </c>
      <c r="H73" s="205">
        <f>TechData_R0!G31</f>
        <v>1.2</v>
      </c>
      <c r="I73" s="205">
        <f>TechData_R0!H31</f>
        <v>1.1000000000000001</v>
      </c>
      <c r="J73" s="205">
        <f t="shared" ref="J73:J77" si="94">I73</f>
        <v>1.1000000000000001</v>
      </c>
      <c r="K73" s="205">
        <f>TechData_R0!I31</f>
        <v>1.05</v>
      </c>
      <c r="L73" s="205">
        <f t="shared" ref="L73:L77" si="95">K73</f>
        <v>1.05</v>
      </c>
      <c r="M73" s="205">
        <f t="shared" ref="M73:M77" si="96">L73</f>
        <v>1.05</v>
      </c>
      <c r="N73" s="205">
        <f t="shared" ref="N73:N77" si="97">M73</f>
        <v>1.05</v>
      </c>
      <c r="O73" s="205">
        <f t="shared" ref="O73:O77" si="98">N73</f>
        <v>1.05</v>
      </c>
      <c r="P73" s="205">
        <f t="shared" ref="P73:P77" si="99">O73</f>
        <v>1.05</v>
      </c>
      <c r="Q73" s="205">
        <f t="shared" ref="Q73:Q77" si="100">P73</f>
        <v>1.05</v>
      </c>
      <c r="R73" s="204">
        <f>MAX(1,TechData_R0!F31)</f>
        <v>1</v>
      </c>
      <c r="S73" s="204"/>
      <c r="T73" s="206">
        <v>5</v>
      </c>
      <c r="U73" s="207"/>
    </row>
    <row r="74" spans="1:21" x14ac:dyDescent="0.2">
      <c r="A74" s="187" t="s">
        <v>1241</v>
      </c>
      <c r="B74" s="203" t="str">
        <f>TechData_R0!B32</f>
        <v>MINNGAD3</v>
      </c>
      <c r="C74" s="203"/>
      <c r="D74" s="203"/>
      <c r="E74" s="204" t="s">
        <v>1197</v>
      </c>
      <c r="F74" s="204"/>
      <c r="G74" s="204" t="s">
        <v>1198</v>
      </c>
      <c r="H74" s="205">
        <f>TechData_R0!G32</f>
        <v>1.1000000000000001</v>
      </c>
      <c r="I74" s="205">
        <f>TechData_R0!H32</f>
        <v>1.1000000000000001</v>
      </c>
      <c r="J74" s="205">
        <f t="shared" si="94"/>
        <v>1.1000000000000001</v>
      </c>
      <c r="K74" s="205">
        <f>TechData_R0!I32</f>
        <v>1.05</v>
      </c>
      <c r="L74" s="205">
        <f t="shared" si="95"/>
        <v>1.05</v>
      </c>
      <c r="M74" s="205">
        <f t="shared" si="96"/>
        <v>1.05</v>
      </c>
      <c r="N74" s="205">
        <f t="shared" si="97"/>
        <v>1.05</v>
      </c>
      <c r="O74" s="205">
        <f t="shared" si="98"/>
        <v>1.05</v>
      </c>
      <c r="P74" s="205">
        <f t="shared" si="99"/>
        <v>1.05</v>
      </c>
      <c r="Q74" s="205">
        <f t="shared" si="100"/>
        <v>1.05</v>
      </c>
      <c r="R74" s="204">
        <f>MAX(1,TechData_R0!F32)</f>
        <v>1</v>
      </c>
      <c r="S74" s="204"/>
      <c r="T74" s="206">
        <v>5</v>
      </c>
      <c r="U74" s="207"/>
    </row>
    <row r="75" spans="1:21" x14ac:dyDescent="0.2">
      <c r="A75" s="187" t="s">
        <v>1242</v>
      </c>
      <c r="B75" s="203" t="str">
        <f>TechData_R0!B33</f>
        <v>MINNGAD4</v>
      </c>
      <c r="C75" s="203"/>
      <c r="D75" s="203"/>
      <c r="E75" s="204" t="s">
        <v>1197</v>
      </c>
      <c r="F75" s="204"/>
      <c r="G75" s="204" t="s">
        <v>1198</v>
      </c>
      <c r="H75" s="205">
        <f>TechData_R0!G33</f>
        <v>1.1000000000000001</v>
      </c>
      <c r="I75" s="205">
        <f>TechData_R0!H33</f>
        <v>1.1000000000000001</v>
      </c>
      <c r="J75" s="205">
        <f t="shared" si="94"/>
        <v>1.1000000000000001</v>
      </c>
      <c r="K75" s="205">
        <f>TechData_R0!I33</f>
        <v>1.1000000000000001</v>
      </c>
      <c r="L75" s="205">
        <f t="shared" si="95"/>
        <v>1.1000000000000001</v>
      </c>
      <c r="M75" s="205">
        <f t="shared" si="96"/>
        <v>1.1000000000000001</v>
      </c>
      <c r="N75" s="205">
        <f t="shared" si="97"/>
        <v>1.1000000000000001</v>
      </c>
      <c r="O75" s="205">
        <f t="shared" si="98"/>
        <v>1.1000000000000001</v>
      </c>
      <c r="P75" s="205">
        <f t="shared" si="99"/>
        <v>1.1000000000000001</v>
      </c>
      <c r="Q75" s="205">
        <f t="shared" si="100"/>
        <v>1.1000000000000001</v>
      </c>
      <c r="R75" s="204">
        <f>MAX(1,TechData_R0!F33)</f>
        <v>1</v>
      </c>
      <c r="S75" s="204"/>
      <c r="T75" s="206">
        <v>5</v>
      </c>
      <c r="U75" s="207"/>
    </row>
    <row r="76" spans="1:21" x14ac:dyDescent="0.2">
      <c r="A76" s="187" t="s">
        <v>1243</v>
      </c>
      <c r="B76" s="203" t="str">
        <f>TechData_R0!B34</f>
        <v>MINNGAD5</v>
      </c>
      <c r="C76" s="203"/>
      <c r="D76" s="203"/>
      <c r="E76" s="204" t="s">
        <v>1197</v>
      </c>
      <c r="F76" s="204"/>
      <c r="G76" s="204" t="s">
        <v>1198</v>
      </c>
      <c r="H76" s="205">
        <f>TechData_R0!G34</f>
        <v>1.01</v>
      </c>
      <c r="I76" s="205">
        <f>TechData_R0!H34</f>
        <v>1.01</v>
      </c>
      <c r="J76" s="205">
        <f t="shared" si="94"/>
        <v>1.01</v>
      </c>
      <c r="K76" s="205">
        <f>TechData_R0!I34</f>
        <v>1.01</v>
      </c>
      <c r="L76" s="205">
        <f t="shared" si="95"/>
        <v>1.01</v>
      </c>
      <c r="M76" s="205">
        <f t="shared" si="96"/>
        <v>1.01</v>
      </c>
      <c r="N76" s="205">
        <f t="shared" si="97"/>
        <v>1.01</v>
      </c>
      <c r="O76" s="205">
        <f t="shared" si="98"/>
        <v>1.01</v>
      </c>
      <c r="P76" s="205">
        <f t="shared" si="99"/>
        <v>1.01</v>
      </c>
      <c r="Q76" s="205">
        <f t="shared" si="100"/>
        <v>1.01</v>
      </c>
      <c r="R76" s="204">
        <f>MAX(1,TechData_R0!F34)</f>
        <v>1</v>
      </c>
      <c r="S76" s="204"/>
      <c r="T76" s="206">
        <v>5</v>
      </c>
      <c r="U76" s="207"/>
    </row>
    <row r="77" spans="1:21" x14ac:dyDescent="0.2">
      <c r="A77" s="187" t="s">
        <v>1244</v>
      </c>
      <c r="B77" s="203" t="str">
        <f>TechData_R0!B35</f>
        <v>MINNGAD6</v>
      </c>
      <c r="C77" s="203"/>
      <c r="D77" s="203"/>
      <c r="E77" s="204" t="s">
        <v>1197</v>
      </c>
      <c r="F77" s="204"/>
      <c r="G77" s="204" t="s">
        <v>1198</v>
      </c>
      <c r="H77" s="205">
        <f>TechData_R0!G35</f>
        <v>1.01</v>
      </c>
      <c r="I77" s="205">
        <f>TechData_R0!H35</f>
        <v>1.01</v>
      </c>
      <c r="J77" s="205">
        <f t="shared" si="94"/>
        <v>1.01</v>
      </c>
      <c r="K77" s="205">
        <f>TechData_R0!I35</f>
        <v>1.01</v>
      </c>
      <c r="L77" s="205">
        <f t="shared" si="95"/>
        <v>1.01</v>
      </c>
      <c r="M77" s="205">
        <f t="shared" si="96"/>
        <v>1.01</v>
      </c>
      <c r="N77" s="205">
        <f t="shared" si="97"/>
        <v>1.01</v>
      </c>
      <c r="O77" s="205">
        <f t="shared" si="98"/>
        <v>1.01</v>
      </c>
      <c r="P77" s="205">
        <f t="shared" si="99"/>
        <v>1.01</v>
      </c>
      <c r="Q77" s="205">
        <f t="shared" si="100"/>
        <v>1.01</v>
      </c>
      <c r="R77" s="204">
        <f>MAX(1,TechData_R0!F35)</f>
        <v>1</v>
      </c>
      <c r="S77" s="204"/>
      <c r="T77" s="206">
        <v>5</v>
      </c>
      <c r="U77" s="207"/>
    </row>
    <row r="79" spans="1:21" x14ac:dyDescent="0.2">
      <c r="G79" s="199" t="s">
        <v>1177</v>
      </c>
    </row>
    <row r="80" spans="1:21" ht="13.5" thickBot="1" x14ac:dyDescent="0.25">
      <c r="A80" s="200" t="s">
        <v>1178</v>
      </c>
      <c r="B80" s="201" t="s">
        <v>1179</v>
      </c>
      <c r="C80" s="201" t="s">
        <v>1180</v>
      </c>
      <c r="D80" s="201" t="s">
        <v>1181</v>
      </c>
      <c r="E80" s="200" t="s">
        <v>1182</v>
      </c>
      <c r="F80" s="200" t="s">
        <v>137</v>
      </c>
      <c r="G80" s="200" t="s">
        <v>1079</v>
      </c>
      <c r="H80" s="200" t="s">
        <v>1183</v>
      </c>
      <c r="I80" s="200" t="s">
        <v>1184</v>
      </c>
      <c r="J80" s="200" t="s">
        <v>1185</v>
      </c>
      <c r="K80" s="200" t="s">
        <v>1186</v>
      </c>
      <c r="L80" s="200" t="s">
        <v>1187</v>
      </c>
      <c r="M80" s="200" t="s">
        <v>1188</v>
      </c>
      <c r="N80" s="200" t="s">
        <v>1189</v>
      </c>
      <c r="O80" s="200" t="s">
        <v>1190</v>
      </c>
      <c r="P80" s="200" t="s">
        <v>1191</v>
      </c>
      <c r="Q80" s="200" t="s">
        <v>1192</v>
      </c>
      <c r="R80" s="200" t="s">
        <v>1193</v>
      </c>
      <c r="S80" s="200" t="s">
        <v>1194</v>
      </c>
      <c r="T80" s="202" t="s">
        <v>1195</v>
      </c>
      <c r="U80" s="200" t="s">
        <v>1196</v>
      </c>
    </row>
    <row r="81" spans="1:21" x14ac:dyDescent="0.2">
      <c r="A81" s="187" t="s">
        <v>1245</v>
      </c>
      <c r="B81" s="203" t="str">
        <f>TechData_R0!B30</f>
        <v>MINNGAD1</v>
      </c>
      <c r="C81" s="203"/>
      <c r="D81" s="203"/>
      <c r="E81" s="204" t="s">
        <v>1197</v>
      </c>
      <c r="F81" s="204"/>
      <c r="G81" s="187" t="s">
        <v>1173</v>
      </c>
      <c r="H81" s="205">
        <f>1-TechData_R0!J30+1</f>
        <v>0.89999999999999991</v>
      </c>
      <c r="I81" s="205">
        <f>1-TechData_R0!K30+1</f>
        <v>0.99</v>
      </c>
      <c r="J81" s="205">
        <f>I81</f>
        <v>0.99</v>
      </c>
      <c r="K81" s="205">
        <f>J81</f>
        <v>0.99</v>
      </c>
      <c r="L81" s="205">
        <f t="shared" ref="L81" si="101">K81</f>
        <v>0.99</v>
      </c>
      <c r="M81" s="205">
        <f t="shared" ref="M81" si="102">L81</f>
        <v>0.99</v>
      </c>
      <c r="N81" s="205">
        <f t="shared" ref="N81" si="103">M81</f>
        <v>0.99</v>
      </c>
      <c r="O81" s="205">
        <f t="shared" ref="O81" si="104">N81</f>
        <v>0.99</v>
      </c>
      <c r="P81" s="205">
        <f t="shared" ref="P81" si="105">O81</f>
        <v>0.99</v>
      </c>
      <c r="Q81" s="205">
        <f t="shared" ref="Q81" si="106">P81</f>
        <v>0.99</v>
      </c>
      <c r="R81" s="204">
        <v>1</v>
      </c>
      <c r="S81" s="204"/>
      <c r="T81" s="206">
        <v>5</v>
      </c>
      <c r="U81" s="207"/>
    </row>
    <row r="82" spans="1:21" x14ac:dyDescent="0.2">
      <c r="A82" s="187" t="s">
        <v>1246</v>
      </c>
      <c r="B82" s="203" t="str">
        <f>TechData_R0!B31</f>
        <v>MINNGAD2</v>
      </c>
      <c r="C82" s="203"/>
      <c r="D82" s="203"/>
      <c r="E82" s="204" t="s">
        <v>1197</v>
      </c>
      <c r="F82" s="204"/>
      <c r="G82" s="187" t="s">
        <v>1173</v>
      </c>
      <c r="H82" s="205">
        <f>1-TechData_R0!J31+1</f>
        <v>0.89999999999999991</v>
      </c>
      <c r="I82" s="205">
        <f>1-TechData_R0!K31+1</f>
        <v>0.99</v>
      </c>
      <c r="J82" s="205">
        <f t="shared" ref="J82:K82" si="107">I82</f>
        <v>0.99</v>
      </c>
      <c r="K82" s="205">
        <f t="shared" si="107"/>
        <v>0.99</v>
      </c>
      <c r="L82" s="205">
        <f t="shared" ref="L82:L86" si="108">K82</f>
        <v>0.99</v>
      </c>
      <c r="M82" s="205">
        <f t="shared" ref="M82:M86" si="109">L82</f>
        <v>0.99</v>
      </c>
      <c r="N82" s="205">
        <f t="shared" ref="N82:N86" si="110">M82</f>
        <v>0.99</v>
      </c>
      <c r="O82" s="205">
        <f t="shared" ref="O82:O86" si="111">N82</f>
        <v>0.99</v>
      </c>
      <c r="P82" s="205">
        <f t="shared" ref="P82:P86" si="112">O82</f>
        <v>0.99</v>
      </c>
      <c r="Q82" s="205">
        <f t="shared" ref="Q82:Q86" si="113">P82</f>
        <v>0.99</v>
      </c>
      <c r="R82" s="204">
        <v>1</v>
      </c>
      <c r="S82" s="204"/>
      <c r="T82" s="206">
        <v>5</v>
      </c>
      <c r="U82" s="207"/>
    </row>
    <row r="83" spans="1:21" x14ac:dyDescent="0.2">
      <c r="A83" s="187" t="s">
        <v>1247</v>
      </c>
      <c r="B83" s="203" t="str">
        <f>TechData_R0!B32</f>
        <v>MINNGAD3</v>
      </c>
      <c r="C83" s="203"/>
      <c r="D83" s="203"/>
      <c r="E83" s="204" t="s">
        <v>1197</v>
      </c>
      <c r="F83" s="204"/>
      <c r="G83" s="187" t="s">
        <v>1173</v>
      </c>
      <c r="H83" s="205">
        <f>1-TechData_R0!J32+1</f>
        <v>0.89999999999999991</v>
      </c>
      <c r="I83" s="205">
        <f>1-TechData_R0!K32+1</f>
        <v>0.99</v>
      </c>
      <c r="J83" s="205">
        <f t="shared" ref="J83:K83" si="114">I83</f>
        <v>0.99</v>
      </c>
      <c r="K83" s="205">
        <f t="shared" si="114"/>
        <v>0.99</v>
      </c>
      <c r="L83" s="205">
        <f t="shared" si="108"/>
        <v>0.99</v>
      </c>
      <c r="M83" s="205">
        <f t="shared" si="109"/>
        <v>0.99</v>
      </c>
      <c r="N83" s="205">
        <f t="shared" si="110"/>
        <v>0.99</v>
      </c>
      <c r="O83" s="205">
        <f t="shared" si="111"/>
        <v>0.99</v>
      </c>
      <c r="P83" s="205">
        <f t="shared" si="112"/>
        <v>0.99</v>
      </c>
      <c r="Q83" s="205">
        <f t="shared" si="113"/>
        <v>0.99</v>
      </c>
      <c r="R83" s="204">
        <v>1</v>
      </c>
      <c r="S83" s="204"/>
      <c r="T83" s="206">
        <v>5</v>
      </c>
      <c r="U83" s="207"/>
    </row>
    <row r="84" spans="1:21" x14ac:dyDescent="0.2">
      <c r="A84" s="187" t="s">
        <v>1248</v>
      </c>
      <c r="B84" s="203" t="str">
        <f>TechData_R0!B33</f>
        <v>MINNGAD4</v>
      </c>
      <c r="C84" s="203"/>
      <c r="D84" s="203"/>
      <c r="E84" s="204" t="s">
        <v>1197</v>
      </c>
      <c r="F84" s="204"/>
      <c r="G84" s="187" t="s">
        <v>1173</v>
      </c>
      <c r="H84" s="205">
        <f>1-TechData_R0!J33+1</f>
        <v>0.89999999999999991</v>
      </c>
      <c r="I84" s="205">
        <f>1-TechData_R0!K33+1</f>
        <v>0.99</v>
      </c>
      <c r="J84" s="205">
        <f t="shared" ref="J84:K84" si="115">I84</f>
        <v>0.99</v>
      </c>
      <c r="K84" s="205">
        <f t="shared" si="115"/>
        <v>0.99</v>
      </c>
      <c r="L84" s="205">
        <f t="shared" si="108"/>
        <v>0.99</v>
      </c>
      <c r="M84" s="205">
        <f t="shared" si="109"/>
        <v>0.99</v>
      </c>
      <c r="N84" s="205">
        <f t="shared" si="110"/>
        <v>0.99</v>
      </c>
      <c r="O84" s="205">
        <f t="shared" si="111"/>
        <v>0.99</v>
      </c>
      <c r="P84" s="205">
        <f t="shared" si="112"/>
        <v>0.99</v>
      </c>
      <c r="Q84" s="205">
        <f t="shared" si="113"/>
        <v>0.99</v>
      </c>
      <c r="R84" s="204">
        <v>1</v>
      </c>
      <c r="S84" s="204"/>
      <c r="T84" s="206">
        <v>5</v>
      </c>
      <c r="U84" s="207"/>
    </row>
    <row r="85" spans="1:21" x14ac:dyDescent="0.2">
      <c r="A85" s="187" t="s">
        <v>1249</v>
      </c>
      <c r="B85" s="203" t="str">
        <f>TechData_R0!B34</f>
        <v>MINNGAD5</v>
      </c>
      <c r="C85" s="203"/>
      <c r="D85" s="203"/>
      <c r="E85" s="204" t="s">
        <v>1197</v>
      </c>
      <c r="F85" s="204"/>
      <c r="G85" s="187" t="s">
        <v>1173</v>
      </c>
      <c r="H85" s="205">
        <f>1-TechData_R0!J34+1</f>
        <v>0.89999999999999991</v>
      </c>
      <c r="I85" s="205">
        <f>1-TechData_R0!K34+1</f>
        <v>0.99</v>
      </c>
      <c r="J85" s="205">
        <f t="shared" ref="J85:K85" si="116">I85</f>
        <v>0.99</v>
      </c>
      <c r="K85" s="205">
        <f t="shared" si="116"/>
        <v>0.99</v>
      </c>
      <c r="L85" s="205">
        <f t="shared" si="108"/>
        <v>0.99</v>
      </c>
      <c r="M85" s="205">
        <f t="shared" si="109"/>
        <v>0.99</v>
      </c>
      <c r="N85" s="205">
        <f t="shared" si="110"/>
        <v>0.99</v>
      </c>
      <c r="O85" s="205">
        <f t="shared" si="111"/>
        <v>0.99</v>
      </c>
      <c r="P85" s="205">
        <f t="shared" si="112"/>
        <v>0.99</v>
      </c>
      <c r="Q85" s="205">
        <f t="shared" si="113"/>
        <v>0.99</v>
      </c>
      <c r="R85" s="204">
        <v>1</v>
      </c>
      <c r="S85" s="204"/>
      <c r="T85" s="206">
        <v>5</v>
      </c>
      <c r="U85" s="207"/>
    </row>
    <row r="86" spans="1:21" x14ac:dyDescent="0.2">
      <c r="A86" s="187" t="s">
        <v>1250</v>
      </c>
      <c r="B86" s="203" t="str">
        <f>TechData_R0!B35</f>
        <v>MINNGAD6</v>
      </c>
      <c r="C86" s="203"/>
      <c r="D86" s="203"/>
      <c r="E86" s="204" t="s">
        <v>1197</v>
      </c>
      <c r="F86" s="204"/>
      <c r="G86" s="187" t="s">
        <v>1173</v>
      </c>
      <c r="H86" s="205">
        <f>1-TechData_R0!J35+1</f>
        <v>0.89999999999999991</v>
      </c>
      <c r="I86" s="205">
        <f>1-TechData_R0!K35+1</f>
        <v>0.99</v>
      </c>
      <c r="J86" s="205">
        <f t="shared" ref="J86:K86" si="117">I86</f>
        <v>0.99</v>
      </c>
      <c r="K86" s="205">
        <f t="shared" si="117"/>
        <v>0.99</v>
      </c>
      <c r="L86" s="205">
        <f t="shared" si="108"/>
        <v>0.99</v>
      </c>
      <c r="M86" s="205">
        <f t="shared" si="109"/>
        <v>0.99</v>
      </c>
      <c r="N86" s="205">
        <f t="shared" si="110"/>
        <v>0.99</v>
      </c>
      <c r="O86" s="205">
        <f t="shared" si="111"/>
        <v>0.99</v>
      </c>
      <c r="P86" s="205">
        <f t="shared" si="112"/>
        <v>0.99</v>
      </c>
      <c r="Q86" s="205">
        <f t="shared" si="113"/>
        <v>0.99</v>
      </c>
      <c r="R86" s="204">
        <v>1</v>
      </c>
      <c r="S86" s="204"/>
      <c r="T86" s="206">
        <v>5</v>
      </c>
      <c r="U86" s="207"/>
    </row>
    <row r="88" spans="1:21" s="198" customFormat="1" x14ac:dyDescent="0.2">
      <c r="A88" s="197" t="s">
        <v>1174</v>
      </c>
    </row>
    <row r="89" spans="1:21" x14ac:dyDescent="0.2">
      <c r="A89" s="199" t="s">
        <v>1251</v>
      </c>
    </row>
    <row r="90" spans="1:21" x14ac:dyDescent="0.2">
      <c r="A90" s="199" t="s">
        <v>1176</v>
      </c>
    </row>
    <row r="91" spans="1:21" x14ac:dyDescent="0.2">
      <c r="G91" s="199" t="s">
        <v>1177</v>
      </c>
    </row>
    <row r="92" spans="1:21" ht="13.5" thickBot="1" x14ac:dyDescent="0.25">
      <c r="A92" s="200" t="s">
        <v>1178</v>
      </c>
      <c r="B92" s="201" t="s">
        <v>1179</v>
      </c>
      <c r="C92" s="201" t="s">
        <v>1180</v>
      </c>
      <c r="D92" s="201" t="s">
        <v>1181</v>
      </c>
      <c r="E92" s="200" t="s">
        <v>1182</v>
      </c>
      <c r="F92" s="200" t="s">
        <v>137</v>
      </c>
      <c r="G92" s="200" t="s">
        <v>1079</v>
      </c>
      <c r="H92" s="200" t="s">
        <v>1183</v>
      </c>
      <c r="I92" s="200" t="s">
        <v>1184</v>
      </c>
      <c r="J92" s="200" t="s">
        <v>1185</v>
      </c>
      <c r="K92" s="200" t="s">
        <v>1186</v>
      </c>
      <c r="L92" s="200" t="s">
        <v>1187</v>
      </c>
      <c r="M92" s="200" t="s">
        <v>1188</v>
      </c>
      <c r="N92" s="200" t="s">
        <v>1189</v>
      </c>
      <c r="O92" s="200" t="s">
        <v>1190</v>
      </c>
      <c r="P92" s="200" t="s">
        <v>1191</v>
      </c>
      <c r="Q92" s="200" t="s">
        <v>1192</v>
      </c>
      <c r="R92" s="200" t="s">
        <v>1193</v>
      </c>
      <c r="S92" s="200" t="s">
        <v>1194</v>
      </c>
      <c r="T92" s="202" t="s">
        <v>1195</v>
      </c>
      <c r="U92" s="200" t="s">
        <v>1196</v>
      </c>
    </row>
    <row r="93" spans="1:21" x14ac:dyDescent="0.2">
      <c r="A93" s="187" t="s">
        <v>1252</v>
      </c>
      <c r="B93" s="203" t="str">
        <f>TechData_R0!B37</f>
        <v>MINNGAD1</v>
      </c>
      <c r="C93" s="203"/>
      <c r="D93" s="203"/>
      <c r="E93" s="204" t="s">
        <v>1197</v>
      </c>
      <c r="F93" s="204"/>
      <c r="G93" s="204" t="s">
        <v>1198</v>
      </c>
      <c r="H93" s="205">
        <f>TechData_R0!G37</f>
        <v>1.1000000000000001</v>
      </c>
      <c r="I93" s="205">
        <f>TechData_R0!H37</f>
        <v>1.05</v>
      </c>
      <c r="J93" s="205">
        <f t="shared" ref="J93" si="118">I93</f>
        <v>1.05</v>
      </c>
      <c r="K93" s="205">
        <f>TechData_R0!I37</f>
        <v>1.01</v>
      </c>
      <c r="L93" s="205">
        <f t="shared" ref="L93" si="119">K93</f>
        <v>1.01</v>
      </c>
      <c r="M93" s="205">
        <f t="shared" ref="M93" si="120">L93</f>
        <v>1.01</v>
      </c>
      <c r="N93" s="205">
        <f t="shared" ref="N93" si="121">M93</f>
        <v>1.01</v>
      </c>
      <c r="O93" s="205">
        <f t="shared" ref="O93" si="122">N93</f>
        <v>1.01</v>
      </c>
      <c r="P93" s="205">
        <f t="shared" ref="P93" si="123">O93</f>
        <v>1.01</v>
      </c>
      <c r="Q93" s="205">
        <f t="shared" ref="Q93" si="124">P93</f>
        <v>1.01</v>
      </c>
      <c r="R93" s="204">
        <f>MAX(1,TechData_R0!F37)</f>
        <v>1</v>
      </c>
      <c r="S93" s="204"/>
      <c r="T93" s="206">
        <v>5</v>
      </c>
      <c r="U93" s="207"/>
    </row>
    <row r="94" spans="1:21" x14ac:dyDescent="0.2">
      <c r="A94" s="187" t="s">
        <v>1253</v>
      </c>
      <c r="B94" s="203" t="str">
        <f>TechData_R0!B38</f>
        <v>MINNGAD2</v>
      </c>
      <c r="C94" s="203"/>
      <c r="D94" s="203"/>
      <c r="E94" s="204" t="s">
        <v>1197</v>
      </c>
      <c r="F94" s="204"/>
      <c r="G94" s="204" t="s">
        <v>1198</v>
      </c>
      <c r="H94" s="205">
        <f>TechData_R0!G38</f>
        <v>1.2</v>
      </c>
      <c r="I94" s="205">
        <f>TechData_R0!H38</f>
        <v>1.1000000000000001</v>
      </c>
      <c r="J94" s="205">
        <f t="shared" ref="J94:J98" si="125">I94</f>
        <v>1.1000000000000001</v>
      </c>
      <c r="K94" s="205">
        <f>TechData_R0!I38</f>
        <v>1.05</v>
      </c>
      <c r="L94" s="205">
        <f t="shared" ref="L94:L98" si="126">K94</f>
        <v>1.05</v>
      </c>
      <c r="M94" s="205">
        <f t="shared" ref="M94:M98" si="127">L94</f>
        <v>1.05</v>
      </c>
      <c r="N94" s="205">
        <f t="shared" ref="N94:N98" si="128">M94</f>
        <v>1.05</v>
      </c>
      <c r="O94" s="205">
        <f t="shared" ref="O94:O98" si="129">N94</f>
        <v>1.05</v>
      </c>
      <c r="P94" s="205">
        <f t="shared" ref="P94:P98" si="130">O94</f>
        <v>1.05</v>
      </c>
      <c r="Q94" s="205">
        <f t="shared" ref="Q94:Q98" si="131">P94</f>
        <v>1.05</v>
      </c>
      <c r="R94" s="204">
        <f>MAX(1,TechData_R0!F38)</f>
        <v>1</v>
      </c>
      <c r="S94" s="204"/>
      <c r="T94" s="206">
        <v>5</v>
      </c>
      <c r="U94" s="207"/>
    </row>
    <row r="95" spans="1:21" x14ac:dyDescent="0.2">
      <c r="A95" s="187" t="s">
        <v>1254</v>
      </c>
      <c r="B95" s="203" t="str">
        <f>TechData_R0!B39</f>
        <v>MINNGAD3</v>
      </c>
      <c r="C95" s="203"/>
      <c r="D95" s="203"/>
      <c r="E95" s="204" t="s">
        <v>1197</v>
      </c>
      <c r="F95" s="204"/>
      <c r="G95" s="204" t="s">
        <v>1198</v>
      </c>
      <c r="H95" s="205">
        <f>TechData_R0!G39</f>
        <v>1.1000000000000001</v>
      </c>
      <c r="I95" s="205">
        <f>TechData_R0!H39</f>
        <v>1.1000000000000001</v>
      </c>
      <c r="J95" s="205">
        <f t="shared" si="125"/>
        <v>1.1000000000000001</v>
      </c>
      <c r="K95" s="205">
        <f>TechData_R0!I39</f>
        <v>1.05</v>
      </c>
      <c r="L95" s="205">
        <f t="shared" si="126"/>
        <v>1.05</v>
      </c>
      <c r="M95" s="205">
        <f t="shared" si="127"/>
        <v>1.05</v>
      </c>
      <c r="N95" s="205">
        <f t="shared" si="128"/>
        <v>1.05</v>
      </c>
      <c r="O95" s="205">
        <f t="shared" si="129"/>
        <v>1.05</v>
      </c>
      <c r="P95" s="205">
        <f t="shared" si="130"/>
        <v>1.05</v>
      </c>
      <c r="Q95" s="205">
        <f t="shared" si="131"/>
        <v>1.05</v>
      </c>
      <c r="R95" s="204">
        <f>MAX(1,TechData_R0!F39)</f>
        <v>1</v>
      </c>
      <c r="S95" s="204"/>
      <c r="T95" s="206">
        <v>5</v>
      </c>
      <c r="U95" s="207"/>
    </row>
    <row r="96" spans="1:21" x14ac:dyDescent="0.2">
      <c r="A96" s="187" t="s">
        <v>1255</v>
      </c>
      <c r="B96" s="203" t="str">
        <f>TechData_R0!B40</f>
        <v>MINNGAD4</v>
      </c>
      <c r="C96" s="203"/>
      <c r="D96" s="203"/>
      <c r="E96" s="204" t="s">
        <v>1197</v>
      </c>
      <c r="F96" s="204"/>
      <c r="G96" s="204" t="s">
        <v>1198</v>
      </c>
      <c r="H96" s="205">
        <f>TechData_R0!G40</f>
        <v>1.1000000000000001</v>
      </c>
      <c r="I96" s="205">
        <f>TechData_R0!H40</f>
        <v>1.1000000000000001</v>
      </c>
      <c r="J96" s="205">
        <f t="shared" si="125"/>
        <v>1.1000000000000001</v>
      </c>
      <c r="K96" s="205">
        <f>TechData_R0!I40</f>
        <v>1.1000000000000001</v>
      </c>
      <c r="L96" s="205">
        <f t="shared" si="126"/>
        <v>1.1000000000000001</v>
      </c>
      <c r="M96" s="205">
        <f t="shared" si="127"/>
        <v>1.1000000000000001</v>
      </c>
      <c r="N96" s="205">
        <f t="shared" si="128"/>
        <v>1.1000000000000001</v>
      </c>
      <c r="O96" s="205">
        <f t="shared" si="129"/>
        <v>1.1000000000000001</v>
      </c>
      <c r="P96" s="205">
        <f t="shared" si="130"/>
        <v>1.1000000000000001</v>
      </c>
      <c r="Q96" s="205">
        <f t="shared" si="131"/>
        <v>1.1000000000000001</v>
      </c>
      <c r="R96" s="204">
        <f>MAX(1,TechData_R0!F40)</f>
        <v>1</v>
      </c>
      <c r="S96" s="204"/>
      <c r="T96" s="206">
        <v>5</v>
      </c>
      <c r="U96" s="207"/>
    </row>
    <row r="97" spans="1:21" x14ac:dyDescent="0.2">
      <c r="A97" s="187" t="s">
        <v>1256</v>
      </c>
      <c r="B97" s="203" t="str">
        <f>TechData_R0!B41</f>
        <v>MINNGAD5</v>
      </c>
      <c r="C97" s="203"/>
      <c r="D97" s="203"/>
      <c r="E97" s="204" t="s">
        <v>1197</v>
      </c>
      <c r="F97" s="204"/>
      <c r="G97" s="204" t="s">
        <v>1198</v>
      </c>
      <c r="H97" s="205">
        <f>TechData_R0!G41</f>
        <v>1.01</v>
      </c>
      <c r="I97" s="205">
        <f>TechData_R0!H41</f>
        <v>1.01</v>
      </c>
      <c r="J97" s="205">
        <f t="shared" si="125"/>
        <v>1.01</v>
      </c>
      <c r="K97" s="205">
        <f>TechData_R0!I41</f>
        <v>1.01</v>
      </c>
      <c r="L97" s="205">
        <f t="shared" si="126"/>
        <v>1.01</v>
      </c>
      <c r="M97" s="205">
        <f t="shared" si="127"/>
        <v>1.01</v>
      </c>
      <c r="N97" s="205">
        <f t="shared" si="128"/>
        <v>1.01</v>
      </c>
      <c r="O97" s="205">
        <f t="shared" si="129"/>
        <v>1.01</v>
      </c>
      <c r="P97" s="205">
        <f t="shared" si="130"/>
        <v>1.01</v>
      </c>
      <c r="Q97" s="205">
        <f t="shared" si="131"/>
        <v>1.01</v>
      </c>
      <c r="R97" s="204">
        <f>MAX(1,TechData_R0!F41)</f>
        <v>1</v>
      </c>
      <c r="S97" s="204"/>
      <c r="T97" s="206">
        <v>5</v>
      </c>
      <c r="U97" s="207"/>
    </row>
    <row r="98" spans="1:21" x14ac:dyDescent="0.2">
      <c r="A98" s="187" t="s">
        <v>1257</v>
      </c>
      <c r="B98" s="203" t="str">
        <f>TechData_R0!B42</f>
        <v>MINNGAD6</v>
      </c>
      <c r="C98" s="203"/>
      <c r="D98" s="203"/>
      <c r="E98" s="204" t="s">
        <v>1197</v>
      </c>
      <c r="F98" s="204"/>
      <c r="G98" s="204" t="s">
        <v>1198</v>
      </c>
      <c r="H98" s="205">
        <f>TechData_R0!G42</f>
        <v>1.01</v>
      </c>
      <c r="I98" s="205">
        <f>TechData_R0!H42</f>
        <v>1.01</v>
      </c>
      <c r="J98" s="205">
        <f t="shared" si="125"/>
        <v>1.01</v>
      </c>
      <c r="K98" s="205">
        <f>TechData_R0!I42</f>
        <v>1.01</v>
      </c>
      <c r="L98" s="205">
        <f t="shared" si="126"/>
        <v>1.01</v>
      </c>
      <c r="M98" s="205">
        <f t="shared" si="127"/>
        <v>1.01</v>
      </c>
      <c r="N98" s="205">
        <f t="shared" si="128"/>
        <v>1.01</v>
      </c>
      <c r="O98" s="205">
        <f t="shared" si="129"/>
        <v>1.01</v>
      </c>
      <c r="P98" s="205">
        <f t="shared" si="130"/>
        <v>1.01</v>
      </c>
      <c r="Q98" s="205">
        <f t="shared" si="131"/>
        <v>1.01</v>
      </c>
      <c r="R98" s="204">
        <f>MAX(1,TechData_R0!F42)</f>
        <v>1</v>
      </c>
      <c r="S98" s="204"/>
      <c r="T98" s="206">
        <v>5</v>
      </c>
      <c r="U98" s="207"/>
    </row>
    <row r="100" spans="1:21" x14ac:dyDescent="0.2">
      <c r="G100" s="199" t="s">
        <v>1177</v>
      </c>
    </row>
    <row r="101" spans="1:21" ht="13.5" thickBot="1" x14ac:dyDescent="0.25">
      <c r="A101" s="200" t="s">
        <v>1178</v>
      </c>
      <c r="B101" s="201" t="s">
        <v>1179</v>
      </c>
      <c r="C101" s="201" t="s">
        <v>1180</v>
      </c>
      <c r="D101" s="201" t="s">
        <v>1181</v>
      </c>
      <c r="E101" s="200" t="s">
        <v>1182</v>
      </c>
      <c r="F101" s="200" t="s">
        <v>137</v>
      </c>
      <c r="G101" s="200" t="s">
        <v>1079</v>
      </c>
      <c r="H101" s="200" t="s">
        <v>1183</v>
      </c>
      <c r="I101" s="200" t="s">
        <v>1184</v>
      </c>
      <c r="J101" s="200" t="s">
        <v>1185</v>
      </c>
      <c r="K101" s="200" t="s">
        <v>1186</v>
      </c>
      <c r="L101" s="200" t="s">
        <v>1187</v>
      </c>
      <c r="M101" s="200" t="s">
        <v>1188</v>
      </c>
      <c r="N101" s="200" t="s">
        <v>1189</v>
      </c>
      <c r="O101" s="200" t="s">
        <v>1190</v>
      </c>
      <c r="P101" s="200" t="s">
        <v>1191</v>
      </c>
      <c r="Q101" s="200" t="s">
        <v>1192</v>
      </c>
      <c r="R101" s="200" t="s">
        <v>1193</v>
      </c>
      <c r="S101" s="200" t="s">
        <v>1194</v>
      </c>
      <c r="T101" s="202" t="s">
        <v>1195</v>
      </c>
      <c r="U101" s="200" t="s">
        <v>1196</v>
      </c>
    </row>
    <row r="102" spans="1:21" x14ac:dyDescent="0.2">
      <c r="A102" s="187" t="s">
        <v>1258</v>
      </c>
      <c r="B102" s="203" t="str">
        <f>TechData_R0!B37</f>
        <v>MINNGAD1</v>
      </c>
      <c r="C102" s="203"/>
      <c r="D102" s="203"/>
      <c r="E102" s="204" t="s">
        <v>1197</v>
      </c>
      <c r="F102" s="204"/>
      <c r="G102" s="187" t="s">
        <v>1173</v>
      </c>
      <c r="H102" s="205">
        <f>1-TechData_R0!J37+1</f>
        <v>0.89999999999999991</v>
      </c>
      <c r="I102" s="205">
        <f>1-TechData_R0!K37+1</f>
        <v>0.99</v>
      </c>
      <c r="J102" s="205">
        <f>I102</f>
        <v>0.99</v>
      </c>
      <c r="K102" s="205">
        <f>J102</f>
        <v>0.99</v>
      </c>
      <c r="L102" s="205">
        <f t="shared" ref="L102" si="132">K102</f>
        <v>0.99</v>
      </c>
      <c r="M102" s="205">
        <f t="shared" ref="M102" si="133">L102</f>
        <v>0.99</v>
      </c>
      <c r="N102" s="205">
        <f t="shared" ref="N102" si="134">M102</f>
        <v>0.99</v>
      </c>
      <c r="O102" s="205">
        <f t="shared" ref="O102" si="135">N102</f>
        <v>0.99</v>
      </c>
      <c r="P102" s="205">
        <f t="shared" ref="P102" si="136">O102</f>
        <v>0.99</v>
      </c>
      <c r="Q102" s="205">
        <f t="shared" ref="Q102" si="137">P102</f>
        <v>0.99</v>
      </c>
      <c r="R102" s="204">
        <v>1</v>
      </c>
      <c r="S102" s="204"/>
      <c r="T102" s="206">
        <v>5</v>
      </c>
      <c r="U102" s="207"/>
    </row>
    <row r="103" spans="1:21" x14ac:dyDescent="0.2">
      <c r="A103" s="187" t="s">
        <v>1259</v>
      </c>
      <c r="B103" s="203" t="str">
        <f>TechData_R0!B38</f>
        <v>MINNGAD2</v>
      </c>
      <c r="C103" s="203"/>
      <c r="D103" s="203"/>
      <c r="E103" s="204" t="s">
        <v>1197</v>
      </c>
      <c r="F103" s="204"/>
      <c r="G103" s="187" t="s">
        <v>1173</v>
      </c>
      <c r="H103" s="205">
        <f>1-TechData_R0!J38+1</f>
        <v>0.89999999999999991</v>
      </c>
      <c r="I103" s="205">
        <f>1-TechData_R0!K38+1</f>
        <v>0.99</v>
      </c>
      <c r="J103" s="205">
        <f t="shared" ref="J103:K103" si="138">I103</f>
        <v>0.99</v>
      </c>
      <c r="K103" s="205">
        <f t="shared" si="138"/>
        <v>0.99</v>
      </c>
      <c r="L103" s="205">
        <f t="shared" ref="L103:L107" si="139">K103</f>
        <v>0.99</v>
      </c>
      <c r="M103" s="205">
        <f t="shared" ref="M103:M107" si="140">L103</f>
        <v>0.99</v>
      </c>
      <c r="N103" s="205">
        <f t="shared" ref="N103:N107" si="141">M103</f>
        <v>0.99</v>
      </c>
      <c r="O103" s="205">
        <f t="shared" ref="O103:O107" si="142">N103</f>
        <v>0.99</v>
      </c>
      <c r="P103" s="205">
        <f t="shared" ref="P103:P107" si="143">O103</f>
        <v>0.99</v>
      </c>
      <c r="Q103" s="205">
        <f t="shared" ref="Q103:Q107" si="144">P103</f>
        <v>0.99</v>
      </c>
      <c r="R103" s="204">
        <v>1</v>
      </c>
      <c r="S103" s="204"/>
      <c r="T103" s="206">
        <v>5</v>
      </c>
      <c r="U103" s="207"/>
    </row>
    <row r="104" spans="1:21" x14ac:dyDescent="0.2">
      <c r="A104" s="187" t="s">
        <v>1260</v>
      </c>
      <c r="B104" s="203" t="str">
        <f>TechData_R0!B39</f>
        <v>MINNGAD3</v>
      </c>
      <c r="C104" s="203"/>
      <c r="D104" s="203"/>
      <c r="E104" s="204" t="s">
        <v>1197</v>
      </c>
      <c r="F104" s="204"/>
      <c r="G104" s="187" t="s">
        <v>1173</v>
      </c>
      <c r="H104" s="205">
        <f>1-TechData_R0!J39+1</f>
        <v>0.89999999999999991</v>
      </c>
      <c r="I104" s="205">
        <f>1-TechData_R0!K39+1</f>
        <v>0.99</v>
      </c>
      <c r="J104" s="205">
        <f t="shared" ref="J104:K104" si="145">I104</f>
        <v>0.99</v>
      </c>
      <c r="K104" s="205">
        <f t="shared" si="145"/>
        <v>0.99</v>
      </c>
      <c r="L104" s="205">
        <f t="shared" si="139"/>
        <v>0.99</v>
      </c>
      <c r="M104" s="205">
        <f t="shared" si="140"/>
        <v>0.99</v>
      </c>
      <c r="N104" s="205">
        <f t="shared" si="141"/>
        <v>0.99</v>
      </c>
      <c r="O104" s="205">
        <f t="shared" si="142"/>
        <v>0.99</v>
      </c>
      <c r="P104" s="205">
        <f t="shared" si="143"/>
        <v>0.99</v>
      </c>
      <c r="Q104" s="205">
        <f t="shared" si="144"/>
        <v>0.99</v>
      </c>
      <c r="R104" s="204">
        <v>1</v>
      </c>
      <c r="S104" s="204"/>
      <c r="T104" s="206">
        <v>5</v>
      </c>
      <c r="U104" s="207"/>
    </row>
    <row r="105" spans="1:21" x14ac:dyDescent="0.2">
      <c r="A105" s="187" t="s">
        <v>1261</v>
      </c>
      <c r="B105" s="203" t="str">
        <f>TechData_R0!B40</f>
        <v>MINNGAD4</v>
      </c>
      <c r="C105" s="203"/>
      <c r="D105" s="203"/>
      <c r="E105" s="204" t="s">
        <v>1197</v>
      </c>
      <c r="F105" s="204"/>
      <c r="G105" s="187" t="s">
        <v>1173</v>
      </c>
      <c r="H105" s="205">
        <f>1-TechData_R0!J40+1</f>
        <v>0.89999999999999991</v>
      </c>
      <c r="I105" s="205">
        <f>1-TechData_R0!K40+1</f>
        <v>0.99</v>
      </c>
      <c r="J105" s="205">
        <f t="shared" ref="J105:K105" si="146">I105</f>
        <v>0.99</v>
      </c>
      <c r="K105" s="205">
        <f t="shared" si="146"/>
        <v>0.99</v>
      </c>
      <c r="L105" s="205">
        <f t="shared" si="139"/>
        <v>0.99</v>
      </c>
      <c r="M105" s="205">
        <f t="shared" si="140"/>
        <v>0.99</v>
      </c>
      <c r="N105" s="205">
        <f t="shared" si="141"/>
        <v>0.99</v>
      </c>
      <c r="O105" s="205">
        <f t="shared" si="142"/>
        <v>0.99</v>
      </c>
      <c r="P105" s="205">
        <f t="shared" si="143"/>
        <v>0.99</v>
      </c>
      <c r="Q105" s="205">
        <f t="shared" si="144"/>
        <v>0.99</v>
      </c>
      <c r="R105" s="204">
        <v>1</v>
      </c>
      <c r="S105" s="204"/>
      <c r="T105" s="206">
        <v>5</v>
      </c>
      <c r="U105" s="207"/>
    </row>
    <row r="106" spans="1:21" x14ac:dyDescent="0.2">
      <c r="A106" s="187" t="s">
        <v>1262</v>
      </c>
      <c r="B106" s="203" t="str">
        <f>TechData_R0!B41</f>
        <v>MINNGAD5</v>
      </c>
      <c r="C106" s="203"/>
      <c r="D106" s="203"/>
      <c r="E106" s="204" t="s">
        <v>1197</v>
      </c>
      <c r="F106" s="204"/>
      <c r="G106" s="187" t="s">
        <v>1173</v>
      </c>
      <c r="H106" s="205">
        <f>1-TechData_R0!J41+1</f>
        <v>0.89999999999999991</v>
      </c>
      <c r="I106" s="205">
        <f>1-TechData_R0!K41+1</f>
        <v>0.99</v>
      </c>
      <c r="J106" s="205">
        <f t="shared" ref="J106:K106" si="147">I106</f>
        <v>0.99</v>
      </c>
      <c r="K106" s="205">
        <f t="shared" si="147"/>
        <v>0.99</v>
      </c>
      <c r="L106" s="205">
        <f t="shared" si="139"/>
        <v>0.99</v>
      </c>
      <c r="M106" s="205">
        <f t="shared" si="140"/>
        <v>0.99</v>
      </c>
      <c r="N106" s="205">
        <f t="shared" si="141"/>
        <v>0.99</v>
      </c>
      <c r="O106" s="205">
        <f t="shared" si="142"/>
        <v>0.99</v>
      </c>
      <c r="P106" s="205">
        <f t="shared" si="143"/>
        <v>0.99</v>
      </c>
      <c r="Q106" s="205">
        <f t="shared" si="144"/>
        <v>0.99</v>
      </c>
      <c r="R106" s="204">
        <v>1</v>
      </c>
      <c r="S106" s="204"/>
      <c r="T106" s="206">
        <v>5</v>
      </c>
      <c r="U106" s="207"/>
    </row>
    <row r="107" spans="1:21" x14ac:dyDescent="0.2">
      <c r="A107" s="187" t="s">
        <v>1263</v>
      </c>
      <c r="B107" s="203" t="str">
        <f>TechData_R0!B42</f>
        <v>MINNGAD6</v>
      </c>
      <c r="C107" s="203"/>
      <c r="D107" s="203"/>
      <c r="E107" s="204" t="s">
        <v>1197</v>
      </c>
      <c r="F107" s="204"/>
      <c r="G107" s="187" t="s">
        <v>1173</v>
      </c>
      <c r="H107" s="205">
        <f>1-TechData_R0!J42+1</f>
        <v>0.89999999999999991</v>
      </c>
      <c r="I107" s="205">
        <f>1-TechData_R0!K42+1</f>
        <v>0.99</v>
      </c>
      <c r="J107" s="205">
        <f t="shared" ref="J107:K107" si="148">I107</f>
        <v>0.99</v>
      </c>
      <c r="K107" s="205">
        <f t="shared" si="148"/>
        <v>0.99</v>
      </c>
      <c r="L107" s="205">
        <f t="shared" si="139"/>
        <v>0.99</v>
      </c>
      <c r="M107" s="205">
        <f t="shared" si="140"/>
        <v>0.99</v>
      </c>
      <c r="N107" s="205">
        <f t="shared" si="141"/>
        <v>0.99</v>
      </c>
      <c r="O107" s="205">
        <f t="shared" si="142"/>
        <v>0.99</v>
      </c>
      <c r="P107" s="205">
        <f t="shared" si="143"/>
        <v>0.99</v>
      </c>
      <c r="Q107" s="205">
        <f t="shared" si="144"/>
        <v>0.99</v>
      </c>
      <c r="R107" s="204">
        <v>1</v>
      </c>
      <c r="S107" s="204"/>
      <c r="T107" s="206">
        <v>5</v>
      </c>
      <c r="U107" s="207"/>
    </row>
    <row r="110" spans="1:21" s="198" customFormat="1" x14ac:dyDescent="0.2">
      <c r="A110" s="197" t="s">
        <v>1174</v>
      </c>
    </row>
    <row r="111" spans="1:21" x14ac:dyDescent="0.2">
      <c r="A111" s="199" t="s">
        <v>1175</v>
      </c>
    </row>
    <row r="112" spans="1:21" x14ac:dyDescent="0.2">
      <c r="A112" s="199" t="s">
        <v>1176</v>
      </c>
    </row>
    <row r="113" spans="1:21" x14ac:dyDescent="0.2">
      <c r="G113" s="199" t="s">
        <v>1177</v>
      </c>
    </row>
    <row r="114" spans="1:21" ht="13.5" thickBot="1" x14ac:dyDescent="0.25">
      <c r="A114" s="200" t="s">
        <v>1178</v>
      </c>
      <c r="B114" s="201" t="s">
        <v>1179</v>
      </c>
      <c r="C114" s="201" t="s">
        <v>1180</v>
      </c>
      <c r="D114" s="201" t="s">
        <v>1181</v>
      </c>
      <c r="E114" s="200" t="s">
        <v>1182</v>
      </c>
      <c r="F114" s="200" t="s">
        <v>137</v>
      </c>
      <c r="G114" s="200" t="s">
        <v>1079</v>
      </c>
      <c r="H114" s="200" t="s">
        <v>1183</v>
      </c>
      <c r="I114" s="200" t="s">
        <v>1184</v>
      </c>
      <c r="J114" s="200" t="s">
        <v>1185</v>
      </c>
      <c r="K114" s="200" t="s">
        <v>1186</v>
      </c>
      <c r="L114" s="200" t="s">
        <v>1187</v>
      </c>
      <c r="M114" s="200" t="s">
        <v>1188</v>
      </c>
      <c r="N114" s="200" t="s">
        <v>1189</v>
      </c>
      <c r="O114" s="200" t="s">
        <v>1190</v>
      </c>
      <c r="P114" s="200" t="s">
        <v>1191</v>
      </c>
      <c r="Q114" s="200" t="s">
        <v>1192</v>
      </c>
      <c r="R114" s="200" t="s">
        <v>1193</v>
      </c>
      <c r="S114" s="200" t="s">
        <v>1194</v>
      </c>
      <c r="T114" s="202" t="s">
        <v>1195</v>
      </c>
      <c r="U114" s="200" t="s">
        <v>1196</v>
      </c>
    </row>
    <row r="115" spans="1:21" x14ac:dyDescent="0.2">
      <c r="A115" s="187" t="s">
        <v>1264</v>
      </c>
      <c r="B115" s="203" t="str">
        <f>TechData_R0!B66</f>
        <v>IMPNGAC1</v>
      </c>
      <c r="C115" s="203"/>
      <c r="D115" s="203"/>
      <c r="E115" s="204" t="s">
        <v>1197</v>
      </c>
      <c r="F115" s="204"/>
      <c r="G115" s="204" t="s">
        <v>1198</v>
      </c>
      <c r="H115" s="205">
        <f>TechData_R0!G66</f>
        <v>1.0049999999999999</v>
      </c>
      <c r="I115" s="205">
        <f>TechData_R0!H66</f>
        <v>1.0049999999999999</v>
      </c>
      <c r="J115" s="205">
        <f t="shared" ref="J115" si="149">I115</f>
        <v>1.0049999999999999</v>
      </c>
      <c r="K115" s="205">
        <f>TechData_R0!I66</f>
        <v>1.0049999999999999</v>
      </c>
      <c r="L115" s="205">
        <f t="shared" ref="L115" si="150">K115</f>
        <v>1.0049999999999999</v>
      </c>
      <c r="M115" s="205">
        <f t="shared" ref="M115" si="151">L115</f>
        <v>1.0049999999999999</v>
      </c>
      <c r="N115" s="205">
        <f t="shared" ref="N115" si="152">M115</f>
        <v>1.0049999999999999</v>
      </c>
      <c r="O115" s="205">
        <f t="shared" ref="O115" si="153">N115</f>
        <v>1.0049999999999999</v>
      </c>
      <c r="P115" s="205">
        <f t="shared" ref="P115" si="154">O115</f>
        <v>1.0049999999999999</v>
      </c>
      <c r="Q115" s="205">
        <f t="shared" ref="Q115" si="155">P115</f>
        <v>1.0049999999999999</v>
      </c>
      <c r="R115" s="204">
        <v>1</v>
      </c>
      <c r="S115" s="204"/>
      <c r="T115" s="206">
        <v>5</v>
      </c>
      <c r="U115" s="207"/>
    </row>
    <row r="116" spans="1:21" x14ac:dyDescent="0.2">
      <c r="A116" s="187" t="s">
        <v>1265</v>
      </c>
      <c r="B116" s="203" t="str">
        <f>TechData_R0!B67</f>
        <v>IMPNGAC2</v>
      </c>
      <c r="C116" s="203"/>
      <c r="D116" s="203"/>
      <c r="E116" s="204" t="s">
        <v>1197</v>
      </c>
      <c r="F116" s="204"/>
      <c r="G116" s="204" t="s">
        <v>1198</v>
      </c>
      <c r="H116" s="205">
        <f>TechData_R0!G67</f>
        <v>1.0049999999999999</v>
      </c>
      <c r="I116" s="205">
        <f>TechData_R0!H67</f>
        <v>1.0049999999999999</v>
      </c>
      <c r="J116" s="205">
        <f t="shared" ref="J116:J120" si="156">I116</f>
        <v>1.0049999999999999</v>
      </c>
      <c r="K116" s="205">
        <f>TechData_R0!I67</f>
        <v>1.0049999999999999</v>
      </c>
      <c r="L116" s="205">
        <f t="shared" ref="L116:L120" si="157">K116</f>
        <v>1.0049999999999999</v>
      </c>
      <c r="M116" s="205">
        <f t="shared" ref="M116:M120" si="158">L116</f>
        <v>1.0049999999999999</v>
      </c>
      <c r="N116" s="205">
        <f t="shared" ref="N116:N120" si="159">M116</f>
        <v>1.0049999999999999</v>
      </c>
      <c r="O116" s="205">
        <f t="shared" ref="O116:O120" si="160">N116</f>
        <v>1.0049999999999999</v>
      </c>
      <c r="P116" s="205">
        <f t="shared" ref="P116:P120" si="161">O116</f>
        <v>1.0049999999999999</v>
      </c>
      <c r="Q116" s="205">
        <f t="shared" ref="Q116:Q120" si="162">P116</f>
        <v>1.0049999999999999</v>
      </c>
      <c r="R116" s="204">
        <v>1</v>
      </c>
      <c r="S116" s="204"/>
      <c r="T116" s="206">
        <v>5</v>
      </c>
      <c r="U116" s="207"/>
    </row>
    <row r="117" spans="1:21" x14ac:dyDescent="0.2">
      <c r="A117" s="187" t="s">
        <v>1266</v>
      </c>
      <c r="B117" s="203" t="str">
        <f>TechData_R0!B68</f>
        <v>IMPNGAC3</v>
      </c>
      <c r="C117" s="203"/>
      <c r="D117" s="203"/>
      <c r="E117" s="204" t="s">
        <v>1197</v>
      </c>
      <c r="F117" s="204"/>
      <c r="G117" s="204" t="s">
        <v>1198</v>
      </c>
      <c r="H117" s="205">
        <f>TechData_R0!G68</f>
        <v>1.0049999999999999</v>
      </c>
      <c r="I117" s="205">
        <f>TechData_R0!H68</f>
        <v>1.0049999999999999</v>
      </c>
      <c r="J117" s="205">
        <f t="shared" si="156"/>
        <v>1.0049999999999999</v>
      </c>
      <c r="K117" s="205">
        <f>TechData_R0!I68</f>
        <v>1.0049999999999999</v>
      </c>
      <c r="L117" s="205">
        <f t="shared" si="157"/>
        <v>1.0049999999999999</v>
      </c>
      <c r="M117" s="205">
        <f t="shared" si="158"/>
        <v>1.0049999999999999</v>
      </c>
      <c r="N117" s="205">
        <f t="shared" si="159"/>
        <v>1.0049999999999999</v>
      </c>
      <c r="O117" s="205">
        <f t="shared" si="160"/>
        <v>1.0049999999999999</v>
      </c>
      <c r="P117" s="205">
        <f t="shared" si="161"/>
        <v>1.0049999999999999</v>
      </c>
      <c r="Q117" s="205">
        <f t="shared" si="162"/>
        <v>1.0049999999999999</v>
      </c>
      <c r="R117" s="204">
        <v>1</v>
      </c>
      <c r="S117" s="204"/>
      <c r="T117" s="206">
        <v>5</v>
      </c>
      <c r="U117" s="207"/>
    </row>
    <row r="118" spans="1:21" x14ac:dyDescent="0.2">
      <c r="A118" s="187" t="s">
        <v>1267</v>
      </c>
      <c r="B118" s="203" t="str">
        <f>TechData_R0!B69</f>
        <v>IMPNGAC4</v>
      </c>
      <c r="C118" s="203"/>
      <c r="D118" s="203"/>
      <c r="E118" s="204" t="s">
        <v>1197</v>
      </c>
      <c r="F118" s="204"/>
      <c r="G118" s="204" t="s">
        <v>1198</v>
      </c>
      <c r="H118" s="205">
        <f>TechData_R0!G69</f>
        <v>1.0049999999999999</v>
      </c>
      <c r="I118" s="205">
        <f>TechData_R0!H69</f>
        <v>1.0049999999999999</v>
      </c>
      <c r="J118" s="205">
        <f t="shared" si="156"/>
        <v>1.0049999999999999</v>
      </c>
      <c r="K118" s="205">
        <f>TechData_R0!I69</f>
        <v>1.0049999999999999</v>
      </c>
      <c r="L118" s="205">
        <f t="shared" si="157"/>
        <v>1.0049999999999999</v>
      </c>
      <c r="M118" s="205">
        <f t="shared" si="158"/>
        <v>1.0049999999999999</v>
      </c>
      <c r="N118" s="205">
        <f t="shared" si="159"/>
        <v>1.0049999999999999</v>
      </c>
      <c r="O118" s="205">
        <f t="shared" si="160"/>
        <v>1.0049999999999999</v>
      </c>
      <c r="P118" s="205">
        <f t="shared" si="161"/>
        <v>1.0049999999999999</v>
      </c>
      <c r="Q118" s="205">
        <f t="shared" si="162"/>
        <v>1.0049999999999999</v>
      </c>
      <c r="R118" s="204">
        <v>1</v>
      </c>
      <c r="S118" s="204"/>
      <c r="T118" s="206"/>
      <c r="U118" s="207"/>
    </row>
    <row r="119" spans="1:21" x14ac:dyDescent="0.2">
      <c r="A119" s="187" t="s">
        <v>1268</v>
      </c>
      <c r="B119" s="203" t="str">
        <f>TechData_R0!B70</f>
        <v>IMPNGAC5</v>
      </c>
      <c r="C119" s="203"/>
      <c r="D119" s="203"/>
      <c r="E119" s="204" t="s">
        <v>1197</v>
      </c>
      <c r="F119" s="204"/>
      <c r="G119" s="204" t="s">
        <v>1198</v>
      </c>
      <c r="H119" s="205">
        <f>TechData_R0!G70</f>
        <v>1.0049999999999999</v>
      </c>
      <c r="I119" s="205">
        <f>TechData_R0!H70</f>
        <v>1.0049999999999999</v>
      </c>
      <c r="J119" s="205">
        <f t="shared" si="156"/>
        <v>1.0049999999999999</v>
      </c>
      <c r="K119" s="205">
        <f>TechData_R0!I70</f>
        <v>1.0049999999999999</v>
      </c>
      <c r="L119" s="205">
        <f t="shared" si="157"/>
        <v>1.0049999999999999</v>
      </c>
      <c r="M119" s="205">
        <f t="shared" si="158"/>
        <v>1.0049999999999999</v>
      </c>
      <c r="N119" s="205">
        <f t="shared" si="159"/>
        <v>1.0049999999999999</v>
      </c>
      <c r="O119" s="205">
        <f t="shared" si="160"/>
        <v>1.0049999999999999</v>
      </c>
      <c r="P119" s="205">
        <f t="shared" si="161"/>
        <v>1.0049999999999999</v>
      </c>
      <c r="Q119" s="205">
        <f t="shared" si="162"/>
        <v>1.0049999999999999</v>
      </c>
      <c r="R119" s="204">
        <v>1</v>
      </c>
      <c r="S119" s="204"/>
      <c r="T119" s="206"/>
      <c r="U119" s="207"/>
    </row>
    <row r="120" spans="1:21" x14ac:dyDescent="0.2">
      <c r="A120" s="187" t="s">
        <v>1269</v>
      </c>
      <c r="B120" s="203" t="str">
        <f>TechData_R0!B71</f>
        <v>IMPNGAC6</v>
      </c>
      <c r="C120" s="203"/>
      <c r="D120" s="203"/>
      <c r="E120" s="204" t="s">
        <v>1197</v>
      </c>
      <c r="F120" s="204"/>
      <c r="G120" s="204" t="s">
        <v>1198</v>
      </c>
      <c r="H120" s="205">
        <f>TechData_R0!G71</f>
        <v>1.0049999999999999</v>
      </c>
      <c r="I120" s="205">
        <f>TechData_R0!H71</f>
        <v>1.0049999999999999</v>
      </c>
      <c r="J120" s="205">
        <f t="shared" si="156"/>
        <v>1.0049999999999999</v>
      </c>
      <c r="K120" s="205">
        <f>TechData_R0!I71</f>
        <v>1.0049999999999999</v>
      </c>
      <c r="L120" s="205">
        <f t="shared" si="157"/>
        <v>1.0049999999999999</v>
      </c>
      <c r="M120" s="205">
        <f t="shared" si="158"/>
        <v>1.0049999999999999</v>
      </c>
      <c r="N120" s="205">
        <f t="shared" si="159"/>
        <v>1.0049999999999999</v>
      </c>
      <c r="O120" s="205">
        <f t="shared" si="160"/>
        <v>1.0049999999999999</v>
      </c>
      <c r="P120" s="205">
        <f t="shared" si="161"/>
        <v>1.0049999999999999</v>
      </c>
      <c r="Q120" s="205">
        <f t="shared" si="162"/>
        <v>1.0049999999999999</v>
      </c>
      <c r="R120" s="204">
        <v>1</v>
      </c>
      <c r="S120" s="204"/>
      <c r="T120" s="206"/>
      <c r="U120" s="207"/>
    </row>
    <row r="122" spans="1:21" x14ac:dyDescent="0.2">
      <c r="G122" s="199" t="s">
        <v>1177</v>
      </c>
    </row>
    <row r="123" spans="1:21" ht="13.5" thickBot="1" x14ac:dyDescent="0.25">
      <c r="A123" s="200" t="s">
        <v>1178</v>
      </c>
      <c r="B123" s="201" t="s">
        <v>1179</v>
      </c>
      <c r="C123" s="201" t="s">
        <v>1180</v>
      </c>
      <c r="D123" s="201" t="s">
        <v>1181</v>
      </c>
      <c r="E123" s="200" t="s">
        <v>1182</v>
      </c>
      <c r="F123" s="200" t="s">
        <v>137</v>
      </c>
      <c r="G123" s="200" t="s">
        <v>1079</v>
      </c>
      <c r="H123" s="200" t="s">
        <v>1183</v>
      </c>
      <c r="I123" s="200" t="s">
        <v>1184</v>
      </c>
      <c r="J123" s="200" t="s">
        <v>1185</v>
      </c>
      <c r="K123" s="200" t="s">
        <v>1186</v>
      </c>
      <c r="L123" s="200" t="s">
        <v>1187</v>
      </c>
      <c r="M123" s="200" t="s">
        <v>1188</v>
      </c>
      <c r="N123" s="200" t="s">
        <v>1189</v>
      </c>
      <c r="O123" s="200" t="s">
        <v>1190</v>
      </c>
      <c r="P123" s="200" t="s">
        <v>1191</v>
      </c>
      <c r="Q123" s="200" t="s">
        <v>1192</v>
      </c>
      <c r="R123" s="200" t="s">
        <v>1193</v>
      </c>
      <c r="S123" s="200" t="s">
        <v>1194</v>
      </c>
      <c r="T123" s="202" t="s">
        <v>1195</v>
      </c>
      <c r="U123" s="200" t="s">
        <v>1196</v>
      </c>
    </row>
    <row r="124" spans="1:21" x14ac:dyDescent="0.2">
      <c r="A124" s="187" t="s">
        <v>1270</v>
      </c>
      <c r="B124" s="203" t="str">
        <f>TechData_R0!B66</f>
        <v>IMPNGAC1</v>
      </c>
      <c r="C124" s="203"/>
      <c r="D124" s="203"/>
      <c r="E124" s="204" t="s">
        <v>1197</v>
      </c>
      <c r="F124" s="204"/>
      <c r="G124" s="187" t="s">
        <v>1173</v>
      </c>
      <c r="H124" s="205">
        <f>1-TechData_R0!J66+1</f>
        <v>0.75</v>
      </c>
      <c r="I124" s="205">
        <f>1-TechData_R0!K66+1</f>
        <v>0.75</v>
      </c>
      <c r="J124" s="205">
        <f t="shared" ref="J124:K124" si="163">I124</f>
        <v>0.75</v>
      </c>
      <c r="K124" s="205">
        <f t="shared" si="163"/>
        <v>0.75</v>
      </c>
      <c r="L124" s="205">
        <f t="shared" ref="L124" si="164">K124</f>
        <v>0.75</v>
      </c>
      <c r="M124" s="205">
        <f t="shared" ref="M124" si="165">L124</f>
        <v>0.75</v>
      </c>
      <c r="N124" s="205">
        <f t="shared" ref="N124" si="166">M124</f>
        <v>0.75</v>
      </c>
      <c r="O124" s="205">
        <f t="shared" ref="O124" si="167">N124</f>
        <v>0.75</v>
      </c>
      <c r="P124" s="205">
        <f t="shared" ref="P124" si="168">O124</f>
        <v>0.75</v>
      </c>
      <c r="Q124" s="205">
        <f t="shared" ref="Q124" si="169">P124</f>
        <v>0.75</v>
      </c>
      <c r="R124" s="204">
        <v>1</v>
      </c>
      <c r="S124" s="204"/>
      <c r="T124" s="206">
        <v>5</v>
      </c>
      <c r="U124" s="207"/>
    </row>
    <row r="125" spans="1:21" x14ac:dyDescent="0.2">
      <c r="A125" s="187" t="s">
        <v>1271</v>
      </c>
      <c r="B125" s="203" t="str">
        <f>TechData_R0!B67</f>
        <v>IMPNGAC2</v>
      </c>
      <c r="C125" s="203"/>
      <c r="D125" s="203"/>
      <c r="E125" s="204" t="s">
        <v>1197</v>
      </c>
      <c r="F125" s="204"/>
      <c r="G125" s="187" t="s">
        <v>1173</v>
      </c>
      <c r="H125" s="205">
        <f>1-TechData_R0!J67+1</f>
        <v>0.75</v>
      </c>
      <c r="I125" s="205">
        <f>1-TechData_R0!K67+1</f>
        <v>0.75</v>
      </c>
      <c r="J125" s="205">
        <f t="shared" ref="J125:K125" si="170">I125</f>
        <v>0.75</v>
      </c>
      <c r="K125" s="205">
        <f t="shared" si="170"/>
        <v>0.75</v>
      </c>
      <c r="L125" s="205">
        <f t="shared" ref="L125:L129" si="171">K125</f>
        <v>0.75</v>
      </c>
      <c r="M125" s="205">
        <f t="shared" ref="M125:M129" si="172">L125</f>
        <v>0.75</v>
      </c>
      <c r="N125" s="205">
        <f t="shared" ref="N125:N129" si="173">M125</f>
        <v>0.75</v>
      </c>
      <c r="O125" s="205">
        <f t="shared" ref="O125:O129" si="174">N125</f>
        <v>0.75</v>
      </c>
      <c r="P125" s="205">
        <f t="shared" ref="P125:P129" si="175">O125</f>
        <v>0.75</v>
      </c>
      <c r="Q125" s="205">
        <f t="shared" ref="Q125:Q129" si="176">P125</f>
        <v>0.75</v>
      </c>
      <c r="R125" s="204">
        <v>1</v>
      </c>
      <c r="S125" s="204"/>
      <c r="T125" s="206">
        <v>5</v>
      </c>
      <c r="U125" s="207"/>
    </row>
    <row r="126" spans="1:21" x14ac:dyDescent="0.2">
      <c r="A126" s="187" t="s">
        <v>1272</v>
      </c>
      <c r="B126" s="203" t="str">
        <f>TechData_R0!B68</f>
        <v>IMPNGAC3</v>
      </c>
      <c r="C126" s="203"/>
      <c r="D126" s="203"/>
      <c r="E126" s="204" t="s">
        <v>1197</v>
      </c>
      <c r="F126" s="204"/>
      <c r="G126" s="187" t="s">
        <v>1173</v>
      </c>
      <c r="H126" s="205">
        <f>1-TechData_R0!J68+1</f>
        <v>0.75</v>
      </c>
      <c r="I126" s="205">
        <f>1-TechData_R0!K68+1</f>
        <v>0.75</v>
      </c>
      <c r="J126" s="205">
        <f t="shared" ref="J126:K126" si="177">I126</f>
        <v>0.75</v>
      </c>
      <c r="K126" s="205">
        <f t="shared" si="177"/>
        <v>0.75</v>
      </c>
      <c r="L126" s="205">
        <f t="shared" si="171"/>
        <v>0.75</v>
      </c>
      <c r="M126" s="205">
        <f t="shared" si="172"/>
        <v>0.75</v>
      </c>
      <c r="N126" s="205">
        <f t="shared" si="173"/>
        <v>0.75</v>
      </c>
      <c r="O126" s="205">
        <f t="shared" si="174"/>
        <v>0.75</v>
      </c>
      <c r="P126" s="205">
        <f t="shared" si="175"/>
        <v>0.75</v>
      </c>
      <c r="Q126" s="205">
        <f t="shared" si="176"/>
        <v>0.75</v>
      </c>
      <c r="R126" s="204">
        <v>1</v>
      </c>
      <c r="S126" s="204"/>
      <c r="T126" s="206">
        <v>5</v>
      </c>
      <c r="U126" s="207"/>
    </row>
    <row r="127" spans="1:21" x14ac:dyDescent="0.2">
      <c r="A127" s="187" t="s">
        <v>1273</v>
      </c>
      <c r="B127" s="203" t="str">
        <f>TechData_R0!B69</f>
        <v>IMPNGAC4</v>
      </c>
      <c r="C127" s="203"/>
      <c r="D127" s="203"/>
      <c r="E127" s="204" t="s">
        <v>1197</v>
      </c>
      <c r="F127" s="204"/>
      <c r="G127" s="187" t="s">
        <v>1173</v>
      </c>
      <c r="H127" s="205">
        <f>1-TechData_R0!J69+1</f>
        <v>0.75</v>
      </c>
      <c r="I127" s="205">
        <f>1-TechData_R0!K69+1</f>
        <v>0.75</v>
      </c>
      <c r="J127" s="205">
        <f t="shared" ref="J127:K127" si="178">I127</f>
        <v>0.75</v>
      </c>
      <c r="K127" s="205">
        <f t="shared" si="178"/>
        <v>0.75</v>
      </c>
      <c r="L127" s="205">
        <f t="shared" si="171"/>
        <v>0.75</v>
      </c>
      <c r="M127" s="205">
        <f t="shared" si="172"/>
        <v>0.75</v>
      </c>
      <c r="N127" s="205">
        <f t="shared" si="173"/>
        <v>0.75</v>
      </c>
      <c r="O127" s="205">
        <f t="shared" si="174"/>
        <v>0.75</v>
      </c>
      <c r="P127" s="205">
        <f t="shared" si="175"/>
        <v>0.75</v>
      </c>
      <c r="Q127" s="205">
        <f t="shared" si="176"/>
        <v>0.75</v>
      </c>
      <c r="R127" s="204">
        <v>1</v>
      </c>
      <c r="S127" s="204"/>
      <c r="T127" s="206">
        <v>5</v>
      </c>
      <c r="U127" s="207"/>
    </row>
    <row r="128" spans="1:21" x14ac:dyDescent="0.2">
      <c r="A128" s="187" t="s">
        <v>1274</v>
      </c>
      <c r="B128" s="203" t="str">
        <f>TechData_R0!B70</f>
        <v>IMPNGAC5</v>
      </c>
      <c r="C128" s="203"/>
      <c r="D128" s="203"/>
      <c r="E128" s="204" t="s">
        <v>1197</v>
      </c>
      <c r="F128" s="204"/>
      <c r="G128" s="187" t="s">
        <v>1173</v>
      </c>
      <c r="H128" s="205">
        <f>1-TechData_R0!J70+1</f>
        <v>0.75</v>
      </c>
      <c r="I128" s="205">
        <f>1-TechData_R0!K70+1</f>
        <v>0.75</v>
      </c>
      <c r="J128" s="205">
        <f t="shared" ref="J128:K128" si="179">I128</f>
        <v>0.75</v>
      </c>
      <c r="K128" s="205">
        <f t="shared" si="179"/>
        <v>0.75</v>
      </c>
      <c r="L128" s="205">
        <f t="shared" si="171"/>
        <v>0.75</v>
      </c>
      <c r="M128" s="205">
        <f t="shared" si="172"/>
        <v>0.75</v>
      </c>
      <c r="N128" s="205">
        <f t="shared" si="173"/>
        <v>0.75</v>
      </c>
      <c r="O128" s="205">
        <f t="shared" si="174"/>
        <v>0.75</v>
      </c>
      <c r="P128" s="205">
        <f t="shared" si="175"/>
        <v>0.75</v>
      </c>
      <c r="Q128" s="205">
        <f t="shared" si="176"/>
        <v>0.75</v>
      </c>
      <c r="R128" s="204">
        <v>1</v>
      </c>
      <c r="S128" s="204"/>
      <c r="T128" s="206">
        <v>5</v>
      </c>
      <c r="U128" s="207"/>
    </row>
    <row r="129" spans="1:21" x14ac:dyDescent="0.2">
      <c r="A129" s="187" t="s">
        <v>1275</v>
      </c>
      <c r="B129" s="203" t="str">
        <f>TechData_R0!B71</f>
        <v>IMPNGAC6</v>
      </c>
      <c r="C129" s="203"/>
      <c r="D129" s="203"/>
      <c r="E129" s="204" t="s">
        <v>1197</v>
      </c>
      <c r="F129" s="204"/>
      <c r="G129" s="187" t="s">
        <v>1173</v>
      </c>
      <c r="H129" s="205">
        <f>1-TechData_R0!J71+1</f>
        <v>0.75</v>
      </c>
      <c r="I129" s="205">
        <f>1-TechData_R0!K71+1</f>
        <v>0.75</v>
      </c>
      <c r="J129" s="205">
        <f t="shared" ref="J129:K129" si="180">I129</f>
        <v>0.75</v>
      </c>
      <c r="K129" s="205">
        <f t="shared" si="180"/>
        <v>0.75</v>
      </c>
      <c r="L129" s="205">
        <f t="shared" si="171"/>
        <v>0.75</v>
      </c>
      <c r="M129" s="205">
        <f t="shared" si="172"/>
        <v>0.75</v>
      </c>
      <c r="N129" s="205">
        <f t="shared" si="173"/>
        <v>0.75</v>
      </c>
      <c r="O129" s="205">
        <f t="shared" si="174"/>
        <v>0.75</v>
      </c>
      <c r="P129" s="205">
        <f t="shared" si="175"/>
        <v>0.75</v>
      </c>
      <c r="Q129" s="205">
        <f t="shared" si="176"/>
        <v>0.75</v>
      </c>
      <c r="R129" s="204">
        <v>1</v>
      </c>
      <c r="S129" s="204"/>
      <c r="T129" s="206">
        <v>5</v>
      </c>
      <c r="U129" s="207"/>
    </row>
  </sheetData>
  <phoneticPr fontId="14"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60C0E-DF65-4DCC-A681-090BAE71FF24}">
  <sheetPr>
    <tabColor theme="8"/>
  </sheetPr>
  <dimension ref="A4:L9"/>
  <sheetViews>
    <sheetView workbookViewId="0">
      <selection activeCell="F10" sqref="F10"/>
    </sheetView>
  </sheetViews>
  <sheetFormatPr defaultRowHeight="12.75" x14ac:dyDescent="0.2"/>
  <cols>
    <col min="1" max="1" width="16.140625" bestFit="1" customWidth="1"/>
    <col min="8" max="8" width="8.85546875" bestFit="1" customWidth="1"/>
    <col min="9" max="9" width="8.28515625" bestFit="1" customWidth="1"/>
    <col min="10" max="10" width="8.28515625" customWidth="1"/>
    <col min="11" max="11" width="8.85546875" bestFit="1" customWidth="1"/>
  </cols>
  <sheetData>
    <row r="4" spans="1:12" x14ac:dyDescent="0.2">
      <c r="A4" s="209" t="s">
        <v>1175</v>
      </c>
      <c r="B4" s="13"/>
      <c r="C4" s="13"/>
      <c r="D4" s="13"/>
      <c r="E4" s="13"/>
      <c r="F4" s="13"/>
      <c r="G4" s="13"/>
      <c r="H4" s="13"/>
      <c r="I4" s="13"/>
      <c r="J4" s="208">
        <v>0.8</v>
      </c>
      <c r="K4" s="13"/>
      <c r="L4" s="13"/>
    </row>
    <row r="5" spans="1:12" x14ac:dyDescent="0.2">
      <c r="A5" s="210"/>
      <c r="B5" s="13"/>
      <c r="C5" s="13"/>
      <c r="D5" s="13"/>
      <c r="E5" s="13"/>
      <c r="F5" s="13"/>
      <c r="G5" s="13"/>
      <c r="H5" s="13"/>
      <c r="I5" s="13"/>
      <c r="J5" s="13"/>
      <c r="K5" s="13"/>
      <c r="L5" s="13"/>
    </row>
    <row r="6" spans="1:12" x14ac:dyDescent="0.2">
      <c r="A6" s="13"/>
      <c r="B6" s="13"/>
      <c r="D6" s="13"/>
      <c r="E6" s="13"/>
      <c r="F6" s="13"/>
      <c r="G6" s="209" t="s">
        <v>1278</v>
      </c>
      <c r="H6" s="209"/>
      <c r="I6" s="209"/>
      <c r="J6" s="209"/>
      <c r="K6" s="13"/>
      <c r="L6" s="13"/>
    </row>
    <row r="7" spans="1:12" ht="24.75" thickBot="1" x14ac:dyDescent="0.25">
      <c r="A7" s="211" t="s">
        <v>1178</v>
      </c>
      <c r="B7" s="211" t="s">
        <v>1179</v>
      </c>
      <c r="C7" s="211" t="s">
        <v>1276</v>
      </c>
      <c r="D7" s="211" t="s">
        <v>1180</v>
      </c>
      <c r="E7" s="211" t="s">
        <v>1181</v>
      </c>
      <c r="F7" s="211" t="s">
        <v>1277</v>
      </c>
      <c r="G7" s="211" t="s">
        <v>137</v>
      </c>
      <c r="H7" s="211" t="s">
        <v>1079</v>
      </c>
      <c r="I7" s="211" t="s">
        <v>1281</v>
      </c>
      <c r="J7" s="211" t="s">
        <v>1282</v>
      </c>
      <c r="K7" s="212" t="s">
        <v>1194</v>
      </c>
      <c r="L7" s="212" t="s">
        <v>1195</v>
      </c>
    </row>
    <row r="8" spans="1:12" ht="15" x14ac:dyDescent="0.25">
      <c r="A8" s="213" t="s">
        <v>1279</v>
      </c>
      <c r="B8" s="214" t="s">
        <v>1283</v>
      </c>
      <c r="C8" s="214"/>
      <c r="D8" s="215"/>
      <c r="E8" s="215"/>
      <c r="F8" s="215" t="s">
        <v>325</v>
      </c>
      <c r="G8" s="216">
        <v>2020</v>
      </c>
      <c r="H8" s="216" t="s">
        <v>1173</v>
      </c>
      <c r="I8" s="216">
        <v>1</v>
      </c>
      <c r="J8" s="216">
        <v>1</v>
      </c>
      <c r="K8" s="216">
        <v>0</v>
      </c>
      <c r="L8" s="216">
        <v>15</v>
      </c>
    </row>
    <row r="9" spans="1:12" ht="15" x14ac:dyDescent="0.25">
      <c r="A9" s="213"/>
      <c r="B9" s="214" t="s">
        <v>1280</v>
      </c>
      <c r="C9" s="214"/>
      <c r="D9" s="215" t="s">
        <v>51</v>
      </c>
      <c r="E9" s="215"/>
      <c r="F9" s="217" t="s">
        <v>731</v>
      </c>
      <c r="G9" s="216">
        <v>2025</v>
      </c>
      <c r="H9" s="216"/>
      <c r="I9" s="216">
        <f>-Exports!$G$55</f>
        <v>-8.3594039241481247E-2</v>
      </c>
      <c r="J9" s="216">
        <f>I9*J4</f>
        <v>-6.6875231393185006E-2</v>
      </c>
      <c r="K9" s="216"/>
      <c r="L9" s="216"/>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tabColor rgb="FFFFC000"/>
  </sheetPr>
  <dimension ref="A1:BZ124"/>
  <sheetViews>
    <sheetView topLeftCell="A46" zoomScale="80" zoomScaleNormal="80" workbookViewId="0">
      <selection activeCell="B82" sqref="B82"/>
    </sheetView>
  </sheetViews>
  <sheetFormatPr defaultColWidth="9.140625" defaultRowHeight="12.75" x14ac:dyDescent="0.2"/>
  <cols>
    <col min="1" max="1" width="26.85546875" style="158" customWidth="1"/>
    <col min="2" max="2" width="30.7109375" style="158" bestFit="1" customWidth="1"/>
    <col min="3" max="3" width="40" style="158" bestFit="1" customWidth="1"/>
    <col min="4" max="4" width="11.7109375" style="158" bestFit="1" customWidth="1"/>
    <col min="5" max="6" width="18" style="158" bestFit="1" customWidth="1"/>
    <col min="7" max="7" width="18" style="159" bestFit="1" customWidth="1"/>
    <col min="8" max="9" width="22" style="159" bestFit="1" customWidth="1"/>
    <col min="10" max="10" width="18" style="159" bestFit="1" customWidth="1"/>
    <col min="11" max="11" width="20" style="159" bestFit="1" customWidth="1"/>
    <col min="12" max="13" width="18" style="159" bestFit="1" customWidth="1"/>
    <col min="14" max="14" width="20.85546875" style="159" bestFit="1" customWidth="1"/>
    <col min="15" max="15" width="26" style="159" bestFit="1" customWidth="1"/>
    <col min="16" max="17" width="21.28515625" style="159" bestFit="1" customWidth="1"/>
    <col min="18" max="18" width="26.42578125" style="159" bestFit="1" customWidth="1"/>
    <col min="19" max="20" width="19.85546875" style="159" bestFit="1" customWidth="1"/>
    <col min="21" max="21" width="25" style="159" bestFit="1" customWidth="1"/>
    <col min="22" max="23" width="20.85546875" style="159" bestFit="1" customWidth="1"/>
    <col min="24" max="24" width="26" style="159" bestFit="1" customWidth="1"/>
    <col min="25" max="26" width="22.140625" style="159" bestFit="1" customWidth="1"/>
    <col min="27" max="27" width="27.28515625" style="159" bestFit="1" customWidth="1"/>
    <col min="28" max="29" width="22.140625" style="159" bestFit="1" customWidth="1"/>
    <col min="30" max="30" width="27.28515625" style="159" bestFit="1" customWidth="1"/>
    <col min="31" max="32" width="20.7109375" style="159" bestFit="1" customWidth="1"/>
    <col min="33" max="34" width="25.85546875" style="159" bestFit="1" customWidth="1"/>
    <col min="35" max="35" width="20.7109375" style="159" bestFit="1" customWidth="1"/>
    <col min="36" max="36" width="25.85546875" style="159" bestFit="1" customWidth="1"/>
    <col min="37" max="38" width="20.7109375" style="159" bestFit="1" customWidth="1"/>
    <col min="39" max="39" width="25.85546875" style="159" bestFit="1" customWidth="1"/>
    <col min="40" max="41" width="19.85546875" style="159" bestFit="1" customWidth="1"/>
    <col min="42" max="42" width="25" style="159" bestFit="1" customWidth="1"/>
    <col min="43" max="44" width="19.5703125" style="159" bestFit="1" customWidth="1"/>
    <col min="45" max="45" width="24.85546875" style="159" bestFit="1" customWidth="1"/>
    <col min="46" max="46" width="25" style="159" bestFit="1" customWidth="1"/>
    <col min="47" max="47" width="20.85546875" style="159" bestFit="1" customWidth="1"/>
    <col min="48" max="49" width="26" style="159" bestFit="1" customWidth="1"/>
    <col min="50" max="50" width="22.140625" style="159" bestFit="1" customWidth="1"/>
    <col min="51" max="51" width="26.42578125" style="159" bestFit="1" customWidth="1"/>
    <col min="52" max="52" width="27.28515625" style="159" bestFit="1" customWidth="1"/>
    <col min="53" max="53" width="22.140625" style="159" bestFit="1" customWidth="1"/>
    <col min="54" max="54" width="25" style="159" bestFit="1" customWidth="1"/>
    <col min="55" max="55" width="27.28515625" style="159" bestFit="1" customWidth="1"/>
    <col min="56" max="56" width="20.85546875" style="159" bestFit="1" customWidth="1"/>
    <col min="57" max="57" width="26" style="159" bestFit="1" customWidth="1"/>
    <col min="58" max="59" width="25.85546875" style="159" bestFit="1" customWidth="1"/>
    <col min="60" max="60" width="27.28515625" style="159" bestFit="1" customWidth="1"/>
    <col min="61" max="61" width="25.85546875" style="159" bestFit="1" customWidth="1"/>
    <col min="62" max="62" width="22.140625" style="159" bestFit="1" customWidth="1"/>
    <col min="63" max="63" width="27.28515625" style="159" bestFit="1" customWidth="1"/>
    <col min="64" max="64" width="25.85546875" style="159" bestFit="1" customWidth="1"/>
    <col min="65" max="65" width="20.7109375" style="159" bestFit="1" customWidth="1"/>
    <col min="66" max="66" width="25.85546875" style="159" bestFit="1" customWidth="1"/>
    <col min="67" max="67" width="2" style="159" bestFit="1" customWidth="1"/>
    <col min="68" max="68" width="20.7109375" style="159" bestFit="1" customWidth="1"/>
    <col min="69" max="69" width="25.85546875" style="159" bestFit="1" customWidth="1"/>
    <col min="70" max="70" width="24.85546875" style="159" bestFit="1" customWidth="1"/>
    <col min="71" max="71" width="20.7109375" style="159" bestFit="1" customWidth="1"/>
    <col min="72" max="72" width="25.85546875" style="159" bestFit="1" customWidth="1"/>
    <col min="73" max="74" width="19.85546875" style="159" bestFit="1" customWidth="1"/>
    <col min="75" max="75" width="25" style="159" bestFit="1" customWidth="1"/>
    <col min="76" max="77" width="19.5703125" style="159" bestFit="1" customWidth="1"/>
    <col min="78" max="78" width="24.85546875" style="158" bestFit="1" customWidth="1"/>
    <col min="79" max="16384" width="9.140625" style="158"/>
  </cols>
  <sheetData>
    <row r="1" spans="1:78" x14ac:dyDescent="0.2">
      <c r="A1" s="147" t="s">
        <v>124</v>
      </c>
      <c r="B1" s="148" t="s">
        <v>902</v>
      </c>
      <c r="AT1" s="160"/>
      <c r="AU1" s="160"/>
      <c r="AV1" s="160"/>
      <c r="AW1" s="160"/>
      <c r="AX1" s="160"/>
      <c r="AZ1" s="160"/>
      <c r="BO1" s="160" t="s">
        <v>127</v>
      </c>
    </row>
    <row r="2" spans="1:78" x14ac:dyDescent="0.2">
      <c r="T2" s="161"/>
      <c r="U2" s="161"/>
      <c r="V2" s="161"/>
      <c r="W2" s="161"/>
      <c r="X2" s="161"/>
      <c r="Y2" s="161"/>
      <c r="Z2" s="161"/>
      <c r="AA2" s="161"/>
      <c r="AB2" s="161"/>
      <c r="AC2" s="161"/>
    </row>
    <row r="3" spans="1:78" ht="17.25" customHeight="1" x14ac:dyDescent="0.2">
      <c r="F3" s="157"/>
      <c r="G3" s="160"/>
      <c r="H3" s="160"/>
      <c r="I3" s="160"/>
      <c r="L3" s="160"/>
      <c r="M3" s="160"/>
      <c r="N3" s="160"/>
      <c r="O3" s="160"/>
      <c r="P3" s="160"/>
      <c r="Q3" s="160"/>
      <c r="R3" s="160"/>
      <c r="S3" s="160"/>
      <c r="X3" s="160"/>
      <c r="Y3" s="160"/>
      <c r="AT3" s="163"/>
      <c r="AU3" s="17"/>
      <c r="AV3" s="18"/>
      <c r="AW3" s="17"/>
      <c r="AX3" s="17"/>
      <c r="AY3" s="17"/>
      <c r="AZ3" s="17"/>
      <c r="BA3" s="17"/>
      <c r="BB3" s="17"/>
      <c r="BC3" s="17"/>
      <c r="BD3" s="17"/>
      <c r="BE3" s="17"/>
      <c r="BF3" s="17"/>
      <c r="BG3" s="17"/>
      <c r="BH3" s="17"/>
      <c r="BI3" s="17"/>
      <c r="BJ3" s="17"/>
      <c r="BK3" s="17"/>
      <c r="BL3" s="17"/>
      <c r="BM3" s="17"/>
      <c r="BN3" s="17"/>
      <c r="BO3" s="18"/>
      <c r="BP3" s="17"/>
      <c r="BQ3" s="17"/>
      <c r="BR3" s="17"/>
      <c r="BS3" s="17"/>
      <c r="BT3" s="17"/>
      <c r="BU3" s="17"/>
      <c r="BV3" s="17"/>
      <c r="BW3" s="17"/>
      <c r="BX3" s="17"/>
      <c r="BY3" s="17"/>
      <c r="BZ3" s="17"/>
    </row>
    <row r="4" spans="1:78" ht="17.25" customHeight="1" x14ac:dyDescent="0.2">
      <c r="F4" s="157"/>
      <c r="G4" s="160"/>
      <c r="H4" s="160"/>
      <c r="I4" s="160"/>
      <c r="L4" s="160"/>
      <c r="M4" s="160"/>
      <c r="N4" s="160"/>
      <c r="O4" s="160"/>
      <c r="P4" s="160"/>
      <c r="Q4" s="160"/>
      <c r="R4" s="160"/>
      <c r="S4" s="160"/>
      <c r="X4" s="160"/>
      <c r="Y4" s="160"/>
      <c r="AT4" s="163"/>
      <c r="AU4" s="163"/>
      <c r="AV4" s="163"/>
      <c r="AW4" s="163"/>
      <c r="AX4" s="163"/>
      <c r="AY4" s="163"/>
      <c r="AZ4" s="163"/>
      <c r="BA4" s="163"/>
      <c r="BB4" s="163"/>
      <c r="BC4" s="163"/>
      <c r="BD4" s="163"/>
      <c r="BE4" s="163"/>
      <c r="BF4" s="163"/>
      <c r="BG4" s="163"/>
      <c r="BH4" s="163"/>
      <c r="BI4" s="163"/>
      <c r="BJ4" s="163"/>
      <c r="BK4" s="163"/>
      <c r="BL4" s="163"/>
      <c r="BM4" s="163"/>
      <c r="BN4" s="163"/>
      <c r="BO4" s="163"/>
      <c r="BP4" s="163"/>
      <c r="BQ4" s="163"/>
      <c r="BR4" s="163"/>
      <c r="BS4" s="163"/>
      <c r="BT4" s="163"/>
      <c r="BU4" s="163"/>
      <c r="BV4" s="163"/>
      <c r="BW4" s="163"/>
      <c r="BX4" s="163"/>
      <c r="BY4" s="163"/>
      <c r="BZ4" s="163"/>
    </row>
    <row r="5" spans="1:78" ht="17.25" customHeight="1" x14ac:dyDescent="0.2">
      <c r="D5" s="157"/>
      <c r="G5" s="160"/>
      <c r="H5" s="160"/>
      <c r="I5" s="160"/>
      <c r="L5" s="160"/>
      <c r="M5" s="160"/>
      <c r="N5" s="160"/>
      <c r="O5" s="160"/>
      <c r="P5" s="160"/>
      <c r="Q5" s="160"/>
      <c r="R5" s="160"/>
      <c r="S5" s="160"/>
      <c r="X5" s="160"/>
      <c r="Y5" s="160"/>
      <c r="AT5" s="163"/>
      <c r="AU5" s="163"/>
      <c r="BS5" s="160"/>
      <c r="BT5" s="160"/>
      <c r="BU5" s="160"/>
      <c r="BV5" s="160"/>
      <c r="BW5" s="160"/>
    </row>
    <row r="6" spans="1:78" ht="15.75" customHeight="1" x14ac:dyDescent="0.2">
      <c r="A6" s="146" t="s">
        <v>15</v>
      </c>
      <c r="B6" s="146" t="s">
        <v>27</v>
      </c>
      <c r="C6" s="146" t="s">
        <v>28</v>
      </c>
      <c r="D6" s="146" t="s">
        <v>31</v>
      </c>
      <c r="E6" s="146" t="s">
        <v>1093</v>
      </c>
      <c r="F6" s="173" t="s">
        <v>1105</v>
      </c>
      <c r="G6" s="173" t="s">
        <v>1106</v>
      </c>
      <c r="H6" s="173" t="s">
        <v>1107</v>
      </c>
      <c r="I6" s="173" t="s">
        <v>1108</v>
      </c>
      <c r="J6" s="173" t="s">
        <v>1109</v>
      </c>
      <c r="K6" s="173" t="s">
        <v>1110</v>
      </c>
      <c r="L6" s="146" t="s">
        <v>1094</v>
      </c>
      <c r="M6" s="146" t="s">
        <v>1095</v>
      </c>
      <c r="N6" s="146" t="s">
        <v>1096</v>
      </c>
      <c r="O6" s="146" t="s">
        <v>1097</v>
      </c>
      <c r="P6" s="146" t="s">
        <v>1098</v>
      </c>
      <c r="Q6" s="146" t="s">
        <v>1099</v>
      </c>
      <c r="R6" s="146" t="s">
        <v>1100</v>
      </c>
      <c r="S6" s="146" t="s">
        <v>1101</v>
      </c>
      <c r="T6" s="146" t="s">
        <v>1102</v>
      </c>
      <c r="U6" s="146" t="s">
        <v>1103</v>
      </c>
      <c r="V6" s="146" t="s">
        <v>128</v>
      </c>
      <c r="W6" s="146" t="s">
        <v>1158</v>
      </c>
      <c r="X6" s="146" t="s">
        <v>1159</v>
      </c>
      <c r="Y6" s="146" t="s">
        <v>1160</v>
      </c>
      <c r="Z6" s="146" t="s">
        <v>1161</v>
      </c>
      <c r="AA6" s="146" t="s">
        <v>1162</v>
      </c>
      <c r="AB6" s="158"/>
      <c r="AC6" s="158"/>
      <c r="AD6" s="158"/>
      <c r="AE6" s="158"/>
      <c r="AF6" s="158"/>
      <c r="AG6" s="158"/>
      <c r="AH6" s="158"/>
      <c r="AI6" s="158"/>
      <c r="AJ6" s="158"/>
      <c r="AK6" s="158"/>
      <c r="AL6" s="158"/>
      <c r="AM6" s="158"/>
      <c r="AN6" s="158"/>
      <c r="AO6" s="158"/>
      <c r="AP6" s="158"/>
      <c r="AQ6" s="158"/>
      <c r="AR6" s="158"/>
      <c r="AS6" s="158"/>
      <c r="AT6" s="158"/>
      <c r="AU6" s="158"/>
      <c r="AV6" s="158"/>
      <c r="AW6" s="158"/>
      <c r="AX6" s="158"/>
      <c r="AY6" s="158"/>
      <c r="AZ6" s="158"/>
      <c r="BA6" s="158"/>
      <c r="BB6" s="158"/>
      <c r="BC6" s="158"/>
      <c r="BD6" s="158"/>
      <c r="BE6" s="158"/>
      <c r="BF6" s="158"/>
      <c r="BG6" s="158"/>
      <c r="BH6" s="158"/>
      <c r="BI6" s="158"/>
      <c r="BJ6" s="158"/>
      <c r="BK6" s="158"/>
      <c r="BL6" s="158"/>
      <c r="BM6" s="158"/>
      <c r="BN6" s="158"/>
      <c r="BO6" s="158"/>
      <c r="BP6" s="158"/>
      <c r="BQ6" s="158"/>
      <c r="BR6" s="158"/>
      <c r="BS6" s="158"/>
      <c r="BT6" s="158"/>
      <c r="BU6" s="158"/>
      <c r="BV6" s="158"/>
      <c r="BW6" s="158"/>
      <c r="BX6" s="158"/>
      <c r="BY6" s="158"/>
    </row>
    <row r="7" spans="1:78" x14ac:dyDescent="0.2">
      <c r="A7" s="175" t="s">
        <v>1144</v>
      </c>
      <c r="B7" s="176"/>
      <c r="C7" s="176"/>
      <c r="D7" s="176"/>
      <c r="E7" s="177"/>
      <c r="F7" s="177"/>
      <c r="G7" s="177"/>
      <c r="H7" s="177"/>
      <c r="I7" s="177"/>
      <c r="J7" s="177"/>
      <c r="K7" s="177"/>
      <c r="L7" s="177"/>
      <c r="M7" s="177"/>
      <c r="N7" s="177"/>
      <c r="O7" s="177"/>
      <c r="P7" s="177"/>
      <c r="Q7" s="177"/>
      <c r="R7" s="177"/>
      <c r="S7" s="177"/>
      <c r="T7" s="177"/>
      <c r="U7" s="177"/>
      <c r="V7" s="177"/>
      <c r="W7" s="177"/>
      <c r="X7" s="177"/>
      <c r="Y7" s="177"/>
      <c r="Z7" s="177"/>
      <c r="AA7" s="177"/>
      <c r="AB7" s="158"/>
      <c r="AC7" s="158"/>
      <c r="AD7" s="158"/>
      <c r="AE7" s="158"/>
      <c r="AF7" s="158"/>
      <c r="AG7" s="158"/>
      <c r="AH7" s="158"/>
      <c r="AI7" s="158"/>
      <c r="AJ7" s="158"/>
      <c r="AK7" s="158"/>
      <c r="AL7" s="158"/>
      <c r="AM7" s="158"/>
      <c r="AN7" s="158"/>
      <c r="AO7" s="158"/>
      <c r="AP7" s="158"/>
      <c r="AQ7" s="158"/>
      <c r="AR7" s="158"/>
      <c r="AS7" s="158"/>
      <c r="AT7" s="158"/>
      <c r="AU7" s="158"/>
      <c r="AV7" s="158"/>
      <c r="AW7" s="158"/>
      <c r="AX7" s="158"/>
      <c r="AY7" s="158"/>
      <c r="AZ7" s="158"/>
      <c r="BA7" s="158"/>
      <c r="BB7" s="158"/>
      <c r="BC7" s="158"/>
      <c r="BD7" s="158"/>
      <c r="BE7" s="158"/>
      <c r="BF7" s="158"/>
      <c r="BG7" s="158"/>
      <c r="BH7" s="158"/>
      <c r="BI7" s="158"/>
      <c r="BJ7" s="158"/>
      <c r="BK7" s="158"/>
      <c r="BL7" s="158"/>
      <c r="BM7" s="158"/>
      <c r="BN7" s="158"/>
      <c r="BO7" s="158"/>
      <c r="BP7" s="158"/>
      <c r="BQ7" s="158"/>
      <c r="BR7" s="158"/>
      <c r="BS7" s="158"/>
      <c r="BT7" s="158"/>
      <c r="BU7" s="158"/>
      <c r="BV7" s="158"/>
      <c r="BW7" s="158"/>
      <c r="BX7" s="158"/>
      <c r="BY7" s="158"/>
    </row>
    <row r="8" spans="1:78" s="147" customFormat="1" x14ac:dyDescent="0.2">
      <c r="A8" s="175" t="s">
        <v>826</v>
      </c>
      <c r="B8" s="175"/>
      <c r="C8" s="175"/>
      <c r="D8" s="178"/>
      <c r="E8" s="178"/>
      <c r="F8" s="178"/>
      <c r="G8" s="178"/>
      <c r="H8" s="178"/>
      <c r="I8" s="178"/>
      <c r="J8" s="178"/>
      <c r="K8" s="178"/>
      <c r="L8" s="178"/>
      <c r="M8" s="174">
        <v>1</v>
      </c>
      <c r="N8" s="174">
        <v>1</v>
      </c>
      <c r="O8" s="174">
        <v>1</v>
      </c>
      <c r="P8" s="174">
        <v>1</v>
      </c>
      <c r="Q8" s="174">
        <v>1</v>
      </c>
      <c r="R8" s="174">
        <v>1</v>
      </c>
      <c r="S8" s="174">
        <v>1</v>
      </c>
      <c r="T8" s="174">
        <v>1</v>
      </c>
      <c r="U8" s="174">
        <v>1</v>
      </c>
      <c r="V8" s="179"/>
      <c r="W8" s="178"/>
      <c r="X8" s="178"/>
      <c r="Y8" s="178"/>
      <c r="Z8" s="178"/>
      <c r="AA8" s="178"/>
    </row>
    <row r="9" spans="1:78" x14ac:dyDescent="0.2">
      <c r="A9" s="153" t="s">
        <v>57</v>
      </c>
      <c r="B9" s="153" t="s">
        <v>0</v>
      </c>
      <c r="C9" s="153" t="s">
        <v>98</v>
      </c>
      <c r="D9" s="153" t="str">
        <f>Commodities!C$11</f>
        <v>NGAD0</v>
      </c>
      <c r="E9" s="153">
        <v>2010</v>
      </c>
      <c r="F9" s="180"/>
      <c r="G9" s="180">
        <v>1.25</v>
      </c>
      <c r="H9" s="180">
        <v>1.1000000000000001</v>
      </c>
      <c r="I9" s="180">
        <v>1.1000000000000001</v>
      </c>
      <c r="J9" s="180">
        <v>1.1000000000000001</v>
      </c>
      <c r="K9" s="180">
        <v>1.01</v>
      </c>
      <c r="L9" s="181" t="e">
        <f>L11*'Domestic NG Prices'!$N$19</f>
        <v>#REF!</v>
      </c>
      <c r="M9" s="181" t="e">
        <f>M11*'Domestic NG Prices'!$N$19</f>
        <v>#REF!</v>
      </c>
      <c r="N9" s="181" t="e">
        <f>N11*'Domestic NG Prices'!$N$19</f>
        <v>#REF!</v>
      </c>
      <c r="O9" s="181" t="e">
        <f>O11*'Domestic NG Prices'!$N$19</f>
        <v>#REF!</v>
      </c>
      <c r="P9" s="181" t="e">
        <f>P11*'Domestic NG Prices'!$N$19</f>
        <v>#REF!</v>
      </c>
      <c r="Q9" s="181" t="e">
        <f>Q11*'Domestic NG Prices'!$N$19</f>
        <v>#REF!</v>
      </c>
      <c r="R9" s="181" t="e">
        <f>R11*'Domestic NG Prices'!$N$19</f>
        <v>#REF!</v>
      </c>
      <c r="S9" s="181">
        <f>S11*'Domestic NG Prices'!$N$19</f>
        <v>6.6175999999999995</v>
      </c>
      <c r="T9" s="181">
        <f>T11*'Domestic NG Prices'!$N$19</f>
        <v>7.3216000000000001</v>
      </c>
      <c r="U9" s="181">
        <f>U11*'Domestic NG Prices'!$N$19</f>
        <v>8.0871999999999993</v>
      </c>
      <c r="V9" s="182" t="e">
        <f>X9/SUM($X$9:$X$14)*#REF!</f>
        <v>#REF!</v>
      </c>
      <c r="W9" s="182" t="e">
        <f>#REF!</f>
        <v>#REF!</v>
      </c>
      <c r="X9" s="182" t="e">
        <f>#REF!</f>
        <v>#REF!</v>
      </c>
      <c r="Y9" s="182"/>
      <c r="Z9" s="182"/>
      <c r="AA9" s="182"/>
      <c r="AB9" s="158"/>
      <c r="AC9" s="158"/>
      <c r="AD9" s="158"/>
      <c r="AE9" s="158"/>
      <c r="AF9" s="158"/>
      <c r="AG9" s="158"/>
      <c r="AH9" s="158"/>
      <c r="AI9" s="158"/>
      <c r="AJ9" s="158"/>
      <c r="AK9" s="158"/>
      <c r="AL9" s="158"/>
      <c r="AM9" s="158"/>
      <c r="AN9" s="158"/>
      <c r="AO9" s="158"/>
      <c r="AP9" s="158"/>
      <c r="AQ9" s="158"/>
      <c r="AR9" s="158"/>
      <c r="AS9" s="158"/>
      <c r="AT9" s="158"/>
      <c r="AU9" s="158"/>
      <c r="AV9" s="158"/>
      <c r="AW9" s="158"/>
      <c r="AX9" s="158"/>
      <c r="AY9" s="158"/>
      <c r="AZ9" s="158"/>
      <c r="BA9" s="158"/>
      <c r="BB9" s="158"/>
      <c r="BC9" s="158"/>
      <c r="BD9" s="158"/>
      <c r="BE9" s="158"/>
      <c r="BF9" s="158"/>
      <c r="BG9" s="158"/>
      <c r="BH9" s="158"/>
      <c r="BI9" s="158"/>
      <c r="BJ9" s="158"/>
      <c r="BK9" s="158"/>
      <c r="BL9" s="158"/>
      <c r="BM9" s="158"/>
      <c r="BN9" s="158"/>
      <c r="BO9" s="158"/>
      <c r="BP9" s="158"/>
      <c r="BQ9" s="158"/>
      <c r="BR9" s="158"/>
      <c r="BS9" s="158"/>
      <c r="BT9" s="158"/>
      <c r="BU9" s="158"/>
      <c r="BV9" s="158"/>
      <c r="BW9" s="158"/>
      <c r="BX9" s="158"/>
      <c r="BY9" s="158"/>
    </row>
    <row r="10" spans="1:78" x14ac:dyDescent="0.2">
      <c r="A10" s="153" t="s">
        <v>57</v>
      </c>
      <c r="B10" s="153" t="s">
        <v>1</v>
      </c>
      <c r="C10" s="153" t="s">
        <v>99</v>
      </c>
      <c r="D10" s="153" t="str">
        <f>Commodities!C$11</f>
        <v>NGAD0</v>
      </c>
      <c r="E10" s="153">
        <v>2010</v>
      </c>
      <c r="F10" s="180"/>
      <c r="G10" s="180">
        <v>1.25</v>
      </c>
      <c r="H10" s="180">
        <v>1.1000000000000001</v>
      </c>
      <c r="I10" s="180">
        <v>1.1000000000000001</v>
      </c>
      <c r="J10" s="180">
        <v>1.1000000000000001</v>
      </c>
      <c r="K10" s="180">
        <v>1.01</v>
      </c>
      <c r="L10" s="181" t="e">
        <f>L11*'Domestic NG Prices'!$N$20</f>
        <v>#REF!</v>
      </c>
      <c r="M10" s="181" t="e">
        <f>M11*'Domestic NG Prices'!$N$20</f>
        <v>#REF!</v>
      </c>
      <c r="N10" s="181" t="e">
        <f>N11*'Domestic NG Prices'!$N$20</f>
        <v>#REF!</v>
      </c>
      <c r="O10" s="181" t="e">
        <f>O11*'Domestic NG Prices'!$N$20</f>
        <v>#REF!</v>
      </c>
      <c r="P10" s="181" t="e">
        <f>P11*'Domestic NG Prices'!$N$20</f>
        <v>#REF!</v>
      </c>
      <c r="Q10" s="181" t="e">
        <f>Q11*'Domestic NG Prices'!$N$20</f>
        <v>#REF!</v>
      </c>
      <c r="R10" s="181" t="e">
        <f>R11*'Domestic NG Prices'!$N$20</f>
        <v>#REF!</v>
      </c>
      <c r="S10" s="181">
        <f>S11*'Domestic NG Prices'!$N$20</f>
        <v>7.1439999999999992</v>
      </c>
      <c r="T10" s="181">
        <f>T11*'Domestic NG Prices'!$N$20</f>
        <v>7.9039999999999999</v>
      </c>
      <c r="U10" s="181">
        <f>U11*'Domestic NG Prices'!$N$20</f>
        <v>8.7304999999999993</v>
      </c>
      <c r="V10" s="182" t="e">
        <f>X10/SUM($X$9:$X$14)*#REF!</f>
        <v>#REF!</v>
      </c>
      <c r="W10" s="182" t="e">
        <f>#REF!</f>
        <v>#REF!</v>
      </c>
      <c r="X10" s="182" t="e">
        <f>#REF!</f>
        <v>#REF!</v>
      </c>
      <c r="Y10" s="182"/>
      <c r="Z10" s="182"/>
      <c r="AA10" s="182"/>
      <c r="AB10" s="158"/>
      <c r="AC10" s="158"/>
      <c r="AD10" s="158"/>
      <c r="AE10" s="158"/>
      <c r="AF10" s="158"/>
      <c r="AG10" s="158"/>
      <c r="AH10" s="158"/>
      <c r="AI10" s="158"/>
      <c r="AJ10" s="158"/>
      <c r="AK10" s="158"/>
      <c r="AL10" s="158"/>
      <c r="AM10" s="158"/>
      <c r="AN10" s="158"/>
      <c r="AO10" s="158"/>
      <c r="AP10" s="158"/>
      <c r="AQ10" s="158"/>
      <c r="AR10" s="158"/>
      <c r="AS10" s="158"/>
      <c r="AT10" s="158"/>
      <c r="AU10" s="158"/>
      <c r="AV10" s="158"/>
      <c r="AW10" s="158"/>
      <c r="AX10" s="158"/>
      <c r="AY10" s="158"/>
      <c r="AZ10" s="158"/>
      <c r="BA10" s="158"/>
      <c r="BB10" s="158"/>
      <c r="BC10" s="158"/>
      <c r="BD10" s="158"/>
      <c r="BE10" s="158"/>
      <c r="BF10" s="158"/>
      <c r="BG10" s="158"/>
      <c r="BH10" s="158"/>
      <c r="BI10" s="158"/>
      <c r="BJ10" s="158"/>
      <c r="BK10" s="158"/>
      <c r="BL10" s="158"/>
      <c r="BM10" s="158"/>
      <c r="BN10" s="158"/>
      <c r="BO10" s="158"/>
      <c r="BP10" s="158"/>
      <c r="BQ10" s="158"/>
      <c r="BR10" s="158"/>
      <c r="BS10" s="158"/>
      <c r="BT10" s="158"/>
      <c r="BU10" s="158"/>
      <c r="BV10" s="158"/>
      <c r="BW10" s="158"/>
      <c r="BX10" s="158"/>
      <c r="BY10" s="158"/>
    </row>
    <row r="11" spans="1:78" x14ac:dyDescent="0.2">
      <c r="A11" s="153" t="s">
        <v>57</v>
      </c>
      <c r="B11" s="153" t="s">
        <v>2</v>
      </c>
      <c r="C11" s="153" t="s">
        <v>100</v>
      </c>
      <c r="D11" s="153" t="str">
        <f>Commodities!C$11</f>
        <v>NGAD0</v>
      </c>
      <c r="E11" s="153">
        <v>2010</v>
      </c>
      <c r="F11" s="180"/>
      <c r="G11" s="180">
        <v>1.25</v>
      </c>
      <c r="H11" s="180">
        <v>1.1000000000000001</v>
      </c>
      <c r="I11" s="180">
        <v>1.1000000000000001</v>
      </c>
      <c r="J11" s="180">
        <v>1.1000000000000001</v>
      </c>
      <c r="K11" s="180">
        <v>1.01</v>
      </c>
      <c r="L11" s="181" t="e">
        <f>'Domestic NG Prices'!N42*'Domestic NG Prices'!$P$27*#REF!</f>
        <v>#REF!</v>
      </c>
      <c r="M11" s="181" t="e">
        <f>'Domestic NG Prices'!O42*'Domestic NG Prices'!$P$27*#REF!*M8</f>
        <v>#REF!</v>
      </c>
      <c r="N11" s="181" t="e">
        <f>'Domestic NG Prices'!P42*'Domestic NG Prices'!$P$27*#REF!*N8</f>
        <v>#REF!</v>
      </c>
      <c r="O11" s="181" t="e">
        <f>'Domestic NG Prices'!Q42*'Domestic NG Prices'!$P$27*#REF!*O8</f>
        <v>#REF!</v>
      </c>
      <c r="P11" s="181" t="e">
        <f>'Domestic NG Prices'!R42*'Domestic NG Prices'!$P$27*#REF!*P8</f>
        <v>#REF!</v>
      </c>
      <c r="Q11" s="181" t="e">
        <f>'Domestic NG Prices'!S42*'Domestic NG Prices'!$P$27*#REF!*Q8</f>
        <v>#REF!</v>
      </c>
      <c r="R11" s="181" t="e">
        <f>'Domestic NG Prices'!T42*'Domestic NG Prices'!$P$27*#REF!*R8</f>
        <v>#REF!</v>
      </c>
      <c r="S11" s="181">
        <f>7.52*S8</f>
        <v>7.52</v>
      </c>
      <c r="T11" s="181">
        <f>8.32*T8</f>
        <v>8.32</v>
      </c>
      <c r="U11" s="181">
        <f>9.19*U8</f>
        <v>9.19</v>
      </c>
      <c r="V11" s="182" t="e">
        <f>X11/SUM($X$9:$X$14)*#REF!</f>
        <v>#REF!</v>
      </c>
      <c r="W11" s="182" t="e">
        <f>#REF!</f>
        <v>#REF!</v>
      </c>
      <c r="X11" s="182" t="e">
        <f>#REF!</f>
        <v>#REF!</v>
      </c>
      <c r="Y11" s="182"/>
      <c r="Z11" s="182"/>
      <c r="AA11" s="182"/>
      <c r="AB11" s="158"/>
      <c r="AC11" s="158"/>
      <c r="AD11" s="158"/>
      <c r="AE11" s="158"/>
      <c r="AF11" s="158"/>
      <c r="AG11" s="158"/>
      <c r="AH11" s="158"/>
      <c r="AI11" s="158"/>
      <c r="AJ11" s="158"/>
      <c r="AK11" s="158"/>
      <c r="AL11" s="158"/>
      <c r="AM11" s="158"/>
      <c r="AN11" s="158"/>
      <c r="AO11" s="158"/>
      <c r="AP11" s="158"/>
      <c r="AQ11" s="158"/>
      <c r="AR11" s="158"/>
      <c r="AS11" s="158"/>
      <c r="AT11" s="158"/>
      <c r="AU11" s="158"/>
      <c r="AV11" s="158"/>
      <c r="AW11" s="158"/>
      <c r="AX11" s="158"/>
      <c r="AY11" s="158"/>
      <c r="AZ11" s="158"/>
      <c r="BA11" s="158"/>
      <c r="BB11" s="158"/>
      <c r="BC11" s="158"/>
      <c r="BD11" s="158"/>
      <c r="BE11" s="158"/>
      <c r="BF11" s="158"/>
      <c r="BG11" s="158"/>
      <c r="BH11" s="158"/>
      <c r="BI11" s="158"/>
      <c r="BJ11" s="158"/>
      <c r="BK11" s="158"/>
      <c r="BL11" s="158"/>
      <c r="BM11" s="158"/>
      <c r="BN11" s="158"/>
      <c r="BO11" s="158"/>
      <c r="BP11" s="158"/>
      <c r="BQ11" s="158"/>
      <c r="BR11" s="158"/>
      <c r="BS11" s="158"/>
      <c r="BT11" s="158"/>
      <c r="BU11" s="158"/>
      <c r="BV11" s="158"/>
      <c r="BW11" s="158"/>
      <c r="BX11" s="158"/>
      <c r="BY11" s="158"/>
    </row>
    <row r="12" spans="1:78" x14ac:dyDescent="0.2">
      <c r="A12" s="153" t="s">
        <v>57</v>
      </c>
      <c r="B12" s="153" t="s">
        <v>3</v>
      </c>
      <c r="C12" s="153" t="s">
        <v>101</v>
      </c>
      <c r="D12" s="153" t="str">
        <f>Commodities!C$11</f>
        <v>NGAD0</v>
      </c>
      <c r="E12" s="153">
        <v>2010</v>
      </c>
      <c r="F12" s="183"/>
      <c r="G12" s="180">
        <v>1.25</v>
      </c>
      <c r="H12" s="180">
        <v>1.1000000000000001</v>
      </c>
      <c r="I12" s="180">
        <v>1.1000000000000001</v>
      </c>
      <c r="J12" s="180">
        <v>1.1000000000000001</v>
      </c>
      <c r="K12" s="180">
        <v>1.01</v>
      </c>
      <c r="L12" s="181" t="e">
        <f>L11*'Domestic NG Prices'!$N$22</f>
        <v>#REF!</v>
      </c>
      <c r="M12" s="181" t="e">
        <f>M11*'Domestic NG Prices'!$N$22</f>
        <v>#REF!</v>
      </c>
      <c r="N12" s="181" t="e">
        <f>N11*'Domestic NG Prices'!$N$22</f>
        <v>#REF!</v>
      </c>
      <c r="O12" s="181" t="e">
        <f>O11*'Domestic NG Prices'!$N$22</f>
        <v>#REF!</v>
      </c>
      <c r="P12" s="181" t="e">
        <f>P11*'Domestic NG Prices'!$N$22</f>
        <v>#REF!</v>
      </c>
      <c r="Q12" s="181" t="e">
        <f>Q11*'Domestic NG Prices'!$N$22</f>
        <v>#REF!</v>
      </c>
      <c r="R12" s="181" t="e">
        <f>R11*'Domestic NG Prices'!$N$22</f>
        <v>#REF!</v>
      </c>
      <c r="S12" s="181">
        <f>S11*'Domestic NG Prices'!$N$22</f>
        <v>8.1216000000000008</v>
      </c>
      <c r="T12" s="181">
        <f>T11*'Domestic NG Prices'!$N$22</f>
        <v>8.9856000000000016</v>
      </c>
      <c r="U12" s="181">
        <f>U11*'Domestic NG Prices'!$N$22</f>
        <v>9.9252000000000002</v>
      </c>
      <c r="V12" s="182" t="e">
        <f>X12/SUM($X$9:$X$14)*#REF!</f>
        <v>#REF!</v>
      </c>
      <c r="W12" s="182" t="e">
        <f>#REF!</f>
        <v>#REF!</v>
      </c>
      <c r="X12" s="182" t="e">
        <f>#REF!</f>
        <v>#REF!</v>
      </c>
      <c r="Y12" s="182"/>
      <c r="Z12" s="182"/>
      <c r="AA12" s="182"/>
      <c r="AB12" s="158"/>
      <c r="AC12" s="158"/>
      <c r="AD12" s="158"/>
      <c r="AE12" s="158"/>
      <c r="AF12" s="158"/>
      <c r="AG12" s="158"/>
      <c r="AH12" s="158"/>
      <c r="AI12" s="158"/>
      <c r="AJ12" s="158"/>
      <c r="AK12" s="158"/>
      <c r="AL12" s="158"/>
      <c r="AM12" s="158"/>
      <c r="AN12" s="158"/>
      <c r="AO12" s="158"/>
      <c r="AP12" s="158"/>
      <c r="AQ12" s="158"/>
      <c r="AR12" s="158"/>
      <c r="AS12" s="158"/>
      <c r="AT12" s="158"/>
      <c r="AU12" s="158"/>
      <c r="AV12" s="158"/>
      <c r="AW12" s="158"/>
      <c r="AX12" s="158"/>
      <c r="AY12" s="158"/>
      <c r="AZ12" s="158"/>
      <c r="BA12" s="158"/>
      <c r="BB12" s="158"/>
      <c r="BC12" s="158"/>
      <c r="BD12" s="158"/>
      <c r="BE12" s="158"/>
      <c r="BF12" s="158"/>
      <c r="BG12" s="158"/>
      <c r="BH12" s="158"/>
      <c r="BI12" s="158"/>
      <c r="BJ12" s="158"/>
      <c r="BK12" s="158"/>
      <c r="BL12" s="158"/>
      <c r="BM12" s="158"/>
      <c r="BN12" s="158"/>
      <c r="BO12" s="158"/>
      <c r="BP12" s="158"/>
      <c r="BQ12" s="158"/>
      <c r="BR12" s="158"/>
      <c r="BS12" s="158"/>
      <c r="BT12" s="158"/>
      <c r="BU12" s="158"/>
      <c r="BV12" s="158"/>
      <c r="BW12" s="158"/>
      <c r="BX12" s="158"/>
      <c r="BY12" s="158"/>
    </row>
    <row r="13" spans="1:78" x14ac:dyDescent="0.2">
      <c r="A13" s="153" t="s">
        <v>57</v>
      </c>
      <c r="B13" s="153" t="s">
        <v>4</v>
      </c>
      <c r="C13" s="153" t="s">
        <v>102</v>
      </c>
      <c r="D13" s="153" t="str">
        <f>Commodities!C$11</f>
        <v>NGAD0</v>
      </c>
      <c r="E13" s="153">
        <v>2010</v>
      </c>
      <c r="F13" s="183" t="e">
        <f>X13</f>
        <v>#REF!</v>
      </c>
      <c r="G13" s="180">
        <v>1.25</v>
      </c>
      <c r="H13" s="180">
        <v>1.1000000000000001</v>
      </c>
      <c r="I13" s="180">
        <v>1.1000000000000001</v>
      </c>
      <c r="J13" s="180">
        <v>1.1000000000000001</v>
      </c>
      <c r="K13" s="180">
        <v>1.01</v>
      </c>
      <c r="L13" s="181" t="e">
        <f>L11*'Domestic NG Prices'!$N$23</f>
        <v>#REF!</v>
      </c>
      <c r="M13" s="181" t="e">
        <f>M11*'Domestic NG Prices'!$N$23</f>
        <v>#REF!</v>
      </c>
      <c r="N13" s="181" t="e">
        <f>N11*'Domestic NG Prices'!$N$23</f>
        <v>#REF!</v>
      </c>
      <c r="O13" s="181" t="e">
        <f>O11*'Domestic NG Prices'!$N$23</f>
        <v>#REF!</v>
      </c>
      <c r="P13" s="181" t="e">
        <f>P11*'Domestic NG Prices'!$N$23</f>
        <v>#REF!</v>
      </c>
      <c r="Q13" s="181" t="e">
        <f>Q11*'Domestic NG Prices'!$N$23</f>
        <v>#REF!</v>
      </c>
      <c r="R13" s="181" t="e">
        <f>R11*'Domestic NG Prices'!$N$23</f>
        <v>#REF!</v>
      </c>
      <c r="S13" s="181">
        <f>S11*'Domestic NG Prices'!$N$23</f>
        <v>8.4223999999999997</v>
      </c>
      <c r="T13" s="181">
        <f>T11*'Domestic NG Prices'!$N$23</f>
        <v>9.3184000000000005</v>
      </c>
      <c r="U13" s="181">
        <f>U11*'Domestic NG Prices'!$N$23</f>
        <v>10.2928</v>
      </c>
      <c r="V13" s="182" t="e">
        <f>X13/SUM($X$9:$X$14)*#REF!</f>
        <v>#REF!</v>
      </c>
      <c r="W13" s="182"/>
      <c r="X13" s="182" t="e">
        <f>#REF!</f>
        <v>#REF!</v>
      </c>
      <c r="Y13" s="182"/>
      <c r="Z13" s="182"/>
      <c r="AA13" s="182"/>
      <c r="AB13" s="158"/>
      <c r="AC13" s="158"/>
      <c r="AD13" s="158"/>
      <c r="AE13" s="158"/>
      <c r="AF13" s="158"/>
      <c r="AG13" s="158"/>
      <c r="AH13" s="158"/>
      <c r="AI13" s="158"/>
      <c r="AJ13" s="158"/>
      <c r="AK13" s="158"/>
      <c r="AL13" s="158"/>
      <c r="AM13" s="158"/>
      <c r="AN13" s="158"/>
      <c r="AO13" s="158"/>
      <c r="AP13" s="158"/>
      <c r="AQ13" s="158"/>
      <c r="AR13" s="158"/>
      <c r="AS13" s="158"/>
      <c r="AT13" s="158"/>
      <c r="AU13" s="158"/>
      <c r="AV13" s="158"/>
      <c r="AW13" s="158"/>
      <c r="AX13" s="158"/>
      <c r="AY13" s="158"/>
      <c r="AZ13" s="158"/>
      <c r="BA13" s="158"/>
      <c r="BB13" s="158"/>
      <c r="BC13" s="158"/>
      <c r="BD13" s="158"/>
      <c r="BE13" s="158"/>
      <c r="BF13" s="158"/>
      <c r="BG13" s="158"/>
      <c r="BH13" s="158"/>
      <c r="BI13" s="158"/>
      <c r="BJ13" s="158"/>
      <c r="BK13" s="158"/>
      <c r="BL13" s="158"/>
      <c r="BM13" s="158"/>
      <c r="BN13" s="158"/>
      <c r="BO13" s="158"/>
      <c r="BP13" s="158"/>
      <c r="BQ13" s="158"/>
      <c r="BR13" s="158"/>
      <c r="BS13" s="158"/>
      <c r="BT13" s="158"/>
      <c r="BU13" s="158"/>
      <c r="BV13" s="158"/>
      <c r="BW13" s="158"/>
      <c r="BX13" s="158"/>
      <c r="BY13" s="158"/>
    </row>
    <row r="14" spans="1:78" x14ac:dyDescent="0.2">
      <c r="A14" s="153" t="s">
        <v>57</v>
      </c>
      <c r="B14" s="153" t="s">
        <v>5</v>
      </c>
      <c r="C14" s="153" t="s">
        <v>103</v>
      </c>
      <c r="D14" s="153" t="str">
        <f>Commodities!C$11</f>
        <v>NGAD0</v>
      </c>
      <c r="E14" s="153">
        <v>2010</v>
      </c>
      <c r="F14" s="183" t="e">
        <f>X14</f>
        <v>#REF!</v>
      </c>
      <c r="G14" s="180">
        <v>1.25</v>
      </c>
      <c r="H14" s="180">
        <v>1.1000000000000001</v>
      </c>
      <c r="I14" s="180">
        <v>1.1000000000000001</v>
      </c>
      <c r="J14" s="180">
        <v>1.1000000000000001</v>
      </c>
      <c r="K14" s="180">
        <v>1.01</v>
      </c>
      <c r="L14" s="181" t="e">
        <f>L11*'Domestic NG Prices'!$N$24</f>
        <v>#REF!</v>
      </c>
      <c r="M14" s="181" t="e">
        <f>M11*'Domestic NG Prices'!$N$24</f>
        <v>#REF!</v>
      </c>
      <c r="N14" s="181" t="e">
        <f>N11*'Domestic NG Prices'!$N$24</f>
        <v>#REF!</v>
      </c>
      <c r="O14" s="181" t="e">
        <f>O11*'Domestic NG Prices'!$N$24</f>
        <v>#REF!</v>
      </c>
      <c r="P14" s="181" t="e">
        <f>P11*'Domestic NG Prices'!$N$24</f>
        <v>#REF!</v>
      </c>
      <c r="Q14" s="181" t="e">
        <f>Q11*'Domestic NG Prices'!$N$24</f>
        <v>#REF!</v>
      </c>
      <c r="R14" s="181" t="e">
        <f>R11*'Domestic NG Prices'!$N$24</f>
        <v>#REF!</v>
      </c>
      <c r="S14" s="181">
        <f>S11*'Domestic NG Prices'!$N$24</f>
        <v>11.505599999999999</v>
      </c>
      <c r="T14" s="181">
        <f>T11*'Domestic NG Prices'!$N$24</f>
        <v>12.729600000000001</v>
      </c>
      <c r="U14" s="181">
        <f>U11*'Domestic NG Prices'!$N$24</f>
        <v>14.060699999999999</v>
      </c>
      <c r="V14" s="182" t="e">
        <f>X14/SUM($X$9:$X$14)*#REF!</f>
        <v>#REF!</v>
      </c>
      <c r="W14" s="182"/>
      <c r="X14" s="182" t="e">
        <f>#REF!</f>
        <v>#REF!</v>
      </c>
      <c r="Y14" s="182"/>
      <c r="Z14" s="182"/>
      <c r="AA14" s="182"/>
      <c r="AB14" s="158"/>
      <c r="AC14" s="158"/>
      <c r="AD14" s="158"/>
      <c r="AE14" s="158"/>
      <c r="AF14" s="158"/>
      <c r="AG14" s="158"/>
      <c r="AH14" s="158"/>
      <c r="AI14" s="158"/>
      <c r="AJ14" s="158"/>
      <c r="AK14" s="158"/>
      <c r="AL14" s="158"/>
      <c r="AM14" s="158"/>
      <c r="AN14" s="158"/>
      <c r="AO14" s="158"/>
      <c r="AP14" s="158"/>
      <c r="AQ14" s="158"/>
      <c r="AR14" s="158"/>
      <c r="AS14" s="158"/>
      <c r="AT14" s="158"/>
      <c r="AU14" s="158"/>
      <c r="AV14" s="158"/>
      <c r="AW14" s="158"/>
      <c r="AX14" s="158"/>
      <c r="AY14" s="158"/>
      <c r="AZ14" s="158"/>
      <c r="BA14" s="158"/>
      <c r="BB14" s="158"/>
      <c r="BC14" s="158"/>
      <c r="BD14" s="158"/>
      <c r="BE14" s="158"/>
      <c r="BF14" s="158"/>
      <c r="BG14" s="158"/>
      <c r="BH14" s="158"/>
      <c r="BI14" s="158"/>
      <c r="BJ14" s="158"/>
      <c r="BK14" s="158"/>
      <c r="BL14" s="158"/>
      <c r="BM14" s="158"/>
      <c r="BN14" s="158"/>
      <c r="BO14" s="158"/>
      <c r="BP14" s="158"/>
      <c r="BQ14" s="158"/>
      <c r="BR14" s="158"/>
      <c r="BS14" s="158"/>
      <c r="BT14" s="158"/>
      <c r="BU14" s="158"/>
      <c r="BV14" s="158"/>
      <c r="BW14" s="158"/>
      <c r="BX14" s="158"/>
      <c r="BY14" s="158"/>
    </row>
    <row r="15" spans="1:78" x14ac:dyDescent="0.2">
      <c r="A15" s="153" t="s">
        <v>127</v>
      </c>
      <c r="B15" s="153"/>
      <c r="C15" s="153"/>
      <c r="D15" s="153"/>
      <c r="E15" s="153"/>
      <c r="F15" s="180"/>
      <c r="G15" s="180"/>
      <c r="H15" s="180"/>
      <c r="I15" s="180"/>
      <c r="J15" s="180"/>
      <c r="K15" s="180"/>
      <c r="L15" s="181"/>
      <c r="M15" s="181"/>
      <c r="N15" s="181"/>
      <c r="O15" s="181"/>
      <c r="P15" s="181"/>
      <c r="Q15" s="181"/>
      <c r="R15" s="181"/>
      <c r="S15" s="181"/>
      <c r="T15" s="181"/>
      <c r="U15" s="181"/>
      <c r="V15" s="182"/>
      <c r="W15" s="182"/>
      <c r="X15" s="182"/>
      <c r="Y15" s="182"/>
      <c r="Z15" s="182"/>
      <c r="AA15" s="182"/>
      <c r="AB15" s="158"/>
      <c r="AC15" s="158"/>
      <c r="AD15" s="158"/>
      <c r="AE15" s="158"/>
      <c r="AF15" s="158"/>
      <c r="AG15" s="158"/>
      <c r="AH15" s="158"/>
      <c r="AI15" s="158"/>
      <c r="AJ15" s="158"/>
      <c r="AK15" s="158"/>
      <c r="AL15" s="158"/>
      <c r="AM15" s="158"/>
      <c r="AN15" s="158"/>
      <c r="AO15" s="158"/>
      <c r="AP15" s="158"/>
      <c r="AQ15" s="158"/>
      <c r="AR15" s="158"/>
      <c r="AS15" s="158"/>
      <c r="AT15" s="158"/>
      <c r="AU15" s="158"/>
      <c r="AV15" s="158"/>
      <c r="AW15" s="158"/>
      <c r="AX15" s="158"/>
      <c r="AY15" s="158"/>
      <c r="AZ15" s="158"/>
      <c r="BA15" s="158"/>
      <c r="BB15" s="158"/>
      <c r="BC15" s="158"/>
      <c r="BD15" s="158"/>
      <c r="BE15" s="158"/>
      <c r="BF15" s="158"/>
      <c r="BG15" s="158"/>
      <c r="BH15" s="158"/>
      <c r="BI15" s="158"/>
      <c r="BJ15" s="158"/>
      <c r="BK15" s="158"/>
      <c r="BL15" s="158"/>
      <c r="BM15" s="158"/>
      <c r="BN15" s="158"/>
      <c r="BO15" s="158"/>
      <c r="BP15" s="158"/>
      <c r="BQ15" s="158"/>
      <c r="BR15" s="158"/>
      <c r="BS15" s="158"/>
      <c r="BT15" s="158"/>
      <c r="BU15" s="158"/>
      <c r="BV15" s="158"/>
      <c r="BW15" s="158"/>
      <c r="BX15" s="158"/>
      <c r="BY15" s="158"/>
    </row>
    <row r="16" spans="1:78" x14ac:dyDescent="0.2">
      <c r="A16" s="153" t="s">
        <v>65</v>
      </c>
      <c r="B16" s="153" t="s">
        <v>0</v>
      </c>
      <c r="C16" s="153" t="s">
        <v>98</v>
      </c>
      <c r="D16" s="153" t="str">
        <f>Commodities!C$11</f>
        <v>NGAD0</v>
      </c>
      <c r="E16" s="153">
        <v>2010</v>
      </c>
      <c r="F16" s="180"/>
      <c r="G16" s="180">
        <v>1.25</v>
      </c>
      <c r="H16" s="180">
        <v>1.1000000000000001</v>
      </c>
      <c r="I16" s="180">
        <v>1.1000000000000001</v>
      </c>
      <c r="J16" s="180">
        <v>1.1000000000000001</v>
      </c>
      <c r="K16" s="180">
        <v>1.01</v>
      </c>
      <c r="L16" s="181" t="e">
        <f>L18*'Domestic NG Prices'!$N$19</f>
        <v>#REF!</v>
      </c>
      <c r="M16" s="181" t="e">
        <f>M18*'Domestic NG Prices'!$N$19</f>
        <v>#REF!</v>
      </c>
      <c r="N16" s="181" t="e">
        <f>N18*'Domestic NG Prices'!$N$19</f>
        <v>#REF!</v>
      </c>
      <c r="O16" s="181" t="e">
        <f>O18*'Domestic NG Prices'!$N$19</f>
        <v>#REF!</v>
      </c>
      <c r="P16" s="181" t="e">
        <f>P18*'Domestic NG Prices'!$N$19</f>
        <v>#REF!</v>
      </c>
      <c r="Q16" s="181" t="e">
        <f>Q18*'Domestic NG Prices'!$N$19</f>
        <v>#REF!</v>
      </c>
      <c r="R16" s="181" t="e">
        <f>R18*'Domestic NG Prices'!$N$19</f>
        <v>#REF!</v>
      </c>
      <c r="S16" s="181">
        <f>S18*'Domestic NG Prices'!$N$19</f>
        <v>6.5694774592287803</v>
      </c>
      <c r="T16" s="181">
        <f>T18*'Domestic NG Prices'!$N$19</f>
        <v>7.2594092468412237</v>
      </c>
      <c r="U16" s="181">
        <f>U18*'Domestic NG Prices'!$N$19</f>
        <v>8.0217982237068899</v>
      </c>
      <c r="V16" s="182">
        <v>0</v>
      </c>
      <c r="W16" s="182">
        <f>X16*0.9</f>
        <v>0</v>
      </c>
      <c r="X16" s="182">
        <v>0</v>
      </c>
      <c r="Y16" s="182">
        <v>0</v>
      </c>
      <c r="Z16" s="182">
        <v>0</v>
      </c>
      <c r="AA16" s="182">
        <f>Z16</f>
        <v>0</v>
      </c>
      <c r="AB16" s="158"/>
      <c r="AC16" s="158"/>
      <c r="AD16" s="158"/>
      <c r="AE16" s="158"/>
      <c r="AF16" s="158"/>
      <c r="AG16" s="158"/>
      <c r="AH16" s="158"/>
      <c r="AI16" s="158"/>
      <c r="AJ16" s="158"/>
      <c r="AK16" s="158"/>
      <c r="AL16" s="158"/>
      <c r="AM16" s="158"/>
      <c r="AN16" s="158"/>
      <c r="AO16" s="158"/>
      <c r="AP16" s="158"/>
      <c r="AQ16" s="158"/>
      <c r="AR16" s="158"/>
      <c r="AS16" s="158"/>
      <c r="AT16" s="158"/>
      <c r="AU16" s="158"/>
      <c r="AV16" s="158"/>
      <c r="AW16" s="158"/>
      <c r="AX16" s="158"/>
      <c r="AY16" s="158"/>
      <c r="AZ16" s="158"/>
      <c r="BA16" s="158"/>
      <c r="BB16" s="158"/>
      <c r="BC16" s="158"/>
      <c r="BD16" s="158"/>
      <c r="BE16" s="158"/>
      <c r="BF16" s="158"/>
      <c r="BG16" s="158"/>
      <c r="BH16" s="158"/>
      <c r="BI16" s="158"/>
      <c r="BJ16" s="158"/>
      <c r="BK16" s="158"/>
      <c r="BL16" s="158"/>
      <c r="BM16" s="158"/>
      <c r="BN16" s="158"/>
      <c r="BO16" s="158"/>
      <c r="BP16" s="158"/>
      <c r="BQ16" s="158"/>
      <c r="BR16" s="158"/>
      <c r="BS16" s="158"/>
      <c r="BT16" s="158"/>
      <c r="BU16" s="158"/>
      <c r="BV16" s="158"/>
      <c r="BW16" s="158"/>
      <c r="BX16" s="158"/>
      <c r="BY16" s="158"/>
    </row>
    <row r="17" spans="1:77" x14ac:dyDescent="0.2">
      <c r="A17" s="153" t="s">
        <v>65</v>
      </c>
      <c r="B17" s="153" t="s">
        <v>1</v>
      </c>
      <c r="C17" s="153" t="s">
        <v>99</v>
      </c>
      <c r="D17" s="153" t="str">
        <f>Commodities!C$11</f>
        <v>NGAD0</v>
      </c>
      <c r="E17" s="153">
        <v>2010</v>
      </c>
      <c r="F17" s="180"/>
      <c r="G17" s="180">
        <v>1.25</v>
      </c>
      <c r="H17" s="180">
        <v>1.1000000000000001</v>
      </c>
      <c r="I17" s="180">
        <v>1.1000000000000001</v>
      </c>
      <c r="J17" s="180">
        <v>1.1000000000000001</v>
      </c>
      <c r="K17" s="180">
        <v>1.01</v>
      </c>
      <c r="L17" s="181" t="e">
        <f>L18*'Domestic NG Prices'!$N$20</f>
        <v>#REF!</v>
      </c>
      <c r="M17" s="181" t="e">
        <f>M18*'Domestic NG Prices'!$N$20</f>
        <v>#REF!</v>
      </c>
      <c r="N17" s="181" t="e">
        <f>N18*'Domestic NG Prices'!$N$20</f>
        <v>#REF!</v>
      </c>
      <c r="O17" s="181" t="e">
        <f>O18*'Domestic NG Prices'!$N$20</f>
        <v>#REF!</v>
      </c>
      <c r="P17" s="181" t="e">
        <f>P18*'Domestic NG Prices'!$N$20</f>
        <v>#REF!</v>
      </c>
      <c r="Q17" s="181" t="e">
        <f>Q18*'Domestic NG Prices'!$N$20</f>
        <v>#REF!</v>
      </c>
      <c r="R17" s="181" t="e">
        <f>R18*'Domestic NG Prices'!$N$20</f>
        <v>#REF!</v>
      </c>
      <c r="S17" s="181">
        <f>S18*'Domestic NG Prices'!$N$20</f>
        <v>7.092049529849251</v>
      </c>
      <c r="T17" s="181">
        <f>T18*'Domestic NG Prices'!$N$20</f>
        <v>7.8368622551126847</v>
      </c>
      <c r="U17" s="181">
        <f>U18*'Domestic NG Prices'!$N$20</f>
        <v>8.6598958096835723</v>
      </c>
      <c r="V17" s="182">
        <v>0</v>
      </c>
      <c r="W17" s="182">
        <f>X17*0.9</f>
        <v>0</v>
      </c>
      <c r="X17" s="182">
        <v>0</v>
      </c>
      <c r="Y17" s="182">
        <v>0</v>
      </c>
      <c r="Z17" s="182">
        <v>0</v>
      </c>
      <c r="AA17" s="182">
        <f>Z17</f>
        <v>0</v>
      </c>
      <c r="AB17" s="158"/>
      <c r="AC17" s="158"/>
      <c r="AD17" s="158"/>
      <c r="AE17" s="158"/>
      <c r="AF17" s="158"/>
      <c r="AG17" s="158"/>
      <c r="AH17" s="158"/>
      <c r="AI17" s="158"/>
      <c r="AJ17" s="158"/>
      <c r="AK17" s="158"/>
      <c r="AL17" s="158"/>
      <c r="AM17" s="158"/>
      <c r="AN17" s="158"/>
      <c r="AO17" s="158"/>
      <c r="AP17" s="158"/>
      <c r="AQ17" s="158"/>
      <c r="AR17" s="158"/>
      <c r="AS17" s="158"/>
      <c r="AT17" s="158"/>
      <c r="AU17" s="158"/>
      <c r="AV17" s="158"/>
      <c r="AW17" s="158"/>
      <c r="AX17" s="158"/>
      <c r="AY17" s="158"/>
      <c r="AZ17" s="158"/>
      <c r="BA17" s="158"/>
      <c r="BB17" s="158"/>
      <c r="BC17" s="158"/>
      <c r="BD17" s="158"/>
      <c r="BE17" s="158"/>
      <c r="BF17" s="158"/>
      <c r="BG17" s="158"/>
      <c r="BH17" s="158"/>
      <c r="BI17" s="158"/>
      <c r="BJ17" s="158"/>
      <c r="BK17" s="158"/>
      <c r="BL17" s="158"/>
      <c r="BM17" s="158"/>
      <c r="BN17" s="158"/>
      <c r="BO17" s="158"/>
      <c r="BP17" s="158"/>
      <c r="BQ17" s="158"/>
      <c r="BR17" s="158"/>
      <c r="BS17" s="158"/>
      <c r="BT17" s="158"/>
      <c r="BU17" s="158"/>
      <c r="BV17" s="158"/>
      <c r="BW17" s="158"/>
      <c r="BX17" s="158"/>
      <c r="BY17" s="158"/>
    </row>
    <row r="18" spans="1:77" x14ac:dyDescent="0.2">
      <c r="A18" s="153" t="s">
        <v>65</v>
      </c>
      <c r="B18" s="153" t="s">
        <v>2</v>
      </c>
      <c r="C18" s="153" t="s">
        <v>100</v>
      </c>
      <c r="D18" s="153" t="str">
        <f>Commodities!C$11</f>
        <v>NGAD0</v>
      </c>
      <c r="E18" s="153">
        <v>2010</v>
      </c>
      <c r="F18" s="180"/>
      <c r="G18" s="180">
        <v>1.25</v>
      </c>
      <c r="H18" s="180">
        <v>1.1000000000000001</v>
      </c>
      <c r="I18" s="180">
        <v>1.1000000000000001</v>
      </c>
      <c r="J18" s="180">
        <v>1.1000000000000001</v>
      </c>
      <c r="K18" s="180">
        <v>1.01</v>
      </c>
      <c r="L18" s="181" t="e">
        <f>'Domestic NG Prices'!N42*'Domestic NG Prices'!$P$27*#REF!</f>
        <v>#REF!</v>
      </c>
      <c r="M18" s="181" t="e">
        <f>'Domestic NG Prices'!O42*'Domestic NG Prices'!$P$27*#REF!*M8</f>
        <v>#REF!</v>
      </c>
      <c r="N18" s="181" t="e">
        <f>'Domestic NG Prices'!P42*'Domestic NG Prices'!$P$27*#REF!*N8</f>
        <v>#REF!</v>
      </c>
      <c r="O18" s="181" t="e">
        <f>'Domestic NG Prices'!Q42*'Domestic NG Prices'!$P$27*#REF!*O8</f>
        <v>#REF!</v>
      </c>
      <c r="P18" s="181" t="e">
        <f>'Domestic NG Prices'!R42*'Domestic NG Prices'!$P$27*#REF!*P8</f>
        <v>#REF!</v>
      </c>
      <c r="Q18" s="181" t="e">
        <f>'Domestic NG Prices'!S42*'Domestic NG Prices'!$P$27*#REF!*Q8</f>
        <v>#REF!</v>
      </c>
      <c r="R18" s="181" t="e">
        <f>'Domestic NG Prices'!T42*'Domestic NG Prices'!$P$27*#REF!*R8</f>
        <v>#REF!</v>
      </c>
      <c r="S18" s="181">
        <f>7.46531529457816*S8</f>
        <v>7.4653152945781596</v>
      </c>
      <c r="T18" s="181">
        <f>8.2493286895923*T8</f>
        <v>8.2493286895922999</v>
      </c>
      <c r="U18" s="181">
        <f>9.11567979966692*U8</f>
        <v>9.1156797996669194</v>
      </c>
      <c r="V18" s="182">
        <v>0</v>
      </c>
      <c r="W18" s="182">
        <f>X18*0.9</f>
        <v>0</v>
      </c>
      <c r="X18" s="182">
        <v>0</v>
      </c>
      <c r="Y18" s="182">
        <v>0</v>
      </c>
      <c r="Z18" s="182">
        <v>0</v>
      </c>
      <c r="AA18" s="182">
        <f t="shared" ref="AA18:AA21" si="0">Z18</f>
        <v>0</v>
      </c>
      <c r="AB18" s="158"/>
      <c r="AC18" s="158"/>
      <c r="AD18" s="158"/>
      <c r="AE18" s="158"/>
      <c r="AF18" s="158"/>
      <c r="AG18" s="158"/>
      <c r="AH18" s="158"/>
      <c r="AI18" s="158"/>
      <c r="AJ18" s="158"/>
      <c r="AK18" s="158"/>
      <c r="AL18" s="158"/>
      <c r="AM18" s="158"/>
      <c r="AN18" s="158"/>
      <c r="AO18" s="158"/>
      <c r="AP18" s="158"/>
      <c r="AQ18" s="158"/>
      <c r="AR18" s="158"/>
      <c r="AS18" s="158"/>
      <c r="AT18" s="158"/>
      <c r="AU18" s="158"/>
      <c r="AV18" s="158"/>
      <c r="AW18" s="158"/>
      <c r="AX18" s="158"/>
      <c r="AY18" s="158"/>
      <c r="AZ18" s="158"/>
      <c r="BA18" s="158"/>
      <c r="BB18" s="158"/>
      <c r="BC18" s="158"/>
      <c r="BD18" s="158"/>
      <c r="BE18" s="158"/>
      <c r="BF18" s="158"/>
      <c r="BG18" s="158"/>
      <c r="BH18" s="158"/>
      <c r="BI18" s="158"/>
      <c r="BJ18" s="158"/>
      <c r="BK18" s="158"/>
      <c r="BL18" s="158"/>
      <c r="BM18" s="158"/>
      <c r="BN18" s="158"/>
      <c r="BO18" s="158"/>
      <c r="BP18" s="158"/>
      <c r="BQ18" s="158"/>
      <c r="BR18" s="158"/>
      <c r="BS18" s="158"/>
      <c r="BT18" s="158"/>
      <c r="BU18" s="158"/>
      <c r="BV18" s="158"/>
      <c r="BW18" s="158"/>
      <c r="BX18" s="158"/>
      <c r="BY18" s="158"/>
    </row>
    <row r="19" spans="1:77" x14ac:dyDescent="0.2">
      <c r="A19" s="153" t="s">
        <v>65</v>
      </c>
      <c r="B19" s="153" t="s">
        <v>3</v>
      </c>
      <c r="C19" s="153" t="s">
        <v>101</v>
      </c>
      <c r="D19" s="153" t="str">
        <f>Commodities!C$11</f>
        <v>NGAD0</v>
      </c>
      <c r="E19" s="153">
        <v>2010</v>
      </c>
      <c r="F19" s="183"/>
      <c r="G19" s="180">
        <v>1.25</v>
      </c>
      <c r="H19" s="180">
        <v>1.1000000000000001</v>
      </c>
      <c r="I19" s="180">
        <v>1.1000000000000001</v>
      </c>
      <c r="J19" s="180">
        <v>1.1000000000000001</v>
      </c>
      <c r="K19" s="180">
        <v>1.01</v>
      </c>
      <c r="L19" s="181" t="e">
        <f>L18*'Domestic NG Prices'!$N$22</f>
        <v>#REF!</v>
      </c>
      <c r="M19" s="181" t="e">
        <f>M18*'Domestic NG Prices'!$N$22</f>
        <v>#REF!</v>
      </c>
      <c r="N19" s="181" t="e">
        <f>N18*'Domestic NG Prices'!$N$22</f>
        <v>#REF!</v>
      </c>
      <c r="O19" s="181" t="e">
        <f>O18*'Domestic NG Prices'!$N$22</f>
        <v>#REF!</v>
      </c>
      <c r="P19" s="181" t="e">
        <f>P18*'Domestic NG Prices'!$N$22</f>
        <v>#REF!</v>
      </c>
      <c r="Q19" s="181" t="e">
        <f>Q18*'Domestic NG Prices'!$N$22</f>
        <v>#REF!</v>
      </c>
      <c r="R19" s="181" t="e">
        <f>R18*'Domestic NG Prices'!$N$22</f>
        <v>#REF!</v>
      </c>
      <c r="S19" s="181">
        <f>S18*'Domestic NG Prices'!$N$22</f>
        <v>8.062540518144413</v>
      </c>
      <c r="T19" s="181">
        <f>T18*'Domestic NG Prices'!$N$22</f>
        <v>8.9092749847596853</v>
      </c>
      <c r="U19" s="181">
        <f>U18*'Domestic NG Prices'!$N$22</f>
        <v>9.8449341836402731</v>
      </c>
      <c r="V19" s="182">
        <v>0</v>
      </c>
      <c r="W19" s="182">
        <f>X19*0.9</f>
        <v>0</v>
      </c>
      <c r="X19" s="182">
        <v>0</v>
      </c>
      <c r="Y19" s="182">
        <v>0</v>
      </c>
      <c r="Z19" s="182">
        <v>0</v>
      </c>
      <c r="AA19" s="182">
        <f t="shared" si="0"/>
        <v>0</v>
      </c>
      <c r="AB19" s="158"/>
      <c r="AC19" s="158"/>
      <c r="AD19" s="158"/>
      <c r="AE19" s="158"/>
      <c r="AF19" s="158"/>
      <c r="AG19" s="158"/>
      <c r="AH19" s="158"/>
      <c r="AI19" s="158"/>
      <c r="AJ19" s="158"/>
      <c r="AK19" s="158"/>
      <c r="AL19" s="158"/>
      <c r="AM19" s="158"/>
      <c r="AN19" s="158"/>
      <c r="AO19" s="158"/>
      <c r="AP19" s="158"/>
      <c r="AQ19" s="158"/>
      <c r="AR19" s="158"/>
      <c r="AS19" s="158"/>
      <c r="AT19" s="158"/>
      <c r="AU19" s="158"/>
      <c r="AV19" s="158"/>
      <c r="AW19" s="158"/>
      <c r="AX19" s="158"/>
      <c r="AY19" s="158"/>
      <c r="AZ19" s="158"/>
      <c r="BA19" s="158"/>
      <c r="BB19" s="158"/>
      <c r="BC19" s="158"/>
      <c r="BD19" s="158"/>
      <c r="BE19" s="158"/>
      <c r="BF19" s="158"/>
      <c r="BG19" s="158"/>
      <c r="BH19" s="158"/>
      <c r="BI19" s="158"/>
      <c r="BJ19" s="158"/>
      <c r="BK19" s="158"/>
      <c r="BL19" s="158"/>
      <c r="BM19" s="158"/>
      <c r="BN19" s="158"/>
      <c r="BO19" s="158"/>
      <c r="BP19" s="158"/>
      <c r="BQ19" s="158"/>
      <c r="BR19" s="158"/>
      <c r="BS19" s="158"/>
      <c r="BT19" s="158"/>
      <c r="BU19" s="158"/>
      <c r="BV19" s="158"/>
      <c r="BW19" s="158"/>
      <c r="BX19" s="158"/>
      <c r="BY19" s="158"/>
    </row>
    <row r="20" spans="1:77" x14ac:dyDescent="0.2">
      <c r="A20" s="153" t="s">
        <v>65</v>
      </c>
      <c r="B20" s="153" t="s">
        <v>4</v>
      </c>
      <c r="C20" s="153" t="s">
        <v>102</v>
      </c>
      <c r="D20" s="153" t="str">
        <f>Commodities!C$11</f>
        <v>NGAD0</v>
      </c>
      <c r="E20" s="153">
        <v>2010</v>
      </c>
      <c r="F20" s="183">
        <f>X20</f>
        <v>0</v>
      </c>
      <c r="G20" s="180">
        <v>1.25</v>
      </c>
      <c r="H20" s="180">
        <v>1.1000000000000001</v>
      </c>
      <c r="I20" s="180">
        <v>1.1000000000000001</v>
      </c>
      <c r="J20" s="180">
        <v>1.1000000000000001</v>
      </c>
      <c r="K20" s="180">
        <v>1.01</v>
      </c>
      <c r="L20" s="181" t="e">
        <f>L18*'Domestic NG Prices'!$N$23</f>
        <v>#REF!</v>
      </c>
      <c r="M20" s="181" t="e">
        <f>M18*'Domestic NG Prices'!$N$23</f>
        <v>#REF!</v>
      </c>
      <c r="N20" s="181" t="e">
        <f>N18*'Domestic NG Prices'!$N$23</f>
        <v>#REF!</v>
      </c>
      <c r="O20" s="181" t="e">
        <f>O18*'Domestic NG Prices'!$N$23</f>
        <v>#REF!</v>
      </c>
      <c r="P20" s="181" t="e">
        <f>P18*'Domestic NG Prices'!$N$23</f>
        <v>#REF!</v>
      </c>
      <c r="Q20" s="181" t="e">
        <f>Q18*'Domestic NG Prices'!$N$23</f>
        <v>#REF!</v>
      </c>
      <c r="R20" s="181" t="e">
        <f>R18*'Domestic NG Prices'!$N$23</f>
        <v>#REF!</v>
      </c>
      <c r="S20" s="181">
        <f>S18*'Domestic NG Prices'!$N$23</f>
        <v>8.3611531299275388</v>
      </c>
      <c r="T20" s="181">
        <f>T18*'Domestic NG Prices'!$N$23</f>
        <v>9.2392481323433771</v>
      </c>
      <c r="U20" s="181">
        <f>U18*'Domestic NG Prices'!$N$23</f>
        <v>10.209561375626951</v>
      </c>
      <c r="V20" s="182">
        <v>0</v>
      </c>
      <c r="W20" s="182">
        <f t="shared" ref="W20:W21" si="1">X20*0.9</f>
        <v>0</v>
      </c>
      <c r="X20" s="182">
        <v>0</v>
      </c>
      <c r="Y20" s="182">
        <v>0</v>
      </c>
      <c r="Z20" s="182">
        <v>0</v>
      </c>
      <c r="AA20" s="182">
        <f t="shared" si="0"/>
        <v>0</v>
      </c>
      <c r="AB20" s="158"/>
      <c r="AC20" s="158"/>
      <c r="AD20" s="158"/>
      <c r="AE20" s="158"/>
      <c r="AF20" s="158"/>
      <c r="AG20" s="158"/>
      <c r="AH20" s="158"/>
      <c r="AI20" s="158"/>
      <c r="AJ20" s="158"/>
      <c r="AK20" s="158"/>
      <c r="AL20" s="158"/>
      <c r="AM20" s="158"/>
      <c r="AN20" s="158"/>
      <c r="AO20" s="158"/>
      <c r="AP20" s="158"/>
      <c r="AQ20" s="158"/>
      <c r="AR20" s="158"/>
      <c r="AS20" s="158"/>
      <c r="AT20" s="158"/>
      <c r="AU20" s="158"/>
      <c r="AV20" s="158"/>
      <c r="AW20" s="158"/>
      <c r="AX20" s="158"/>
      <c r="AY20" s="158"/>
      <c r="AZ20" s="158"/>
      <c r="BA20" s="158"/>
      <c r="BB20" s="158"/>
      <c r="BC20" s="158"/>
      <c r="BD20" s="158"/>
      <c r="BE20" s="158"/>
      <c r="BF20" s="158"/>
      <c r="BG20" s="158"/>
      <c r="BH20" s="158"/>
      <c r="BI20" s="158"/>
      <c r="BJ20" s="158"/>
      <c r="BK20" s="158"/>
      <c r="BL20" s="158"/>
      <c r="BM20" s="158"/>
      <c r="BN20" s="158"/>
      <c r="BO20" s="158"/>
      <c r="BP20" s="158"/>
      <c r="BQ20" s="158"/>
      <c r="BR20" s="158"/>
      <c r="BS20" s="158"/>
      <c r="BT20" s="158"/>
      <c r="BU20" s="158"/>
      <c r="BV20" s="158"/>
      <c r="BW20" s="158"/>
      <c r="BX20" s="158"/>
      <c r="BY20" s="158"/>
    </row>
    <row r="21" spans="1:77" x14ac:dyDescent="0.2">
      <c r="A21" s="153" t="s">
        <v>65</v>
      </c>
      <c r="B21" s="153" t="s">
        <v>5</v>
      </c>
      <c r="C21" s="153" t="s">
        <v>103</v>
      </c>
      <c r="D21" s="153" t="str">
        <f>Commodities!C$11</f>
        <v>NGAD0</v>
      </c>
      <c r="E21" s="153">
        <v>2010</v>
      </c>
      <c r="F21" s="183">
        <f>X21</f>
        <v>0</v>
      </c>
      <c r="G21" s="180">
        <v>1.25</v>
      </c>
      <c r="H21" s="180">
        <v>1.1000000000000001</v>
      </c>
      <c r="I21" s="180">
        <v>1.1000000000000001</v>
      </c>
      <c r="J21" s="180">
        <v>1.1000000000000001</v>
      </c>
      <c r="K21" s="180">
        <v>1.01</v>
      </c>
      <c r="L21" s="181" t="e">
        <f>L18*'Domestic NG Prices'!$N$24</f>
        <v>#REF!</v>
      </c>
      <c r="M21" s="181" t="e">
        <f>M18*'Domestic NG Prices'!$N$24</f>
        <v>#REF!</v>
      </c>
      <c r="N21" s="181" t="e">
        <f>N18*'Domestic NG Prices'!$N$24</f>
        <v>#REF!</v>
      </c>
      <c r="O21" s="181" t="e">
        <f>O18*'Domestic NG Prices'!$N$24</f>
        <v>#REF!</v>
      </c>
      <c r="P21" s="181" t="e">
        <f>P18*'Domestic NG Prices'!$N$24</f>
        <v>#REF!</v>
      </c>
      <c r="Q21" s="181" t="e">
        <f>Q18*'Domestic NG Prices'!$N$24</f>
        <v>#REF!</v>
      </c>
      <c r="R21" s="181" t="e">
        <f>R18*'Domestic NG Prices'!$N$24</f>
        <v>#REF!</v>
      </c>
      <c r="S21" s="181">
        <f>S18*'Domestic NG Prices'!$N$24</f>
        <v>11.421932400704584</v>
      </c>
      <c r="T21" s="181">
        <f>T18*'Domestic NG Prices'!$N$24</f>
        <v>12.621472895076218</v>
      </c>
      <c r="U21" s="181">
        <f>U18*'Domestic NG Prices'!$N$24</f>
        <v>13.946990093490387</v>
      </c>
      <c r="V21" s="182">
        <v>0</v>
      </c>
      <c r="W21" s="182">
        <f t="shared" si="1"/>
        <v>0</v>
      </c>
      <c r="X21" s="182">
        <v>0</v>
      </c>
      <c r="Y21" s="182">
        <v>0</v>
      </c>
      <c r="Z21" s="182">
        <v>0</v>
      </c>
      <c r="AA21" s="182">
        <f t="shared" si="0"/>
        <v>0</v>
      </c>
      <c r="AB21" s="158"/>
      <c r="AC21" s="158"/>
      <c r="AD21" s="158"/>
      <c r="AE21" s="158"/>
      <c r="AF21" s="158"/>
      <c r="AG21" s="158"/>
      <c r="AH21" s="158"/>
      <c r="AI21" s="158"/>
      <c r="AJ21" s="158"/>
      <c r="AK21" s="158"/>
      <c r="AL21" s="158"/>
      <c r="AM21" s="158"/>
      <c r="AN21" s="158"/>
      <c r="AO21" s="158"/>
      <c r="AP21" s="158"/>
      <c r="AQ21" s="158"/>
      <c r="AR21" s="158"/>
      <c r="AS21" s="158"/>
      <c r="AT21" s="158"/>
      <c r="AU21" s="158"/>
      <c r="AV21" s="158"/>
      <c r="AW21" s="158"/>
      <c r="AX21" s="158"/>
      <c r="AY21" s="158"/>
      <c r="AZ21" s="158"/>
      <c r="BA21" s="158"/>
      <c r="BB21" s="158"/>
      <c r="BC21" s="158"/>
      <c r="BD21" s="158"/>
      <c r="BE21" s="158"/>
      <c r="BF21" s="158"/>
      <c r="BG21" s="158"/>
      <c r="BH21" s="158"/>
      <c r="BI21" s="158"/>
      <c r="BJ21" s="158"/>
      <c r="BK21" s="158"/>
      <c r="BL21" s="158"/>
      <c r="BM21" s="158"/>
      <c r="BN21" s="158"/>
      <c r="BO21" s="158"/>
      <c r="BP21" s="158"/>
      <c r="BQ21" s="158"/>
      <c r="BR21" s="158"/>
      <c r="BS21" s="158"/>
      <c r="BT21" s="158"/>
      <c r="BU21" s="158"/>
      <c r="BV21" s="158"/>
      <c r="BW21" s="158"/>
      <c r="BX21" s="158"/>
      <c r="BY21" s="158"/>
    </row>
    <row r="22" spans="1:77" x14ac:dyDescent="0.2">
      <c r="A22" s="153" t="s">
        <v>127</v>
      </c>
      <c r="B22" s="153"/>
      <c r="C22" s="153"/>
      <c r="D22" s="153"/>
      <c r="E22" s="153"/>
      <c r="F22" s="180"/>
      <c r="G22" s="180"/>
      <c r="H22" s="180"/>
      <c r="I22" s="180"/>
      <c r="J22" s="180"/>
      <c r="K22" s="180"/>
      <c r="L22" s="181"/>
      <c r="M22" s="181"/>
      <c r="N22" s="181"/>
      <c r="O22" s="181"/>
      <c r="P22" s="181"/>
      <c r="Q22" s="181"/>
      <c r="R22" s="181"/>
      <c r="S22" s="181"/>
      <c r="T22" s="181"/>
      <c r="U22" s="181"/>
      <c r="V22" s="182"/>
      <c r="W22" s="182"/>
      <c r="X22" s="182"/>
      <c r="Y22" s="182"/>
      <c r="Z22" s="182"/>
      <c r="AA22" s="182"/>
      <c r="AB22" s="158"/>
      <c r="AC22" s="158"/>
      <c r="AD22" s="158"/>
      <c r="AE22" s="158"/>
      <c r="AF22" s="158"/>
      <c r="AG22" s="158"/>
      <c r="AH22" s="158"/>
      <c r="AI22" s="158"/>
      <c r="AJ22" s="158"/>
      <c r="AK22" s="158"/>
      <c r="AL22" s="158"/>
      <c r="AM22" s="158"/>
      <c r="AN22" s="158"/>
      <c r="AO22" s="158"/>
      <c r="AP22" s="158"/>
      <c r="AQ22" s="158"/>
      <c r="AR22" s="158"/>
      <c r="AS22" s="158"/>
      <c r="AT22" s="158"/>
      <c r="AU22" s="158"/>
      <c r="AV22" s="158"/>
      <c r="AW22" s="158"/>
      <c r="AX22" s="158"/>
      <c r="AY22" s="158"/>
      <c r="AZ22" s="158"/>
      <c r="BA22" s="158"/>
      <c r="BB22" s="158"/>
      <c r="BC22" s="158"/>
      <c r="BD22" s="158"/>
      <c r="BE22" s="158"/>
      <c r="BF22" s="158"/>
      <c r="BG22" s="158"/>
      <c r="BH22" s="158"/>
      <c r="BI22" s="158"/>
      <c r="BJ22" s="158"/>
      <c r="BK22" s="158"/>
      <c r="BL22" s="158"/>
      <c r="BM22" s="158"/>
      <c r="BN22" s="158"/>
      <c r="BO22" s="158"/>
      <c r="BP22" s="158"/>
      <c r="BQ22" s="158"/>
      <c r="BR22" s="158"/>
      <c r="BS22" s="158"/>
      <c r="BT22" s="158"/>
      <c r="BU22" s="158"/>
      <c r="BV22" s="158"/>
      <c r="BW22" s="158"/>
      <c r="BX22" s="158"/>
      <c r="BY22" s="158"/>
    </row>
    <row r="23" spans="1:77" x14ac:dyDescent="0.2">
      <c r="A23" s="153" t="s">
        <v>62</v>
      </c>
      <c r="B23" s="153" t="s">
        <v>0</v>
      </c>
      <c r="C23" s="153" t="s">
        <v>98</v>
      </c>
      <c r="D23" s="153" t="str">
        <f>Commodities!C$11</f>
        <v>NGAD0</v>
      </c>
      <c r="E23" s="153">
        <v>2010</v>
      </c>
      <c r="F23" s="180"/>
      <c r="G23" s="180">
        <v>1.25</v>
      </c>
      <c r="H23" s="180">
        <v>1.1000000000000001</v>
      </c>
      <c r="I23" s="180">
        <v>1.1000000000000001</v>
      </c>
      <c r="J23" s="180">
        <v>1.1000000000000001</v>
      </c>
      <c r="K23" s="180">
        <v>1.01</v>
      </c>
      <c r="L23" s="181" t="e">
        <f>L25*'Domestic NG Prices'!$N$19</f>
        <v>#REF!</v>
      </c>
      <c r="M23" s="181" t="e">
        <f>M25*'Domestic NG Prices'!$N$19</f>
        <v>#REF!</v>
      </c>
      <c r="N23" s="181" t="e">
        <f>N25*'Domestic NG Prices'!$N$19</f>
        <v>#REF!</v>
      </c>
      <c r="O23" s="181" t="e">
        <f>O25*'Domestic NG Prices'!$N$19</f>
        <v>#REF!</v>
      </c>
      <c r="P23" s="181" t="e">
        <f>P25*'Domestic NG Prices'!$N$19</f>
        <v>#REF!</v>
      </c>
      <c r="Q23" s="181" t="e">
        <f>Q25*'Domestic NG Prices'!$N$19</f>
        <v>#REF!</v>
      </c>
      <c r="R23" s="181" t="e">
        <f>R25*'Domestic NG Prices'!$N$19</f>
        <v>#REF!</v>
      </c>
      <c r="S23" s="181">
        <f>S25*'Domestic NG Prices'!$N$19</f>
        <v>6.0617197321523664</v>
      </c>
      <c r="T23" s="181">
        <f>T25*'Domestic NG Prices'!$N$19</f>
        <v>6.6983263963451796</v>
      </c>
      <c r="U23" s="181">
        <f>U25*'Domestic NG Prices'!$N$19</f>
        <v>7.4017900025944066</v>
      </c>
      <c r="V23" s="182">
        <v>0</v>
      </c>
      <c r="W23" s="182">
        <f>X23*0.9</f>
        <v>0</v>
      </c>
      <c r="X23" s="182">
        <v>0</v>
      </c>
      <c r="Y23" s="182">
        <v>0</v>
      </c>
      <c r="Z23" s="182">
        <v>0</v>
      </c>
      <c r="AA23" s="182">
        <f>Z23</f>
        <v>0</v>
      </c>
      <c r="AB23" s="158"/>
      <c r="AC23" s="158"/>
      <c r="AD23" s="158"/>
      <c r="AE23" s="158"/>
      <c r="AF23" s="158"/>
      <c r="AG23" s="158"/>
      <c r="AH23" s="158"/>
      <c r="AI23" s="158"/>
      <c r="AJ23" s="158"/>
      <c r="AK23" s="158"/>
      <c r="AL23" s="158"/>
      <c r="AM23" s="158"/>
      <c r="AN23" s="158"/>
      <c r="AO23" s="158"/>
      <c r="AP23" s="158"/>
      <c r="AQ23" s="158"/>
      <c r="AR23" s="158"/>
      <c r="AS23" s="158"/>
      <c r="AT23" s="158"/>
      <c r="AU23" s="158"/>
      <c r="AV23" s="158"/>
      <c r="AW23" s="158"/>
      <c r="AX23" s="158"/>
      <c r="AY23" s="158"/>
      <c r="AZ23" s="158"/>
      <c r="BA23" s="158"/>
      <c r="BB23" s="158"/>
      <c r="BC23" s="158"/>
      <c r="BD23" s="158"/>
      <c r="BE23" s="158"/>
      <c r="BF23" s="158"/>
      <c r="BG23" s="158"/>
      <c r="BH23" s="158"/>
      <c r="BI23" s="158"/>
      <c r="BJ23" s="158"/>
      <c r="BK23" s="158"/>
      <c r="BL23" s="158"/>
      <c r="BM23" s="158"/>
      <c r="BN23" s="158"/>
      <c r="BO23" s="158"/>
      <c r="BP23" s="158"/>
      <c r="BQ23" s="158"/>
      <c r="BR23" s="158"/>
      <c r="BS23" s="158"/>
      <c r="BT23" s="158"/>
      <c r="BU23" s="158"/>
      <c r="BV23" s="158"/>
      <c r="BW23" s="158"/>
      <c r="BX23" s="158"/>
      <c r="BY23" s="158"/>
    </row>
    <row r="24" spans="1:77" x14ac:dyDescent="0.2">
      <c r="A24" s="153" t="s">
        <v>62</v>
      </c>
      <c r="B24" s="153" t="s">
        <v>1</v>
      </c>
      <c r="C24" s="153" t="s">
        <v>99</v>
      </c>
      <c r="D24" s="153" t="str">
        <f>Commodities!C$11</f>
        <v>NGAD0</v>
      </c>
      <c r="E24" s="153">
        <v>2010</v>
      </c>
      <c r="F24" s="180"/>
      <c r="G24" s="180">
        <v>1.25</v>
      </c>
      <c r="H24" s="180">
        <v>1.1000000000000001</v>
      </c>
      <c r="I24" s="180">
        <v>1.1000000000000001</v>
      </c>
      <c r="J24" s="180">
        <v>1.1000000000000001</v>
      </c>
      <c r="K24" s="180">
        <v>1.01</v>
      </c>
      <c r="L24" s="181" t="e">
        <f>L25*'Domestic NG Prices'!$N$20</f>
        <v>#REF!</v>
      </c>
      <c r="M24" s="181" t="e">
        <f>M25*'Domestic NG Prices'!$N$20</f>
        <v>#REF!</v>
      </c>
      <c r="N24" s="181" t="e">
        <f>N25*'Domestic NG Prices'!$N$20</f>
        <v>#REF!</v>
      </c>
      <c r="O24" s="181" t="e">
        <f>O25*'Domestic NG Prices'!$N$20</f>
        <v>#REF!</v>
      </c>
      <c r="P24" s="181" t="e">
        <f>P25*'Domestic NG Prices'!$N$20</f>
        <v>#REF!</v>
      </c>
      <c r="Q24" s="181" t="e">
        <f>Q25*'Domestic NG Prices'!$N$20</f>
        <v>#REF!</v>
      </c>
      <c r="R24" s="181" t="e">
        <f>R25*'Domestic NG Prices'!$N$20</f>
        <v>#REF!</v>
      </c>
      <c r="S24" s="181">
        <f>S25*'Domestic NG Prices'!$N$20</f>
        <v>6.5439019835735763</v>
      </c>
      <c r="T24" s="181">
        <f>T25*'Domestic NG Prices'!$N$20</f>
        <v>7.2311478142362731</v>
      </c>
      <c r="U24" s="181">
        <f>U25*'Domestic NG Prices'!$N$20</f>
        <v>7.9905687528007796</v>
      </c>
      <c r="V24" s="182">
        <v>0</v>
      </c>
      <c r="W24" s="182">
        <f>X24*0.9</f>
        <v>0</v>
      </c>
      <c r="X24" s="182">
        <v>0</v>
      </c>
      <c r="Y24" s="182">
        <v>0</v>
      </c>
      <c r="Z24" s="182">
        <v>0</v>
      </c>
      <c r="AA24" s="182">
        <f t="shared" ref="AA24:AA27" si="2">Z24</f>
        <v>0</v>
      </c>
      <c r="AB24" s="158"/>
      <c r="AC24" s="158"/>
      <c r="AD24" s="158"/>
      <c r="AE24" s="158"/>
      <c r="AF24" s="158"/>
      <c r="AG24" s="158"/>
      <c r="AH24" s="158"/>
      <c r="AI24" s="158"/>
      <c r="AJ24" s="158"/>
      <c r="AK24" s="158"/>
      <c r="AL24" s="158"/>
      <c r="AM24" s="158"/>
      <c r="AN24" s="158"/>
      <c r="AO24" s="158"/>
      <c r="AP24" s="158"/>
      <c r="AQ24" s="158"/>
      <c r="AR24" s="158"/>
      <c r="AS24" s="158"/>
      <c r="AT24" s="158"/>
      <c r="AU24" s="158"/>
      <c r="AV24" s="158"/>
      <c r="AW24" s="158"/>
      <c r="AX24" s="158"/>
      <c r="AY24" s="158"/>
      <c r="AZ24" s="158"/>
      <c r="BA24" s="158"/>
      <c r="BB24" s="158"/>
      <c r="BC24" s="158"/>
      <c r="BD24" s="158"/>
      <c r="BE24" s="158"/>
      <c r="BF24" s="158"/>
      <c r="BG24" s="158"/>
      <c r="BH24" s="158"/>
      <c r="BI24" s="158"/>
      <c r="BJ24" s="158"/>
      <c r="BK24" s="158"/>
      <c r="BL24" s="158"/>
      <c r="BM24" s="158"/>
      <c r="BN24" s="158"/>
      <c r="BO24" s="158"/>
      <c r="BP24" s="158"/>
      <c r="BQ24" s="158"/>
      <c r="BR24" s="158"/>
      <c r="BS24" s="158"/>
      <c r="BT24" s="158"/>
      <c r="BU24" s="158"/>
      <c r="BV24" s="158"/>
      <c r="BW24" s="158"/>
      <c r="BX24" s="158"/>
      <c r="BY24" s="158"/>
    </row>
    <row r="25" spans="1:77" x14ac:dyDescent="0.2">
      <c r="A25" s="153" t="s">
        <v>62</v>
      </c>
      <c r="B25" s="153" t="s">
        <v>2</v>
      </c>
      <c r="C25" s="153" t="s">
        <v>100</v>
      </c>
      <c r="D25" s="153" t="str">
        <f>Commodities!C$11</f>
        <v>NGAD0</v>
      </c>
      <c r="E25" s="153">
        <v>2010</v>
      </c>
      <c r="F25" s="180"/>
      <c r="G25" s="180">
        <v>1.25</v>
      </c>
      <c r="H25" s="180">
        <v>1.1000000000000001</v>
      </c>
      <c r="I25" s="180">
        <v>1.1000000000000001</v>
      </c>
      <c r="J25" s="180">
        <v>1.1000000000000001</v>
      </c>
      <c r="K25" s="180">
        <v>1.01</v>
      </c>
      <c r="L25" s="181" t="e">
        <f>'Domestic NG Prices'!N42*'Domestic NG Prices'!$P$27*#REF!</f>
        <v>#REF!</v>
      </c>
      <c r="M25" s="181" t="e">
        <f>'Domestic NG Prices'!O42*'Domestic NG Prices'!$P$27*#REF!*M8</f>
        <v>#REF!</v>
      </c>
      <c r="N25" s="181" t="e">
        <f>'Domestic NG Prices'!P42*'Domestic NG Prices'!$P$27*#REF!*N8</f>
        <v>#REF!</v>
      </c>
      <c r="O25" s="181" t="e">
        <f>'Domestic NG Prices'!Q42*'Domestic NG Prices'!$P$27*#REF!*O8</f>
        <v>#REF!</v>
      </c>
      <c r="P25" s="181" t="e">
        <f>'Domestic NG Prices'!R42*'Domestic NG Prices'!$P$27*#REF!*P8</f>
        <v>#REF!</v>
      </c>
      <c r="Q25" s="181" t="e">
        <f>'Domestic NG Prices'!S42*'Domestic NG Prices'!$P$27*#REF!*Q8</f>
        <v>#REF!</v>
      </c>
      <c r="R25" s="181" t="e">
        <f>'Domestic NG Prices'!T42*'Domestic NG Prices'!$P$27*#REF!*R8</f>
        <v>#REF!</v>
      </c>
      <c r="S25" s="181">
        <f>6.88831787744587*S8</f>
        <v>6.8883178774458704</v>
      </c>
      <c r="T25" s="181">
        <f>7.61173454130134*T8</f>
        <v>7.61173454130134</v>
      </c>
      <c r="U25" s="181">
        <f>8.41112500294819*U8</f>
        <v>8.4111250029481894</v>
      </c>
      <c r="V25" s="182">
        <v>0</v>
      </c>
      <c r="W25" s="182">
        <f>X25*0.9</f>
        <v>0</v>
      </c>
      <c r="X25" s="182">
        <v>0</v>
      </c>
      <c r="Y25" s="182">
        <v>0</v>
      </c>
      <c r="Z25" s="182">
        <v>0</v>
      </c>
      <c r="AA25" s="182">
        <f t="shared" si="2"/>
        <v>0</v>
      </c>
      <c r="AB25" s="158"/>
      <c r="AC25" s="158"/>
      <c r="AD25" s="158"/>
      <c r="AE25" s="158"/>
      <c r="AF25" s="158"/>
      <c r="AG25" s="158"/>
      <c r="AH25" s="158"/>
      <c r="AI25" s="158"/>
      <c r="AJ25" s="158"/>
      <c r="AK25" s="158"/>
      <c r="AL25" s="158"/>
      <c r="AM25" s="158"/>
      <c r="AN25" s="158"/>
      <c r="AO25" s="158"/>
      <c r="AP25" s="158"/>
      <c r="AQ25" s="158"/>
      <c r="AR25" s="158"/>
      <c r="AS25" s="158"/>
      <c r="AT25" s="158"/>
      <c r="AU25" s="158"/>
      <c r="AV25" s="158"/>
      <c r="AW25" s="158"/>
      <c r="AX25" s="158"/>
      <c r="AY25" s="158"/>
      <c r="AZ25" s="158"/>
      <c r="BA25" s="158"/>
      <c r="BB25" s="158"/>
      <c r="BC25" s="158"/>
      <c r="BD25" s="158"/>
      <c r="BE25" s="158"/>
      <c r="BF25" s="158"/>
      <c r="BG25" s="158"/>
      <c r="BH25" s="158"/>
      <c r="BI25" s="158"/>
      <c r="BJ25" s="158"/>
      <c r="BK25" s="158"/>
      <c r="BL25" s="158"/>
      <c r="BM25" s="158"/>
      <c r="BN25" s="158"/>
      <c r="BO25" s="158"/>
      <c r="BP25" s="158"/>
      <c r="BQ25" s="158"/>
      <c r="BR25" s="158"/>
      <c r="BS25" s="158"/>
      <c r="BT25" s="158"/>
      <c r="BU25" s="158"/>
      <c r="BV25" s="158"/>
      <c r="BW25" s="158"/>
      <c r="BX25" s="158"/>
      <c r="BY25" s="158"/>
    </row>
    <row r="26" spans="1:77" x14ac:dyDescent="0.2">
      <c r="A26" s="153" t="s">
        <v>62</v>
      </c>
      <c r="B26" s="153" t="s">
        <v>3</v>
      </c>
      <c r="C26" s="153" t="s">
        <v>101</v>
      </c>
      <c r="D26" s="153" t="str">
        <f>Commodities!C$11</f>
        <v>NGAD0</v>
      </c>
      <c r="E26" s="153">
        <v>2010</v>
      </c>
      <c r="F26" s="183"/>
      <c r="G26" s="180">
        <v>1.1000000000000001</v>
      </c>
      <c r="H26" s="180">
        <v>1.1000000000000001</v>
      </c>
      <c r="I26" s="180">
        <v>1.1000000000000001</v>
      </c>
      <c r="J26" s="180">
        <v>1.1000000000000001</v>
      </c>
      <c r="K26" s="180">
        <v>1.01</v>
      </c>
      <c r="L26" s="181" t="e">
        <f>L25*'Domestic NG Prices'!$N$22</f>
        <v>#REF!</v>
      </c>
      <c r="M26" s="181" t="e">
        <f>M25*'Domestic NG Prices'!$N$22</f>
        <v>#REF!</v>
      </c>
      <c r="N26" s="181" t="e">
        <f>N25*'Domestic NG Prices'!$N$22</f>
        <v>#REF!</v>
      </c>
      <c r="O26" s="181" t="e">
        <f>O25*'Domestic NG Prices'!$N$22</f>
        <v>#REF!</v>
      </c>
      <c r="P26" s="181" t="e">
        <f>P25*'Domestic NG Prices'!$N$22</f>
        <v>#REF!</v>
      </c>
      <c r="Q26" s="181" t="e">
        <f>Q25*'Domestic NG Prices'!$N$22</f>
        <v>#REF!</v>
      </c>
      <c r="R26" s="181" t="e">
        <f>R25*'Domestic NG Prices'!$N$22</f>
        <v>#REF!</v>
      </c>
      <c r="S26" s="181">
        <f>S25*'Domestic NG Prices'!$N$22</f>
        <v>7.439383307641541</v>
      </c>
      <c r="T26" s="181">
        <f>T25*'Domestic NG Prices'!$N$22</f>
        <v>8.2206733046054481</v>
      </c>
      <c r="U26" s="181">
        <f>U25*'Domestic NG Prices'!$N$22</f>
        <v>9.0840150031840459</v>
      </c>
      <c r="V26" s="182">
        <v>0</v>
      </c>
      <c r="W26" s="182">
        <f>X26*0.9</f>
        <v>0</v>
      </c>
      <c r="X26" s="182">
        <v>0</v>
      </c>
      <c r="Y26" s="182">
        <v>0</v>
      </c>
      <c r="Z26" s="182">
        <v>0</v>
      </c>
      <c r="AA26" s="182">
        <f t="shared" si="2"/>
        <v>0</v>
      </c>
      <c r="AB26" s="158"/>
      <c r="AC26" s="158"/>
      <c r="AD26" s="158"/>
      <c r="AE26" s="158"/>
      <c r="AF26" s="158"/>
      <c r="AG26" s="158"/>
      <c r="AH26" s="158"/>
      <c r="AI26" s="158"/>
      <c r="AJ26" s="158"/>
      <c r="AK26" s="158"/>
      <c r="AL26" s="158"/>
      <c r="AM26" s="158"/>
      <c r="AN26" s="158"/>
      <c r="AO26" s="158"/>
      <c r="AP26" s="158"/>
      <c r="AQ26" s="158"/>
      <c r="AR26" s="158"/>
      <c r="AS26" s="158"/>
      <c r="AT26" s="158"/>
      <c r="AU26" s="158"/>
      <c r="AV26" s="158"/>
      <c r="AW26" s="158"/>
      <c r="AX26" s="158"/>
      <c r="AY26" s="158"/>
      <c r="AZ26" s="158"/>
      <c r="BA26" s="158"/>
      <c r="BB26" s="158"/>
      <c r="BC26" s="158"/>
      <c r="BD26" s="158"/>
      <c r="BE26" s="158"/>
      <c r="BF26" s="158"/>
      <c r="BG26" s="158"/>
      <c r="BH26" s="158"/>
      <c r="BI26" s="158"/>
      <c r="BJ26" s="158"/>
      <c r="BK26" s="158"/>
      <c r="BL26" s="158"/>
      <c r="BM26" s="158"/>
      <c r="BN26" s="158"/>
      <c r="BO26" s="158"/>
      <c r="BP26" s="158"/>
      <c r="BQ26" s="158"/>
      <c r="BR26" s="158"/>
      <c r="BS26" s="158"/>
      <c r="BT26" s="158"/>
      <c r="BU26" s="158"/>
      <c r="BV26" s="158"/>
      <c r="BW26" s="158"/>
      <c r="BX26" s="158"/>
      <c r="BY26" s="158"/>
    </row>
    <row r="27" spans="1:77" x14ac:dyDescent="0.2">
      <c r="A27" s="153" t="s">
        <v>62</v>
      </c>
      <c r="B27" s="153" t="s">
        <v>4</v>
      </c>
      <c r="C27" s="153" t="s">
        <v>102</v>
      </c>
      <c r="D27" s="153" t="str">
        <f>Commodities!C$11</f>
        <v>NGAD0</v>
      </c>
      <c r="E27" s="153">
        <v>2010</v>
      </c>
      <c r="F27" s="183">
        <f>X27</f>
        <v>0</v>
      </c>
      <c r="G27" s="180">
        <v>1.01</v>
      </c>
      <c r="H27" s="180">
        <v>1.01</v>
      </c>
      <c r="I27" s="180">
        <v>1.01</v>
      </c>
      <c r="J27" s="180">
        <v>1.1000000000000001</v>
      </c>
      <c r="K27" s="180">
        <v>1.01</v>
      </c>
      <c r="L27" s="181" t="e">
        <f>L25*'Domestic NG Prices'!$N$23</f>
        <v>#REF!</v>
      </c>
      <c r="M27" s="181" t="e">
        <f>M25*'Domestic NG Prices'!$N$23</f>
        <v>#REF!</v>
      </c>
      <c r="N27" s="181" t="e">
        <f>N25*'Domestic NG Prices'!$N$23</f>
        <v>#REF!</v>
      </c>
      <c r="O27" s="181" t="e">
        <f>O25*'Domestic NG Prices'!$N$23</f>
        <v>#REF!</v>
      </c>
      <c r="P27" s="181" t="e">
        <f>P25*'Domestic NG Prices'!$N$23</f>
        <v>#REF!</v>
      </c>
      <c r="Q27" s="181" t="e">
        <f>Q25*'Domestic NG Prices'!$N$23</f>
        <v>#REF!</v>
      </c>
      <c r="R27" s="181" t="e">
        <f>R25*'Domestic NG Prices'!$N$23</f>
        <v>#REF!</v>
      </c>
      <c r="S27" s="181">
        <f>S25*'Domestic NG Prices'!$N$23</f>
        <v>7.7149160227393754</v>
      </c>
      <c r="T27" s="181">
        <f>T25*'Domestic NG Prices'!$N$23</f>
        <v>8.5251426862575013</v>
      </c>
      <c r="U27" s="181">
        <f>U25*'Domestic NG Prices'!$N$23</f>
        <v>9.4204600033019723</v>
      </c>
      <c r="V27" s="182">
        <v>0</v>
      </c>
      <c r="W27" s="182">
        <f t="shared" ref="W27:W28" si="3">X27*0.9</f>
        <v>0</v>
      </c>
      <c r="X27" s="182">
        <v>0</v>
      </c>
      <c r="Y27" s="182">
        <v>0</v>
      </c>
      <c r="Z27" s="182">
        <v>0</v>
      </c>
      <c r="AA27" s="182">
        <f t="shared" si="2"/>
        <v>0</v>
      </c>
      <c r="AB27" s="158"/>
      <c r="AC27" s="158"/>
      <c r="AD27" s="158"/>
      <c r="AE27" s="158"/>
      <c r="AF27" s="158"/>
      <c r="AG27" s="158"/>
      <c r="AH27" s="158"/>
      <c r="AI27" s="158"/>
      <c r="AJ27" s="158"/>
      <c r="AK27" s="158"/>
      <c r="AL27" s="158"/>
      <c r="AM27" s="158"/>
      <c r="AN27" s="158"/>
      <c r="AO27" s="158"/>
      <c r="AP27" s="158"/>
      <c r="AQ27" s="158"/>
      <c r="AR27" s="158"/>
      <c r="AS27" s="158"/>
      <c r="AT27" s="158"/>
      <c r="AU27" s="158"/>
      <c r="AV27" s="158"/>
      <c r="AW27" s="158"/>
      <c r="AX27" s="158"/>
      <c r="AY27" s="158"/>
      <c r="AZ27" s="158"/>
      <c r="BA27" s="158"/>
      <c r="BB27" s="158"/>
      <c r="BC27" s="158"/>
      <c r="BD27" s="158"/>
      <c r="BE27" s="158"/>
      <c r="BF27" s="158"/>
      <c r="BG27" s="158"/>
      <c r="BH27" s="158"/>
      <c r="BI27" s="158"/>
      <c r="BJ27" s="158"/>
      <c r="BK27" s="158"/>
      <c r="BL27" s="158"/>
      <c r="BM27" s="158"/>
      <c r="BN27" s="158"/>
      <c r="BO27" s="158"/>
      <c r="BP27" s="158"/>
      <c r="BQ27" s="158"/>
      <c r="BR27" s="158"/>
      <c r="BS27" s="158"/>
      <c r="BT27" s="158"/>
      <c r="BU27" s="158"/>
      <c r="BV27" s="158"/>
      <c r="BW27" s="158"/>
      <c r="BX27" s="158"/>
      <c r="BY27" s="158"/>
    </row>
    <row r="28" spans="1:77" x14ac:dyDescent="0.2">
      <c r="A28" s="153" t="s">
        <v>62</v>
      </c>
      <c r="B28" s="153" t="s">
        <v>5</v>
      </c>
      <c r="C28" s="153" t="s">
        <v>103</v>
      </c>
      <c r="D28" s="153" t="str">
        <f>Commodities!C$11</f>
        <v>NGAD0</v>
      </c>
      <c r="E28" s="153">
        <v>2010</v>
      </c>
      <c r="F28" s="183">
        <f>X28</f>
        <v>0</v>
      </c>
      <c r="G28" s="180">
        <v>1.01</v>
      </c>
      <c r="H28" s="180">
        <v>1.01</v>
      </c>
      <c r="I28" s="180">
        <v>1.01</v>
      </c>
      <c r="J28" s="180">
        <v>1.1000000000000001</v>
      </c>
      <c r="K28" s="180">
        <v>1.01</v>
      </c>
      <c r="L28" s="181" t="e">
        <f>L25*'Domestic NG Prices'!$N$24</f>
        <v>#REF!</v>
      </c>
      <c r="M28" s="181" t="e">
        <f>M25*'Domestic NG Prices'!$N$24</f>
        <v>#REF!</v>
      </c>
      <c r="N28" s="181" t="e">
        <f>N25*'Domestic NG Prices'!$N$24</f>
        <v>#REF!</v>
      </c>
      <c r="O28" s="181" t="e">
        <f>O25*'Domestic NG Prices'!$N$24</f>
        <v>#REF!</v>
      </c>
      <c r="P28" s="181" t="e">
        <f>P25*'Domestic NG Prices'!$N$24</f>
        <v>#REF!</v>
      </c>
      <c r="Q28" s="181" t="e">
        <f>Q25*'Domestic NG Prices'!$N$24</f>
        <v>#REF!</v>
      </c>
      <c r="R28" s="181" t="e">
        <f>R25*'Domestic NG Prices'!$N$24</f>
        <v>#REF!</v>
      </c>
      <c r="S28" s="181">
        <f>S25*'Domestic NG Prices'!$N$24</f>
        <v>10.539126352492183</v>
      </c>
      <c r="T28" s="181">
        <f>T25*'Domestic NG Prices'!$N$24</f>
        <v>11.64595384819105</v>
      </c>
      <c r="U28" s="181">
        <f>U25*'Domestic NG Prices'!$N$24</f>
        <v>12.869021254510731</v>
      </c>
      <c r="V28" s="182">
        <v>0</v>
      </c>
      <c r="W28" s="182">
        <f t="shared" si="3"/>
        <v>0</v>
      </c>
      <c r="X28" s="182">
        <v>0</v>
      </c>
      <c r="Y28" s="182">
        <v>0</v>
      </c>
      <c r="Z28" s="182">
        <v>0</v>
      </c>
      <c r="AA28" s="182">
        <f>Z28</f>
        <v>0</v>
      </c>
      <c r="AB28" s="158"/>
      <c r="AC28" s="158"/>
      <c r="AD28" s="158"/>
      <c r="AE28" s="158"/>
      <c r="AF28" s="158"/>
      <c r="AG28" s="158"/>
      <c r="AH28" s="158"/>
      <c r="AI28" s="158"/>
      <c r="AJ28" s="158"/>
      <c r="AK28" s="158"/>
      <c r="AL28" s="158"/>
      <c r="AM28" s="158"/>
      <c r="AN28" s="158"/>
      <c r="AO28" s="158"/>
      <c r="AP28" s="158"/>
      <c r="AQ28" s="158"/>
      <c r="AR28" s="158"/>
      <c r="AS28" s="158"/>
      <c r="AT28" s="158"/>
      <c r="AU28" s="158"/>
      <c r="AV28" s="158"/>
      <c r="AW28" s="158"/>
      <c r="AX28" s="158"/>
      <c r="AY28" s="158"/>
      <c r="AZ28" s="158"/>
      <c r="BA28" s="158"/>
      <c r="BB28" s="158"/>
      <c r="BC28" s="158"/>
      <c r="BD28" s="158"/>
      <c r="BE28" s="158"/>
      <c r="BF28" s="158"/>
      <c r="BG28" s="158"/>
      <c r="BH28" s="158"/>
      <c r="BI28" s="158"/>
      <c r="BJ28" s="158"/>
      <c r="BK28" s="158"/>
      <c r="BL28" s="158"/>
      <c r="BM28" s="158"/>
      <c r="BN28" s="158"/>
      <c r="BO28" s="158"/>
      <c r="BP28" s="158"/>
      <c r="BQ28" s="158"/>
      <c r="BR28" s="158"/>
      <c r="BS28" s="158"/>
      <c r="BT28" s="158"/>
      <c r="BU28" s="158"/>
      <c r="BV28" s="158"/>
      <c r="BW28" s="158"/>
      <c r="BX28" s="158"/>
      <c r="BY28" s="158"/>
    </row>
    <row r="29" spans="1:77" x14ac:dyDescent="0.2">
      <c r="A29" s="153" t="s">
        <v>127</v>
      </c>
      <c r="B29" s="153"/>
      <c r="C29" s="153"/>
      <c r="D29" s="153"/>
      <c r="E29" s="153"/>
      <c r="F29" s="180"/>
      <c r="G29" s="180"/>
      <c r="H29" s="180"/>
      <c r="I29" s="180"/>
      <c r="J29" s="180"/>
      <c r="K29" s="180"/>
      <c r="L29" s="181"/>
      <c r="M29" s="181"/>
      <c r="N29" s="181"/>
      <c r="O29" s="181"/>
      <c r="P29" s="181"/>
      <c r="Q29" s="181"/>
      <c r="R29" s="181"/>
      <c r="S29" s="181"/>
      <c r="T29" s="181"/>
      <c r="U29" s="181"/>
      <c r="V29" s="182"/>
      <c r="W29" s="182"/>
      <c r="X29" s="182"/>
      <c r="Y29" s="182"/>
      <c r="Z29" s="182"/>
      <c r="AA29" s="182"/>
      <c r="AB29" s="158"/>
      <c r="AC29" s="158"/>
      <c r="AD29" s="158"/>
      <c r="AE29" s="158"/>
      <c r="AF29" s="158"/>
      <c r="AG29" s="158"/>
      <c r="AH29" s="158"/>
      <c r="AI29" s="158"/>
      <c r="AJ29" s="158"/>
      <c r="AK29" s="158"/>
      <c r="AL29" s="158"/>
      <c r="AM29" s="158"/>
      <c r="AN29" s="158"/>
      <c r="AO29" s="158"/>
      <c r="AP29" s="158"/>
      <c r="AQ29" s="158"/>
      <c r="AR29" s="158"/>
      <c r="AS29" s="158"/>
      <c r="AT29" s="158"/>
      <c r="AU29" s="158"/>
      <c r="AV29" s="158"/>
      <c r="AW29" s="158"/>
      <c r="AX29" s="158"/>
      <c r="AY29" s="158"/>
      <c r="AZ29" s="158"/>
      <c r="BA29" s="158"/>
      <c r="BB29" s="158"/>
      <c r="BC29" s="158"/>
      <c r="BD29" s="158"/>
      <c r="BE29" s="158"/>
      <c r="BF29" s="158"/>
      <c r="BG29" s="158"/>
      <c r="BH29" s="158"/>
      <c r="BI29" s="158"/>
      <c r="BJ29" s="158"/>
      <c r="BK29" s="158"/>
      <c r="BL29" s="158"/>
      <c r="BM29" s="158"/>
      <c r="BN29" s="158"/>
      <c r="BO29" s="158"/>
      <c r="BP29" s="158"/>
      <c r="BQ29" s="158"/>
      <c r="BR29" s="158"/>
      <c r="BS29" s="158"/>
      <c r="BT29" s="158"/>
      <c r="BU29" s="158"/>
      <c r="BV29" s="158"/>
      <c r="BW29" s="158"/>
      <c r="BX29" s="158"/>
      <c r="BY29" s="158"/>
    </row>
    <row r="30" spans="1:77" x14ac:dyDescent="0.2">
      <c r="A30" s="153" t="s">
        <v>93</v>
      </c>
      <c r="B30" s="153" t="s">
        <v>0</v>
      </c>
      <c r="C30" s="153" t="s">
        <v>98</v>
      </c>
      <c r="D30" s="153" t="str">
        <f>Commodities!C$11</f>
        <v>NGAD0</v>
      </c>
      <c r="E30" s="153">
        <v>2010</v>
      </c>
      <c r="F30" s="180"/>
      <c r="G30" s="180">
        <v>1.1000000000000001</v>
      </c>
      <c r="H30" s="180">
        <v>1.05</v>
      </c>
      <c r="I30" s="180">
        <v>1.01</v>
      </c>
      <c r="J30" s="180">
        <v>1.1000000000000001</v>
      </c>
      <c r="K30" s="180">
        <v>1.01</v>
      </c>
      <c r="L30" s="181" t="e">
        <f>L32*'Domestic NG Prices'!$N$19</f>
        <v>#REF!</v>
      </c>
      <c r="M30" s="181" t="e">
        <f>M32*'Domestic NG Prices'!$N$19</f>
        <v>#REF!</v>
      </c>
      <c r="N30" s="181" t="e">
        <f>N32*'Domestic NG Prices'!$N$19</f>
        <v>#REF!</v>
      </c>
      <c r="O30" s="181" t="e">
        <f>O32*'Domestic NG Prices'!$N$19</f>
        <v>#REF!</v>
      </c>
      <c r="P30" s="181" t="e">
        <f>P32*'Domestic NG Prices'!$N$19</f>
        <v>#REF!</v>
      </c>
      <c r="Q30" s="181" t="e">
        <f>Q32*'Domestic NG Prices'!$N$19</f>
        <v>#REF!</v>
      </c>
      <c r="R30" s="181" t="e">
        <f>R32*'Domestic NG Prices'!$N$19</f>
        <v>#REF!</v>
      </c>
      <c r="S30" s="181">
        <f>S32*'Domestic NG Prices'!$N$19</f>
        <v>6.4965138456463256</v>
      </c>
      <c r="T30" s="181">
        <f>T32*'Domestic NG Prices'!$N$19</f>
        <v>7.1787829360865816</v>
      </c>
      <c r="U30" s="181">
        <f>U32*'Domestic NG Prices'!$N$19</f>
        <v>7.9327044731820777</v>
      </c>
      <c r="V30" s="182">
        <v>0</v>
      </c>
      <c r="W30" s="182">
        <f>X30*0.9</f>
        <v>0</v>
      </c>
      <c r="X30" s="182">
        <v>0</v>
      </c>
      <c r="Y30" s="182">
        <v>0</v>
      </c>
      <c r="Z30" s="182">
        <v>0</v>
      </c>
      <c r="AA30" s="182">
        <f>Z30</f>
        <v>0</v>
      </c>
      <c r="AB30" s="158"/>
      <c r="AC30" s="158"/>
      <c r="AD30" s="158"/>
      <c r="AE30" s="158"/>
      <c r="AF30" s="158"/>
      <c r="AG30" s="158"/>
      <c r="AH30" s="158"/>
      <c r="AI30" s="158"/>
      <c r="AJ30" s="158"/>
      <c r="AK30" s="158"/>
      <c r="AL30" s="158"/>
      <c r="AM30" s="158"/>
      <c r="AN30" s="158"/>
      <c r="AO30" s="158"/>
      <c r="AP30" s="158"/>
      <c r="AQ30" s="158"/>
      <c r="AR30" s="158"/>
      <c r="AS30" s="158"/>
      <c r="AT30" s="158"/>
      <c r="AU30" s="158"/>
      <c r="AV30" s="158"/>
      <c r="AW30" s="158"/>
      <c r="AX30" s="158"/>
      <c r="AY30" s="158"/>
      <c r="AZ30" s="158"/>
      <c r="BA30" s="158"/>
      <c r="BB30" s="158"/>
      <c r="BC30" s="158"/>
      <c r="BD30" s="158"/>
      <c r="BE30" s="158"/>
      <c r="BF30" s="158"/>
      <c r="BG30" s="158"/>
      <c r="BH30" s="158"/>
      <c r="BI30" s="158"/>
      <c r="BJ30" s="158"/>
      <c r="BK30" s="158"/>
      <c r="BL30" s="158"/>
      <c r="BM30" s="158"/>
      <c r="BN30" s="158"/>
      <c r="BO30" s="158"/>
      <c r="BP30" s="158"/>
      <c r="BQ30" s="158"/>
      <c r="BR30" s="158"/>
      <c r="BS30" s="158"/>
      <c r="BT30" s="158"/>
      <c r="BU30" s="158"/>
      <c r="BV30" s="158"/>
      <c r="BW30" s="158"/>
      <c r="BX30" s="158"/>
      <c r="BY30" s="158"/>
    </row>
    <row r="31" spans="1:77" x14ac:dyDescent="0.2">
      <c r="A31" s="153" t="s">
        <v>93</v>
      </c>
      <c r="B31" s="153" t="s">
        <v>1</v>
      </c>
      <c r="C31" s="153" t="s">
        <v>99</v>
      </c>
      <c r="D31" s="153" t="str">
        <f>Commodities!C$11</f>
        <v>NGAD0</v>
      </c>
      <c r="E31" s="153">
        <v>2010</v>
      </c>
      <c r="F31" s="180"/>
      <c r="G31" s="180">
        <v>1.2</v>
      </c>
      <c r="H31" s="180">
        <v>1.1000000000000001</v>
      </c>
      <c r="I31" s="180">
        <v>1.05</v>
      </c>
      <c r="J31" s="180">
        <v>1.1000000000000001</v>
      </c>
      <c r="K31" s="180">
        <v>1.01</v>
      </c>
      <c r="L31" s="181" t="e">
        <f>L32*'Domestic NG Prices'!$N$20</f>
        <v>#REF!</v>
      </c>
      <c r="M31" s="181" t="e">
        <f>M32*'Domestic NG Prices'!$N$20</f>
        <v>#REF!</v>
      </c>
      <c r="N31" s="181" t="e">
        <f>N32*'Domestic NG Prices'!$N$20</f>
        <v>#REF!</v>
      </c>
      <c r="O31" s="181" t="e">
        <f>O32*'Domestic NG Prices'!$N$20</f>
        <v>#REF!</v>
      </c>
      <c r="P31" s="181" t="e">
        <f>P32*'Domestic NG Prices'!$N$20</f>
        <v>#REF!</v>
      </c>
      <c r="Q31" s="181" t="e">
        <f>Q32*'Domestic NG Prices'!$N$20</f>
        <v>#REF!</v>
      </c>
      <c r="R31" s="181" t="e">
        <f>R32*'Domestic NG Prices'!$N$20</f>
        <v>#REF!</v>
      </c>
      <c r="S31" s="181">
        <f>S32*'Domestic NG Prices'!$N$20</f>
        <v>7.0132819924591008</v>
      </c>
      <c r="T31" s="181">
        <f>T32*'Domestic NG Prices'!$N$20</f>
        <v>7.7498224878207411</v>
      </c>
      <c r="U31" s="181">
        <f>U32*'Domestic NG Prices'!$N$20</f>
        <v>8.5637150562761057</v>
      </c>
      <c r="V31" s="182">
        <v>0</v>
      </c>
      <c r="W31" s="182">
        <f>X31*0.9</f>
        <v>0</v>
      </c>
      <c r="X31" s="182">
        <v>0</v>
      </c>
      <c r="Y31" s="182">
        <v>0</v>
      </c>
      <c r="Z31" s="182">
        <v>0</v>
      </c>
      <c r="AA31" s="182">
        <f t="shared" ref="AA31:AA34" si="4">Z31</f>
        <v>0</v>
      </c>
      <c r="AB31" s="158"/>
      <c r="AC31" s="158"/>
      <c r="AD31" s="158"/>
      <c r="AE31" s="158"/>
      <c r="AF31" s="158"/>
      <c r="AG31" s="158"/>
      <c r="AH31" s="158"/>
      <c r="AI31" s="158"/>
      <c r="AJ31" s="158"/>
      <c r="AK31" s="158"/>
      <c r="AL31" s="158"/>
      <c r="AM31" s="158"/>
      <c r="AN31" s="158"/>
      <c r="AO31" s="158"/>
      <c r="AP31" s="158"/>
      <c r="AQ31" s="158"/>
      <c r="AR31" s="158"/>
      <c r="AS31" s="158"/>
      <c r="AT31" s="158"/>
      <c r="AU31" s="158"/>
      <c r="AV31" s="158"/>
      <c r="AW31" s="158"/>
      <c r="AX31" s="158"/>
      <c r="AY31" s="158"/>
      <c r="AZ31" s="158"/>
      <c r="BA31" s="158"/>
      <c r="BB31" s="158"/>
      <c r="BC31" s="158"/>
      <c r="BD31" s="158"/>
      <c r="BE31" s="158"/>
      <c r="BF31" s="158"/>
      <c r="BG31" s="158"/>
      <c r="BH31" s="158"/>
      <c r="BI31" s="158"/>
      <c r="BJ31" s="158"/>
      <c r="BK31" s="158"/>
      <c r="BL31" s="158"/>
      <c r="BM31" s="158"/>
      <c r="BN31" s="158"/>
      <c r="BO31" s="158"/>
      <c r="BP31" s="158"/>
      <c r="BQ31" s="158"/>
      <c r="BR31" s="158"/>
      <c r="BS31" s="158"/>
      <c r="BT31" s="158"/>
      <c r="BU31" s="158"/>
      <c r="BV31" s="158"/>
      <c r="BW31" s="158"/>
      <c r="BX31" s="158"/>
      <c r="BY31" s="158"/>
    </row>
    <row r="32" spans="1:77" x14ac:dyDescent="0.2">
      <c r="A32" s="153" t="s">
        <v>93</v>
      </c>
      <c r="B32" s="153" t="s">
        <v>2</v>
      </c>
      <c r="C32" s="153" t="s">
        <v>100</v>
      </c>
      <c r="D32" s="153" t="str">
        <f>Commodities!C$11</f>
        <v>NGAD0</v>
      </c>
      <c r="E32" s="153">
        <v>2010</v>
      </c>
      <c r="F32" s="180"/>
      <c r="G32" s="180">
        <v>1.1000000000000001</v>
      </c>
      <c r="H32" s="180">
        <v>1.1000000000000001</v>
      </c>
      <c r="I32" s="180">
        <v>1.05</v>
      </c>
      <c r="J32" s="180">
        <v>1.1000000000000001</v>
      </c>
      <c r="K32" s="180">
        <v>1.01</v>
      </c>
      <c r="L32" s="181" t="e">
        <f>'Domestic NG Prices'!N42*'Domestic NG Prices'!$P$27*#REF!</f>
        <v>#REF!</v>
      </c>
      <c r="M32" s="181" t="e">
        <f>'Domestic NG Prices'!O42*'Domestic NG Prices'!$P$27*#REF!*M8</f>
        <v>#REF!</v>
      </c>
      <c r="N32" s="181" t="e">
        <f>'Domestic NG Prices'!P42*'Domestic NG Prices'!$P$27*#REF!*N8</f>
        <v>#REF!</v>
      </c>
      <c r="O32" s="181" t="e">
        <f>'Domestic NG Prices'!Q42*'Domestic NG Prices'!$P$27*#REF!*O8</f>
        <v>#REF!</v>
      </c>
      <c r="P32" s="181" t="e">
        <f>'Domestic NG Prices'!R42*'Domestic NG Prices'!$P$27*#REF!*P8</f>
        <v>#REF!</v>
      </c>
      <c r="Q32" s="181" t="e">
        <f>'Domestic NG Prices'!S42*'Domestic NG Prices'!$P$27*#REF!*Q8</f>
        <v>#REF!</v>
      </c>
      <c r="R32" s="181" t="e">
        <f>'Domestic NG Prices'!T42*'Domestic NG Prices'!$P$27*#REF!*R8</f>
        <v>#REF!</v>
      </c>
      <c r="S32" s="181">
        <f>7.38240209732537*S8</f>
        <v>7.3824020973253699</v>
      </c>
      <c r="T32" s="181">
        <f>8.15770788191657*T8</f>
        <v>8.1577078819165703</v>
      </c>
      <c r="U32" s="181">
        <f>9.01443690134327*U8</f>
        <v>9.0144369013432701</v>
      </c>
      <c r="V32" s="182">
        <v>0</v>
      </c>
      <c r="W32" s="182">
        <f>X32*0.9</f>
        <v>0</v>
      </c>
      <c r="X32" s="182">
        <v>0</v>
      </c>
      <c r="Y32" s="182">
        <v>0</v>
      </c>
      <c r="Z32" s="182">
        <v>0</v>
      </c>
      <c r="AA32" s="182">
        <f t="shared" si="4"/>
        <v>0</v>
      </c>
      <c r="AB32" s="158"/>
      <c r="AC32" s="158"/>
      <c r="AD32" s="158"/>
      <c r="AE32" s="158"/>
      <c r="AF32" s="158"/>
      <c r="AG32" s="158"/>
      <c r="AH32" s="158"/>
      <c r="AI32" s="158"/>
      <c r="AJ32" s="158"/>
      <c r="AK32" s="158"/>
      <c r="AL32" s="158"/>
      <c r="AM32" s="158"/>
      <c r="AN32" s="158"/>
      <c r="AO32" s="158"/>
      <c r="AP32" s="158"/>
      <c r="AQ32" s="158"/>
      <c r="AR32" s="158"/>
      <c r="AS32" s="158"/>
      <c r="AT32" s="158"/>
      <c r="AU32" s="158"/>
      <c r="AV32" s="158"/>
      <c r="AW32" s="158"/>
      <c r="AX32" s="158"/>
      <c r="AY32" s="158"/>
      <c r="AZ32" s="158"/>
      <c r="BA32" s="158"/>
      <c r="BB32" s="158"/>
      <c r="BC32" s="158"/>
      <c r="BD32" s="158"/>
      <c r="BE32" s="158"/>
      <c r="BF32" s="158"/>
      <c r="BG32" s="158"/>
      <c r="BH32" s="158"/>
      <c r="BI32" s="158"/>
      <c r="BJ32" s="158"/>
      <c r="BK32" s="158"/>
      <c r="BL32" s="158"/>
      <c r="BM32" s="158"/>
      <c r="BN32" s="158"/>
      <c r="BO32" s="158"/>
      <c r="BP32" s="158"/>
      <c r="BQ32" s="158"/>
      <c r="BR32" s="158"/>
      <c r="BS32" s="158"/>
      <c r="BT32" s="158"/>
      <c r="BU32" s="158"/>
      <c r="BV32" s="158"/>
      <c r="BW32" s="158"/>
      <c r="BX32" s="158"/>
      <c r="BY32" s="158"/>
    </row>
    <row r="33" spans="1:77" x14ac:dyDescent="0.2">
      <c r="A33" s="153" t="s">
        <v>93</v>
      </c>
      <c r="B33" s="153" t="s">
        <v>3</v>
      </c>
      <c r="C33" s="153" t="s">
        <v>101</v>
      </c>
      <c r="D33" s="153" t="str">
        <f>Commodities!C$11</f>
        <v>NGAD0</v>
      </c>
      <c r="E33" s="153">
        <v>2010</v>
      </c>
      <c r="F33" s="183"/>
      <c r="G33" s="180">
        <v>1.1000000000000001</v>
      </c>
      <c r="H33" s="180">
        <v>1.1000000000000001</v>
      </c>
      <c r="I33" s="180">
        <v>1.1000000000000001</v>
      </c>
      <c r="J33" s="180">
        <v>1.1000000000000001</v>
      </c>
      <c r="K33" s="180">
        <v>1.01</v>
      </c>
      <c r="L33" s="181" t="e">
        <f>L32*'Domestic NG Prices'!$N$22</f>
        <v>#REF!</v>
      </c>
      <c r="M33" s="181" t="e">
        <f>M32*'Domestic NG Prices'!$N$22</f>
        <v>#REF!</v>
      </c>
      <c r="N33" s="181" t="e">
        <f>N32*'Domestic NG Prices'!$N$22</f>
        <v>#REF!</v>
      </c>
      <c r="O33" s="181" t="e">
        <f>O32*'Domestic NG Prices'!$N$22</f>
        <v>#REF!</v>
      </c>
      <c r="P33" s="181" t="e">
        <f>P32*'Domestic NG Prices'!$N$22</f>
        <v>#REF!</v>
      </c>
      <c r="Q33" s="181" t="e">
        <f>Q32*'Domestic NG Prices'!$N$22</f>
        <v>#REF!</v>
      </c>
      <c r="R33" s="181" t="e">
        <f>R32*'Domestic NG Prices'!$N$22</f>
        <v>#REF!</v>
      </c>
      <c r="S33" s="181">
        <f>S32*'Domestic NG Prices'!$N$22</f>
        <v>7.9729942651114003</v>
      </c>
      <c r="T33" s="181">
        <f>T32*'Domestic NG Prices'!$N$22</f>
        <v>8.8103245124698972</v>
      </c>
      <c r="U33" s="181">
        <f>U32*'Domestic NG Prices'!$N$22</f>
        <v>9.7355918534507317</v>
      </c>
      <c r="V33" s="182">
        <v>0</v>
      </c>
      <c r="W33" s="182">
        <f>X33*0.9</f>
        <v>0</v>
      </c>
      <c r="X33" s="182">
        <v>0</v>
      </c>
      <c r="Y33" s="182">
        <v>0</v>
      </c>
      <c r="Z33" s="182">
        <v>0</v>
      </c>
      <c r="AA33" s="182">
        <f t="shared" si="4"/>
        <v>0</v>
      </c>
      <c r="AB33" s="158"/>
      <c r="AC33" s="158"/>
      <c r="AD33" s="158"/>
      <c r="AE33" s="158"/>
      <c r="AF33" s="158"/>
      <c r="AG33" s="158"/>
      <c r="AH33" s="158"/>
      <c r="AI33" s="158"/>
      <c r="AJ33" s="158"/>
      <c r="AK33" s="158"/>
      <c r="AL33" s="158"/>
      <c r="AM33" s="158"/>
      <c r="AN33" s="158"/>
      <c r="AO33" s="158"/>
      <c r="AP33" s="158"/>
      <c r="AQ33" s="158"/>
      <c r="AR33" s="158"/>
      <c r="AS33" s="158"/>
      <c r="AT33" s="158"/>
      <c r="AU33" s="158"/>
      <c r="AV33" s="158"/>
      <c r="AW33" s="158"/>
      <c r="AX33" s="158"/>
      <c r="AY33" s="158"/>
      <c r="AZ33" s="158"/>
      <c r="BA33" s="158"/>
      <c r="BB33" s="158"/>
      <c r="BC33" s="158"/>
      <c r="BD33" s="158"/>
      <c r="BE33" s="158"/>
      <c r="BF33" s="158"/>
      <c r="BG33" s="158"/>
      <c r="BH33" s="158"/>
      <c r="BI33" s="158"/>
      <c r="BJ33" s="158"/>
      <c r="BK33" s="158"/>
      <c r="BL33" s="158"/>
      <c r="BM33" s="158"/>
      <c r="BN33" s="158"/>
      <c r="BO33" s="158"/>
      <c r="BP33" s="158"/>
      <c r="BQ33" s="158"/>
      <c r="BR33" s="158"/>
      <c r="BS33" s="158"/>
      <c r="BT33" s="158"/>
      <c r="BU33" s="158"/>
      <c r="BV33" s="158"/>
      <c r="BW33" s="158"/>
      <c r="BX33" s="158"/>
      <c r="BY33" s="158"/>
    </row>
    <row r="34" spans="1:77" x14ac:dyDescent="0.2">
      <c r="A34" s="153" t="s">
        <v>93</v>
      </c>
      <c r="B34" s="153" t="s">
        <v>4</v>
      </c>
      <c r="C34" s="153" t="s">
        <v>102</v>
      </c>
      <c r="D34" s="153" t="str">
        <f>Commodities!C$11</f>
        <v>NGAD0</v>
      </c>
      <c r="E34" s="153">
        <v>2010</v>
      </c>
      <c r="F34" s="183">
        <f>X34</f>
        <v>0</v>
      </c>
      <c r="G34" s="180">
        <v>1.01</v>
      </c>
      <c r="H34" s="180">
        <v>1.01</v>
      </c>
      <c r="I34" s="180">
        <v>1.01</v>
      </c>
      <c r="J34" s="180">
        <v>1.1000000000000001</v>
      </c>
      <c r="K34" s="180">
        <v>1.01</v>
      </c>
      <c r="L34" s="181" t="e">
        <f>L32*'Domestic NG Prices'!$N$23</f>
        <v>#REF!</v>
      </c>
      <c r="M34" s="181" t="e">
        <f>M32*'Domestic NG Prices'!$N$23</f>
        <v>#REF!</v>
      </c>
      <c r="N34" s="181" t="e">
        <f>N32*'Domestic NG Prices'!$N$23</f>
        <v>#REF!</v>
      </c>
      <c r="O34" s="181" t="e">
        <f>O32*'Domestic NG Prices'!$N$23</f>
        <v>#REF!</v>
      </c>
      <c r="P34" s="181" t="e">
        <f>P32*'Domestic NG Prices'!$N$23</f>
        <v>#REF!</v>
      </c>
      <c r="Q34" s="181" t="e">
        <f>Q32*'Domestic NG Prices'!$N$23</f>
        <v>#REF!</v>
      </c>
      <c r="R34" s="181" t="e">
        <f>R32*'Domestic NG Prices'!$N$23</f>
        <v>#REF!</v>
      </c>
      <c r="S34" s="181">
        <f>S32*'Domestic NG Prices'!$N$23</f>
        <v>8.2682903490044151</v>
      </c>
      <c r="T34" s="181">
        <f>T32*'Domestic NG Prices'!$N$23</f>
        <v>9.1366328277465598</v>
      </c>
      <c r="U34" s="181">
        <f>U32*'Domestic NG Prices'!$N$23</f>
        <v>10.096169329504464</v>
      </c>
      <c r="V34" s="182">
        <v>0</v>
      </c>
      <c r="W34" s="182">
        <f t="shared" ref="W34:W35" si="5">X34*0.9</f>
        <v>0</v>
      </c>
      <c r="X34" s="182">
        <v>0</v>
      </c>
      <c r="Y34" s="182">
        <v>0</v>
      </c>
      <c r="Z34" s="182">
        <v>0</v>
      </c>
      <c r="AA34" s="182">
        <f t="shared" si="4"/>
        <v>0</v>
      </c>
      <c r="AB34" s="158"/>
      <c r="AC34" s="158"/>
      <c r="AD34" s="158"/>
      <c r="AE34" s="158"/>
      <c r="AF34" s="158"/>
      <c r="AG34" s="158"/>
      <c r="AH34" s="158"/>
      <c r="AI34" s="158"/>
      <c r="AJ34" s="158"/>
      <c r="AK34" s="158"/>
      <c r="AL34" s="158"/>
      <c r="AM34" s="158"/>
      <c r="AN34" s="158"/>
      <c r="AO34" s="158"/>
      <c r="AP34" s="158"/>
      <c r="AQ34" s="158"/>
      <c r="AR34" s="158"/>
      <c r="AS34" s="158"/>
      <c r="AT34" s="158"/>
      <c r="AU34" s="158"/>
      <c r="AV34" s="158"/>
      <c r="AW34" s="158"/>
      <c r="AX34" s="158"/>
      <c r="AY34" s="158"/>
      <c r="AZ34" s="158"/>
      <c r="BA34" s="158"/>
      <c r="BB34" s="158"/>
      <c r="BC34" s="158"/>
      <c r="BD34" s="158"/>
      <c r="BE34" s="158"/>
      <c r="BF34" s="158"/>
      <c r="BG34" s="158"/>
      <c r="BH34" s="158"/>
      <c r="BI34" s="158"/>
      <c r="BJ34" s="158"/>
      <c r="BK34" s="158"/>
      <c r="BL34" s="158"/>
      <c r="BM34" s="158"/>
      <c r="BN34" s="158"/>
      <c r="BO34" s="158"/>
      <c r="BP34" s="158"/>
      <c r="BQ34" s="158"/>
      <c r="BR34" s="158"/>
      <c r="BS34" s="158"/>
      <c r="BT34" s="158"/>
      <c r="BU34" s="158"/>
      <c r="BV34" s="158"/>
      <c r="BW34" s="158"/>
      <c r="BX34" s="158"/>
      <c r="BY34" s="158"/>
    </row>
    <row r="35" spans="1:77" x14ac:dyDescent="0.2">
      <c r="A35" s="153" t="s">
        <v>93</v>
      </c>
      <c r="B35" s="153" t="s">
        <v>5</v>
      </c>
      <c r="C35" s="153" t="s">
        <v>103</v>
      </c>
      <c r="D35" s="153" t="str">
        <f>Commodities!C$11</f>
        <v>NGAD0</v>
      </c>
      <c r="E35" s="153">
        <v>2010</v>
      </c>
      <c r="F35" s="183">
        <f>X35</f>
        <v>0</v>
      </c>
      <c r="G35" s="180">
        <v>1.01</v>
      </c>
      <c r="H35" s="180">
        <v>1.01</v>
      </c>
      <c r="I35" s="180">
        <v>1.01</v>
      </c>
      <c r="J35" s="180">
        <v>1.1000000000000001</v>
      </c>
      <c r="K35" s="180">
        <v>1.01</v>
      </c>
      <c r="L35" s="181" t="e">
        <f>L32*'Domestic NG Prices'!$N$24</f>
        <v>#REF!</v>
      </c>
      <c r="M35" s="181" t="e">
        <f>M32*'Domestic NG Prices'!$N$24</f>
        <v>#REF!</v>
      </c>
      <c r="N35" s="181" t="e">
        <f>N32*'Domestic NG Prices'!$N$24</f>
        <v>#REF!</v>
      </c>
      <c r="O35" s="181" t="e">
        <f>O32*'Domestic NG Prices'!$N$24</f>
        <v>#REF!</v>
      </c>
      <c r="P35" s="181" t="e">
        <f>P32*'Domestic NG Prices'!$N$24</f>
        <v>#REF!</v>
      </c>
      <c r="Q35" s="181" t="e">
        <f>Q32*'Domestic NG Prices'!$N$24</f>
        <v>#REF!</v>
      </c>
      <c r="R35" s="181" t="e">
        <f>R32*'Domestic NG Prices'!$N$24</f>
        <v>#REF!</v>
      </c>
      <c r="S35" s="181">
        <f>S32*'Domestic NG Prices'!$N$24</f>
        <v>11.295075208907816</v>
      </c>
      <c r="T35" s="181">
        <f>T32*'Domestic NG Prices'!$N$24</f>
        <v>12.481293059332353</v>
      </c>
      <c r="U35" s="181">
        <f>U32*'Domestic NG Prices'!$N$24</f>
        <v>13.792088459055204</v>
      </c>
      <c r="V35" s="182">
        <v>0</v>
      </c>
      <c r="W35" s="182">
        <f t="shared" si="5"/>
        <v>0</v>
      </c>
      <c r="X35" s="182">
        <v>0</v>
      </c>
      <c r="Y35" s="182">
        <v>0</v>
      </c>
      <c r="Z35" s="182">
        <v>0</v>
      </c>
      <c r="AA35" s="182">
        <f>Z35</f>
        <v>0</v>
      </c>
      <c r="AB35" s="158"/>
      <c r="AC35" s="158"/>
      <c r="AD35" s="158"/>
      <c r="AE35" s="158"/>
      <c r="AF35" s="158"/>
      <c r="AG35" s="158"/>
      <c r="AH35" s="158"/>
      <c r="AI35" s="158"/>
      <c r="AJ35" s="158"/>
      <c r="AK35" s="158"/>
      <c r="AL35" s="158"/>
      <c r="AM35" s="158"/>
      <c r="AN35" s="158"/>
      <c r="AO35" s="158"/>
      <c r="AP35" s="158"/>
      <c r="AQ35" s="158"/>
      <c r="AR35" s="158"/>
      <c r="AS35" s="158"/>
      <c r="AT35" s="158"/>
      <c r="AU35" s="158"/>
      <c r="AV35" s="158"/>
      <c r="AW35" s="158"/>
      <c r="AX35" s="158"/>
      <c r="AY35" s="158"/>
      <c r="AZ35" s="158"/>
      <c r="BA35" s="158"/>
      <c r="BB35" s="158"/>
      <c r="BC35" s="158"/>
      <c r="BD35" s="158"/>
      <c r="BE35" s="158"/>
      <c r="BF35" s="158"/>
      <c r="BG35" s="158"/>
      <c r="BH35" s="158"/>
      <c r="BI35" s="158"/>
      <c r="BJ35" s="158"/>
      <c r="BK35" s="158"/>
      <c r="BL35" s="158"/>
      <c r="BM35" s="158"/>
      <c r="BN35" s="158"/>
      <c r="BO35" s="158"/>
      <c r="BP35" s="158"/>
      <c r="BQ35" s="158"/>
      <c r="BR35" s="158"/>
      <c r="BS35" s="158"/>
      <c r="BT35" s="158"/>
      <c r="BU35" s="158"/>
      <c r="BV35" s="158"/>
      <c r="BW35" s="158"/>
      <c r="BX35" s="158"/>
      <c r="BY35" s="158"/>
    </row>
    <row r="36" spans="1:77" x14ac:dyDescent="0.2">
      <c r="A36" s="153" t="s">
        <v>127</v>
      </c>
      <c r="B36" s="153"/>
      <c r="C36" s="153"/>
      <c r="D36" s="153"/>
      <c r="E36" s="153"/>
      <c r="F36" s="180"/>
      <c r="G36" s="180"/>
      <c r="H36" s="180"/>
      <c r="I36" s="180"/>
      <c r="J36" s="180"/>
      <c r="K36" s="180"/>
      <c r="L36" s="181"/>
      <c r="M36" s="181"/>
      <c r="N36" s="181"/>
      <c r="O36" s="181"/>
      <c r="P36" s="181"/>
      <c r="Q36" s="181"/>
      <c r="R36" s="181"/>
      <c r="S36" s="181"/>
      <c r="T36" s="181"/>
      <c r="U36" s="181"/>
      <c r="V36" s="182"/>
      <c r="W36" s="182"/>
      <c r="X36" s="182"/>
      <c r="Y36" s="182"/>
      <c r="Z36" s="182"/>
      <c r="AA36" s="182"/>
      <c r="AB36" s="158"/>
      <c r="AC36" s="158"/>
      <c r="AD36" s="158"/>
      <c r="AE36" s="158"/>
      <c r="AF36" s="158"/>
      <c r="AG36" s="158"/>
      <c r="AH36" s="158"/>
      <c r="AI36" s="158"/>
      <c r="AJ36" s="158"/>
      <c r="AK36" s="158"/>
      <c r="AL36" s="158"/>
      <c r="AM36" s="158"/>
      <c r="AN36" s="158"/>
      <c r="AO36" s="158"/>
      <c r="AP36" s="158"/>
      <c r="AQ36" s="158"/>
      <c r="AR36" s="158"/>
      <c r="AS36" s="158"/>
      <c r="AT36" s="158"/>
      <c r="AU36" s="158"/>
      <c r="AV36" s="158"/>
      <c r="AW36" s="158"/>
      <c r="AX36" s="158"/>
      <c r="AY36" s="158"/>
      <c r="AZ36" s="158"/>
      <c r="BA36" s="158"/>
      <c r="BB36" s="158"/>
      <c r="BC36" s="158"/>
      <c r="BD36" s="158"/>
      <c r="BE36" s="158"/>
      <c r="BF36" s="158"/>
      <c r="BG36" s="158"/>
      <c r="BH36" s="158"/>
      <c r="BI36" s="158"/>
      <c r="BJ36" s="158"/>
      <c r="BK36" s="158"/>
      <c r="BL36" s="158"/>
      <c r="BM36" s="158"/>
      <c r="BN36" s="158"/>
      <c r="BO36" s="158"/>
      <c r="BP36" s="158"/>
      <c r="BQ36" s="158"/>
      <c r="BR36" s="158"/>
      <c r="BS36" s="158"/>
      <c r="BT36" s="158"/>
      <c r="BU36" s="158"/>
      <c r="BV36" s="158"/>
      <c r="BW36" s="158"/>
      <c r="BX36" s="158"/>
      <c r="BY36" s="158"/>
    </row>
    <row r="37" spans="1:77" x14ac:dyDescent="0.2">
      <c r="A37" s="153" t="s">
        <v>92</v>
      </c>
      <c r="B37" s="153" t="s">
        <v>0</v>
      </c>
      <c r="C37" s="153" t="s">
        <v>98</v>
      </c>
      <c r="D37" s="153" t="str">
        <f>Commodities!C$11</f>
        <v>NGAD0</v>
      </c>
      <c r="E37" s="153">
        <v>2010</v>
      </c>
      <c r="F37" s="180"/>
      <c r="G37" s="180">
        <v>1.1000000000000001</v>
      </c>
      <c r="H37" s="180">
        <v>1.05</v>
      </c>
      <c r="I37" s="180">
        <v>1.01</v>
      </c>
      <c r="J37" s="180">
        <v>1.1000000000000001</v>
      </c>
      <c r="K37" s="180">
        <v>1.01</v>
      </c>
      <c r="L37" s="181" t="e">
        <f>L39*'Domestic NG Prices'!$N$19</f>
        <v>#REF!</v>
      </c>
      <c r="M37" s="181" t="e">
        <f>M39*'Domestic NG Prices'!$N$19</f>
        <v>#REF!</v>
      </c>
      <c r="N37" s="181" t="e">
        <f>N39*'Domestic NG Prices'!$N$19</f>
        <v>#REF!</v>
      </c>
      <c r="O37" s="181" t="e">
        <f>O39*'Domestic NG Prices'!$N$19</f>
        <v>#REF!</v>
      </c>
      <c r="P37" s="181" t="e">
        <f>P39*'Domestic NG Prices'!$N$19</f>
        <v>#REF!</v>
      </c>
      <c r="Q37" s="181" t="e">
        <f>Q39*'Domestic NG Prices'!$N$19</f>
        <v>#REF!</v>
      </c>
      <c r="R37" s="181" t="e">
        <f>R39*'Domestic NG Prices'!$N$19</f>
        <v>#REF!</v>
      </c>
      <c r="S37" s="181">
        <f>S39*'Domestic NG Prices'!$N$19</f>
        <v>6.2869439888378817</v>
      </c>
      <c r="T37" s="181">
        <f>T39*'Domestic NG Prices'!$N$19</f>
        <v>6.9472038849647628</v>
      </c>
      <c r="U37" s="181">
        <f>U39*'Domestic NG Prices'!$N$19</f>
        <v>7.6768048045216961</v>
      </c>
      <c r="V37" s="182">
        <v>0</v>
      </c>
      <c r="W37" s="182">
        <f>X37*0.9</f>
        <v>0</v>
      </c>
      <c r="X37" s="182">
        <v>0</v>
      </c>
      <c r="Y37" s="182">
        <v>0</v>
      </c>
      <c r="Z37" s="182">
        <v>0</v>
      </c>
      <c r="AA37" s="182">
        <f>Z37</f>
        <v>0</v>
      </c>
      <c r="AB37" s="158"/>
      <c r="AC37" s="158"/>
      <c r="AD37" s="158"/>
      <c r="AE37" s="158"/>
      <c r="AF37" s="158"/>
      <c r="AG37" s="158"/>
      <c r="AH37" s="158"/>
      <c r="AI37" s="158"/>
      <c r="AJ37" s="158"/>
      <c r="AK37" s="158"/>
      <c r="AL37" s="158"/>
      <c r="AM37" s="158"/>
      <c r="AN37" s="158"/>
      <c r="AO37" s="158"/>
      <c r="AP37" s="158"/>
      <c r="AQ37" s="158"/>
      <c r="AR37" s="158"/>
      <c r="AS37" s="158"/>
      <c r="AT37" s="158"/>
      <c r="AU37" s="158"/>
      <c r="AV37" s="158"/>
      <c r="AW37" s="158"/>
      <c r="AX37" s="158"/>
      <c r="AY37" s="158"/>
      <c r="AZ37" s="158"/>
      <c r="BA37" s="158"/>
      <c r="BB37" s="158"/>
      <c r="BC37" s="158"/>
      <c r="BD37" s="158"/>
      <c r="BE37" s="158"/>
      <c r="BF37" s="158"/>
      <c r="BG37" s="158"/>
      <c r="BH37" s="158"/>
      <c r="BI37" s="158"/>
      <c r="BJ37" s="158"/>
      <c r="BK37" s="158"/>
      <c r="BL37" s="158"/>
      <c r="BM37" s="158"/>
      <c r="BN37" s="158"/>
      <c r="BO37" s="158"/>
      <c r="BP37" s="158"/>
      <c r="BQ37" s="158"/>
      <c r="BR37" s="158"/>
      <c r="BS37" s="158"/>
      <c r="BT37" s="158"/>
      <c r="BU37" s="158"/>
      <c r="BV37" s="158"/>
      <c r="BW37" s="158"/>
      <c r="BX37" s="158"/>
      <c r="BY37" s="158"/>
    </row>
    <row r="38" spans="1:77" x14ac:dyDescent="0.2">
      <c r="A38" s="153" t="s">
        <v>92</v>
      </c>
      <c r="B38" s="153" t="s">
        <v>1</v>
      </c>
      <c r="C38" s="153" t="s">
        <v>99</v>
      </c>
      <c r="D38" s="153" t="str">
        <f>Commodities!C$11</f>
        <v>NGAD0</v>
      </c>
      <c r="E38" s="153">
        <v>2010</v>
      </c>
      <c r="F38" s="180"/>
      <c r="G38" s="180">
        <v>1.2</v>
      </c>
      <c r="H38" s="180">
        <v>1.1000000000000001</v>
      </c>
      <c r="I38" s="180">
        <v>1.05</v>
      </c>
      <c r="J38" s="180">
        <v>1.1000000000000001</v>
      </c>
      <c r="K38" s="180">
        <v>1.01</v>
      </c>
      <c r="L38" s="181" t="e">
        <f>L39*'Domestic NG Prices'!$N$20</f>
        <v>#REF!</v>
      </c>
      <c r="M38" s="181" t="e">
        <f>M39*'Domestic NG Prices'!$N$20</f>
        <v>#REF!</v>
      </c>
      <c r="N38" s="181" t="e">
        <f>N39*'Domestic NG Prices'!$N$20</f>
        <v>#REF!</v>
      </c>
      <c r="O38" s="181" t="e">
        <f>O39*'Domestic NG Prices'!$N$20</f>
        <v>#REF!</v>
      </c>
      <c r="P38" s="181" t="e">
        <f>P39*'Domestic NG Prices'!$N$20</f>
        <v>#REF!</v>
      </c>
      <c r="Q38" s="181" t="e">
        <f>Q39*'Domestic NG Prices'!$N$20</f>
        <v>#REF!</v>
      </c>
      <c r="R38" s="181" t="e">
        <f>R39*'Domestic NG Prices'!$N$20</f>
        <v>#REF!</v>
      </c>
      <c r="S38" s="181">
        <f>S39*'Domestic NG Prices'!$N$20</f>
        <v>6.7870418061318043</v>
      </c>
      <c r="T38" s="181">
        <f>T39*'Domestic NG Prices'!$N$20</f>
        <v>7.4998223758142322</v>
      </c>
      <c r="U38" s="181">
        <f>U39*'Domestic NG Prices'!$N$20</f>
        <v>8.2874597321541046</v>
      </c>
      <c r="V38" s="182">
        <v>0</v>
      </c>
      <c r="W38" s="182">
        <f>X38*0.9</f>
        <v>0</v>
      </c>
      <c r="X38" s="182">
        <v>0</v>
      </c>
      <c r="Y38" s="182">
        <v>0</v>
      </c>
      <c r="Z38" s="182">
        <v>0</v>
      </c>
      <c r="AA38" s="182">
        <f t="shared" ref="AA38:AA41" si="6">Z38</f>
        <v>0</v>
      </c>
      <c r="AB38" s="158"/>
      <c r="AC38" s="158"/>
      <c r="AD38" s="158"/>
      <c r="AE38" s="158"/>
      <c r="AF38" s="158"/>
      <c r="AG38" s="158"/>
      <c r="AH38" s="158"/>
      <c r="AI38" s="158"/>
      <c r="AJ38" s="158"/>
      <c r="AK38" s="158"/>
      <c r="AL38" s="158"/>
      <c r="AM38" s="158"/>
      <c r="AN38" s="158"/>
      <c r="AO38" s="158"/>
      <c r="AP38" s="158"/>
      <c r="AQ38" s="158"/>
      <c r="AR38" s="158"/>
      <c r="AS38" s="158"/>
      <c r="AT38" s="158"/>
      <c r="AU38" s="158"/>
      <c r="AV38" s="158"/>
      <c r="AW38" s="158"/>
      <c r="AX38" s="158"/>
      <c r="AY38" s="158"/>
      <c r="AZ38" s="158"/>
      <c r="BA38" s="158"/>
      <c r="BB38" s="158"/>
      <c r="BC38" s="158"/>
      <c r="BD38" s="158"/>
      <c r="BE38" s="158"/>
      <c r="BF38" s="158"/>
      <c r="BG38" s="158"/>
      <c r="BH38" s="158"/>
      <c r="BI38" s="158"/>
      <c r="BJ38" s="158"/>
      <c r="BK38" s="158"/>
      <c r="BL38" s="158"/>
      <c r="BM38" s="158"/>
      <c r="BN38" s="158"/>
      <c r="BO38" s="158"/>
      <c r="BP38" s="158"/>
      <c r="BQ38" s="158"/>
      <c r="BR38" s="158"/>
      <c r="BS38" s="158"/>
      <c r="BT38" s="158"/>
      <c r="BU38" s="158"/>
      <c r="BV38" s="158"/>
      <c r="BW38" s="158"/>
      <c r="BX38" s="158"/>
      <c r="BY38" s="158"/>
    </row>
    <row r="39" spans="1:77" x14ac:dyDescent="0.2">
      <c r="A39" s="153" t="s">
        <v>92</v>
      </c>
      <c r="B39" s="153" t="s">
        <v>2</v>
      </c>
      <c r="C39" s="153" t="s">
        <v>100</v>
      </c>
      <c r="D39" s="153" t="str">
        <f>Commodities!C$11</f>
        <v>NGAD0</v>
      </c>
      <c r="E39" s="153">
        <v>2010</v>
      </c>
      <c r="F39" s="180"/>
      <c r="G39" s="180">
        <v>1.1000000000000001</v>
      </c>
      <c r="H39" s="180">
        <v>1.1000000000000001</v>
      </c>
      <c r="I39" s="180">
        <v>1.05</v>
      </c>
      <c r="J39" s="180">
        <v>1.1000000000000001</v>
      </c>
      <c r="K39" s="180">
        <v>1.01</v>
      </c>
      <c r="L39" s="181" t="e">
        <f>'Domestic NG Prices'!N42*'Domestic NG Prices'!$P$27*#REF!</f>
        <v>#REF!</v>
      </c>
      <c r="M39" s="181" t="e">
        <f>'Domestic NG Prices'!O42*'Domestic NG Prices'!$P$27*#REF!*M8</f>
        <v>#REF!</v>
      </c>
      <c r="N39" s="181" t="e">
        <f>'Domestic NG Prices'!P42*'Domestic NG Prices'!$P$27*#REF!*N8</f>
        <v>#REF!</v>
      </c>
      <c r="O39" s="181" t="e">
        <f>'Domestic NG Prices'!Q42*'Domestic NG Prices'!$P$27*#REF!*O8</f>
        <v>#REF!</v>
      </c>
      <c r="P39" s="181" t="e">
        <f>'Domestic NG Prices'!R42*'Domestic NG Prices'!$P$27*#REF!*P8</f>
        <v>#REF!</v>
      </c>
      <c r="Q39" s="181" t="e">
        <f>'Domestic NG Prices'!S42*'Domestic NG Prices'!$P$27*#REF!*Q8</f>
        <v>#REF!</v>
      </c>
      <c r="R39" s="181" t="e">
        <f>'Domestic NG Prices'!T42*'Domestic NG Prices'!$P$27*#REF!*R8</f>
        <v>#REF!</v>
      </c>
      <c r="S39" s="181">
        <f>7.14425453277032*S8</f>
        <v>7.1442545327703204</v>
      </c>
      <c r="T39" s="181">
        <f>7.89454986927814*T8</f>
        <v>7.8945498692781397</v>
      </c>
      <c r="U39" s="181">
        <f>8.72364182332011*U8</f>
        <v>8.7236418233201096</v>
      </c>
      <c r="V39" s="182">
        <v>0</v>
      </c>
      <c r="W39" s="182">
        <f>X39*0.9</f>
        <v>0</v>
      </c>
      <c r="X39" s="182">
        <v>0</v>
      </c>
      <c r="Y39" s="182">
        <v>0</v>
      </c>
      <c r="Z39" s="182">
        <v>0</v>
      </c>
      <c r="AA39" s="182">
        <f t="shared" si="6"/>
        <v>0</v>
      </c>
      <c r="AB39" s="158"/>
      <c r="AC39" s="158"/>
      <c r="AD39" s="158"/>
      <c r="AE39" s="158"/>
      <c r="AF39" s="158"/>
      <c r="AG39" s="158"/>
      <c r="AH39" s="158"/>
      <c r="AI39" s="158"/>
      <c r="AJ39" s="158"/>
      <c r="AK39" s="158"/>
      <c r="AL39" s="158"/>
      <c r="AM39" s="158"/>
      <c r="AN39" s="158"/>
      <c r="AO39" s="158"/>
      <c r="AP39" s="158"/>
      <c r="AQ39" s="158"/>
      <c r="AR39" s="158"/>
      <c r="AS39" s="158"/>
      <c r="AT39" s="158"/>
      <c r="AU39" s="158"/>
      <c r="AV39" s="158"/>
      <c r="AW39" s="158"/>
      <c r="AX39" s="158"/>
      <c r="AY39" s="158"/>
      <c r="AZ39" s="158"/>
      <c r="BA39" s="158"/>
      <c r="BB39" s="158"/>
      <c r="BC39" s="158"/>
      <c r="BD39" s="158"/>
      <c r="BE39" s="158"/>
      <c r="BF39" s="158"/>
      <c r="BG39" s="158"/>
      <c r="BH39" s="158"/>
      <c r="BI39" s="158"/>
      <c r="BJ39" s="158"/>
      <c r="BK39" s="158"/>
      <c r="BL39" s="158"/>
      <c r="BM39" s="158"/>
      <c r="BN39" s="158"/>
      <c r="BO39" s="158"/>
      <c r="BP39" s="158"/>
      <c r="BQ39" s="158"/>
      <c r="BR39" s="158"/>
      <c r="BS39" s="158"/>
      <c r="BT39" s="158"/>
      <c r="BU39" s="158"/>
      <c r="BV39" s="158"/>
      <c r="BW39" s="158"/>
      <c r="BX39" s="158"/>
      <c r="BY39" s="158"/>
    </row>
    <row r="40" spans="1:77" x14ac:dyDescent="0.2">
      <c r="A40" s="153" t="s">
        <v>92</v>
      </c>
      <c r="B40" s="153" t="s">
        <v>3</v>
      </c>
      <c r="C40" s="153" t="s">
        <v>101</v>
      </c>
      <c r="D40" s="153" t="str">
        <f>Commodities!C$11</f>
        <v>NGAD0</v>
      </c>
      <c r="E40" s="153">
        <v>2010</v>
      </c>
      <c r="F40" s="183"/>
      <c r="G40" s="180">
        <v>1.1000000000000001</v>
      </c>
      <c r="H40" s="180">
        <v>1.1000000000000001</v>
      </c>
      <c r="I40" s="180">
        <v>1.1000000000000001</v>
      </c>
      <c r="J40" s="180">
        <v>1.1000000000000001</v>
      </c>
      <c r="K40" s="180">
        <v>1.01</v>
      </c>
      <c r="L40" s="181" t="e">
        <f>L39*'Domestic NG Prices'!$N$22</f>
        <v>#REF!</v>
      </c>
      <c r="M40" s="181" t="e">
        <f>M39*'Domestic NG Prices'!$N$22</f>
        <v>#REF!</v>
      </c>
      <c r="N40" s="181" t="e">
        <f>N39*'Domestic NG Prices'!$N$22</f>
        <v>#REF!</v>
      </c>
      <c r="O40" s="181" t="e">
        <f>O39*'Domestic NG Prices'!$N$22</f>
        <v>#REF!</v>
      </c>
      <c r="P40" s="181" t="e">
        <f>P39*'Domestic NG Prices'!$N$22</f>
        <v>#REF!</v>
      </c>
      <c r="Q40" s="181" t="e">
        <f>Q39*'Domestic NG Prices'!$N$22</f>
        <v>#REF!</v>
      </c>
      <c r="R40" s="181" t="e">
        <f>R39*'Domestic NG Prices'!$N$22</f>
        <v>#REF!</v>
      </c>
      <c r="S40" s="181">
        <f>S39*'Domestic NG Prices'!$N$22</f>
        <v>7.7157948953919462</v>
      </c>
      <c r="T40" s="181">
        <f>T39*'Domestic NG Prices'!$N$22</f>
        <v>8.5261138588203913</v>
      </c>
      <c r="U40" s="181">
        <f>U39*'Domestic NG Prices'!$N$22</f>
        <v>9.4215331691857198</v>
      </c>
      <c r="V40" s="182">
        <v>0</v>
      </c>
      <c r="W40" s="182">
        <f>X40*0.9</f>
        <v>0</v>
      </c>
      <c r="X40" s="182">
        <v>0</v>
      </c>
      <c r="Y40" s="182">
        <v>0</v>
      </c>
      <c r="Z40" s="182">
        <v>0</v>
      </c>
      <c r="AA40" s="182">
        <f t="shared" si="6"/>
        <v>0</v>
      </c>
      <c r="AB40" s="158"/>
      <c r="AC40" s="158"/>
      <c r="AD40" s="158"/>
      <c r="AE40" s="158"/>
      <c r="AF40" s="158"/>
      <c r="AG40" s="158"/>
      <c r="AH40" s="158"/>
      <c r="AI40" s="158"/>
      <c r="AJ40" s="158"/>
      <c r="AK40" s="158"/>
      <c r="AL40" s="158"/>
      <c r="AM40" s="158"/>
      <c r="AN40" s="158"/>
      <c r="AO40" s="158"/>
      <c r="AP40" s="158"/>
      <c r="AQ40" s="158"/>
      <c r="AR40" s="158"/>
      <c r="AS40" s="158"/>
      <c r="AT40" s="158"/>
      <c r="AU40" s="158"/>
      <c r="AV40" s="158"/>
      <c r="AW40" s="158"/>
      <c r="AX40" s="158"/>
      <c r="AY40" s="158"/>
      <c r="AZ40" s="158"/>
      <c r="BA40" s="158"/>
      <c r="BB40" s="158"/>
      <c r="BC40" s="158"/>
      <c r="BD40" s="158"/>
      <c r="BE40" s="158"/>
      <c r="BF40" s="158"/>
      <c r="BG40" s="158"/>
      <c r="BH40" s="158"/>
      <c r="BI40" s="158"/>
      <c r="BJ40" s="158"/>
      <c r="BK40" s="158"/>
      <c r="BL40" s="158"/>
      <c r="BM40" s="158"/>
      <c r="BN40" s="158"/>
      <c r="BO40" s="158"/>
      <c r="BP40" s="158"/>
      <c r="BQ40" s="158"/>
      <c r="BR40" s="158"/>
      <c r="BS40" s="158"/>
      <c r="BT40" s="158"/>
      <c r="BU40" s="158"/>
      <c r="BV40" s="158"/>
      <c r="BW40" s="158"/>
      <c r="BX40" s="158"/>
      <c r="BY40" s="158"/>
    </row>
    <row r="41" spans="1:77" x14ac:dyDescent="0.2">
      <c r="A41" s="153" t="s">
        <v>92</v>
      </c>
      <c r="B41" s="153" t="s">
        <v>4</v>
      </c>
      <c r="C41" s="153" t="s">
        <v>102</v>
      </c>
      <c r="D41" s="153" t="str">
        <f>Commodities!C$11</f>
        <v>NGAD0</v>
      </c>
      <c r="E41" s="153">
        <v>2010</v>
      </c>
      <c r="F41" s="183">
        <f>X41</f>
        <v>0</v>
      </c>
      <c r="G41" s="180">
        <v>1.01</v>
      </c>
      <c r="H41" s="180">
        <v>1.01</v>
      </c>
      <c r="I41" s="180">
        <v>1.01</v>
      </c>
      <c r="J41" s="180">
        <v>1.1000000000000001</v>
      </c>
      <c r="K41" s="180">
        <v>1.01</v>
      </c>
      <c r="L41" s="181" t="e">
        <f>L39*'Domestic NG Prices'!$N$23</f>
        <v>#REF!</v>
      </c>
      <c r="M41" s="181" t="e">
        <f>M39*'Domestic NG Prices'!$N$23</f>
        <v>#REF!</v>
      </c>
      <c r="N41" s="181" t="e">
        <f>N39*'Domestic NG Prices'!$N$23</f>
        <v>#REF!</v>
      </c>
      <c r="O41" s="181" t="e">
        <f>O39*'Domestic NG Prices'!$N$23</f>
        <v>#REF!</v>
      </c>
      <c r="P41" s="181" t="e">
        <f>P39*'Domestic NG Prices'!$N$23</f>
        <v>#REF!</v>
      </c>
      <c r="Q41" s="181" t="e">
        <f>Q39*'Domestic NG Prices'!$N$23</f>
        <v>#REF!</v>
      </c>
      <c r="R41" s="181" t="e">
        <f>R39*'Domestic NG Prices'!$N$23</f>
        <v>#REF!</v>
      </c>
      <c r="S41" s="181">
        <f>S39*'Domestic NG Prices'!$N$23</f>
        <v>8.0015650767027591</v>
      </c>
      <c r="T41" s="181">
        <f>T39*'Domestic NG Prices'!$N$23</f>
        <v>8.8418958535915166</v>
      </c>
      <c r="U41" s="181">
        <f>U39*'Domestic NG Prices'!$N$23</f>
        <v>9.7704788421185231</v>
      </c>
      <c r="V41" s="182">
        <v>0</v>
      </c>
      <c r="W41" s="182">
        <f t="shared" ref="W41:W42" si="7">X41*0.9</f>
        <v>0</v>
      </c>
      <c r="X41" s="182">
        <v>0</v>
      </c>
      <c r="Y41" s="182">
        <v>0</v>
      </c>
      <c r="Z41" s="182">
        <v>0</v>
      </c>
      <c r="AA41" s="182">
        <f t="shared" si="6"/>
        <v>0</v>
      </c>
      <c r="AB41" s="158"/>
      <c r="AC41" s="158"/>
      <c r="AD41" s="158"/>
      <c r="AE41" s="158"/>
      <c r="AF41" s="158"/>
      <c r="AG41" s="158"/>
      <c r="AH41" s="158"/>
      <c r="AI41" s="158"/>
      <c r="AJ41" s="158"/>
      <c r="AK41" s="158"/>
      <c r="AL41" s="158"/>
      <c r="AM41" s="158"/>
      <c r="AN41" s="158"/>
      <c r="AO41" s="158"/>
      <c r="AP41" s="158"/>
      <c r="AQ41" s="158"/>
      <c r="AR41" s="158"/>
      <c r="AS41" s="158"/>
      <c r="AT41" s="158"/>
      <c r="AU41" s="158"/>
      <c r="AV41" s="158"/>
      <c r="AW41" s="158"/>
      <c r="AX41" s="158"/>
      <c r="AY41" s="158"/>
      <c r="AZ41" s="158"/>
      <c r="BA41" s="158"/>
      <c r="BB41" s="158"/>
      <c r="BC41" s="158"/>
      <c r="BD41" s="158"/>
      <c r="BE41" s="158"/>
      <c r="BF41" s="158"/>
      <c r="BG41" s="158"/>
      <c r="BH41" s="158"/>
      <c r="BI41" s="158"/>
      <c r="BJ41" s="158"/>
      <c r="BK41" s="158"/>
      <c r="BL41" s="158"/>
      <c r="BM41" s="158"/>
      <c r="BN41" s="158"/>
      <c r="BO41" s="158"/>
      <c r="BP41" s="158"/>
      <c r="BQ41" s="158"/>
      <c r="BR41" s="158"/>
      <c r="BS41" s="158"/>
      <c r="BT41" s="158"/>
      <c r="BU41" s="158"/>
      <c r="BV41" s="158"/>
      <c r="BW41" s="158"/>
      <c r="BX41" s="158"/>
      <c r="BY41" s="158"/>
    </row>
    <row r="42" spans="1:77" x14ac:dyDescent="0.2">
      <c r="A42" s="153" t="s">
        <v>92</v>
      </c>
      <c r="B42" s="153" t="s">
        <v>5</v>
      </c>
      <c r="C42" s="153" t="s">
        <v>103</v>
      </c>
      <c r="D42" s="153" t="str">
        <f>Commodities!C$11</f>
        <v>NGAD0</v>
      </c>
      <c r="E42" s="153">
        <v>2010</v>
      </c>
      <c r="F42" s="183">
        <f>X42</f>
        <v>0</v>
      </c>
      <c r="G42" s="180">
        <v>1.01</v>
      </c>
      <c r="H42" s="180">
        <v>1.01</v>
      </c>
      <c r="I42" s="180">
        <v>1.01</v>
      </c>
      <c r="J42" s="180">
        <v>1.1000000000000001</v>
      </c>
      <c r="K42" s="180">
        <v>1.01</v>
      </c>
      <c r="L42" s="181" t="e">
        <f>L39*'Domestic NG Prices'!$N$24</f>
        <v>#REF!</v>
      </c>
      <c r="M42" s="181" t="e">
        <f>M39*'Domestic NG Prices'!$N$24</f>
        <v>#REF!</v>
      </c>
      <c r="N42" s="181" t="e">
        <f>N39*'Domestic NG Prices'!$N$24</f>
        <v>#REF!</v>
      </c>
      <c r="O42" s="181" t="e">
        <f>O39*'Domestic NG Prices'!$N$24</f>
        <v>#REF!</v>
      </c>
      <c r="P42" s="181" t="e">
        <f>P39*'Domestic NG Prices'!$N$24</f>
        <v>#REF!</v>
      </c>
      <c r="Q42" s="181" t="e">
        <f>Q39*'Domestic NG Prices'!$N$24</f>
        <v>#REF!</v>
      </c>
      <c r="R42" s="181" t="e">
        <f>R39*'Domestic NG Prices'!$N$24</f>
        <v>#REF!</v>
      </c>
      <c r="S42" s="181">
        <f>S39*'Domestic NG Prices'!$N$24</f>
        <v>10.93070943513859</v>
      </c>
      <c r="T42" s="181">
        <f>T39*'Domestic NG Prices'!$N$24</f>
        <v>12.078661299995554</v>
      </c>
      <c r="U42" s="181">
        <f>U39*'Domestic NG Prices'!$N$24</f>
        <v>13.347171989679769</v>
      </c>
      <c r="V42" s="182">
        <v>0</v>
      </c>
      <c r="W42" s="182">
        <f t="shared" si="7"/>
        <v>0</v>
      </c>
      <c r="X42" s="182">
        <v>0</v>
      </c>
      <c r="Y42" s="182">
        <v>0</v>
      </c>
      <c r="Z42" s="182">
        <v>0</v>
      </c>
      <c r="AA42" s="182">
        <f>Z42</f>
        <v>0</v>
      </c>
      <c r="AB42" s="158"/>
      <c r="AC42" s="158"/>
      <c r="AD42" s="158"/>
      <c r="AE42" s="158"/>
      <c r="AF42" s="158"/>
      <c r="AG42" s="158"/>
      <c r="AH42" s="158"/>
      <c r="AI42" s="158"/>
      <c r="AJ42" s="158"/>
      <c r="AK42" s="158"/>
      <c r="AL42" s="158"/>
      <c r="AM42" s="158"/>
      <c r="AN42" s="158"/>
      <c r="AO42" s="158"/>
      <c r="AP42" s="158"/>
      <c r="AQ42" s="158"/>
      <c r="AR42" s="158"/>
      <c r="AS42" s="158"/>
      <c r="AT42" s="158"/>
      <c r="AU42" s="158"/>
      <c r="AV42" s="158"/>
      <c r="AW42" s="158"/>
      <c r="AX42" s="158"/>
      <c r="AY42" s="158"/>
      <c r="AZ42" s="158"/>
      <c r="BA42" s="158"/>
      <c r="BB42" s="158"/>
      <c r="BC42" s="158"/>
      <c r="BD42" s="158"/>
      <c r="BE42" s="158"/>
      <c r="BF42" s="158"/>
      <c r="BG42" s="158"/>
      <c r="BH42" s="158"/>
      <c r="BI42" s="158"/>
      <c r="BJ42" s="158"/>
      <c r="BK42" s="158"/>
      <c r="BL42" s="158"/>
      <c r="BM42" s="158"/>
      <c r="BN42" s="158"/>
      <c r="BO42" s="158"/>
      <c r="BP42" s="158"/>
      <c r="BQ42" s="158"/>
      <c r="BR42" s="158"/>
      <c r="BS42" s="158"/>
      <c r="BT42" s="158"/>
      <c r="BU42" s="158"/>
      <c r="BV42" s="158"/>
      <c r="BW42" s="158"/>
      <c r="BX42" s="158"/>
      <c r="BY42" s="158"/>
    </row>
    <row r="43" spans="1:77" x14ac:dyDescent="0.2">
      <c r="A43" s="153" t="s">
        <v>127</v>
      </c>
      <c r="B43" s="153"/>
      <c r="C43" s="153"/>
      <c r="D43" s="153"/>
      <c r="E43" s="153"/>
      <c r="F43" s="153"/>
      <c r="G43" s="153"/>
      <c r="H43" s="180"/>
      <c r="I43" s="180"/>
      <c r="J43" s="180"/>
      <c r="K43" s="180"/>
      <c r="L43" s="180"/>
      <c r="M43" s="180"/>
      <c r="N43" s="180"/>
      <c r="O43" s="180"/>
      <c r="P43" s="180"/>
      <c r="Q43" s="180"/>
      <c r="R43" s="180"/>
      <c r="S43" s="180"/>
      <c r="T43" s="181"/>
      <c r="U43" s="181"/>
      <c r="V43" s="181"/>
      <c r="W43" s="181"/>
      <c r="X43" s="181"/>
      <c r="Y43" s="181"/>
      <c r="Z43" s="181"/>
      <c r="AA43" s="181"/>
      <c r="AI43" s="158"/>
      <c r="AJ43" s="158"/>
      <c r="AK43" s="158"/>
      <c r="AL43" s="158"/>
      <c r="AM43" s="158"/>
      <c r="AN43" s="158"/>
      <c r="AO43" s="158"/>
      <c r="AP43" s="158"/>
      <c r="AQ43" s="158"/>
      <c r="AR43" s="158"/>
      <c r="AS43" s="158"/>
      <c r="AT43" s="158"/>
      <c r="AU43" s="158"/>
      <c r="AV43" s="158"/>
      <c r="AW43" s="158"/>
      <c r="AX43" s="158"/>
      <c r="AY43" s="158"/>
      <c r="AZ43" s="158"/>
      <c r="BA43" s="158"/>
      <c r="BB43" s="158"/>
      <c r="BC43" s="158"/>
      <c r="BD43" s="158"/>
      <c r="BE43" s="158"/>
      <c r="BF43" s="158"/>
      <c r="BG43" s="158"/>
      <c r="BH43" s="158"/>
      <c r="BI43" s="158"/>
      <c r="BJ43" s="158"/>
      <c r="BK43" s="158"/>
      <c r="BL43" s="158"/>
      <c r="BM43" s="158"/>
      <c r="BN43" s="158"/>
      <c r="BO43" s="158"/>
      <c r="BP43" s="158"/>
      <c r="BQ43" s="158"/>
      <c r="BR43" s="158"/>
      <c r="BS43" s="158"/>
      <c r="BT43" s="158"/>
      <c r="BU43" s="158"/>
      <c r="BV43" s="158"/>
      <c r="BW43" s="158"/>
      <c r="BX43" s="158"/>
      <c r="BY43" s="158"/>
    </row>
    <row r="44" spans="1:77" x14ac:dyDescent="0.2">
      <c r="A44" s="153" t="s">
        <v>127</v>
      </c>
      <c r="B44" s="153"/>
      <c r="C44" s="153"/>
      <c r="D44" s="153"/>
      <c r="E44" s="153"/>
      <c r="F44" s="153"/>
      <c r="G44" s="153"/>
      <c r="H44" s="180"/>
      <c r="I44" s="180"/>
      <c r="J44" s="180"/>
      <c r="K44" s="180"/>
      <c r="L44" s="180"/>
      <c r="M44" s="180"/>
      <c r="N44" s="180"/>
      <c r="O44" s="180"/>
      <c r="P44" s="180"/>
      <c r="Q44" s="180"/>
      <c r="R44" s="180"/>
      <c r="S44" s="180"/>
      <c r="T44" s="181"/>
      <c r="U44" s="181"/>
      <c r="V44" s="181"/>
      <c r="W44" s="181"/>
      <c r="X44" s="181"/>
      <c r="Y44" s="181"/>
      <c r="Z44" s="181"/>
      <c r="AA44" s="181"/>
      <c r="AI44" s="158"/>
      <c r="AJ44" s="158"/>
      <c r="AK44" s="158"/>
      <c r="AL44" s="158"/>
      <c r="AM44" s="158"/>
      <c r="AN44" s="158"/>
      <c r="AO44" s="158"/>
      <c r="AP44" s="158"/>
      <c r="AQ44" s="158"/>
      <c r="AR44" s="158"/>
      <c r="AS44" s="158"/>
      <c r="AT44" s="158"/>
      <c r="AU44" s="158"/>
      <c r="AV44" s="158"/>
      <c r="AW44" s="158"/>
      <c r="AX44" s="158"/>
      <c r="AY44" s="158"/>
      <c r="AZ44" s="158"/>
      <c r="BA44" s="158"/>
      <c r="BB44" s="158"/>
      <c r="BC44" s="158"/>
      <c r="BD44" s="158"/>
      <c r="BE44" s="158"/>
      <c r="BF44" s="158"/>
      <c r="BG44" s="158"/>
      <c r="BH44" s="158"/>
      <c r="BI44" s="158"/>
      <c r="BJ44" s="158"/>
      <c r="BK44" s="158"/>
      <c r="BL44" s="158"/>
      <c r="BM44" s="158"/>
      <c r="BN44" s="158"/>
      <c r="BO44" s="158"/>
      <c r="BP44" s="158"/>
      <c r="BQ44" s="158"/>
      <c r="BR44" s="158"/>
      <c r="BS44" s="158"/>
      <c r="BT44" s="158"/>
      <c r="BU44" s="158"/>
      <c r="BV44" s="158"/>
      <c r="BW44" s="158"/>
      <c r="BX44" s="158"/>
      <c r="BY44" s="158"/>
    </row>
    <row r="45" spans="1:77" ht="17.25" customHeight="1" x14ac:dyDescent="0.2">
      <c r="F45" s="157"/>
      <c r="G45" s="160"/>
      <c r="H45" s="160"/>
      <c r="I45" s="160"/>
      <c r="L45" s="160"/>
      <c r="M45" s="160"/>
      <c r="N45" s="160"/>
      <c r="O45" s="160"/>
      <c r="P45" s="160"/>
      <c r="Q45" s="160"/>
      <c r="R45" s="160"/>
      <c r="S45" s="160"/>
      <c r="X45" s="160"/>
      <c r="Y45" s="160"/>
      <c r="AT45" s="163"/>
      <c r="AU45" s="163"/>
      <c r="BS45" s="160"/>
      <c r="BT45" s="160"/>
      <c r="BU45" s="160"/>
      <c r="BV45" s="160"/>
      <c r="BW45" s="160"/>
    </row>
    <row r="46" spans="1:77" ht="17.25" customHeight="1" x14ac:dyDescent="0.2">
      <c r="F46" s="157"/>
      <c r="G46" s="160"/>
      <c r="H46" s="160"/>
      <c r="I46" s="160"/>
      <c r="L46" s="160"/>
      <c r="M46" s="160"/>
      <c r="N46" s="160"/>
      <c r="O46" s="160"/>
      <c r="P46" s="160"/>
      <c r="Q46" s="160"/>
      <c r="R46" s="160"/>
      <c r="S46" s="160"/>
      <c r="X46" s="160"/>
      <c r="Y46" s="160"/>
      <c r="AT46" s="163"/>
      <c r="AU46" s="163"/>
      <c r="BS46" s="160"/>
      <c r="BT46" s="160"/>
      <c r="BU46" s="160"/>
      <c r="BV46" s="160"/>
      <c r="BW46" s="160"/>
    </row>
    <row r="47" spans="1:77" ht="17.25" customHeight="1" x14ac:dyDescent="0.2">
      <c r="E47" s="157"/>
      <c r="G47" s="160"/>
      <c r="H47" s="160"/>
      <c r="I47" s="160"/>
      <c r="L47" s="160"/>
      <c r="M47" s="160"/>
      <c r="N47" s="160"/>
      <c r="O47" s="160"/>
      <c r="P47" s="160"/>
      <c r="Q47" s="160"/>
      <c r="R47" s="160"/>
      <c r="S47" s="160"/>
      <c r="X47" s="160"/>
      <c r="Y47" s="160"/>
      <c r="AT47" s="163"/>
      <c r="AU47" s="163"/>
      <c r="BS47" s="160"/>
      <c r="BT47" s="160"/>
      <c r="BU47" s="160"/>
      <c r="BV47" s="160"/>
      <c r="BW47" s="160"/>
    </row>
    <row r="48" spans="1:77" ht="15.75" customHeight="1" x14ac:dyDescent="0.2">
      <c r="A48" s="146" t="s">
        <v>15</v>
      </c>
      <c r="B48" s="146" t="s">
        <v>27</v>
      </c>
      <c r="C48" s="146" t="s">
        <v>28</v>
      </c>
      <c r="D48" s="146" t="s">
        <v>30</v>
      </c>
      <c r="E48" s="146" t="s">
        <v>31</v>
      </c>
      <c r="F48" s="146" t="s">
        <v>1093</v>
      </c>
      <c r="G48" s="146" t="s">
        <v>1104</v>
      </c>
      <c r="H48" s="146" t="s">
        <v>1146</v>
      </c>
      <c r="I48" s="146" t="s">
        <v>1149</v>
      </c>
      <c r="J48" s="146" t="s">
        <v>1150</v>
      </c>
      <c r="K48" s="146" t="s">
        <v>1111</v>
      </c>
      <c r="L48" s="186"/>
      <c r="M48" s="186"/>
      <c r="N48" s="172" t="s">
        <v>1112</v>
      </c>
      <c r="O48" s="172" t="s">
        <v>1113</v>
      </c>
      <c r="P48" s="172" t="s">
        <v>1114</v>
      </c>
      <c r="Q48" s="172" t="s">
        <v>1115</v>
      </c>
      <c r="R48" s="172" t="s">
        <v>1116</v>
      </c>
      <c r="S48" s="172" t="s">
        <v>1117</v>
      </c>
      <c r="T48" s="172" t="s">
        <v>1118</v>
      </c>
      <c r="U48" s="172" t="s">
        <v>1119</v>
      </c>
      <c r="V48" s="172" t="s">
        <v>1120</v>
      </c>
      <c r="W48" s="172" t="s">
        <v>1121</v>
      </c>
      <c r="X48" s="172" t="s">
        <v>1122</v>
      </c>
      <c r="Y48" s="172" t="s">
        <v>1123</v>
      </c>
      <c r="Z48" s="172" t="s">
        <v>1124</v>
      </c>
      <c r="AA48" s="172" t="s">
        <v>1125</v>
      </c>
      <c r="AB48" s="172" t="s">
        <v>1126</v>
      </c>
      <c r="AC48" s="172" t="s">
        <v>1127</v>
      </c>
      <c r="AD48" s="172" t="s">
        <v>1128</v>
      </c>
      <c r="AE48" s="172" t="s">
        <v>1129</v>
      </c>
      <c r="AF48" s="172" t="s">
        <v>1130</v>
      </c>
      <c r="AG48" s="172" t="s">
        <v>1131</v>
      </c>
      <c r="AH48" s="172" t="s">
        <v>1132</v>
      </c>
      <c r="AI48" s="172" t="s">
        <v>1133</v>
      </c>
      <c r="AJ48" s="172" t="s">
        <v>1134</v>
      </c>
      <c r="AK48" s="172" t="s">
        <v>1135</v>
      </c>
      <c r="AL48" s="172" t="s">
        <v>1136</v>
      </c>
      <c r="AM48" s="172" t="s">
        <v>1137</v>
      </c>
      <c r="AN48" s="172" t="s">
        <v>1138</v>
      </c>
      <c r="AO48" s="172" t="s">
        <v>1139</v>
      </c>
      <c r="AP48" s="172" t="s">
        <v>1140</v>
      </c>
      <c r="AQ48" s="172" t="s">
        <v>1141</v>
      </c>
      <c r="AR48" s="172" t="s">
        <v>1142</v>
      </c>
      <c r="AS48" s="172" t="s">
        <v>1143</v>
      </c>
      <c r="AT48" s="158"/>
      <c r="AU48" s="158"/>
      <c r="AV48" s="158"/>
      <c r="AW48" s="158"/>
      <c r="AX48" s="158"/>
      <c r="AY48" s="158"/>
      <c r="AZ48" s="158"/>
      <c r="BA48" s="158"/>
      <c r="BB48" s="158"/>
      <c r="BC48" s="158"/>
      <c r="BD48" s="158"/>
      <c r="BE48" s="158"/>
      <c r="BF48" s="158"/>
      <c r="BG48" s="158"/>
      <c r="BH48" s="158"/>
      <c r="BI48" s="158"/>
      <c r="BJ48" s="158"/>
      <c r="BK48" s="158"/>
      <c r="BL48" s="158"/>
      <c r="BM48" s="158"/>
      <c r="BN48" s="158"/>
      <c r="BO48" s="158"/>
      <c r="BP48" s="158"/>
      <c r="BQ48" s="158"/>
      <c r="BR48" s="158"/>
      <c r="BS48" s="158"/>
      <c r="BT48" s="158"/>
      <c r="BU48" s="158"/>
      <c r="BV48" s="158"/>
      <c r="BW48" s="158"/>
      <c r="BX48" s="158"/>
      <c r="BY48" s="158"/>
    </row>
    <row r="49" spans="1:78" ht="15.75" customHeight="1" x14ac:dyDescent="0.2">
      <c r="A49" s="184" t="s">
        <v>1145</v>
      </c>
      <c r="B49" s="184"/>
      <c r="C49" s="184"/>
      <c r="D49" s="184"/>
      <c r="E49" s="184"/>
      <c r="F49" s="184"/>
      <c r="G49" s="184"/>
      <c r="H49" s="187"/>
      <c r="I49" s="188"/>
      <c r="J49" s="188"/>
      <c r="K49" s="187"/>
      <c r="L49" s="186"/>
      <c r="M49" s="186"/>
      <c r="N49" s="185"/>
      <c r="O49" s="185"/>
      <c r="P49" s="185"/>
      <c r="Q49" s="185"/>
      <c r="R49" s="185"/>
      <c r="S49" s="185"/>
      <c r="T49" s="185"/>
      <c r="U49" s="185"/>
      <c r="V49" s="185"/>
      <c r="W49" s="185"/>
      <c r="X49" s="185"/>
      <c r="Y49" s="185"/>
      <c r="Z49" s="185"/>
      <c r="AA49" s="185"/>
      <c r="AB49" s="185"/>
      <c r="AC49" s="185"/>
      <c r="AD49" s="185"/>
      <c r="AE49" s="185"/>
      <c r="AF49" s="185"/>
      <c r="AG49" s="185"/>
      <c r="AH49" s="185"/>
      <c r="AI49" s="185"/>
      <c r="AJ49" s="185"/>
      <c r="AK49" s="185"/>
      <c r="AL49" s="185"/>
      <c r="AM49" s="185"/>
      <c r="AN49" s="185"/>
      <c r="AO49" s="185"/>
      <c r="AP49" s="185"/>
      <c r="AQ49" s="185"/>
      <c r="AR49" s="185"/>
      <c r="AS49" s="185"/>
      <c r="AT49" s="158"/>
      <c r="AU49" s="158"/>
      <c r="AV49" s="158"/>
      <c r="AW49" s="158"/>
      <c r="AX49" s="158"/>
      <c r="AY49" s="158"/>
      <c r="AZ49" s="158"/>
      <c r="BA49" s="158"/>
      <c r="BB49" s="158"/>
      <c r="BC49" s="158"/>
      <c r="BD49" s="158"/>
      <c r="BE49" s="158"/>
      <c r="BF49" s="158"/>
      <c r="BG49" s="158"/>
      <c r="BH49" s="158"/>
      <c r="BI49" s="158"/>
      <c r="BJ49" s="158"/>
      <c r="BK49" s="158"/>
      <c r="BL49" s="158"/>
      <c r="BM49" s="158"/>
      <c r="BN49" s="158"/>
      <c r="BO49" s="158"/>
      <c r="BP49" s="158"/>
      <c r="BQ49" s="158"/>
      <c r="BR49" s="158"/>
      <c r="BS49" s="158"/>
      <c r="BT49" s="158"/>
      <c r="BU49" s="158"/>
      <c r="BV49" s="158"/>
      <c r="BW49" s="158"/>
      <c r="BX49" s="158"/>
      <c r="BY49" s="158"/>
    </row>
    <row r="50" spans="1:78" x14ac:dyDescent="0.2">
      <c r="A50" s="153" t="s">
        <v>57</v>
      </c>
      <c r="B50" s="153" t="s">
        <v>104</v>
      </c>
      <c r="C50" s="153" t="s">
        <v>105</v>
      </c>
      <c r="D50" s="153" t="s">
        <v>48</v>
      </c>
      <c r="E50" s="153" t="str">
        <f>Commodities!C12</f>
        <v>NGAD1</v>
      </c>
      <c r="F50" s="153">
        <v>2010</v>
      </c>
      <c r="G50" s="180">
        <v>1</v>
      </c>
      <c r="H50" s="180"/>
      <c r="I50" s="180"/>
      <c r="J50" s="180"/>
      <c r="K50" s="180"/>
      <c r="N50" s="166">
        <f>N51</f>
        <v>5.628863067892162E-3</v>
      </c>
      <c r="O50" s="166">
        <f>O51</f>
        <v>5.628863067892162E-3</v>
      </c>
      <c r="P50" s="166">
        <f t="shared" ref="P50:AS50" si="8">P51</f>
        <v>7.3165000000000003E-4</v>
      </c>
      <c r="Q50" s="166">
        <f t="shared" si="8"/>
        <v>6.9187000000000003E-4</v>
      </c>
      <c r="R50" s="166">
        <f t="shared" si="8"/>
        <v>6.6925999999999997E-4</v>
      </c>
      <c r="S50" s="166">
        <f t="shared" si="8"/>
        <v>4.8229299999999996E-3</v>
      </c>
      <c r="T50" s="166">
        <f t="shared" si="8"/>
        <v>4.5913300000000002E-3</v>
      </c>
      <c r="U50" s="166">
        <f t="shared" si="8"/>
        <v>4.4275499999999997E-3</v>
      </c>
      <c r="V50" s="166">
        <f t="shared" si="8"/>
        <v>1.509156E-2</v>
      </c>
      <c r="W50" s="166">
        <f t="shared" si="8"/>
        <v>1.298537E-2</v>
      </c>
      <c r="X50" s="166">
        <f t="shared" si="8"/>
        <v>1.214993E-2</v>
      </c>
      <c r="Y50" s="166">
        <f t="shared" si="8"/>
        <v>3.5759000000000002E-4</v>
      </c>
      <c r="Z50" s="166">
        <f t="shared" si="8"/>
        <v>3.2223000000000001E-4</v>
      </c>
      <c r="AA50" s="166">
        <f t="shared" si="8"/>
        <v>2.9514E-4</v>
      </c>
      <c r="AB50" s="166">
        <f t="shared" si="8"/>
        <v>2.7726999999999998E-4</v>
      </c>
      <c r="AC50" s="166">
        <f t="shared" si="8"/>
        <v>2.4601000000000001E-4</v>
      </c>
      <c r="AD50" s="166">
        <f t="shared" si="8"/>
        <v>2.2243999999999999E-4</v>
      </c>
      <c r="AE50" s="166">
        <f t="shared" si="8"/>
        <v>5.4062999999999995E-4</v>
      </c>
      <c r="AF50" s="166">
        <f t="shared" si="8"/>
        <v>4.8401E-4</v>
      </c>
      <c r="AG50" s="166">
        <f t="shared" si="8"/>
        <v>4.8117E-4</v>
      </c>
      <c r="AH50" s="166">
        <f t="shared" si="8"/>
        <v>0.28887951369738457</v>
      </c>
      <c r="AI50" s="166">
        <f t="shared" si="8"/>
        <v>0.22518269559280807</v>
      </c>
      <c r="AJ50" s="166">
        <f t="shared" si="8"/>
        <v>0.22518269559280807</v>
      </c>
      <c r="AK50" s="166">
        <f t="shared" si="8"/>
        <v>4.3059000000000002E-5</v>
      </c>
      <c r="AL50" s="166">
        <f t="shared" si="8"/>
        <v>4.3050999999999998E-5</v>
      </c>
      <c r="AM50" s="166">
        <f t="shared" si="8"/>
        <v>4.3032999999999999E-5</v>
      </c>
      <c r="AN50" s="166">
        <f t="shared" si="8"/>
        <v>1.8008454495478929E-5</v>
      </c>
      <c r="AO50" s="166">
        <f>AN51</f>
        <v>1.8008454495478929E-5</v>
      </c>
      <c r="AP50" s="166">
        <f t="shared" si="8"/>
        <v>1.4447291874253735E-5</v>
      </c>
      <c r="AQ50" s="166">
        <f t="shared" si="8"/>
        <v>4.7390669724944556E-6</v>
      </c>
      <c r="AR50" s="166">
        <f t="shared" si="8"/>
        <v>4.2047746453037157E-6</v>
      </c>
      <c r="AS50" s="166">
        <f t="shared" si="8"/>
        <v>3.8019189142772993E-6</v>
      </c>
      <c r="AT50" s="158"/>
      <c r="AU50" s="158"/>
      <c r="AV50" s="158"/>
      <c r="AW50" s="158"/>
      <c r="AX50" s="158"/>
      <c r="AY50" s="158"/>
      <c r="AZ50" s="158"/>
      <c r="BA50" s="158"/>
      <c r="BB50" s="158"/>
      <c r="BC50" s="158"/>
      <c r="BD50" s="158"/>
      <c r="BE50" s="158"/>
      <c r="BF50" s="158"/>
      <c r="BG50" s="158"/>
      <c r="BH50" s="158"/>
      <c r="BI50" s="158"/>
      <c r="BJ50" s="158"/>
      <c r="BK50" s="158"/>
      <c r="BL50" s="158"/>
      <c r="BM50" s="158"/>
      <c r="BN50" s="158"/>
      <c r="BO50" s="158"/>
      <c r="BP50" s="158"/>
      <c r="BQ50" s="158"/>
      <c r="BR50" s="158"/>
      <c r="BS50" s="158"/>
      <c r="BT50" s="158"/>
      <c r="BU50" s="158"/>
      <c r="BV50" s="158"/>
      <c r="BW50" s="158"/>
      <c r="BX50" s="158"/>
      <c r="BY50" s="158"/>
    </row>
    <row r="51" spans="1:78" x14ac:dyDescent="0.2">
      <c r="A51" s="153" t="s">
        <v>65</v>
      </c>
      <c r="B51" s="153" t="s">
        <v>104</v>
      </c>
      <c r="C51" s="153" t="s">
        <v>105</v>
      </c>
      <c r="D51" s="153" t="s">
        <v>48</v>
      </c>
      <c r="E51" s="153" t="str">
        <f>Commodities!C13</f>
        <v>NGAD2</v>
      </c>
      <c r="F51" s="153">
        <v>2010</v>
      </c>
      <c r="G51" s="180">
        <v>1</v>
      </c>
      <c r="H51" s="180"/>
      <c r="I51" s="180"/>
      <c r="J51" s="180"/>
      <c r="K51" s="180"/>
      <c r="N51" s="166">
        <f>Emissions!G109/1000</f>
        <v>5.628863067892162E-3</v>
      </c>
      <c r="O51" s="166">
        <f>Emissions!H109/1000</f>
        <v>5.628863067892162E-3</v>
      </c>
      <c r="P51" s="166">
        <f>Emissions!D71</f>
        <v>7.3165000000000003E-4</v>
      </c>
      <c r="Q51" s="166">
        <f>Emissions!E71</f>
        <v>6.9187000000000003E-4</v>
      </c>
      <c r="R51" s="166">
        <f>Emissions!F71</f>
        <v>6.6925999999999997E-4</v>
      </c>
      <c r="S51" s="166">
        <f>Emissions!D72</f>
        <v>4.8229299999999996E-3</v>
      </c>
      <c r="T51" s="166">
        <f>Emissions!E72</f>
        <v>4.5913300000000002E-3</v>
      </c>
      <c r="U51" s="166">
        <f>Emissions!F72</f>
        <v>4.4275499999999997E-3</v>
      </c>
      <c r="V51" s="166">
        <f>Emissions!D73</f>
        <v>1.509156E-2</v>
      </c>
      <c r="W51" s="166">
        <f>Emissions!E73</f>
        <v>1.298537E-2</v>
      </c>
      <c r="X51" s="166">
        <f>Emissions!F73</f>
        <v>1.214993E-2</v>
      </c>
      <c r="Y51" s="166">
        <f>Emissions!D74</f>
        <v>3.5759000000000002E-4</v>
      </c>
      <c r="Z51" s="166">
        <f>Emissions!E74</f>
        <v>3.2223000000000001E-4</v>
      </c>
      <c r="AA51" s="166">
        <f>Emissions!F74</f>
        <v>2.9514E-4</v>
      </c>
      <c r="AB51" s="166">
        <f>Emissions!D75</f>
        <v>2.7726999999999998E-4</v>
      </c>
      <c r="AC51" s="166">
        <f>Emissions!E75</f>
        <v>2.4601000000000001E-4</v>
      </c>
      <c r="AD51" s="166">
        <f>Emissions!F75</f>
        <v>2.2243999999999999E-4</v>
      </c>
      <c r="AE51" s="166">
        <f>Emissions!D76</f>
        <v>5.4062999999999995E-4</v>
      </c>
      <c r="AF51" s="166">
        <f>Emissions!E76</f>
        <v>4.8401E-4</v>
      </c>
      <c r="AG51" s="166">
        <f>Emissions!F76</f>
        <v>4.8117E-4</v>
      </c>
      <c r="AH51" s="165">
        <f>Emissions!J109</f>
        <v>0.28887951369738457</v>
      </c>
      <c r="AI51" s="165">
        <f>Emissions!K109</f>
        <v>0.22518269559280807</v>
      </c>
      <c r="AJ51" s="165">
        <f>AI51</f>
        <v>0.22518269559280807</v>
      </c>
      <c r="AK51" s="166">
        <f>Emissions!D78</f>
        <v>4.3059000000000002E-5</v>
      </c>
      <c r="AL51" s="166">
        <f>Emissions!E78</f>
        <v>4.3050999999999998E-5</v>
      </c>
      <c r="AM51" s="166">
        <f>Emissions!F78</f>
        <v>4.3032999999999999E-5</v>
      </c>
      <c r="AN51" s="166">
        <f>Emissions!M11</f>
        <v>1.8008454495478929E-5</v>
      </c>
      <c r="AO51" s="166">
        <f>$AN51/$AB51*AC51</f>
        <v>1.5978143652154118E-5</v>
      </c>
      <c r="AP51" s="166">
        <f>$AN51/$AB51*AD51</f>
        <v>1.4447291874253735E-5</v>
      </c>
      <c r="AQ51" s="166">
        <f>Emissions!N11</f>
        <v>4.7390669724944556E-6</v>
      </c>
      <c r="AR51" s="166">
        <f>$AQ51/$AB51*AC51</f>
        <v>4.2047746453037157E-6</v>
      </c>
      <c r="AS51" s="166">
        <f>$AQ51/$AB51*AD51</f>
        <v>3.8019189142772993E-6</v>
      </c>
      <c r="AT51" s="158"/>
      <c r="AU51" s="158"/>
      <c r="AV51" s="158"/>
      <c r="AW51" s="158"/>
      <c r="AX51" s="158"/>
      <c r="AY51" s="158"/>
      <c r="AZ51" s="158"/>
      <c r="BA51" s="158"/>
      <c r="BB51" s="158"/>
      <c r="BC51" s="158"/>
      <c r="BD51" s="158"/>
      <c r="BE51" s="158"/>
      <c r="BF51" s="158"/>
      <c r="BG51" s="158"/>
      <c r="BH51" s="158"/>
      <c r="BI51" s="158"/>
      <c r="BJ51" s="158"/>
      <c r="BK51" s="158"/>
      <c r="BL51" s="158"/>
      <c r="BM51" s="158"/>
      <c r="BN51" s="158"/>
      <c r="BO51" s="158"/>
      <c r="BP51" s="158"/>
      <c r="BQ51" s="158"/>
      <c r="BR51" s="158"/>
      <c r="BS51" s="158"/>
      <c r="BT51" s="158"/>
      <c r="BU51" s="158"/>
      <c r="BV51" s="158"/>
      <c r="BW51" s="158"/>
      <c r="BX51" s="158"/>
      <c r="BY51" s="158"/>
    </row>
    <row r="52" spans="1:78" x14ac:dyDescent="0.2">
      <c r="A52" s="153" t="s">
        <v>62</v>
      </c>
      <c r="B52" s="153" t="s">
        <v>104</v>
      </c>
      <c r="C52" s="153" t="s">
        <v>105</v>
      </c>
      <c r="D52" s="153" t="s">
        <v>48</v>
      </c>
      <c r="E52" s="153" t="str">
        <f>Commodities!C14</f>
        <v>NGAD3</v>
      </c>
      <c r="F52" s="153">
        <v>2010</v>
      </c>
      <c r="G52" s="180">
        <v>1</v>
      </c>
      <c r="H52" s="180"/>
      <c r="I52" s="180"/>
      <c r="J52" s="180"/>
      <c r="K52" s="180"/>
      <c r="N52" s="166">
        <f>Emissions!G110/1000</f>
        <v>5.5391482811698294E-3</v>
      </c>
      <c r="O52" s="166">
        <f>Emissions!H110/1000</f>
        <v>5.5391482811698294E-3</v>
      </c>
      <c r="P52" s="166">
        <f t="shared" ref="P52:U55" si="9">P51</f>
        <v>7.3165000000000003E-4</v>
      </c>
      <c r="Q52" s="166">
        <f t="shared" si="9"/>
        <v>6.9187000000000003E-4</v>
      </c>
      <c r="R52" s="166">
        <f t="shared" si="9"/>
        <v>6.6925999999999997E-4</v>
      </c>
      <c r="S52" s="166">
        <f t="shared" si="9"/>
        <v>4.8229299999999996E-3</v>
      </c>
      <c r="T52" s="166">
        <f t="shared" si="9"/>
        <v>4.5913300000000002E-3</v>
      </c>
      <c r="U52" s="166">
        <f t="shared" si="9"/>
        <v>4.4275499999999997E-3</v>
      </c>
      <c r="V52" s="166">
        <f t="shared" ref="V52:AG55" si="10">V51</f>
        <v>1.509156E-2</v>
      </c>
      <c r="W52" s="166">
        <f t="shared" si="10"/>
        <v>1.298537E-2</v>
      </c>
      <c r="X52" s="166">
        <f t="shared" si="10"/>
        <v>1.214993E-2</v>
      </c>
      <c r="Y52" s="166">
        <f t="shared" si="10"/>
        <v>3.5759000000000002E-4</v>
      </c>
      <c r="Z52" s="166">
        <f t="shared" si="10"/>
        <v>3.2223000000000001E-4</v>
      </c>
      <c r="AA52" s="166">
        <f t="shared" si="10"/>
        <v>2.9514E-4</v>
      </c>
      <c r="AB52" s="166">
        <f t="shared" si="10"/>
        <v>2.7726999999999998E-4</v>
      </c>
      <c r="AC52" s="166">
        <f t="shared" si="10"/>
        <v>2.4601000000000001E-4</v>
      </c>
      <c r="AD52" s="166">
        <f t="shared" si="10"/>
        <v>2.2243999999999999E-4</v>
      </c>
      <c r="AE52" s="166">
        <f t="shared" si="10"/>
        <v>5.4062999999999995E-4</v>
      </c>
      <c r="AF52" s="166">
        <f t="shared" si="10"/>
        <v>4.8401E-4</v>
      </c>
      <c r="AG52" s="166">
        <f t="shared" si="10"/>
        <v>4.8117E-4</v>
      </c>
      <c r="AH52" s="165">
        <f>Emissions!J110</f>
        <v>0.30777942876688902</v>
      </c>
      <c r="AI52" s="165">
        <f>Emissions!K110</f>
        <v>0.26800655378826749</v>
      </c>
      <c r="AJ52" s="165">
        <f>AI52</f>
        <v>0.26800655378826749</v>
      </c>
      <c r="AK52" s="166">
        <f t="shared" ref="AK52:AS55" si="11">AK51</f>
        <v>4.3059000000000002E-5</v>
      </c>
      <c r="AL52" s="166">
        <f t="shared" si="11"/>
        <v>4.3050999999999998E-5</v>
      </c>
      <c r="AM52" s="166">
        <f t="shared" si="11"/>
        <v>4.3032999999999999E-5</v>
      </c>
      <c r="AN52" s="166">
        <f t="shared" si="11"/>
        <v>1.8008454495478929E-5</v>
      </c>
      <c r="AO52" s="166">
        <f t="shared" si="11"/>
        <v>1.5978143652154118E-5</v>
      </c>
      <c r="AP52" s="166">
        <f t="shared" si="11"/>
        <v>1.4447291874253735E-5</v>
      </c>
      <c r="AQ52" s="166">
        <f t="shared" si="11"/>
        <v>4.7390669724944556E-6</v>
      </c>
      <c r="AR52" s="166">
        <f t="shared" si="11"/>
        <v>4.2047746453037157E-6</v>
      </c>
      <c r="AS52" s="166">
        <f t="shared" si="11"/>
        <v>3.8019189142772993E-6</v>
      </c>
      <c r="AT52" s="158"/>
      <c r="AU52" s="158"/>
      <c r="AV52" s="158"/>
      <c r="AW52" s="158"/>
      <c r="AX52" s="158"/>
      <c r="AY52" s="158"/>
      <c r="AZ52" s="158"/>
      <c r="BA52" s="158"/>
      <c r="BB52" s="158"/>
      <c r="BC52" s="158"/>
      <c r="BD52" s="158"/>
      <c r="BE52" s="158"/>
      <c r="BF52" s="158"/>
      <c r="BG52" s="158"/>
      <c r="BH52" s="158"/>
      <c r="BI52" s="158"/>
      <c r="BJ52" s="158"/>
      <c r="BK52" s="158"/>
      <c r="BL52" s="158"/>
      <c r="BM52" s="158"/>
      <c r="BN52" s="158"/>
      <c r="BO52" s="158"/>
      <c r="BP52" s="158"/>
      <c r="BQ52" s="158"/>
      <c r="BR52" s="158"/>
      <c r="BS52" s="158"/>
      <c r="BT52" s="158"/>
      <c r="BU52" s="158"/>
      <c r="BV52" s="158"/>
      <c r="BW52" s="158"/>
      <c r="BX52" s="158"/>
      <c r="BY52" s="158"/>
    </row>
    <row r="53" spans="1:78" x14ac:dyDescent="0.2">
      <c r="A53" s="153" t="s">
        <v>93</v>
      </c>
      <c r="B53" s="153" t="s">
        <v>104</v>
      </c>
      <c r="C53" s="153" t="s">
        <v>105</v>
      </c>
      <c r="D53" s="153" t="s">
        <v>48</v>
      </c>
      <c r="E53" s="153" t="str">
        <f>Commodities!C15</f>
        <v>NGAD4</v>
      </c>
      <c r="F53" s="153">
        <v>2010</v>
      </c>
      <c r="G53" s="180">
        <v>1</v>
      </c>
      <c r="H53" s="180"/>
      <c r="I53" s="180"/>
      <c r="J53" s="180"/>
      <c r="K53" s="180"/>
      <c r="N53" s="166">
        <f>Emissions!G111/1000</f>
        <v>5.4616638346842378E-3</v>
      </c>
      <c r="O53" s="166">
        <f>Emissions!H111/1000</f>
        <v>5.4616638346842378E-3</v>
      </c>
      <c r="P53" s="166">
        <f t="shared" si="9"/>
        <v>7.3165000000000003E-4</v>
      </c>
      <c r="Q53" s="166">
        <f t="shared" si="9"/>
        <v>6.9187000000000003E-4</v>
      </c>
      <c r="R53" s="166">
        <f t="shared" si="9"/>
        <v>6.6925999999999997E-4</v>
      </c>
      <c r="S53" s="166">
        <f t="shared" si="9"/>
        <v>4.8229299999999996E-3</v>
      </c>
      <c r="T53" s="166">
        <f t="shared" si="9"/>
        <v>4.5913300000000002E-3</v>
      </c>
      <c r="U53" s="166">
        <f t="shared" si="9"/>
        <v>4.4275499999999997E-3</v>
      </c>
      <c r="V53" s="166">
        <f t="shared" si="10"/>
        <v>1.509156E-2</v>
      </c>
      <c r="W53" s="166">
        <f t="shared" si="10"/>
        <v>1.298537E-2</v>
      </c>
      <c r="X53" s="166">
        <f t="shared" si="10"/>
        <v>1.214993E-2</v>
      </c>
      <c r="Y53" s="166">
        <f t="shared" si="10"/>
        <v>3.5759000000000002E-4</v>
      </c>
      <c r="Z53" s="166">
        <f t="shared" si="10"/>
        <v>3.2223000000000001E-4</v>
      </c>
      <c r="AA53" s="166">
        <f t="shared" si="10"/>
        <v>2.9514E-4</v>
      </c>
      <c r="AB53" s="166">
        <f t="shared" si="10"/>
        <v>2.7726999999999998E-4</v>
      </c>
      <c r="AC53" s="166">
        <f t="shared" si="10"/>
        <v>2.4601000000000001E-4</v>
      </c>
      <c r="AD53" s="166">
        <f t="shared" si="10"/>
        <v>2.2243999999999999E-4</v>
      </c>
      <c r="AE53" s="166">
        <f t="shared" si="10"/>
        <v>5.4062999999999995E-4</v>
      </c>
      <c r="AF53" s="166">
        <f t="shared" si="10"/>
        <v>4.8401E-4</v>
      </c>
      <c r="AG53" s="166">
        <f t="shared" si="10"/>
        <v>4.8117E-4</v>
      </c>
      <c r="AH53" s="165">
        <f>Emissions!J111</f>
        <v>0.3241028188265207</v>
      </c>
      <c r="AI53" s="165">
        <f>Emissions!K111</f>
        <v>0.30499246291072407</v>
      </c>
      <c r="AJ53" s="165">
        <f>AI53</f>
        <v>0.30499246291072407</v>
      </c>
      <c r="AK53" s="166">
        <f t="shared" si="11"/>
        <v>4.3059000000000002E-5</v>
      </c>
      <c r="AL53" s="166">
        <f t="shared" si="11"/>
        <v>4.3050999999999998E-5</v>
      </c>
      <c r="AM53" s="166">
        <f t="shared" si="11"/>
        <v>4.3032999999999999E-5</v>
      </c>
      <c r="AN53" s="166">
        <f t="shared" si="11"/>
        <v>1.8008454495478929E-5</v>
      </c>
      <c r="AO53" s="166">
        <f t="shared" si="11"/>
        <v>1.5978143652154118E-5</v>
      </c>
      <c r="AP53" s="166">
        <f t="shared" si="11"/>
        <v>1.4447291874253735E-5</v>
      </c>
      <c r="AQ53" s="166">
        <f t="shared" si="11"/>
        <v>4.7390669724944556E-6</v>
      </c>
      <c r="AR53" s="166">
        <f t="shared" si="11"/>
        <v>4.2047746453037157E-6</v>
      </c>
      <c r="AS53" s="166">
        <f t="shared" si="11"/>
        <v>3.8019189142772993E-6</v>
      </c>
      <c r="AT53" s="158"/>
      <c r="AU53" s="158"/>
      <c r="AV53" s="158"/>
      <c r="AW53" s="158"/>
      <c r="AX53" s="158"/>
      <c r="AY53" s="158"/>
      <c r="AZ53" s="158"/>
      <c r="BA53" s="158"/>
      <c r="BB53" s="158"/>
      <c r="BC53" s="158"/>
      <c r="BD53" s="158"/>
      <c r="BE53" s="158"/>
      <c r="BF53" s="158"/>
      <c r="BG53" s="158"/>
      <c r="BH53" s="158"/>
      <c r="BI53" s="158"/>
      <c r="BJ53" s="158"/>
      <c r="BK53" s="158"/>
      <c r="BL53" s="158"/>
      <c r="BM53" s="158"/>
      <c r="BN53" s="158"/>
      <c r="BO53" s="158"/>
      <c r="BP53" s="158"/>
      <c r="BQ53" s="158"/>
      <c r="BR53" s="158"/>
      <c r="BS53" s="158"/>
      <c r="BT53" s="158"/>
      <c r="BU53" s="158"/>
      <c r="BV53" s="158"/>
      <c r="BW53" s="158"/>
      <c r="BX53" s="158"/>
      <c r="BY53" s="158"/>
    </row>
    <row r="54" spans="1:78" x14ac:dyDescent="0.2">
      <c r="A54" s="153" t="s">
        <v>92</v>
      </c>
      <c r="B54" s="153" t="s">
        <v>104</v>
      </c>
      <c r="C54" s="153" t="s">
        <v>105</v>
      </c>
      <c r="D54" s="153" t="s">
        <v>48</v>
      </c>
      <c r="E54" s="153" t="str">
        <f>Commodities!C16</f>
        <v>NGAD5</v>
      </c>
      <c r="F54" s="153">
        <v>2010</v>
      </c>
      <c r="G54" s="180">
        <v>1</v>
      </c>
      <c r="H54" s="180"/>
      <c r="I54" s="180"/>
      <c r="J54" s="180"/>
      <c r="K54" s="180"/>
      <c r="N54" s="166">
        <f>Emissions!G112/1000</f>
        <v>5.52096774078829E-3</v>
      </c>
      <c r="O54" s="166">
        <f>Emissions!H112/1000</f>
        <v>5.52096774078829E-3</v>
      </c>
      <c r="P54" s="166">
        <f t="shared" si="9"/>
        <v>7.3165000000000003E-4</v>
      </c>
      <c r="Q54" s="166">
        <f t="shared" si="9"/>
        <v>6.9187000000000003E-4</v>
      </c>
      <c r="R54" s="166">
        <f t="shared" si="9"/>
        <v>6.6925999999999997E-4</v>
      </c>
      <c r="S54" s="166">
        <f t="shared" si="9"/>
        <v>4.8229299999999996E-3</v>
      </c>
      <c r="T54" s="166">
        <f t="shared" si="9"/>
        <v>4.5913300000000002E-3</v>
      </c>
      <c r="U54" s="166">
        <f t="shared" si="9"/>
        <v>4.4275499999999997E-3</v>
      </c>
      <c r="V54" s="166">
        <f t="shared" si="10"/>
        <v>1.509156E-2</v>
      </c>
      <c r="W54" s="166">
        <f t="shared" si="10"/>
        <v>1.298537E-2</v>
      </c>
      <c r="X54" s="166">
        <f t="shared" si="10"/>
        <v>1.214993E-2</v>
      </c>
      <c r="Y54" s="166">
        <f t="shared" si="10"/>
        <v>3.5759000000000002E-4</v>
      </c>
      <c r="Z54" s="166">
        <f t="shared" si="10"/>
        <v>3.2223000000000001E-4</v>
      </c>
      <c r="AA54" s="166">
        <f t="shared" si="10"/>
        <v>2.9514E-4</v>
      </c>
      <c r="AB54" s="166">
        <f t="shared" si="10"/>
        <v>2.7726999999999998E-4</v>
      </c>
      <c r="AC54" s="166">
        <f t="shared" si="10"/>
        <v>2.4601000000000001E-4</v>
      </c>
      <c r="AD54" s="166">
        <f t="shared" si="10"/>
        <v>2.2243999999999999E-4</v>
      </c>
      <c r="AE54" s="166">
        <f t="shared" si="10"/>
        <v>5.4062999999999995E-4</v>
      </c>
      <c r="AF54" s="166">
        <f t="shared" si="10"/>
        <v>4.8401E-4</v>
      </c>
      <c r="AG54" s="166">
        <f t="shared" si="10"/>
        <v>4.8117E-4</v>
      </c>
      <c r="AH54" s="165">
        <f>Emissions!J112</f>
        <v>0.31160946260726696</v>
      </c>
      <c r="AI54" s="165">
        <f>Emissions!K112</f>
        <v>0.27668473173038971</v>
      </c>
      <c r="AJ54" s="165">
        <f>AI54</f>
        <v>0.27668473173038971</v>
      </c>
      <c r="AK54" s="166">
        <f t="shared" si="11"/>
        <v>4.3059000000000002E-5</v>
      </c>
      <c r="AL54" s="166">
        <f t="shared" si="11"/>
        <v>4.3050999999999998E-5</v>
      </c>
      <c r="AM54" s="166">
        <f t="shared" si="11"/>
        <v>4.3032999999999999E-5</v>
      </c>
      <c r="AN54" s="166">
        <f t="shared" si="11"/>
        <v>1.8008454495478929E-5</v>
      </c>
      <c r="AO54" s="166">
        <f t="shared" si="11"/>
        <v>1.5978143652154118E-5</v>
      </c>
      <c r="AP54" s="166">
        <f t="shared" si="11"/>
        <v>1.4447291874253735E-5</v>
      </c>
      <c r="AQ54" s="166">
        <f t="shared" si="11"/>
        <v>4.7390669724944556E-6</v>
      </c>
      <c r="AR54" s="166">
        <f t="shared" si="11"/>
        <v>4.2047746453037157E-6</v>
      </c>
      <c r="AS54" s="166">
        <f t="shared" si="11"/>
        <v>3.8019189142772993E-6</v>
      </c>
      <c r="AT54" s="158"/>
      <c r="AU54" s="158"/>
      <c r="AV54" s="158"/>
      <c r="AW54" s="158"/>
      <c r="AX54" s="158"/>
      <c r="AY54" s="158"/>
      <c r="AZ54" s="158"/>
      <c r="BA54" s="158"/>
      <c r="BB54" s="158"/>
      <c r="BC54" s="158"/>
      <c r="BD54" s="158"/>
      <c r="BE54" s="158"/>
      <c r="BF54" s="158"/>
      <c r="BG54" s="158"/>
      <c r="BH54" s="158"/>
      <c r="BI54" s="158"/>
      <c r="BJ54" s="158"/>
      <c r="BK54" s="158"/>
      <c r="BL54" s="158"/>
      <c r="BM54" s="158"/>
      <c r="BN54" s="158"/>
      <c r="BO54" s="158"/>
      <c r="BP54" s="158"/>
      <c r="BQ54" s="158"/>
      <c r="BR54" s="158"/>
      <c r="BS54" s="158"/>
      <c r="BT54" s="158"/>
      <c r="BU54" s="158"/>
      <c r="BV54" s="158"/>
      <c r="BW54" s="158"/>
      <c r="BX54" s="158"/>
      <c r="BY54" s="158"/>
    </row>
    <row r="55" spans="1:78" x14ac:dyDescent="0.2">
      <c r="A55" s="153" t="s">
        <v>94</v>
      </c>
      <c r="B55" s="153" t="s">
        <v>104</v>
      </c>
      <c r="C55" s="153" t="s">
        <v>105</v>
      </c>
      <c r="D55" s="153" t="s">
        <v>48</v>
      </c>
      <c r="E55" s="153" t="str">
        <f>Commodities!C17</f>
        <v>NGAD6</v>
      </c>
      <c r="F55" s="153">
        <v>2010</v>
      </c>
      <c r="G55" s="180">
        <v>1</v>
      </c>
      <c r="H55" s="180"/>
      <c r="I55" s="180"/>
      <c r="J55" s="180"/>
      <c r="K55" s="180"/>
      <c r="N55" s="166">
        <f>Emissions!G113/1000</f>
        <v>5.3899999999999998E-3</v>
      </c>
      <c r="O55" s="166">
        <f>Emissions!H113/1000</f>
        <v>5.3899999999999998E-3</v>
      </c>
      <c r="P55" s="166">
        <f t="shared" si="9"/>
        <v>7.3165000000000003E-4</v>
      </c>
      <c r="Q55" s="166">
        <f t="shared" si="9"/>
        <v>6.9187000000000003E-4</v>
      </c>
      <c r="R55" s="166">
        <f t="shared" si="9"/>
        <v>6.6925999999999997E-4</v>
      </c>
      <c r="S55" s="166">
        <f t="shared" si="9"/>
        <v>4.8229299999999996E-3</v>
      </c>
      <c r="T55" s="166">
        <f t="shared" si="9"/>
        <v>4.5913300000000002E-3</v>
      </c>
      <c r="U55" s="166">
        <f t="shared" si="9"/>
        <v>4.4275499999999997E-3</v>
      </c>
      <c r="V55" s="166">
        <f t="shared" si="10"/>
        <v>1.509156E-2</v>
      </c>
      <c r="W55" s="166">
        <f t="shared" si="10"/>
        <v>1.298537E-2</v>
      </c>
      <c r="X55" s="166">
        <f t="shared" si="10"/>
        <v>1.214993E-2</v>
      </c>
      <c r="Y55" s="166">
        <f t="shared" si="10"/>
        <v>3.5759000000000002E-4</v>
      </c>
      <c r="Z55" s="166">
        <f t="shared" si="10"/>
        <v>3.2223000000000001E-4</v>
      </c>
      <c r="AA55" s="166">
        <f t="shared" si="10"/>
        <v>2.9514E-4</v>
      </c>
      <c r="AB55" s="166">
        <f t="shared" si="10"/>
        <v>2.7726999999999998E-4</v>
      </c>
      <c r="AC55" s="166">
        <f t="shared" si="10"/>
        <v>2.4601000000000001E-4</v>
      </c>
      <c r="AD55" s="166">
        <f t="shared" si="10"/>
        <v>2.2243999999999999E-4</v>
      </c>
      <c r="AE55" s="166">
        <f t="shared" si="10"/>
        <v>5.4062999999999995E-4</v>
      </c>
      <c r="AF55" s="166">
        <f t="shared" si="10"/>
        <v>4.8401E-4</v>
      </c>
      <c r="AG55" s="166">
        <f t="shared" si="10"/>
        <v>4.8117E-4</v>
      </c>
      <c r="AH55" s="165">
        <f>Emissions!J113</f>
        <v>0.3392</v>
      </c>
      <c r="AI55" s="165">
        <f>Emissions!K113</f>
        <v>0.3392</v>
      </c>
      <c r="AJ55" s="165">
        <f>AI55</f>
        <v>0.3392</v>
      </c>
      <c r="AK55" s="166">
        <f t="shared" si="11"/>
        <v>4.3059000000000002E-5</v>
      </c>
      <c r="AL55" s="166">
        <f t="shared" si="11"/>
        <v>4.3050999999999998E-5</v>
      </c>
      <c r="AM55" s="166">
        <f t="shared" si="11"/>
        <v>4.3032999999999999E-5</v>
      </c>
      <c r="AN55" s="166">
        <f t="shared" si="11"/>
        <v>1.8008454495478929E-5</v>
      </c>
      <c r="AO55" s="166">
        <f t="shared" si="11"/>
        <v>1.5978143652154118E-5</v>
      </c>
      <c r="AP55" s="166">
        <f t="shared" si="11"/>
        <v>1.4447291874253735E-5</v>
      </c>
      <c r="AQ55" s="166">
        <f t="shared" si="11"/>
        <v>4.7390669724944556E-6</v>
      </c>
      <c r="AR55" s="166">
        <f t="shared" si="11"/>
        <v>4.2047746453037157E-6</v>
      </c>
      <c r="AS55" s="166">
        <f t="shared" si="11"/>
        <v>3.8019189142772993E-6</v>
      </c>
      <c r="AT55" s="158"/>
      <c r="AU55" s="158"/>
      <c r="AV55" s="158"/>
      <c r="AW55" s="158"/>
      <c r="AX55" s="158"/>
      <c r="AY55" s="158"/>
      <c r="AZ55" s="158"/>
      <c r="BA55" s="158"/>
      <c r="BB55" s="158"/>
      <c r="BC55" s="158"/>
      <c r="BD55" s="158"/>
      <c r="BE55" s="158"/>
      <c r="BF55" s="158"/>
      <c r="BG55" s="158"/>
      <c r="BH55" s="158"/>
      <c r="BI55" s="158"/>
      <c r="BJ55" s="158"/>
      <c r="BK55" s="158"/>
      <c r="BL55" s="158"/>
      <c r="BM55" s="158"/>
      <c r="BN55" s="158"/>
      <c r="BO55" s="158"/>
      <c r="BP55" s="158"/>
      <c r="BQ55" s="158"/>
      <c r="BR55" s="158"/>
      <c r="BS55" s="158"/>
      <c r="BT55" s="158"/>
      <c r="BU55" s="158"/>
      <c r="BV55" s="158"/>
      <c r="BW55" s="158"/>
      <c r="BX55" s="158"/>
      <c r="BY55" s="158"/>
    </row>
    <row r="56" spans="1:78" x14ac:dyDescent="0.2">
      <c r="A56" s="153" t="s">
        <v>127</v>
      </c>
      <c r="B56" s="153"/>
      <c r="C56" s="153"/>
      <c r="D56" s="153"/>
      <c r="E56" s="153"/>
      <c r="F56" s="153"/>
      <c r="G56" s="153"/>
      <c r="H56" s="180"/>
      <c r="I56" s="180"/>
      <c r="J56" s="180"/>
      <c r="K56" s="180"/>
      <c r="BZ56" s="159"/>
    </row>
    <row r="57" spans="1:78" x14ac:dyDescent="0.2">
      <c r="A57" s="153" t="s">
        <v>127</v>
      </c>
      <c r="B57" s="153"/>
      <c r="C57" s="153"/>
      <c r="D57" s="153"/>
      <c r="E57" s="153"/>
      <c r="F57" s="153"/>
      <c r="G57" s="153"/>
      <c r="H57" s="180"/>
      <c r="I57" s="180"/>
      <c r="J57" s="180"/>
      <c r="K57" s="180"/>
      <c r="BZ57" s="159"/>
    </row>
    <row r="58" spans="1:78" x14ac:dyDescent="0.2">
      <c r="A58" s="142"/>
      <c r="B58" s="142"/>
      <c r="C58" s="142"/>
      <c r="D58" s="142"/>
      <c r="E58" s="142"/>
      <c r="F58" s="142"/>
      <c r="G58" s="142"/>
      <c r="BZ58" s="159"/>
    </row>
    <row r="59" spans="1:78" x14ac:dyDescent="0.2">
      <c r="A59" s="142"/>
      <c r="B59" s="142"/>
      <c r="C59" s="142"/>
      <c r="D59" s="142"/>
      <c r="E59" s="142"/>
      <c r="F59" s="142"/>
      <c r="G59" s="142"/>
      <c r="BZ59" s="159"/>
    </row>
    <row r="60" spans="1:78" ht="17.25" customHeight="1" x14ac:dyDescent="0.2">
      <c r="D60" s="157"/>
      <c r="E60" s="160"/>
      <c r="F60" s="160"/>
      <c r="G60" s="160"/>
      <c r="J60" s="160"/>
      <c r="K60" s="160"/>
      <c r="L60" s="160"/>
      <c r="M60" s="160"/>
      <c r="N60" s="160"/>
      <c r="O60" s="160"/>
      <c r="P60" s="160"/>
      <c r="Q60" s="160"/>
      <c r="V60" s="160"/>
      <c r="W60" s="160"/>
      <c r="AS60" s="163"/>
      <c r="AT60" s="163"/>
      <c r="BR60" s="160"/>
      <c r="BS60" s="160"/>
      <c r="BT60" s="160"/>
      <c r="BU60" s="160"/>
      <c r="BV60" s="160"/>
      <c r="BY60" s="158"/>
    </row>
    <row r="61" spans="1:78" ht="15.75" customHeight="1" x14ac:dyDescent="0.2">
      <c r="A61" s="146" t="s">
        <v>15</v>
      </c>
      <c r="B61" s="146" t="s">
        <v>27</v>
      </c>
      <c r="C61" s="146" t="s">
        <v>28</v>
      </c>
      <c r="D61" s="146" t="s">
        <v>31</v>
      </c>
      <c r="E61" s="146" t="s">
        <v>1093</v>
      </c>
      <c r="F61" s="173" t="s">
        <v>1105</v>
      </c>
      <c r="G61" s="173" t="s">
        <v>1106</v>
      </c>
      <c r="H61" s="173" t="s">
        <v>1107</v>
      </c>
      <c r="I61" s="173" t="s">
        <v>1108</v>
      </c>
      <c r="J61" s="173" t="s">
        <v>1109</v>
      </c>
      <c r="K61" s="173" t="s">
        <v>1110</v>
      </c>
      <c r="L61" s="146" t="s">
        <v>1094</v>
      </c>
      <c r="M61" s="146" t="s">
        <v>1095</v>
      </c>
      <c r="N61" s="146" t="s">
        <v>1096</v>
      </c>
      <c r="O61" s="146" t="s">
        <v>1097</v>
      </c>
      <c r="P61" s="146" t="s">
        <v>1098</v>
      </c>
      <c r="Q61" s="146" t="s">
        <v>1099</v>
      </c>
      <c r="R61" s="146" t="s">
        <v>1100</v>
      </c>
      <c r="S61" s="146" t="s">
        <v>1101</v>
      </c>
      <c r="T61" s="146" t="s">
        <v>1102</v>
      </c>
      <c r="U61" s="146" t="s">
        <v>1103</v>
      </c>
      <c r="V61" s="146" t="s">
        <v>1158</v>
      </c>
      <c r="W61" s="146" t="s">
        <v>1159</v>
      </c>
      <c r="X61" s="146" t="s">
        <v>1160</v>
      </c>
      <c r="Y61" s="146" t="s">
        <v>1161</v>
      </c>
      <c r="Z61" s="146" t="s">
        <v>1162</v>
      </c>
      <c r="AA61" s="158"/>
      <c r="AB61" s="158"/>
      <c r="AC61" s="158"/>
      <c r="AD61" s="158"/>
      <c r="AE61" s="158"/>
      <c r="AF61" s="158"/>
      <c r="AG61" s="158"/>
      <c r="AH61" s="158"/>
      <c r="AI61" s="158"/>
      <c r="AJ61" s="158"/>
      <c r="AK61" s="158"/>
      <c r="AL61" s="158"/>
      <c r="AM61" s="158"/>
      <c r="AN61" s="158"/>
      <c r="AO61" s="158"/>
      <c r="AP61" s="158"/>
      <c r="AQ61" s="158"/>
      <c r="AR61" s="158"/>
      <c r="AS61" s="158"/>
      <c r="AT61" s="158"/>
      <c r="AU61" s="158"/>
      <c r="AV61" s="158"/>
      <c r="AW61" s="158"/>
      <c r="AX61" s="158"/>
      <c r="AY61" s="158"/>
      <c r="AZ61" s="158"/>
      <c r="BA61" s="158"/>
      <c r="BB61" s="158"/>
      <c r="BC61" s="158"/>
      <c r="BD61" s="158"/>
      <c r="BE61" s="158"/>
      <c r="BF61" s="158"/>
      <c r="BG61" s="158"/>
      <c r="BH61" s="158"/>
      <c r="BI61" s="158"/>
      <c r="BJ61" s="158"/>
      <c r="BK61" s="158"/>
      <c r="BL61" s="158"/>
      <c r="BM61" s="158"/>
      <c r="BN61" s="158"/>
      <c r="BO61" s="158"/>
      <c r="BP61" s="158"/>
      <c r="BQ61" s="158"/>
      <c r="BR61" s="158"/>
      <c r="BS61" s="158"/>
      <c r="BT61" s="158"/>
      <c r="BU61" s="158"/>
      <c r="BV61" s="158"/>
      <c r="BW61" s="158"/>
      <c r="BX61" s="158"/>
      <c r="BY61" s="158"/>
    </row>
    <row r="62" spans="1:78" x14ac:dyDescent="0.2">
      <c r="A62" s="150" t="s">
        <v>125</v>
      </c>
      <c r="B62" s="151"/>
      <c r="C62" s="151"/>
      <c r="D62" s="151"/>
      <c r="E62" s="151"/>
      <c r="F62" s="177"/>
      <c r="G62" s="177"/>
      <c r="H62" s="177"/>
      <c r="I62" s="177"/>
      <c r="J62" s="177"/>
      <c r="K62" s="177"/>
      <c r="L62" s="189"/>
      <c r="M62" s="189"/>
      <c r="N62" s="189"/>
      <c r="O62" s="189"/>
      <c r="P62" s="189"/>
      <c r="Q62" s="189"/>
      <c r="R62" s="189"/>
      <c r="S62" s="189"/>
      <c r="T62" s="189"/>
      <c r="U62" s="189"/>
      <c r="V62" s="177"/>
      <c r="W62" s="177"/>
      <c r="X62" s="177"/>
      <c r="Y62" s="177"/>
      <c r="Z62" s="177"/>
      <c r="AA62" s="158"/>
      <c r="AB62" s="158"/>
      <c r="AC62" s="158"/>
      <c r="AD62" s="158"/>
      <c r="AE62" s="158"/>
      <c r="AF62" s="158"/>
      <c r="AG62" s="158"/>
      <c r="AH62" s="158"/>
      <c r="AI62" s="158"/>
      <c r="AJ62" s="158"/>
      <c r="AK62" s="158"/>
      <c r="AL62" s="158"/>
      <c r="AM62" s="158"/>
      <c r="AN62" s="158"/>
      <c r="AO62" s="158"/>
      <c r="AP62" s="158"/>
      <c r="AQ62" s="158"/>
      <c r="AR62" s="158"/>
      <c r="AS62" s="158"/>
      <c r="AT62" s="158"/>
      <c r="AU62" s="158"/>
      <c r="AV62" s="158"/>
      <c r="AW62" s="158"/>
      <c r="AX62" s="158"/>
      <c r="AY62" s="158"/>
      <c r="AZ62" s="158"/>
      <c r="BA62" s="158"/>
      <c r="BB62" s="158"/>
      <c r="BC62" s="158"/>
      <c r="BD62" s="158"/>
      <c r="BE62" s="158"/>
      <c r="BF62" s="158"/>
      <c r="BG62" s="158"/>
      <c r="BH62" s="158"/>
      <c r="BI62" s="158"/>
      <c r="BJ62" s="158"/>
      <c r="BK62" s="158"/>
      <c r="BL62" s="158"/>
      <c r="BM62" s="158"/>
      <c r="BN62" s="158"/>
      <c r="BO62" s="158"/>
      <c r="BP62" s="158"/>
      <c r="BQ62" s="158"/>
      <c r="BR62" s="158"/>
      <c r="BS62" s="158"/>
      <c r="BT62" s="158"/>
      <c r="BU62" s="158"/>
      <c r="BV62" s="158"/>
      <c r="BW62" s="158"/>
      <c r="BX62" s="158"/>
      <c r="BY62" s="158"/>
    </row>
    <row r="63" spans="1:78" x14ac:dyDescent="0.2">
      <c r="A63" s="153" t="s">
        <v>42</v>
      </c>
      <c r="B63" s="153" t="str">
        <f>Technologies!C30</f>
        <v>IMPNGALA</v>
      </c>
      <c r="C63" s="153" t="str">
        <f>Technologies!D30</f>
        <v>Imported LNG - Step A</v>
      </c>
      <c r="D63" s="153" t="str">
        <f>Commodities!$C$27</f>
        <v>NGAL</v>
      </c>
      <c r="E63" s="153">
        <v>2010</v>
      </c>
      <c r="F63" s="180"/>
      <c r="G63" s="180"/>
      <c r="H63" s="180"/>
      <c r="I63" s="180"/>
      <c r="J63" s="180"/>
      <c r="K63" s="180"/>
      <c r="L63" s="190">
        <f>L65*'Domestic NG Prices'!$N$19</f>
        <v>4.0308210963709028</v>
      </c>
      <c r="M63" s="190">
        <f>M65*'Domestic NG Prices'!$N$19</f>
        <v>3.8312125424796131</v>
      </c>
      <c r="N63" s="190">
        <f>N65*'Domestic NG Prices'!$N$19</f>
        <v>4.4927204763227087</v>
      </c>
      <c r="O63" s="190">
        <f>O65*'Domestic NG Prices'!$N$19</f>
        <v>4.9303750288803219</v>
      </c>
      <c r="P63" s="190">
        <f>P65*'Domestic NG Prices'!$N$19</f>
        <v>5.4268445659468423</v>
      </c>
      <c r="Q63" s="190">
        <f>Q65*'Domestic NG Prices'!$N$19</f>
        <v>6.1015640656927816</v>
      </c>
      <c r="R63" s="190">
        <f>R65*'Domestic NG Prices'!$N$19</f>
        <v>6.735712937058417</v>
      </c>
      <c r="S63" s="190">
        <f>S65*'Domestic NG Prices'!$N$19</f>
        <v>7.474302422117117</v>
      </c>
      <c r="T63" s="190">
        <f>T65*'Domestic NG Prices'!$N$19</f>
        <v>8.2938802795332514</v>
      </c>
      <c r="U63" s="190">
        <f>U65*'Domestic NG Prices'!$N$19</f>
        <v>9.2033271075143439</v>
      </c>
      <c r="V63" s="191">
        <f t="shared" ref="V63:V68" si="12">W63*0.9</f>
        <v>143.62519530240002</v>
      </c>
      <c r="W63" s="192">
        <f>'AEO NG Imports'!AB16</f>
        <v>159.583550336</v>
      </c>
      <c r="X63" s="192">
        <f>'AEO NG Imports'!AC16</f>
        <v>16.799403474559998</v>
      </c>
      <c r="Y63" s="193">
        <v>0</v>
      </c>
      <c r="Z63" s="193">
        <f>Y63</f>
        <v>0</v>
      </c>
      <c r="AA63" s="158"/>
      <c r="AB63" s="158"/>
      <c r="AC63" s="158"/>
      <c r="AD63" s="158"/>
      <c r="AE63" s="158"/>
      <c r="AF63" s="158"/>
      <c r="AG63" s="158"/>
      <c r="AH63" s="158"/>
      <c r="AI63" s="158"/>
      <c r="AJ63" s="158"/>
      <c r="AK63" s="158"/>
      <c r="AL63" s="158"/>
      <c r="AM63" s="158"/>
      <c r="AN63" s="158"/>
      <c r="AO63" s="158"/>
      <c r="AP63" s="158"/>
      <c r="AQ63" s="158"/>
      <c r="AR63" s="158"/>
      <c r="AS63" s="158"/>
      <c r="AT63" s="158"/>
      <c r="AU63" s="158"/>
      <c r="AV63" s="158"/>
      <c r="AW63" s="158"/>
      <c r="AX63" s="158"/>
      <c r="AY63" s="158"/>
      <c r="AZ63" s="158"/>
      <c r="BA63" s="158"/>
      <c r="BB63" s="158"/>
      <c r="BC63" s="158"/>
      <c r="BD63" s="158"/>
      <c r="BE63" s="158"/>
      <c r="BF63" s="158"/>
      <c r="BG63" s="158"/>
      <c r="BH63" s="158"/>
      <c r="BI63" s="158"/>
      <c r="BJ63" s="158"/>
      <c r="BK63" s="158"/>
      <c r="BL63" s="158"/>
      <c r="BM63" s="158"/>
      <c r="BN63" s="158"/>
      <c r="BO63" s="158"/>
      <c r="BP63" s="158"/>
      <c r="BQ63" s="158"/>
      <c r="BR63" s="158"/>
      <c r="BS63" s="158"/>
      <c r="BT63" s="158"/>
      <c r="BU63" s="158"/>
      <c r="BV63" s="158"/>
      <c r="BW63" s="158"/>
      <c r="BX63" s="158"/>
      <c r="BY63" s="158"/>
    </row>
    <row r="64" spans="1:78" x14ac:dyDescent="0.2">
      <c r="A64" s="153" t="s">
        <v>42</v>
      </c>
      <c r="B64" s="153" t="str">
        <f>Technologies!C31</f>
        <v>IMPNGALB</v>
      </c>
      <c r="C64" s="153" t="str">
        <f>Technologies!D31</f>
        <v>Imported LNG - Step B</v>
      </c>
      <c r="D64" s="153" t="str">
        <f>Commodities!$C$27</f>
        <v>NGAL</v>
      </c>
      <c r="E64" s="153">
        <v>2010</v>
      </c>
      <c r="F64" s="180"/>
      <c r="G64" s="180"/>
      <c r="H64" s="180"/>
      <c r="I64" s="180"/>
      <c r="J64" s="180"/>
      <c r="K64" s="180"/>
      <c r="L64" s="190">
        <f>L65*'Domestic NG Prices'!$N$20</f>
        <v>4.3514545926731332</v>
      </c>
      <c r="M64" s="190">
        <f>M65*'Domestic NG Prices'!$N$20</f>
        <v>4.1359680856313998</v>
      </c>
      <c r="N64" s="190">
        <f>N65*'Domestic NG Prices'!$N$20</f>
        <v>4.8500959687574694</v>
      </c>
      <c r="O64" s="190">
        <f>O65*'Domestic NG Prices'!$N$20</f>
        <v>5.3225639516321657</v>
      </c>
      <c r="P64" s="190">
        <f>P65*'Domestic NG Prices'!$N$20</f>
        <v>5.858525383692613</v>
      </c>
      <c r="Q64" s="190">
        <f>Q65*'Domestic NG Prices'!$N$20</f>
        <v>6.586915752736525</v>
      </c>
      <c r="R64" s="190">
        <f>R65*'Domestic NG Prices'!$N$20</f>
        <v>7.271508284324427</v>
      </c>
      <c r="S64" s="190">
        <f>S65*'Domestic NG Prices'!$N$20</f>
        <v>8.0688492056946153</v>
      </c>
      <c r="T64" s="190">
        <f>T65*'Domestic NG Prices'!$N$20</f>
        <v>8.9536207563143062</v>
      </c>
      <c r="U64" s="190">
        <f>U65*'Domestic NG Prices'!$N$20</f>
        <v>9.9354099456120739</v>
      </c>
      <c r="V64" s="191">
        <f t="shared" si="12"/>
        <v>107.71889647679997</v>
      </c>
      <c r="W64" s="192">
        <f>'AEO NG Imports'!AB17</f>
        <v>119.68766275199997</v>
      </c>
      <c r="X64" s="192">
        <f>'AEO NG Imports'!AC17</f>
        <v>12.599552605919996</v>
      </c>
      <c r="Y64" s="193">
        <v>0</v>
      </c>
      <c r="Z64" s="193">
        <f t="shared" ref="Z64:Z65" si="13">Y64</f>
        <v>0</v>
      </c>
      <c r="AA64" s="158"/>
      <c r="AB64" s="158"/>
      <c r="AC64" s="158"/>
      <c r="AD64" s="158"/>
      <c r="AE64" s="158"/>
      <c r="AF64" s="158"/>
      <c r="AG64" s="158"/>
      <c r="AH64" s="158"/>
      <c r="AI64" s="158"/>
      <c r="AJ64" s="158"/>
      <c r="AK64" s="158"/>
      <c r="AL64" s="158"/>
      <c r="AM64" s="158"/>
      <c r="AN64" s="158"/>
      <c r="AO64" s="158"/>
      <c r="AP64" s="158"/>
      <c r="AQ64" s="158"/>
      <c r="AR64" s="158"/>
      <c r="AS64" s="158"/>
      <c r="AT64" s="158"/>
      <c r="AU64" s="158"/>
      <c r="AV64" s="158"/>
      <c r="AW64" s="158"/>
      <c r="AX64" s="158"/>
      <c r="AY64" s="158"/>
      <c r="AZ64" s="158"/>
      <c r="BA64" s="158"/>
      <c r="BB64" s="158"/>
      <c r="BC64" s="158"/>
      <c r="BD64" s="158"/>
      <c r="BE64" s="158"/>
      <c r="BF64" s="158"/>
      <c r="BG64" s="158"/>
      <c r="BH64" s="158"/>
      <c r="BI64" s="158"/>
      <c r="BJ64" s="158"/>
      <c r="BK64" s="158"/>
      <c r="BL64" s="158"/>
      <c r="BM64" s="158"/>
      <c r="BN64" s="158"/>
      <c r="BO64" s="158"/>
      <c r="BP64" s="158"/>
      <c r="BQ64" s="158"/>
      <c r="BR64" s="158"/>
      <c r="BS64" s="158"/>
      <c r="BT64" s="158"/>
      <c r="BU64" s="158"/>
      <c r="BV64" s="158"/>
      <c r="BW64" s="158"/>
      <c r="BX64" s="158"/>
      <c r="BY64" s="158"/>
    </row>
    <row r="65" spans="1:77" x14ac:dyDescent="0.2">
      <c r="A65" s="153" t="s">
        <v>42</v>
      </c>
      <c r="B65" s="153" t="str">
        <f>Technologies!C32</f>
        <v>IMPNGALC</v>
      </c>
      <c r="C65" s="153" t="str">
        <f>Technologies!D32</f>
        <v>Imported LNG - Step C</v>
      </c>
      <c r="D65" s="153" t="str">
        <f>Commodities!$C$27</f>
        <v>NGAL</v>
      </c>
      <c r="E65" s="153">
        <v>2010</v>
      </c>
      <c r="F65" s="180"/>
      <c r="G65" s="180"/>
      <c r="H65" s="180"/>
      <c r="I65" s="180"/>
      <c r="J65" s="180"/>
      <c r="K65" s="180"/>
      <c r="L65" s="194">
        <f>'AEO NG Imports'!L29*'Domestic NG Prices'!$P$27</f>
        <v>4.5804785186032984</v>
      </c>
      <c r="M65" s="194">
        <f>'AEO NG Imports'!M29*'Domestic NG Prices'!$P$27</f>
        <v>4.3536506164541056</v>
      </c>
      <c r="N65" s="194">
        <f>'AEO NG Imports'!N29*'Domestic NG Prices'!$P$27</f>
        <v>5.1053641776394416</v>
      </c>
      <c r="O65" s="194">
        <f>'AEO NG Imports'!O29*'Domestic NG Prices'!$P$27</f>
        <v>5.6026988964549114</v>
      </c>
      <c r="P65" s="194">
        <f>'AEO NG Imports'!P29*'Domestic NG Prices'!$P$27</f>
        <v>6.1668688249395931</v>
      </c>
      <c r="Q65" s="194">
        <f>'AEO NG Imports'!Q29*'Domestic NG Prices'!$P$27</f>
        <v>6.9335955291963423</v>
      </c>
      <c r="R65" s="194">
        <f>'AEO NG Imports'!R29*'Domestic NG Prices'!$P$27</f>
        <v>7.6542192466572923</v>
      </c>
      <c r="S65" s="190">
        <f>R65*'AEO NG Imports'!$S$29</f>
        <v>8.4935254796785422</v>
      </c>
      <c r="T65" s="190">
        <f>S65*'AEO NG Imports'!$S$29</f>
        <v>9.4248639540150592</v>
      </c>
      <c r="U65" s="190">
        <f>T65*'AEO NG Imports'!$S$29</f>
        <v>10.458326258539026</v>
      </c>
      <c r="V65" s="191">
        <f t="shared" si="12"/>
        <v>107.7188964768</v>
      </c>
      <c r="W65" s="192">
        <f>'AEO NG Imports'!AB18</f>
        <v>119.68766275199999</v>
      </c>
      <c r="X65" s="192">
        <f>'AEO NG Imports'!AC18</f>
        <v>12.59955260592</v>
      </c>
      <c r="Y65" s="193">
        <v>0</v>
      </c>
      <c r="Z65" s="193">
        <f t="shared" si="13"/>
        <v>0</v>
      </c>
      <c r="AA65" s="158"/>
      <c r="AB65" s="158"/>
      <c r="AC65" s="158"/>
      <c r="AD65" s="158"/>
      <c r="AE65" s="158"/>
      <c r="AF65" s="158"/>
      <c r="AG65" s="158"/>
      <c r="AH65" s="158"/>
      <c r="AI65" s="158"/>
      <c r="AJ65" s="158"/>
      <c r="AK65" s="158"/>
      <c r="AL65" s="158"/>
      <c r="AM65" s="158"/>
      <c r="AN65" s="158"/>
      <c r="AO65" s="158"/>
      <c r="AP65" s="158"/>
      <c r="AQ65" s="158"/>
      <c r="AR65" s="158"/>
      <c r="AS65" s="158"/>
      <c r="AT65" s="158"/>
      <c r="AU65" s="158"/>
      <c r="AV65" s="158"/>
      <c r="AW65" s="158"/>
      <c r="AX65" s="158"/>
      <c r="AY65" s="158"/>
      <c r="AZ65" s="158"/>
      <c r="BA65" s="158"/>
      <c r="BB65" s="158"/>
      <c r="BC65" s="158"/>
      <c r="BD65" s="158"/>
      <c r="BE65" s="158"/>
      <c r="BF65" s="158"/>
      <c r="BG65" s="158"/>
      <c r="BH65" s="158"/>
      <c r="BI65" s="158"/>
      <c r="BJ65" s="158"/>
      <c r="BK65" s="158"/>
      <c r="BL65" s="158"/>
      <c r="BM65" s="158"/>
      <c r="BN65" s="158"/>
      <c r="BO65" s="158"/>
      <c r="BP65" s="158"/>
      <c r="BQ65" s="158"/>
      <c r="BR65" s="158"/>
      <c r="BS65" s="158"/>
      <c r="BT65" s="158"/>
      <c r="BU65" s="158"/>
      <c r="BV65" s="158"/>
      <c r="BW65" s="158"/>
      <c r="BX65" s="158"/>
      <c r="BY65" s="158"/>
    </row>
    <row r="66" spans="1:77" x14ac:dyDescent="0.2">
      <c r="A66" s="153" t="s">
        <v>42</v>
      </c>
      <c r="B66" s="153" t="str">
        <f>Technologies!$C$34</f>
        <v>IMPNGAC1</v>
      </c>
      <c r="C66" s="153" t="str">
        <f>Technologies!$D$34</f>
        <v>Imported natural gas from Canada - Step 1</v>
      </c>
      <c r="D66" s="153" t="str">
        <f>Commodities!$C$25</f>
        <v>NGAC</v>
      </c>
      <c r="E66" s="153">
        <v>2010</v>
      </c>
      <c r="F66" s="180"/>
      <c r="G66" s="180">
        <v>1.0049999999999999</v>
      </c>
      <c r="H66" s="180">
        <v>1.0049999999999999</v>
      </c>
      <c r="I66" s="180">
        <v>1.0049999999999999</v>
      </c>
      <c r="J66" s="180">
        <v>1.25</v>
      </c>
      <c r="K66" s="180">
        <v>1.25</v>
      </c>
      <c r="L66" s="181">
        <f>L68*'Domestic NG Prices'!$N$19</f>
        <v>3.6554814801096454</v>
      </c>
      <c r="M66" s="181">
        <f>M68*'Domestic NG Prices'!$N$19</f>
        <v>3.1311434784632497</v>
      </c>
      <c r="N66" s="181">
        <f>N68*'Domestic NG Prices'!$N$19</f>
        <v>4.2346096729613709</v>
      </c>
      <c r="O66" s="181">
        <f>O68*'Domestic NG Prices'!$N$19</f>
        <v>4.6125943194636791</v>
      </c>
      <c r="P66" s="181">
        <f>P68*'Domestic NG Prices'!$N$19</f>
        <v>5.193475365167461</v>
      </c>
      <c r="Q66" s="181">
        <f>Q68*'Domestic NG Prices'!$N$19</f>
        <v>5.7363474011446804</v>
      </c>
      <c r="R66" s="181">
        <f>R68*'Domestic NG Prices'!$N$19</f>
        <v>6.2166127536477811</v>
      </c>
      <c r="S66" s="181">
        <f>S68*'Domestic NG Prices'!$N$19</f>
        <v>6.8676713943161714</v>
      </c>
      <c r="T66" s="181">
        <f>T68*'Domestic NG Prices'!$N$19</f>
        <v>7.5869146510104271</v>
      </c>
      <c r="U66" s="181">
        <f>U68*'Domestic NG Prices'!$N$19</f>
        <v>8.3814834194535841</v>
      </c>
      <c r="V66" s="191">
        <f t="shared" si="12"/>
        <v>974.3222708351999</v>
      </c>
      <c r="W66" s="192">
        <f>'AEO NG Imports'!AB9</f>
        <v>1082.5803009279998</v>
      </c>
      <c r="X66" s="192"/>
      <c r="Y66" s="192"/>
      <c r="Z66" s="180"/>
      <c r="AA66" s="158"/>
      <c r="AB66" s="158"/>
      <c r="AC66" s="158"/>
      <c r="AD66" s="158"/>
      <c r="AE66" s="158"/>
      <c r="AF66" s="158"/>
      <c r="AG66" s="158"/>
      <c r="AH66" s="158"/>
      <c r="AI66" s="158"/>
      <c r="AJ66" s="158"/>
      <c r="AK66" s="158"/>
      <c r="AL66" s="158"/>
      <c r="AM66" s="158"/>
      <c r="AN66" s="158"/>
      <c r="AO66" s="158"/>
      <c r="AP66" s="158"/>
      <c r="AQ66" s="158"/>
      <c r="AR66" s="158"/>
      <c r="AS66" s="158"/>
      <c r="AT66" s="158"/>
      <c r="AU66" s="158"/>
      <c r="AV66" s="158"/>
      <c r="AW66" s="158"/>
      <c r="AX66" s="158"/>
      <c r="AY66" s="158"/>
      <c r="AZ66" s="158"/>
      <c r="BA66" s="158"/>
      <c r="BB66" s="158"/>
      <c r="BC66" s="158"/>
      <c r="BD66" s="158"/>
      <c r="BE66" s="158"/>
      <c r="BF66" s="158"/>
      <c r="BG66" s="158"/>
      <c r="BH66" s="158"/>
      <c r="BI66" s="158"/>
      <c r="BJ66" s="158"/>
      <c r="BK66" s="158"/>
      <c r="BL66" s="158"/>
      <c r="BM66" s="158"/>
      <c r="BN66" s="158"/>
      <c r="BO66" s="158"/>
      <c r="BP66" s="158"/>
      <c r="BQ66" s="158"/>
      <c r="BR66" s="158"/>
      <c r="BS66" s="158"/>
      <c r="BT66" s="158"/>
      <c r="BU66" s="158"/>
      <c r="BV66" s="158"/>
      <c r="BW66" s="158"/>
      <c r="BX66" s="158"/>
      <c r="BY66" s="158"/>
    </row>
    <row r="67" spans="1:77" x14ac:dyDescent="0.2">
      <c r="A67" s="153" t="s">
        <v>42</v>
      </c>
      <c r="B67" s="153" t="str">
        <f>Technologies!$C$35</f>
        <v>IMPNGAC2</v>
      </c>
      <c r="C67" s="153" t="str">
        <f>Technologies!$D$35</f>
        <v>Imported natural gas from Canada - Step 2</v>
      </c>
      <c r="D67" s="153" t="str">
        <f>Commodities!$C$25</f>
        <v>NGAC</v>
      </c>
      <c r="E67" s="153">
        <v>2010</v>
      </c>
      <c r="F67" s="180"/>
      <c r="G67" s="180">
        <v>1.0049999999999999</v>
      </c>
      <c r="H67" s="180">
        <v>1.0049999999999999</v>
      </c>
      <c r="I67" s="180">
        <v>1.0049999999999999</v>
      </c>
      <c r="J67" s="180">
        <v>1.25</v>
      </c>
      <c r="K67" s="180">
        <v>1.25</v>
      </c>
      <c r="L67" s="181">
        <f>L68*'Domestic NG Prices'!$N$20</f>
        <v>3.9462584160274576</v>
      </c>
      <c r="M67" s="181">
        <f>M68*'Domestic NG Prices'!$N$20</f>
        <v>3.3802117097046445</v>
      </c>
      <c r="N67" s="181">
        <f>N68*'Domestic NG Prices'!$N$20</f>
        <v>4.5714536242196608</v>
      </c>
      <c r="O67" s="181">
        <f>O68*'Domestic NG Prices'!$N$20</f>
        <v>4.979505231239199</v>
      </c>
      <c r="P67" s="181">
        <f>P68*'Domestic NG Prices'!$N$20</f>
        <v>5.6065927237603264</v>
      </c>
      <c r="Q67" s="181">
        <f>Q68*'Domestic NG Prices'!$N$20</f>
        <v>6.1926477625993703</v>
      </c>
      <c r="R67" s="181">
        <f>R68*'Domestic NG Prices'!$N$20</f>
        <v>6.7111160408697632</v>
      </c>
      <c r="S67" s="181">
        <f>S68*'Domestic NG Prices'!$N$20</f>
        <v>7.4139634370458669</v>
      </c>
      <c r="T67" s="181">
        <f>T68*'Domestic NG Prices'!$N$20</f>
        <v>8.1904192255226196</v>
      </c>
      <c r="U67" s="181">
        <f>U68*'Domestic NG Prices'!$N$20</f>
        <v>9.0481923278192085</v>
      </c>
      <c r="V67" s="191">
        <f t="shared" si="12"/>
        <v>730.74170312639967</v>
      </c>
      <c r="W67" s="192">
        <f>'AEO NG Imports'!AB10</f>
        <v>811.93522569599963</v>
      </c>
      <c r="X67" s="192"/>
      <c r="Y67" s="192"/>
      <c r="Z67" s="180"/>
      <c r="AA67" s="158"/>
      <c r="AB67" s="158"/>
      <c r="AC67" s="158"/>
      <c r="AD67" s="158"/>
      <c r="AE67" s="158"/>
      <c r="AF67" s="158"/>
      <c r="AG67" s="158"/>
      <c r="AH67" s="158"/>
      <c r="AI67" s="158"/>
      <c r="AJ67" s="158"/>
      <c r="AK67" s="158"/>
      <c r="AL67" s="158"/>
      <c r="AM67" s="158"/>
      <c r="AN67" s="158"/>
      <c r="AO67" s="158"/>
      <c r="AP67" s="158"/>
      <c r="AQ67" s="158"/>
      <c r="AR67" s="158"/>
      <c r="AS67" s="158"/>
      <c r="AT67" s="158"/>
      <c r="AU67" s="158"/>
      <c r="AV67" s="158"/>
      <c r="AW67" s="158"/>
      <c r="AX67" s="158"/>
      <c r="AY67" s="158"/>
      <c r="AZ67" s="158"/>
      <c r="BA67" s="158"/>
      <c r="BB67" s="158"/>
      <c r="BC67" s="158"/>
      <c r="BD67" s="158"/>
      <c r="BE67" s="158"/>
      <c r="BF67" s="158"/>
      <c r="BG67" s="158"/>
      <c r="BH67" s="158"/>
      <c r="BI67" s="158"/>
      <c r="BJ67" s="158"/>
      <c r="BK67" s="158"/>
      <c r="BL67" s="158"/>
      <c r="BM67" s="158"/>
      <c r="BN67" s="158"/>
      <c r="BO67" s="158"/>
      <c r="BP67" s="158"/>
      <c r="BQ67" s="158"/>
      <c r="BR67" s="158"/>
      <c r="BS67" s="158"/>
      <c r="BT67" s="158"/>
      <c r="BU67" s="158"/>
      <c r="BV67" s="158"/>
      <c r="BW67" s="158"/>
      <c r="BX67" s="158"/>
      <c r="BY67" s="158"/>
    </row>
    <row r="68" spans="1:77" x14ac:dyDescent="0.2">
      <c r="A68" s="153" t="s">
        <v>42</v>
      </c>
      <c r="B68" s="153" t="str">
        <f>Technologies!$C$36</f>
        <v>IMPNGAC3</v>
      </c>
      <c r="C68" s="153" t="str">
        <f>Technologies!$D$36</f>
        <v>Imported natural gas from Canada - Step 3</v>
      </c>
      <c r="D68" s="153" t="str">
        <f>Commodities!$C$25</f>
        <v>NGAC</v>
      </c>
      <c r="E68" s="153">
        <v>2010</v>
      </c>
      <c r="F68" s="180"/>
      <c r="G68" s="180">
        <v>1.0049999999999999</v>
      </c>
      <c r="H68" s="180">
        <v>1.0049999999999999</v>
      </c>
      <c r="I68" s="180">
        <v>1.0049999999999999</v>
      </c>
      <c r="J68" s="180">
        <v>1.25</v>
      </c>
      <c r="K68" s="180">
        <v>1.25</v>
      </c>
      <c r="L68" s="181">
        <f>'AEO NG Imports'!L26*'Domestic NG Prices'!$P$27</f>
        <v>4.1539562273973241</v>
      </c>
      <c r="M68" s="181">
        <f>'AEO NG Imports'!M26*'Domestic NG Prices'!$P$27</f>
        <v>3.5581175891627836</v>
      </c>
      <c r="N68" s="181">
        <f>'AEO NG Imports'!N26*'Domestic NG Prices'!$P$27</f>
        <v>4.8120564465470119</v>
      </c>
      <c r="O68" s="181">
        <f>'AEO NG Imports'!O26*'Domestic NG Prices'!$P$27</f>
        <v>5.2415844539359995</v>
      </c>
      <c r="P68" s="181">
        <f>'AEO NG Imports'!P26*'Domestic NG Prices'!$P$27</f>
        <v>5.90167655132666</v>
      </c>
      <c r="Q68" s="181">
        <f>'AEO NG Imports'!Q26*'Domestic NG Prices'!$P$27</f>
        <v>6.5185765922098637</v>
      </c>
      <c r="R68" s="181">
        <f>'AEO NG Imports'!R26*'Domestic NG Prices'!$P$27</f>
        <v>7.0643326745997514</v>
      </c>
      <c r="S68" s="181">
        <f>R68*'AEO NG Imports'!$S$26</f>
        <v>7.8041720389956497</v>
      </c>
      <c r="T68" s="181">
        <f>S68*'AEO NG Imports'!$S$26</f>
        <v>8.6214939216027577</v>
      </c>
      <c r="U68" s="181">
        <f>T68*'AEO NG Imports'!$S$26</f>
        <v>9.5244129766517993</v>
      </c>
      <c r="V68" s="191">
        <f t="shared" si="12"/>
        <v>730.74170312640013</v>
      </c>
      <c r="W68" s="192">
        <f>'AEO NG Imports'!AB11</f>
        <v>811.93522569600009</v>
      </c>
      <c r="X68" s="192"/>
      <c r="Y68" s="192"/>
      <c r="Z68" s="180"/>
      <c r="AA68" s="158"/>
      <c r="AB68" s="158"/>
      <c r="AC68" s="158"/>
      <c r="AD68" s="158"/>
      <c r="AE68" s="158"/>
      <c r="AF68" s="158"/>
      <c r="AG68" s="158"/>
      <c r="AH68" s="158"/>
      <c r="AI68" s="158"/>
      <c r="AJ68" s="158"/>
      <c r="AK68" s="158"/>
      <c r="AL68" s="158"/>
      <c r="AM68" s="158"/>
      <c r="AN68" s="158"/>
      <c r="AO68" s="158"/>
      <c r="AP68" s="158"/>
      <c r="AQ68" s="158"/>
      <c r="AR68" s="158"/>
      <c r="AS68" s="158"/>
      <c r="AT68" s="158"/>
      <c r="AU68" s="158"/>
      <c r="AV68" s="158"/>
      <c r="AW68" s="158"/>
      <c r="AX68" s="158"/>
      <c r="AY68" s="158"/>
      <c r="AZ68" s="158"/>
      <c r="BA68" s="158"/>
      <c r="BB68" s="158"/>
      <c r="BC68" s="158"/>
      <c r="BD68" s="158"/>
      <c r="BE68" s="158"/>
      <c r="BF68" s="158"/>
      <c r="BG68" s="158"/>
      <c r="BH68" s="158"/>
      <c r="BI68" s="158"/>
      <c r="BJ68" s="158"/>
      <c r="BK68" s="158"/>
      <c r="BL68" s="158"/>
      <c r="BM68" s="158"/>
      <c r="BN68" s="158"/>
      <c r="BO68" s="158"/>
      <c r="BP68" s="158"/>
      <c r="BQ68" s="158"/>
      <c r="BR68" s="158"/>
      <c r="BS68" s="158"/>
      <c r="BT68" s="158"/>
      <c r="BU68" s="158"/>
      <c r="BV68" s="158"/>
      <c r="BW68" s="158"/>
      <c r="BX68" s="158"/>
      <c r="BY68" s="158"/>
    </row>
    <row r="69" spans="1:77" x14ac:dyDescent="0.2">
      <c r="A69" s="153" t="s">
        <v>42</v>
      </c>
      <c r="B69" s="153" t="str">
        <f>Technologies!$C$37</f>
        <v>IMPNGAC4</v>
      </c>
      <c r="C69" s="153" t="str">
        <f>Technologies!$D$37</f>
        <v>Imported natural gas from Canada - Step 4</v>
      </c>
      <c r="D69" s="153" t="str">
        <f>Commodities!$C$25</f>
        <v>NGAC</v>
      </c>
      <c r="E69" s="153">
        <v>2010</v>
      </c>
      <c r="F69" s="180"/>
      <c r="G69" s="180">
        <v>1.0049999999999999</v>
      </c>
      <c r="H69" s="180">
        <v>1.0049999999999999</v>
      </c>
      <c r="I69" s="180">
        <v>1.0049999999999999</v>
      </c>
      <c r="J69" s="180">
        <v>1.25</v>
      </c>
      <c r="K69" s="180">
        <v>1.25</v>
      </c>
      <c r="L69" s="181">
        <f>L68*'Domestic NG Prices'!$N$22</f>
        <v>4.4862727255891102</v>
      </c>
      <c r="M69" s="181">
        <f>M68*'Domestic NG Prices'!$N$22</f>
        <v>3.8427669962958064</v>
      </c>
      <c r="N69" s="181">
        <f>N68*'Domestic NG Prices'!$N$22</f>
        <v>5.1970209622707735</v>
      </c>
      <c r="O69" s="181">
        <f>O68*'Domestic NG Prices'!$N$22</f>
        <v>5.6609112102508794</v>
      </c>
      <c r="P69" s="181">
        <f>P68*'Domestic NG Prices'!$N$22</f>
        <v>6.373810675432793</v>
      </c>
      <c r="Q69" s="181">
        <f>Q68*'Domestic NG Prices'!$N$22</f>
        <v>7.0400627195866532</v>
      </c>
      <c r="R69" s="181">
        <f>R68*'Domestic NG Prices'!$N$22</f>
        <v>7.6294792885677323</v>
      </c>
      <c r="S69" s="181">
        <f>S68*'Domestic NG Prices'!$N$22</f>
        <v>8.4285058021153016</v>
      </c>
      <c r="T69" s="181">
        <f>T68*'Domestic NG Prices'!$N$22</f>
        <v>9.3112134353309788</v>
      </c>
      <c r="U69" s="181">
        <f>U68*'Domestic NG Prices'!$N$22</f>
        <v>10.286366014783944</v>
      </c>
      <c r="V69" s="193"/>
      <c r="W69" s="192">
        <f>'AEO NG Imports'!AB12</f>
        <v>135.32253761600032</v>
      </c>
      <c r="X69" s="192"/>
      <c r="Y69" s="192"/>
      <c r="Z69" s="180"/>
      <c r="AA69" s="158"/>
      <c r="AB69" s="158"/>
      <c r="AC69" s="158"/>
      <c r="AD69" s="158"/>
      <c r="AE69" s="158"/>
      <c r="AF69" s="158"/>
      <c r="AG69" s="158"/>
      <c r="AH69" s="158"/>
      <c r="AI69" s="158"/>
      <c r="AJ69" s="158"/>
      <c r="AK69" s="158"/>
      <c r="AL69" s="158"/>
      <c r="AM69" s="158"/>
      <c r="AN69" s="158"/>
      <c r="AO69" s="158"/>
      <c r="AP69" s="158"/>
      <c r="AQ69" s="158"/>
      <c r="AR69" s="158"/>
      <c r="AS69" s="158"/>
      <c r="AT69" s="158"/>
      <c r="AU69" s="158"/>
      <c r="AV69" s="158"/>
      <c r="AW69" s="158"/>
      <c r="AX69" s="158"/>
      <c r="AY69" s="158"/>
      <c r="AZ69" s="158"/>
      <c r="BA69" s="158"/>
      <c r="BB69" s="158"/>
      <c r="BC69" s="158"/>
      <c r="BD69" s="158"/>
      <c r="BE69" s="158"/>
      <c r="BF69" s="158"/>
      <c r="BG69" s="158"/>
      <c r="BH69" s="158"/>
      <c r="BI69" s="158"/>
      <c r="BJ69" s="158"/>
      <c r="BK69" s="158"/>
      <c r="BL69" s="158"/>
      <c r="BM69" s="158"/>
      <c r="BN69" s="158"/>
      <c r="BO69" s="158"/>
      <c r="BP69" s="158"/>
      <c r="BQ69" s="158"/>
      <c r="BR69" s="158"/>
      <c r="BS69" s="158"/>
      <c r="BT69" s="158"/>
      <c r="BU69" s="158"/>
      <c r="BV69" s="158"/>
      <c r="BW69" s="158"/>
      <c r="BX69" s="158"/>
      <c r="BY69" s="158"/>
    </row>
    <row r="70" spans="1:77" x14ac:dyDescent="0.2">
      <c r="A70" s="153" t="s">
        <v>42</v>
      </c>
      <c r="B70" s="153" t="str">
        <f>Technologies!$C$38</f>
        <v>IMPNGAC5</v>
      </c>
      <c r="C70" s="153" t="str">
        <f>Technologies!$D$38</f>
        <v>Imported natural gas from Canada - Step 5</v>
      </c>
      <c r="D70" s="153" t="str">
        <f>Commodities!$C$25</f>
        <v>NGAC</v>
      </c>
      <c r="E70" s="153">
        <v>2010</v>
      </c>
      <c r="F70" s="180"/>
      <c r="G70" s="180">
        <v>1.0049999999999999</v>
      </c>
      <c r="H70" s="180">
        <v>1.0049999999999999</v>
      </c>
      <c r="I70" s="180">
        <v>1.0049999999999999</v>
      </c>
      <c r="J70" s="180">
        <v>1.25</v>
      </c>
      <c r="K70" s="180">
        <v>1.25</v>
      </c>
      <c r="L70" s="181">
        <f>L68*'Domestic NG Prices'!$N$23</f>
        <v>4.6524309746850037</v>
      </c>
      <c r="M70" s="181">
        <f>M68*'Domestic NG Prices'!$N$23</f>
        <v>3.985091699862318</v>
      </c>
      <c r="N70" s="181">
        <f>N68*'Domestic NG Prices'!$N$23</f>
        <v>5.3895032201326538</v>
      </c>
      <c r="O70" s="181">
        <f>O68*'Domestic NG Prices'!$N$23</f>
        <v>5.8705745884083198</v>
      </c>
      <c r="P70" s="181">
        <f>P68*'Domestic NG Prices'!$N$23</f>
        <v>6.6098777374858599</v>
      </c>
      <c r="Q70" s="181">
        <f>Q68*'Domestic NG Prices'!$N$23</f>
        <v>7.3008057832750479</v>
      </c>
      <c r="R70" s="181">
        <f>R68*'Domestic NG Prices'!$N$23</f>
        <v>7.9120525955517227</v>
      </c>
      <c r="S70" s="181">
        <f>S68*'Domestic NG Prices'!$N$23</f>
        <v>8.740672683675129</v>
      </c>
      <c r="T70" s="181">
        <f>T68*'Domestic NG Prices'!$N$23</f>
        <v>9.6560731921950893</v>
      </c>
      <c r="U70" s="181">
        <f>U68*'Domestic NG Prices'!$N$23</f>
        <v>10.667342533850016</v>
      </c>
      <c r="V70" s="193"/>
      <c r="W70" s="192">
        <f>'AEO NG Imports'!AB13</f>
        <v>135.32253761599986</v>
      </c>
      <c r="X70" s="192"/>
      <c r="Y70" s="192"/>
      <c r="Z70" s="180"/>
      <c r="AA70" s="158"/>
      <c r="AB70" s="158"/>
      <c r="AC70" s="158"/>
      <c r="AD70" s="158"/>
      <c r="AE70" s="158"/>
      <c r="AF70" s="158"/>
      <c r="AG70" s="158"/>
      <c r="AH70" s="158"/>
      <c r="AI70" s="158"/>
      <c r="AJ70" s="158"/>
      <c r="AK70" s="158"/>
      <c r="AL70" s="158"/>
      <c r="AM70" s="158"/>
      <c r="AN70" s="158"/>
      <c r="AO70" s="158"/>
      <c r="AP70" s="158"/>
      <c r="AQ70" s="158"/>
      <c r="AR70" s="158"/>
      <c r="AS70" s="158"/>
      <c r="AT70" s="158"/>
      <c r="AU70" s="158"/>
      <c r="AV70" s="158"/>
      <c r="AW70" s="158"/>
      <c r="AX70" s="158"/>
      <c r="AY70" s="158"/>
      <c r="AZ70" s="158"/>
      <c r="BA70" s="158"/>
      <c r="BB70" s="158"/>
      <c r="BC70" s="158"/>
      <c r="BD70" s="158"/>
      <c r="BE70" s="158"/>
      <c r="BF70" s="158"/>
      <c r="BG70" s="158"/>
      <c r="BH70" s="158"/>
      <c r="BI70" s="158"/>
      <c r="BJ70" s="158"/>
      <c r="BK70" s="158"/>
      <c r="BL70" s="158"/>
      <c r="BM70" s="158"/>
      <c r="BN70" s="158"/>
      <c r="BO70" s="158"/>
      <c r="BP70" s="158"/>
      <c r="BQ70" s="158"/>
      <c r="BR70" s="158"/>
      <c r="BS70" s="158"/>
      <c r="BT70" s="158"/>
      <c r="BU70" s="158"/>
      <c r="BV70" s="158"/>
      <c r="BW70" s="158"/>
      <c r="BX70" s="158"/>
      <c r="BY70" s="158"/>
    </row>
    <row r="71" spans="1:77" x14ac:dyDescent="0.2">
      <c r="A71" s="153" t="s">
        <v>42</v>
      </c>
      <c r="B71" s="153" t="str">
        <f>Technologies!$C$39</f>
        <v>IMPNGAC6</v>
      </c>
      <c r="C71" s="153" t="str">
        <f>Technologies!$D$39</f>
        <v>Imported natural gas from Canada - Step 6</v>
      </c>
      <c r="D71" s="153" t="str">
        <f>Commodities!$C$25</f>
        <v>NGAC</v>
      </c>
      <c r="E71" s="153">
        <v>2010</v>
      </c>
      <c r="F71" s="180"/>
      <c r="G71" s="180">
        <v>1.0049999999999999</v>
      </c>
      <c r="H71" s="180">
        <v>1.0049999999999999</v>
      </c>
      <c r="I71" s="180">
        <v>1.0049999999999999</v>
      </c>
      <c r="J71" s="180">
        <v>1.25</v>
      </c>
      <c r="K71" s="180">
        <v>1.25</v>
      </c>
      <c r="L71" s="181">
        <f>L68*'Domestic NG Prices'!$N$24</f>
        <v>6.3555530279179058</v>
      </c>
      <c r="M71" s="181">
        <f>M68*'Domestic NG Prices'!$N$24</f>
        <v>5.4439199114190595</v>
      </c>
      <c r="N71" s="181">
        <f>N68*'Domestic NG Prices'!$N$24</f>
        <v>7.3624463632169288</v>
      </c>
      <c r="O71" s="181">
        <f>O68*'Domestic NG Prices'!$N$24</f>
        <v>8.0196242145220786</v>
      </c>
      <c r="P71" s="181">
        <f>P68*'Domestic NG Prices'!$N$24</f>
        <v>9.0295651235297907</v>
      </c>
      <c r="Q71" s="181">
        <f>Q68*'Domestic NG Prices'!$N$24</f>
        <v>9.9734221860810912</v>
      </c>
      <c r="R71" s="181">
        <f>R68*'Domestic NG Prices'!$N$24</f>
        <v>10.808428992137619</v>
      </c>
      <c r="S71" s="181">
        <f>S68*'Domestic NG Prices'!$N$24</f>
        <v>11.940383219663344</v>
      </c>
      <c r="T71" s="181">
        <f>T68*'Domestic NG Prices'!$N$24</f>
        <v>13.19088570005222</v>
      </c>
      <c r="U71" s="181">
        <f>U68*'Domestic NG Prices'!$N$24</f>
        <v>14.572351854277253</v>
      </c>
      <c r="V71" s="193"/>
      <c r="W71" s="192">
        <f>'AEO NG Imports'!AB14</f>
        <v>270.64507523199973</v>
      </c>
      <c r="X71" s="192"/>
      <c r="Y71" s="192"/>
      <c r="Z71" s="180"/>
      <c r="AA71" s="158"/>
      <c r="AB71" s="158"/>
      <c r="AC71" s="158"/>
      <c r="AD71" s="158"/>
      <c r="AE71" s="158"/>
      <c r="AF71" s="158"/>
      <c r="AG71" s="158"/>
      <c r="AH71" s="158"/>
      <c r="AI71" s="158"/>
      <c r="AJ71" s="158"/>
      <c r="AK71" s="158"/>
      <c r="AL71" s="158"/>
      <c r="AM71" s="158"/>
      <c r="AN71" s="158"/>
      <c r="AO71" s="158"/>
      <c r="AP71" s="158"/>
      <c r="AQ71" s="158"/>
      <c r="AR71" s="158"/>
      <c r="AS71" s="158"/>
      <c r="AT71" s="158"/>
      <c r="AU71" s="158"/>
      <c r="AV71" s="158"/>
      <c r="AW71" s="158"/>
      <c r="AX71" s="158"/>
      <c r="AY71" s="158"/>
      <c r="AZ71" s="158"/>
      <c r="BA71" s="158"/>
      <c r="BB71" s="158"/>
      <c r="BC71" s="158"/>
      <c r="BD71" s="158"/>
      <c r="BE71" s="158"/>
      <c r="BF71" s="158"/>
      <c r="BG71" s="158"/>
      <c r="BH71" s="158"/>
      <c r="BI71" s="158"/>
      <c r="BJ71" s="158"/>
      <c r="BK71" s="158"/>
      <c r="BL71" s="158"/>
      <c r="BM71" s="158"/>
      <c r="BN71" s="158"/>
      <c r="BO71" s="158"/>
      <c r="BP71" s="158"/>
      <c r="BQ71" s="158"/>
      <c r="BR71" s="158"/>
      <c r="BS71" s="158"/>
      <c r="BT71" s="158"/>
      <c r="BU71" s="158"/>
      <c r="BV71" s="158"/>
      <c r="BW71" s="158"/>
      <c r="BX71" s="158"/>
      <c r="BY71" s="158"/>
    </row>
    <row r="72" spans="1:77" x14ac:dyDescent="0.2">
      <c r="A72" s="142"/>
      <c r="B72" s="142"/>
      <c r="C72" s="142"/>
      <c r="D72" s="142"/>
      <c r="E72" s="142"/>
      <c r="F72" s="142"/>
      <c r="G72" s="142"/>
      <c r="K72" s="169"/>
      <c r="T72" s="170"/>
      <c r="U72" s="170"/>
      <c r="V72" s="170"/>
      <c r="W72" s="170"/>
      <c r="X72" s="170"/>
      <c r="Y72" s="170"/>
      <c r="Z72" s="170"/>
      <c r="AA72" s="167"/>
      <c r="AB72" s="167"/>
      <c r="AC72" s="168"/>
      <c r="AD72" s="168"/>
      <c r="AE72" s="162"/>
      <c r="AF72" s="162"/>
      <c r="AG72" s="162"/>
      <c r="AH72" s="162"/>
      <c r="AJ72" s="168"/>
      <c r="AK72" s="168"/>
      <c r="AL72" s="168"/>
      <c r="AM72" s="168"/>
      <c r="AN72" s="168"/>
      <c r="AO72" s="168"/>
      <c r="AP72" s="168"/>
      <c r="AQ72" s="162"/>
      <c r="BP72" s="158"/>
      <c r="BQ72" s="158"/>
      <c r="BR72" s="158"/>
      <c r="BS72" s="158"/>
      <c r="BT72" s="158"/>
      <c r="BU72" s="158"/>
      <c r="BV72" s="158"/>
      <c r="BW72" s="158"/>
      <c r="BX72" s="158"/>
      <c r="BY72" s="158"/>
    </row>
    <row r="73" spans="1:77" x14ac:dyDescent="0.2">
      <c r="A73" s="142"/>
      <c r="B73" s="142"/>
      <c r="C73" s="142"/>
      <c r="D73" s="142"/>
      <c r="E73" s="142"/>
      <c r="F73" s="142"/>
      <c r="G73" s="142"/>
      <c r="K73" s="169"/>
      <c r="T73" s="170"/>
      <c r="U73" s="170"/>
      <c r="V73" s="170"/>
      <c r="W73" s="170"/>
      <c r="X73" s="170"/>
      <c r="Y73" s="170"/>
      <c r="Z73" s="170"/>
      <c r="AA73" s="167"/>
      <c r="AB73" s="167"/>
      <c r="AC73" s="167"/>
      <c r="AE73" s="164"/>
      <c r="AF73" s="162"/>
      <c r="AG73" s="162"/>
      <c r="AH73" s="168"/>
      <c r="AI73" s="168"/>
      <c r="AJ73" s="168"/>
      <c r="AK73" s="168"/>
      <c r="AL73" s="168"/>
      <c r="AM73" s="168"/>
      <c r="AN73" s="168"/>
      <c r="AO73" s="162"/>
      <c r="AP73" s="162"/>
      <c r="AQ73" s="162"/>
      <c r="AR73" s="162"/>
      <c r="AT73" s="168"/>
      <c r="AU73" s="168"/>
      <c r="AV73" s="168"/>
      <c r="AW73" s="168"/>
      <c r="AX73" s="168"/>
      <c r="AY73" s="168"/>
      <c r="AZ73" s="168"/>
      <c r="BA73" s="162"/>
    </row>
    <row r="74" spans="1:77" x14ac:dyDescent="0.2">
      <c r="A74" s="142"/>
      <c r="B74" s="142"/>
      <c r="C74" s="142"/>
      <c r="D74" s="142"/>
      <c r="E74" s="142"/>
      <c r="F74" s="142"/>
      <c r="G74" s="142"/>
      <c r="K74" s="169"/>
      <c r="T74" s="170"/>
      <c r="U74" s="170"/>
      <c r="V74" s="170"/>
      <c r="W74" s="170"/>
      <c r="X74" s="170"/>
      <c r="Y74" s="170"/>
      <c r="Z74" s="170"/>
      <c r="AA74" s="167"/>
      <c r="AB74" s="167"/>
      <c r="AC74" s="167"/>
      <c r="AE74" s="164"/>
      <c r="AF74" s="162"/>
      <c r="AG74" s="162"/>
      <c r="AH74" s="168"/>
      <c r="AI74" s="168"/>
      <c r="AJ74" s="168"/>
      <c r="AK74" s="168"/>
      <c r="AL74" s="168"/>
      <c r="AM74" s="168"/>
      <c r="AN74" s="168"/>
      <c r="AO74" s="162"/>
      <c r="AP74" s="162"/>
      <c r="AQ74" s="162"/>
      <c r="AR74" s="162"/>
      <c r="AT74" s="168"/>
      <c r="AU74" s="168"/>
      <c r="AV74" s="168"/>
      <c r="AW74" s="168"/>
      <c r="AX74" s="168"/>
      <c r="AY74" s="168"/>
      <c r="AZ74" s="168"/>
      <c r="BA74" s="162"/>
    </row>
    <row r="75" spans="1:77" ht="17.25" customHeight="1" x14ac:dyDescent="0.2">
      <c r="E75" s="157"/>
      <c r="F75" s="160"/>
      <c r="G75" s="160"/>
      <c r="H75" s="160"/>
      <c r="K75" s="160"/>
      <c r="L75" s="160"/>
      <c r="M75" s="160"/>
      <c r="N75" s="160"/>
      <c r="O75" s="160"/>
      <c r="P75" s="160"/>
      <c r="Q75" s="160"/>
      <c r="R75" s="160"/>
      <c r="W75" s="160"/>
      <c r="X75" s="160"/>
      <c r="AT75" s="163"/>
      <c r="AU75" s="163"/>
      <c r="BS75" s="160"/>
      <c r="BT75" s="160"/>
      <c r="BU75" s="160"/>
      <c r="BV75" s="160"/>
      <c r="BW75" s="160"/>
    </row>
    <row r="76" spans="1:77" ht="15.75" customHeight="1" x14ac:dyDescent="0.2">
      <c r="A76" s="146" t="s">
        <v>15</v>
      </c>
      <c r="B76" s="146" t="s">
        <v>27</v>
      </c>
      <c r="C76" s="146" t="s">
        <v>28</v>
      </c>
      <c r="D76" s="146" t="s">
        <v>30</v>
      </c>
      <c r="E76" s="146" t="s">
        <v>31</v>
      </c>
      <c r="F76" s="146" t="s">
        <v>1093</v>
      </c>
      <c r="G76" s="146" t="s">
        <v>1104</v>
      </c>
      <c r="H76" s="146" t="s">
        <v>1147</v>
      </c>
      <c r="I76" s="158"/>
      <c r="J76" s="158"/>
      <c r="K76" s="158"/>
      <c r="L76" s="158"/>
      <c r="M76" s="158"/>
      <c r="N76" s="158"/>
      <c r="O76" s="158"/>
      <c r="P76" s="158"/>
      <c r="Q76" s="158"/>
      <c r="R76" s="158"/>
      <c r="S76" s="158"/>
      <c r="T76" s="158"/>
      <c r="U76" s="158"/>
      <c r="V76" s="158"/>
      <c r="W76" s="158"/>
      <c r="X76" s="158"/>
      <c r="Y76" s="158"/>
      <c r="Z76" s="158"/>
      <c r="AA76" s="158"/>
      <c r="AB76" s="158"/>
      <c r="AC76" s="158"/>
      <c r="AD76" s="158"/>
      <c r="AE76" s="158"/>
      <c r="AF76" s="158"/>
      <c r="AG76" s="158"/>
      <c r="AH76" s="158"/>
      <c r="AI76" s="158"/>
      <c r="AJ76" s="158"/>
      <c r="AK76" s="158"/>
      <c r="AL76" s="158"/>
      <c r="AM76" s="158"/>
      <c r="AN76" s="158"/>
      <c r="AO76" s="158"/>
      <c r="AP76" s="158"/>
      <c r="AQ76" s="158"/>
      <c r="AR76" s="158"/>
      <c r="AS76" s="158"/>
      <c r="AT76" s="158"/>
      <c r="AU76" s="158"/>
      <c r="AV76" s="158"/>
      <c r="AW76" s="158"/>
      <c r="AX76" s="158"/>
      <c r="AY76" s="158"/>
      <c r="AZ76" s="158"/>
      <c r="BA76" s="158"/>
      <c r="BB76" s="158"/>
      <c r="BC76" s="158"/>
      <c r="BD76" s="158"/>
      <c r="BE76" s="158"/>
      <c r="BF76" s="158"/>
      <c r="BG76" s="158"/>
      <c r="BH76" s="158"/>
      <c r="BI76" s="158"/>
      <c r="BJ76" s="158"/>
      <c r="BK76" s="158"/>
      <c r="BL76" s="158"/>
      <c r="BM76" s="158"/>
      <c r="BN76" s="158"/>
      <c r="BO76" s="158"/>
      <c r="BP76" s="158"/>
      <c r="BQ76" s="158"/>
      <c r="BR76" s="158"/>
      <c r="BS76" s="158"/>
      <c r="BT76" s="158"/>
      <c r="BU76" s="158"/>
      <c r="BV76" s="158"/>
      <c r="BW76" s="158"/>
      <c r="BX76" s="158"/>
      <c r="BY76" s="158"/>
    </row>
    <row r="77" spans="1:77" x14ac:dyDescent="0.2">
      <c r="A77" s="153" t="s">
        <v>42</v>
      </c>
      <c r="B77" s="153" t="s">
        <v>332</v>
      </c>
      <c r="C77" s="153" t="s">
        <v>115</v>
      </c>
      <c r="D77" s="153" t="s">
        <v>53</v>
      </c>
      <c r="E77" s="153"/>
      <c r="F77" s="153">
        <v>2010</v>
      </c>
      <c r="G77" s="180">
        <v>1</v>
      </c>
      <c r="H77" s="195"/>
      <c r="I77" s="158"/>
      <c r="J77" s="158"/>
      <c r="K77" s="158"/>
      <c r="L77" s="158"/>
      <c r="M77" s="158"/>
      <c r="N77" s="158"/>
      <c r="O77" s="158"/>
      <c r="P77" s="158"/>
      <c r="Q77" s="158"/>
      <c r="R77" s="158"/>
      <c r="S77" s="158"/>
      <c r="T77" s="158"/>
      <c r="U77" s="158"/>
      <c r="V77" s="158"/>
      <c r="W77" s="158"/>
      <c r="X77" s="158"/>
      <c r="Y77" s="158"/>
      <c r="Z77" s="158"/>
      <c r="AA77" s="158"/>
      <c r="AB77" s="158"/>
      <c r="AC77" s="158"/>
      <c r="AD77" s="158"/>
      <c r="AE77" s="158"/>
      <c r="AF77" s="158"/>
      <c r="AG77" s="158"/>
      <c r="AH77" s="158"/>
      <c r="AI77" s="158"/>
      <c r="AJ77" s="158"/>
      <c r="AK77" s="158"/>
      <c r="AL77" s="158"/>
      <c r="AM77" s="158"/>
      <c r="AN77" s="158"/>
      <c r="AO77" s="158"/>
      <c r="AP77" s="158"/>
      <c r="AQ77" s="158"/>
      <c r="AR77" s="158"/>
      <c r="AS77" s="158"/>
      <c r="AT77" s="158"/>
      <c r="AU77" s="158"/>
      <c r="AV77" s="158"/>
      <c r="AW77" s="158"/>
      <c r="AX77" s="158"/>
      <c r="AY77" s="158"/>
      <c r="AZ77" s="158"/>
      <c r="BA77" s="158"/>
      <c r="BB77" s="158"/>
      <c r="BC77" s="158"/>
      <c r="BD77" s="158"/>
      <c r="BE77" s="158"/>
      <c r="BF77" s="158"/>
      <c r="BG77" s="158"/>
      <c r="BH77" s="158"/>
      <c r="BI77" s="158"/>
      <c r="BJ77" s="158"/>
      <c r="BK77" s="158"/>
      <c r="BL77" s="158"/>
      <c r="BM77" s="158"/>
      <c r="BN77" s="158"/>
      <c r="BO77" s="158"/>
      <c r="BP77" s="158"/>
      <c r="BQ77" s="158"/>
      <c r="BR77" s="158"/>
      <c r="BS77" s="158"/>
      <c r="BT77" s="158"/>
      <c r="BU77" s="158"/>
      <c r="BV77" s="158"/>
      <c r="BW77" s="158"/>
      <c r="BX77" s="158"/>
      <c r="BY77" s="158"/>
    </row>
    <row r="78" spans="1:77" x14ac:dyDescent="0.2">
      <c r="A78" s="153" t="str">
        <f>A77</f>
        <v>R0</v>
      </c>
      <c r="B78" s="153"/>
      <c r="C78" s="153"/>
      <c r="D78" s="153"/>
      <c r="E78" s="153" t="s">
        <v>328</v>
      </c>
      <c r="F78" s="153"/>
      <c r="G78" s="180"/>
      <c r="H78" s="195">
        <v>0.266993002219099</v>
      </c>
      <c r="I78" s="158"/>
      <c r="J78" s="158"/>
      <c r="K78" s="158"/>
      <c r="L78" s="158"/>
      <c r="M78" s="158"/>
      <c r="N78" s="158"/>
      <c r="O78" s="158"/>
      <c r="P78" s="158"/>
      <c r="Q78" s="158"/>
      <c r="R78" s="158"/>
      <c r="S78" s="158"/>
      <c r="T78" s="158"/>
      <c r="U78" s="158"/>
      <c r="V78" s="158"/>
      <c r="W78" s="158"/>
      <c r="X78" s="158"/>
      <c r="Y78" s="158"/>
      <c r="Z78" s="158"/>
      <c r="AA78" s="158"/>
      <c r="AB78" s="158"/>
      <c r="AC78" s="158"/>
      <c r="AD78" s="158"/>
      <c r="AE78" s="158"/>
      <c r="AF78" s="158"/>
      <c r="AG78" s="158"/>
      <c r="AH78" s="158"/>
      <c r="AI78" s="158"/>
      <c r="AJ78" s="158"/>
      <c r="AK78" s="158"/>
      <c r="AL78" s="158"/>
      <c r="AM78" s="158"/>
      <c r="AN78" s="158"/>
      <c r="AO78" s="158"/>
      <c r="AP78" s="158"/>
      <c r="AQ78" s="158"/>
      <c r="AR78" s="158"/>
      <c r="AS78" s="158"/>
      <c r="AT78" s="158"/>
      <c r="AU78" s="158"/>
      <c r="AV78" s="158"/>
      <c r="AW78" s="158"/>
      <c r="AX78" s="158"/>
      <c r="AY78" s="158"/>
      <c r="AZ78" s="158"/>
      <c r="BA78" s="158"/>
      <c r="BB78" s="158"/>
      <c r="BC78" s="158"/>
      <c r="BD78" s="158"/>
      <c r="BE78" s="158"/>
      <c r="BF78" s="158"/>
      <c r="BG78" s="158"/>
      <c r="BH78" s="158"/>
      <c r="BI78" s="158"/>
      <c r="BJ78" s="158"/>
      <c r="BK78" s="158"/>
      <c r="BL78" s="158"/>
      <c r="BM78" s="158"/>
      <c r="BN78" s="158"/>
      <c r="BO78" s="158"/>
      <c r="BP78" s="158"/>
      <c r="BQ78" s="158"/>
      <c r="BR78" s="158"/>
      <c r="BS78" s="158"/>
      <c r="BT78" s="158"/>
      <c r="BU78" s="158"/>
      <c r="BV78" s="158"/>
      <c r="BW78" s="158"/>
      <c r="BX78" s="158"/>
      <c r="BY78" s="158"/>
    </row>
    <row r="79" spans="1:77" x14ac:dyDescent="0.2">
      <c r="A79" s="153" t="str">
        <f t="shared" ref="A79:A80" si="14">A78</f>
        <v>R0</v>
      </c>
      <c r="B79" s="153"/>
      <c r="C79" s="153"/>
      <c r="D79" s="153"/>
      <c r="E79" s="153" t="s">
        <v>877</v>
      </c>
      <c r="F79" s="153"/>
      <c r="G79" s="180"/>
      <c r="H79" s="195">
        <v>0.56040000000000001</v>
      </c>
      <c r="I79" s="158"/>
      <c r="J79" s="158"/>
      <c r="K79" s="158"/>
      <c r="L79" s="158"/>
      <c r="M79" s="158"/>
      <c r="N79" s="158"/>
      <c r="O79" s="158"/>
      <c r="P79" s="158"/>
      <c r="Q79" s="158"/>
      <c r="R79" s="158"/>
      <c r="S79" s="158"/>
      <c r="T79" s="158"/>
      <c r="U79" s="158"/>
      <c r="V79" s="158"/>
      <c r="W79" s="158"/>
      <c r="X79" s="158"/>
      <c r="Y79" s="158"/>
      <c r="Z79" s="158"/>
      <c r="AA79" s="158"/>
      <c r="AB79" s="158"/>
      <c r="AC79" s="158"/>
      <c r="AD79" s="158"/>
      <c r="AE79" s="158"/>
      <c r="AF79" s="158"/>
      <c r="AG79" s="158"/>
      <c r="AH79" s="158"/>
      <c r="AI79" s="158"/>
      <c r="AJ79" s="158"/>
      <c r="AK79" s="158"/>
      <c r="AL79" s="158"/>
      <c r="AM79" s="158"/>
      <c r="AN79" s="158"/>
      <c r="AO79" s="158"/>
      <c r="AP79" s="158"/>
      <c r="AQ79" s="158"/>
      <c r="AR79" s="158"/>
      <c r="AS79" s="158"/>
      <c r="AT79" s="158"/>
      <c r="AU79" s="158"/>
      <c r="AV79" s="158"/>
      <c r="AW79" s="158"/>
      <c r="AX79" s="158"/>
      <c r="AY79" s="158"/>
      <c r="AZ79" s="158"/>
      <c r="BA79" s="158"/>
      <c r="BB79" s="158"/>
      <c r="BC79" s="158"/>
      <c r="BD79" s="158"/>
      <c r="BE79" s="158"/>
      <c r="BF79" s="158"/>
      <c r="BG79" s="158"/>
      <c r="BH79" s="158"/>
      <c r="BI79" s="158"/>
      <c r="BJ79" s="158"/>
      <c r="BK79" s="158"/>
      <c r="BL79" s="158"/>
      <c r="BM79" s="158"/>
      <c r="BN79" s="158"/>
      <c r="BO79" s="158"/>
      <c r="BP79" s="158"/>
      <c r="BQ79" s="158"/>
      <c r="BR79" s="158"/>
      <c r="BS79" s="158"/>
      <c r="BT79" s="158"/>
      <c r="BU79" s="158"/>
      <c r="BV79" s="158"/>
      <c r="BW79" s="158"/>
      <c r="BX79" s="158"/>
      <c r="BY79" s="158"/>
    </row>
    <row r="80" spans="1:77" x14ac:dyDescent="0.2">
      <c r="A80" s="153" t="str">
        <f t="shared" si="14"/>
        <v>R0</v>
      </c>
      <c r="B80" s="153"/>
      <c r="C80" s="153"/>
      <c r="D80" s="153"/>
      <c r="E80" s="153" t="s">
        <v>329</v>
      </c>
      <c r="F80" s="153"/>
      <c r="G80" s="180"/>
      <c r="H80" s="195">
        <v>0.17261824039783263</v>
      </c>
      <c r="I80" s="158"/>
      <c r="J80" s="158"/>
      <c r="K80" s="158"/>
      <c r="L80" s="158"/>
      <c r="M80" s="158"/>
      <c r="N80" s="158"/>
      <c r="O80" s="158"/>
      <c r="P80" s="158"/>
      <c r="Q80" s="158"/>
      <c r="R80" s="158"/>
      <c r="S80" s="158"/>
      <c r="T80" s="158"/>
      <c r="U80" s="158"/>
      <c r="V80" s="158"/>
      <c r="W80" s="158"/>
      <c r="X80" s="158"/>
      <c r="Y80" s="158"/>
      <c r="Z80" s="158"/>
      <c r="AA80" s="158"/>
      <c r="AB80" s="158"/>
      <c r="AC80" s="158"/>
      <c r="AD80" s="158"/>
      <c r="AE80" s="158"/>
      <c r="AF80" s="158"/>
      <c r="AG80" s="158"/>
      <c r="AH80" s="158"/>
      <c r="AI80" s="158"/>
      <c r="AJ80" s="158"/>
      <c r="AK80" s="158"/>
      <c r="AL80" s="158"/>
      <c r="AM80" s="158"/>
      <c r="AN80" s="158"/>
      <c r="AO80" s="158"/>
      <c r="AP80" s="158"/>
      <c r="AQ80" s="158"/>
      <c r="AR80" s="158"/>
      <c r="AS80" s="158"/>
      <c r="AT80" s="158"/>
      <c r="AU80" s="158"/>
      <c r="AV80" s="158"/>
      <c r="AW80" s="158"/>
      <c r="AX80" s="158"/>
      <c r="AY80" s="158"/>
      <c r="AZ80" s="158"/>
      <c r="BA80" s="158"/>
      <c r="BB80" s="158"/>
      <c r="BC80" s="158"/>
      <c r="BD80" s="158"/>
      <c r="BE80" s="158"/>
      <c r="BF80" s="158"/>
      <c r="BG80" s="158"/>
      <c r="BH80" s="158"/>
      <c r="BI80" s="158"/>
      <c r="BJ80" s="158"/>
      <c r="BK80" s="158"/>
      <c r="BL80" s="158"/>
      <c r="BM80" s="158"/>
      <c r="BN80" s="158"/>
      <c r="BO80" s="158"/>
      <c r="BP80" s="158"/>
      <c r="BQ80" s="158"/>
      <c r="BR80" s="158"/>
      <c r="BS80" s="158"/>
      <c r="BT80" s="158"/>
      <c r="BU80" s="158"/>
      <c r="BV80" s="158"/>
      <c r="BW80" s="158"/>
      <c r="BX80" s="158"/>
      <c r="BY80" s="158"/>
    </row>
    <row r="81" spans="1:77" x14ac:dyDescent="0.2">
      <c r="A81" s="153" t="s">
        <v>42</v>
      </c>
      <c r="B81" s="153" t="s">
        <v>331</v>
      </c>
      <c r="C81" s="153" t="s">
        <v>330</v>
      </c>
      <c r="D81" s="153" t="s">
        <v>51</v>
      </c>
      <c r="E81" s="153" t="s">
        <v>731</v>
      </c>
      <c r="F81" s="153">
        <v>2010</v>
      </c>
      <c r="G81" s="180">
        <v>1</v>
      </c>
      <c r="H81" s="180"/>
      <c r="I81" s="158"/>
      <c r="J81" s="158"/>
      <c r="K81" s="158"/>
      <c r="L81" s="158"/>
      <c r="M81" s="158"/>
      <c r="N81" s="158"/>
      <c r="O81" s="158"/>
      <c r="P81" s="158"/>
      <c r="Q81" s="158"/>
      <c r="R81" s="158"/>
      <c r="S81" s="158"/>
      <c r="T81" s="158"/>
      <c r="U81" s="158"/>
      <c r="V81" s="158"/>
      <c r="W81" s="158"/>
      <c r="X81" s="158"/>
      <c r="Y81" s="158"/>
      <c r="Z81" s="158"/>
      <c r="AA81" s="158"/>
      <c r="AB81" s="158"/>
      <c r="AC81" s="158"/>
      <c r="AD81" s="158"/>
      <c r="AE81" s="158"/>
      <c r="AF81" s="158"/>
      <c r="AG81" s="158"/>
      <c r="AH81" s="158"/>
      <c r="AI81" s="158"/>
      <c r="AJ81" s="158"/>
      <c r="AK81" s="158"/>
      <c r="AL81" s="158"/>
      <c r="AM81" s="158"/>
      <c r="AN81" s="158"/>
      <c r="AO81" s="158"/>
      <c r="AP81" s="158"/>
      <c r="AQ81" s="158"/>
      <c r="AR81" s="158"/>
      <c r="AS81" s="158"/>
      <c r="AT81" s="158"/>
      <c r="AU81" s="158"/>
      <c r="AV81" s="158"/>
      <c r="AW81" s="158"/>
      <c r="AX81" s="158"/>
      <c r="AY81" s="158"/>
      <c r="AZ81" s="158"/>
      <c r="BA81" s="158"/>
      <c r="BB81" s="158"/>
      <c r="BC81" s="158"/>
      <c r="BD81" s="158"/>
      <c r="BE81" s="158"/>
      <c r="BF81" s="158"/>
      <c r="BG81" s="158"/>
      <c r="BH81" s="158"/>
      <c r="BI81" s="158"/>
      <c r="BJ81" s="158"/>
      <c r="BK81" s="158"/>
      <c r="BL81" s="158"/>
      <c r="BM81" s="158"/>
      <c r="BN81" s="158"/>
      <c r="BO81" s="158"/>
      <c r="BP81" s="158"/>
      <c r="BQ81" s="158"/>
      <c r="BR81" s="158"/>
      <c r="BS81" s="158"/>
      <c r="BT81" s="158"/>
      <c r="BU81" s="158"/>
      <c r="BV81" s="158"/>
      <c r="BW81" s="158"/>
      <c r="BX81" s="158"/>
      <c r="BY81" s="158"/>
    </row>
    <row r="82" spans="1:77" x14ac:dyDescent="0.2">
      <c r="A82" s="153" t="str">
        <f>Technologies!B41</f>
        <v>R0</v>
      </c>
      <c r="B82" s="153" t="str">
        <f>Technologies!C41</f>
        <v>SCNGAC1</v>
      </c>
      <c r="C82" s="153" t="str">
        <f>Technologies!D41</f>
        <v>Canadian imported natural gas in R1</v>
      </c>
      <c r="D82" s="153" t="s">
        <v>731</v>
      </c>
      <c r="E82" s="153" t="str">
        <f>Commodities!C29</f>
        <v>NGAC1</v>
      </c>
      <c r="F82" s="153">
        <v>2010</v>
      </c>
      <c r="G82" s="180">
        <v>1</v>
      </c>
      <c r="H82" s="196"/>
      <c r="I82" s="158"/>
      <c r="J82" s="158"/>
      <c r="K82" s="158"/>
      <c r="L82" s="158"/>
      <c r="M82" s="158"/>
      <c r="N82" s="158"/>
      <c r="O82" s="158"/>
      <c r="P82" s="158"/>
      <c r="Q82" s="158"/>
      <c r="R82" s="158"/>
      <c r="S82" s="158"/>
      <c r="T82" s="158"/>
      <c r="U82" s="158"/>
      <c r="V82" s="158"/>
      <c r="W82" s="158"/>
      <c r="X82" s="158"/>
      <c r="Y82" s="158"/>
      <c r="Z82" s="158"/>
      <c r="AA82" s="158"/>
      <c r="AB82" s="158"/>
      <c r="AC82" s="158"/>
      <c r="AD82" s="158"/>
      <c r="AE82" s="158"/>
      <c r="AF82" s="158"/>
      <c r="AG82" s="158"/>
      <c r="AH82" s="158"/>
      <c r="AI82" s="158"/>
      <c r="AJ82" s="158"/>
      <c r="AK82" s="158"/>
      <c r="AL82" s="158"/>
      <c r="AM82" s="158"/>
      <c r="AN82" s="158"/>
      <c r="AO82" s="158"/>
      <c r="AP82" s="158"/>
      <c r="AQ82" s="158"/>
      <c r="AR82" s="158"/>
      <c r="AS82" s="158"/>
      <c r="AT82" s="158"/>
      <c r="AU82" s="158"/>
      <c r="AV82" s="158"/>
      <c r="AW82" s="158"/>
      <c r="AX82" s="158"/>
      <c r="AY82" s="158"/>
      <c r="AZ82" s="158"/>
      <c r="BA82" s="158"/>
      <c r="BB82" s="158"/>
      <c r="BC82" s="158"/>
      <c r="BD82" s="158"/>
      <c r="BE82" s="158"/>
      <c r="BF82" s="158"/>
      <c r="BG82" s="158"/>
      <c r="BH82" s="158"/>
      <c r="BI82" s="158"/>
      <c r="BJ82" s="158"/>
      <c r="BK82" s="158"/>
      <c r="BL82" s="158"/>
      <c r="BM82" s="158"/>
      <c r="BN82" s="158"/>
      <c r="BO82" s="158"/>
      <c r="BP82" s="158"/>
      <c r="BQ82" s="158"/>
      <c r="BR82" s="158"/>
      <c r="BS82" s="158"/>
      <c r="BT82" s="158"/>
      <c r="BU82" s="158"/>
      <c r="BV82" s="158"/>
      <c r="BW82" s="158"/>
      <c r="BX82" s="158"/>
      <c r="BY82" s="158"/>
    </row>
    <row r="83" spans="1:77" x14ac:dyDescent="0.2">
      <c r="A83" s="153" t="str">
        <f>Technologies!B42</f>
        <v>*R0</v>
      </c>
      <c r="B83" s="153" t="str">
        <f>Technologies!C42</f>
        <v>SCNGAC2</v>
      </c>
      <c r="C83" s="153" t="str">
        <f>Technologies!D42</f>
        <v>Canadian imported natural gas in R2</v>
      </c>
      <c r="D83" s="153" t="s">
        <v>731</v>
      </c>
      <c r="E83" s="153" t="str">
        <f>Commodities!C30</f>
        <v>NGAC2</v>
      </c>
      <c r="F83" s="153">
        <v>2010</v>
      </c>
      <c r="G83" s="180">
        <v>1</v>
      </c>
      <c r="H83" s="196"/>
      <c r="I83" s="158"/>
      <c r="J83" s="158"/>
      <c r="K83" s="158"/>
      <c r="L83" s="158"/>
      <c r="M83" s="158"/>
      <c r="N83" s="158"/>
      <c r="O83" s="158"/>
      <c r="P83" s="158"/>
      <c r="Q83" s="158"/>
      <c r="R83" s="158"/>
      <c r="S83" s="158"/>
      <c r="T83" s="158"/>
      <c r="U83" s="158"/>
      <c r="V83" s="158"/>
      <c r="W83" s="158"/>
      <c r="X83" s="158"/>
      <c r="Y83" s="158"/>
      <c r="Z83" s="158"/>
      <c r="AA83" s="158"/>
      <c r="AB83" s="158"/>
      <c r="AC83" s="158"/>
      <c r="AD83" s="158"/>
      <c r="AE83" s="158"/>
      <c r="AF83" s="158"/>
      <c r="AG83" s="158"/>
      <c r="AH83" s="158"/>
      <c r="AI83" s="158"/>
      <c r="AJ83" s="158"/>
      <c r="AK83" s="158"/>
      <c r="AL83" s="158"/>
      <c r="AM83" s="158"/>
      <c r="AN83" s="158"/>
      <c r="AO83" s="158"/>
      <c r="AP83" s="158"/>
      <c r="AQ83" s="158"/>
      <c r="AR83" s="158"/>
      <c r="AS83" s="158"/>
      <c r="AT83" s="158"/>
      <c r="AU83" s="158"/>
      <c r="AV83" s="158"/>
      <c r="AW83" s="158"/>
      <c r="AX83" s="158"/>
      <c r="AY83" s="158"/>
      <c r="AZ83" s="158"/>
      <c r="BA83" s="158"/>
      <c r="BB83" s="158"/>
      <c r="BC83" s="158"/>
      <c r="BD83" s="158"/>
      <c r="BE83" s="158"/>
      <c r="BF83" s="158"/>
      <c r="BG83" s="158"/>
      <c r="BH83" s="158"/>
      <c r="BI83" s="158"/>
      <c r="BJ83" s="158"/>
      <c r="BK83" s="158"/>
      <c r="BL83" s="158"/>
      <c r="BM83" s="158"/>
      <c r="BN83" s="158"/>
      <c r="BO83" s="158"/>
      <c r="BP83" s="158"/>
      <c r="BQ83" s="158"/>
      <c r="BR83" s="158"/>
      <c r="BS83" s="158"/>
      <c r="BT83" s="158"/>
      <c r="BU83" s="158"/>
      <c r="BV83" s="158"/>
      <c r="BW83" s="158"/>
      <c r="BX83" s="158"/>
      <c r="BY83" s="158"/>
    </row>
    <row r="84" spans="1:77" x14ac:dyDescent="0.2">
      <c r="A84" s="153" t="str">
        <f>Technologies!B43</f>
        <v>*R0</v>
      </c>
      <c r="B84" s="153" t="str">
        <f>Technologies!C43</f>
        <v>SCNGAC3</v>
      </c>
      <c r="C84" s="153" t="str">
        <f>Technologies!D43</f>
        <v>Canadian imported natural gas in R3</v>
      </c>
      <c r="D84" s="153" t="s">
        <v>731</v>
      </c>
      <c r="E84" s="153" t="str">
        <f>Commodities!C31</f>
        <v>NGAC3</v>
      </c>
      <c r="F84" s="153">
        <v>2010</v>
      </c>
      <c r="G84" s="180">
        <v>1</v>
      </c>
      <c r="H84" s="196"/>
      <c r="I84" s="158"/>
      <c r="J84" s="158"/>
      <c r="K84" s="158"/>
      <c r="L84" s="158"/>
      <c r="M84" s="158"/>
      <c r="N84" s="158"/>
      <c r="O84" s="158"/>
      <c r="P84" s="158"/>
      <c r="Q84" s="158"/>
      <c r="R84" s="158"/>
      <c r="S84" s="158"/>
      <c r="T84" s="158"/>
      <c r="U84" s="158"/>
      <c r="V84" s="158"/>
      <c r="W84" s="158"/>
      <c r="X84" s="158"/>
      <c r="Y84" s="158"/>
      <c r="Z84" s="158"/>
      <c r="AA84" s="158"/>
      <c r="AB84" s="158"/>
      <c r="AC84" s="158"/>
      <c r="AD84" s="158"/>
      <c r="AE84" s="158"/>
      <c r="AF84" s="158"/>
      <c r="AG84" s="158"/>
      <c r="AH84" s="158"/>
      <c r="AI84" s="158"/>
      <c r="AJ84" s="158"/>
      <c r="AK84" s="158"/>
      <c r="AL84" s="158"/>
      <c r="AM84" s="158"/>
      <c r="AN84" s="158"/>
      <c r="AO84" s="158"/>
      <c r="AP84" s="158"/>
      <c r="AQ84" s="158"/>
      <c r="AR84" s="158"/>
      <c r="AS84" s="158"/>
      <c r="AT84" s="158"/>
      <c r="AU84" s="158"/>
      <c r="AV84" s="158"/>
      <c r="AW84" s="158"/>
      <c r="AX84" s="158"/>
      <c r="AY84" s="158"/>
      <c r="AZ84" s="158"/>
      <c r="BA84" s="158"/>
      <c r="BB84" s="158"/>
      <c r="BC84" s="158"/>
      <c r="BD84" s="158"/>
      <c r="BE84" s="158"/>
      <c r="BF84" s="158"/>
      <c r="BG84" s="158"/>
      <c r="BH84" s="158"/>
      <c r="BI84" s="158"/>
      <c r="BJ84" s="158"/>
      <c r="BK84" s="158"/>
      <c r="BL84" s="158"/>
      <c r="BM84" s="158"/>
      <c r="BN84" s="158"/>
      <c r="BO84" s="158"/>
      <c r="BP84" s="158"/>
      <c r="BQ84" s="158"/>
      <c r="BR84" s="158"/>
      <c r="BS84" s="158"/>
      <c r="BT84" s="158"/>
      <c r="BU84" s="158"/>
      <c r="BV84" s="158"/>
      <c r="BW84" s="158"/>
      <c r="BX84" s="158"/>
      <c r="BY84" s="158"/>
    </row>
    <row r="85" spans="1:77" x14ac:dyDescent="0.2">
      <c r="A85" s="153" t="str">
        <f>Technologies!B44</f>
        <v>*R0</v>
      </c>
      <c r="B85" s="153" t="str">
        <f>Technologies!C44</f>
        <v>SCNGAC4</v>
      </c>
      <c r="C85" s="153" t="str">
        <f>Technologies!D44</f>
        <v>Canadian imported natural gas in R4</v>
      </c>
      <c r="D85" s="153" t="s">
        <v>731</v>
      </c>
      <c r="E85" s="153" t="str">
        <f>Commodities!C32</f>
        <v>NGAC4</v>
      </c>
      <c r="F85" s="153">
        <v>2010</v>
      </c>
      <c r="G85" s="180">
        <v>1</v>
      </c>
      <c r="H85" s="196"/>
      <c r="I85" s="158"/>
      <c r="J85" s="158"/>
      <c r="K85" s="158"/>
      <c r="L85" s="158"/>
      <c r="M85" s="158"/>
      <c r="N85" s="158"/>
      <c r="O85" s="158"/>
      <c r="P85" s="158"/>
      <c r="Q85" s="158"/>
      <c r="R85" s="158"/>
      <c r="S85" s="158"/>
      <c r="T85" s="158"/>
      <c r="U85" s="158"/>
      <c r="V85" s="158"/>
      <c r="W85" s="158"/>
      <c r="X85" s="158"/>
      <c r="Y85" s="158"/>
      <c r="Z85" s="158"/>
      <c r="AA85" s="158"/>
      <c r="AB85" s="158"/>
      <c r="AC85" s="158"/>
      <c r="AD85" s="158"/>
      <c r="AE85" s="158"/>
      <c r="AF85" s="158"/>
      <c r="AG85" s="158"/>
      <c r="AH85" s="158"/>
      <c r="AI85" s="158"/>
      <c r="AJ85" s="158"/>
      <c r="AK85" s="158"/>
      <c r="AL85" s="158"/>
      <c r="AM85" s="158"/>
      <c r="AN85" s="158"/>
      <c r="AO85" s="158"/>
      <c r="AP85" s="158"/>
      <c r="AQ85" s="158"/>
      <c r="AR85" s="158"/>
      <c r="AS85" s="158"/>
      <c r="AT85" s="158"/>
      <c r="AU85" s="158"/>
      <c r="AV85" s="158"/>
      <c r="AW85" s="158"/>
      <c r="AX85" s="158"/>
      <c r="AY85" s="158"/>
      <c r="AZ85" s="158"/>
      <c r="BA85" s="158"/>
      <c r="BB85" s="158"/>
      <c r="BC85" s="158"/>
      <c r="BD85" s="158"/>
      <c r="BE85" s="158"/>
      <c r="BF85" s="158"/>
      <c r="BG85" s="158"/>
      <c r="BH85" s="158"/>
      <c r="BI85" s="158"/>
      <c r="BJ85" s="158"/>
      <c r="BK85" s="158"/>
      <c r="BL85" s="158"/>
      <c r="BM85" s="158"/>
      <c r="BN85" s="158"/>
      <c r="BO85" s="158"/>
      <c r="BP85" s="158"/>
      <c r="BQ85" s="158"/>
      <c r="BR85" s="158"/>
      <c r="BS85" s="158"/>
      <c r="BT85" s="158"/>
      <c r="BU85" s="158"/>
      <c r="BV85" s="158"/>
      <c r="BW85" s="158"/>
      <c r="BX85" s="158"/>
      <c r="BY85" s="158"/>
    </row>
    <row r="86" spans="1:77" x14ac:dyDescent="0.2">
      <c r="A86" s="153" t="str">
        <f>Technologies!B45</f>
        <v>*R0</v>
      </c>
      <c r="B86" s="153" t="str">
        <f>Technologies!C45</f>
        <v>SCNGAC5</v>
      </c>
      <c r="C86" s="153" t="str">
        <f>Technologies!D45</f>
        <v>Canadian imported natural gas in R5</v>
      </c>
      <c r="D86" s="153" t="s">
        <v>731</v>
      </c>
      <c r="E86" s="153" t="str">
        <f>Commodities!C33</f>
        <v>NGAC5</v>
      </c>
      <c r="F86" s="153">
        <v>2010</v>
      </c>
      <c r="G86" s="180">
        <v>1</v>
      </c>
      <c r="H86" s="196"/>
      <c r="I86" s="158"/>
      <c r="J86" s="158"/>
      <c r="K86" s="158"/>
      <c r="L86" s="158"/>
      <c r="M86" s="158"/>
      <c r="N86" s="158"/>
      <c r="O86" s="158"/>
      <c r="P86" s="158"/>
      <c r="Q86" s="158"/>
      <c r="R86" s="158"/>
      <c r="S86" s="158"/>
      <c r="T86" s="158"/>
      <c r="U86" s="158"/>
      <c r="V86" s="158"/>
      <c r="W86" s="158"/>
      <c r="X86" s="158"/>
      <c r="Y86" s="158"/>
      <c r="Z86" s="158"/>
      <c r="AA86" s="158"/>
      <c r="AB86" s="158"/>
      <c r="AC86" s="158"/>
      <c r="AD86" s="158"/>
      <c r="AE86" s="158"/>
      <c r="AF86" s="158"/>
      <c r="AG86" s="158"/>
      <c r="AH86" s="158"/>
      <c r="AI86" s="158"/>
      <c r="AJ86" s="158"/>
      <c r="AK86" s="158"/>
      <c r="AL86" s="158"/>
      <c r="AM86" s="158"/>
      <c r="AN86" s="158"/>
      <c r="AO86" s="158"/>
      <c r="AP86" s="158"/>
      <c r="AQ86" s="158"/>
      <c r="AR86" s="158"/>
      <c r="AS86" s="158"/>
      <c r="AT86" s="158"/>
      <c r="AU86" s="158"/>
      <c r="AV86" s="158"/>
      <c r="AW86" s="158"/>
      <c r="AX86" s="158"/>
      <c r="AY86" s="158"/>
      <c r="AZ86" s="158"/>
      <c r="BA86" s="158"/>
      <c r="BB86" s="158"/>
      <c r="BC86" s="158"/>
      <c r="BD86" s="158"/>
      <c r="BE86" s="158"/>
      <c r="BF86" s="158"/>
      <c r="BG86" s="158"/>
      <c r="BH86" s="158"/>
      <c r="BI86" s="158"/>
      <c r="BJ86" s="158"/>
      <c r="BK86" s="158"/>
      <c r="BL86" s="158"/>
      <c r="BM86" s="158"/>
      <c r="BN86" s="158"/>
      <c r="BO86" s="158"/>
      <c r="BP86" s="158"/>
      <c r="BQ86" s="158"/>
      <c r="BR86" s="158"/>
      <c r="BS86" s="158"/>
      <c r="BT86" s="158"/>
      <c r="BU86" s="158"/>
      <c r="BV86" s="158"/>
      <c r="BW86" s="158"/>
      <c r="BX86" s="158"/>
      <c r="BY86" s="158"/>
    </row>
    <row r="87" spans="1:77" x14ac:dyDescent="0.2">
      <c r="A87" s="153" t="str">
        <f>Technologies!B46</f>
        <v>*R0</v>
      </c>
      <c r="B87" s="153" t="str">
        <f>Technologies!C46</f>
        <v>SCNGAC6</v>
      </c>
      <c r="C87" s="153" t="str">
        <f>Technologies!D46</f>
        <v>Canadian imported natural gas in R6</v>
      </c>
      <c r="D87" s="153" t="s">
        <v>731</v>
      </c>
      <c r="E87" s="153" t="str">
        <f>Commodities!C34</f>
        <v>NGAC6</v>
      </c>
      <c r="F87" s="153">
        <v>2010</v>
      </c>
      <c r="G87" s="180">
        <v>1</v>
      </c>
      <c r="H87" s="196"/>
      <c r="I87" s="158"/>
      <c r="J87" s="158"/>
      <c r="K87" s="158"/>
      <c r="L87" s="158"/>
      <c r="M87" s="158"/>
      <c r="N87" s="158"/>
      <c r="O87" s="158"/>
      <c r="P87" s="158"/>
      <c r="Q87" s="158"/>
      <c r="R87" s="158"/>
      <c r="S87" s="158"/>
      <c r="T87" s="158"/>
      <c r="U87" s="158"/>
      <c r="V87" s="158"/>
      <c r="W87" s="158"/>
      <c r="X87" s="158"/>
      <c r="Y87" s="158"/>
      <c r="Z87" s="158"/>
      <c r="AA87" s="158"/>
      <c r="AB87" s="158"/>
      <c r="AC87" s="158"/>
      <c r="AD87" s="158"/>
      <c r="AE87" s="158"/>
      <c r="AF87" s="158"/>
      <c r="AG87" s="158"/>
      <c r="AH87" s="158"/>
      <c r="AI87" s="158"/>
      <c r="AJ87" s="158"/>
      <c r="AK87" s="158"/>
      <c r="AL87" s="158"/>
      <c r="AM87" s="158"/>
      <c r="AN87" s="158"/>
      <c r="AO87" s="158"/>
      <c r="AP87" s="158"/>
      <c r="AQ87" s="158"/>
      <c r="AR87" s="158"/>
      <c r="AS87" s="158"/>
      <c r="AT87" s="158"/>
      <c r="AU87" s="158"/>
      <c r="AV87" s="158"/>
      <c r="AW87" s="158"/>
      <c r="AX87" s="158"/>
      <c r="AY87" s="158"/>
      <c r="AZ87" s="158"/>
      <c r="BA87" s="158"/>
      <c r="BB87" s="158"/>
      <c r="BC87" s="158"/>
      <c r="BD87" s="158"/>
      <c r="BE87" s="158"/>
      <c r="BF87" s="158"/>
      <c r="BG87" s="158"/>
      <c r="BH87" s="158"/>
      <c r="BI87" s="158"/>
      <c r="BJ87" s="158"/>
      <c r="BK87" s="158"/>
      <c r="BL87" s="158"/>
      <c r="BM87" s="158"/>
      <c r="BN87" s="158"/>
      <c r="BO87" s="158"/>
      <c r="BP87" s="158"/>
      <c r="BQ87" s="158"/>
      <c r="BR87" s="158"/>
      <c r="BS87" s="158"/>
      <c r="BT87" s="158"/>
      <c r="BU87" s="158"/>
      <c r="BV87" s="158"/>
      <c r="BW87" s="158"/>
      <c r="BX87" s="158"/>
      <c r="BY87" s="158"/>
    </row>
    <row r="88" spans="1:77" x14ac:dyDescent="0.2">
      <c r="A88" s="142"/>
      <c r="B88" s="142"/>
      <c r="C88" s="142"/>
      <c r="D88" s="142"/>
      <c r="E88" s="142"/>
      <c r="F88" s="142"/>
      <c r="G88" s="142"/>
      <c r="K88" s="171"/>
    </row>
    <row r="89" spans="1:77" x14ac:dyDescent="0.2">
      <c r="A89" s="142"/>
      <c r="B89" s="142"/>
      <c r="C89" s="142"/>
      <c r="D89" s="142"/>
      <c r="E89" s="142"/>
      <c r="F89" s="142"/>
      <c r="G89" s="142"/>
      <c r="K89" s="171"/>
    </row>
    <row r="90" spans="1:77" x14ac:dyDescent="0.2">
      <c r="A90" s="142"/>
      <c r="B90" s="142"/>
      <c r="C90" s="142"/>
      <c r="D90" s="142"/>
      <c r="E90" s="142"/>
      <c r="F90" s="142"/>
      <c r="G90" s="142"/>
      <c r="K90" s="171"/>
    </row>
    <row r="91" spans="1:77" x14ac:dyDescent="0.2">
      <c r="A91" s="142"/>
      <c r="B91" s="142"/>
      <c r="C91" s="142"/>
      <c r="D91" s="142"/>
      <c r="E91" s="142"/>
      <c r="F91" s="142"/>
      <c r="G91" s="142"/>
      <c r="K91" s="171"/>
    </row>
    <row r="92" spans="1:77" x14ac:dyDescent="0.2">
      <c r="A92" s="142"/>
      <c r="B92" s="142"/>
      <c r="C92" s="142"/>
      <c r="D92" s="142"/>
      <c r="E92" s="142"/>
      <c r="F92" s="142"/>
      <c r="G92" s="142"/>
      <c r="K92" s="171"/>
    </row>
    <row r="93" spans="1:77" ht="17.25" customHeight="1" x14ac:dyDescent="0.2">
      <c r="D93" s="157"/>
      <c r="F93" s="160"/>
      <c r="G93" s="160"/>
      <c r="H93" s="160"/>
      <c r="K93" s="160"/>
      <c r="L93" s="160"/>
      <c r="M93" s="160"/>
      <c r="N93" s="160"/>
      <c r="O93" s="160"/>
      <c r="P93" s="160"/>
      <c r="Q93" s="160"/>
      <c r="R93" s="160"/>
      <c r="W93" s="160"/>
      <c r="X93" s="160"/>
      <c r="AS93" s="163"/>
      <c r="AT93" s="163"/>
      <c r="BR93" s="160"/>
      <c r="BS93" s="160"/>
      <c r="BT93" s="160"/>
      <c r="BU93" s="160"/>
      <c r="BV93" s="160"/>
      <c r="BY93" s="158"/>
    </row>
    <row r="94" spans="1:77" ht="15.75" customHeight="1" x14ac:dyDescent="0.2">
      <c r="A94" s="146" t="s">
        <v>15</v>
      </c>
      <c r="B94" s="146" t="s">
        <v>27</v>
      </c>
      <c r="C94" s="146" t="s">
        <v>28</v>
      </c>
      <c r="D94" s="146" t="s">
        <v>30</v>
      </c>
      <c r="E94" s="146" t="s">
        <v>1163</v>
      </c>
      <c r="F94" s="146" t="s">
        <v>1164</v>
      </c>
      <c r="G94" s="146" t="s">
        <v>1165</v>
      </c>
      <c r="H94" s="146" t="s">
        <v>1166</v>
      </c>
      <c r="I94" s="146" t="s">
        <v>1167</v>
      </c>
      <c r="J94" s="146" t="s">
        <v>1168</v>
      </c>
      <c r="K94" s="146" t="s">
        <v>1169</v>
      </c>
      <c r="L94" s="146" t="s">
        <v>1170</v>
      </c>
      <c r="M94" s="146" t="s">
        <v>1171</v>
      </c>
      <c r="N94" s="146" t="s">
        <v>1172</v>
      </c>
      <c r="O94" s="158"/>
      <c r="P94" s="158"/>
      <c r="Q94" s="158"/>
      <c r="R94" s="158"/>
      <c r="S94" s="158"/>
      <c r="T94" s="158"/>
      <c r="U94" s="158"/>
      <c r="V94" s="158"/>
      <c r="W94" s="158"/>
      <c r="X94" s="158"/>
      <c r="Y94" s="158"/>
      <c r="Z94" s="158"/>
      <c r="AA94" s="158"/>
      <c r="AB94" s="158"/>
      <c r="AC94" s="158"/>
      <c r="AD94" s="158"/>
      <c r="AE94" s="158"/>
      <c r="AF94" s="158"/>
      <c r="AG94" s="158"/>
      <c r="AH94" s="158"/>
      <c r="AI94" s="158"/>
      <c r="AJ94" s="158"/>
      <c r="AK94" s="158"/>
      <c r="AL94" s="158"/>
      <c r="AM94" s="158"/>
      <c r="AN94" s="158"/>
      <c r="AO94" s="158"/>
      <c r="AP94" s="158"/>
      <c r="AQ94" s="158"/>
      <c r="AR94" s="158"/>
      <c r="AS94" s="158"/>
      <c r="AT94" s="158"/>
      <c r="AU94" s="158"/>
      <c r="AV94" s="158"/>
      <c r="AW94" s="158"/>
      <c r="AX94" s="158"/>
      <c r="AY94" s="158"/>
      <c r="AZ94" s="158"/>
      <c r="BA94" s="158"/>
      <c r="BB94" s="158"/>
      <c r="BC94" s="158"/>
      <c r="BD94" s="158"/>
      <c r="BE94" s="158"/>
      <c r="BF94" s="158"/>
      <c r="BG94" s="158"/>
      <c r="BH94" s="158"/>
      <c r="BI94" s="158"/>
      <c r="BJ94" s="158"/>
      <c r="BK94" s="158"/>
      <c r="BL94" s="158"/>
      <c r="BM94" s="158"/>
      <c r="BN94" s="158"/>
      <c r="BO94" s="158"/>
      <c r="BP94" s="158"/>
      <c r="BQ94" s="158"/>
      <c r="BR94" s="158"/>
      <c r="BS94" s="158"/>
      <c r="BT94" s="158"/>
      <c r="BU94" s="158"/>
      <c r="BV94" s="158"/>
      <c r="BW94" s="158"/>
      <c r="BX94" s="158"/>
      <c r="BY94" s="158"/>
    </row>
    <row r="95" spans="1:77" x14ac:dyDescent="0.2">
      <c r="A95" s="150" t="s">
        <v>697</v>
      </c>
      <c r="B95" s="151"/>
      <c r="C95" s="151"/>
      <c r="D95" s="151"/>
      <c r="E95" s="177"/>
      <c r="F95" s="177"/>
      <c r="G95" s="177"/>
      <c r="H95" s="177"/>
      <c r="I95" s="177"/>
      <c r="J95" s="177"/>
      <c r="K95" s="177"/>
      <c r="L95" s="177"/>
      <c r="M95" s="177"/>
      <c r="N95" s="177"/>
      <c r="O95" s="158"/>
      <c r="P95" s="158"/>
      <c r="Q95" s="158"/>
      <c r="R95" s="158"/>
      <c r="S95" s="158"/>
      <c r="T95" s="158"/>
      <c r="U95" s="158"/>
      <c r="V95" s="158"/>
      <c r="W95" s="158"/>
      <c r="X95" s="158"/>
      <c r="Y95" s="158"/>
      <c r="Z95" s="158"/>
      <c r="AA95" s="158"/>
      <c r="AB95" s="158"/>
      <c r="AC95" s="158"/>
      <c r="AD95" s="158"/>
      <c r="AE95" s="158"/>
      <c r="AF95" s="158"/>
      <c r="AG95" s="158"/>
      <c r="AH95" s="158"/>
      <c r="AI95" s="158"/>
      <c r="AJ95" s="158"/>
      <c r="AK95" s="158"/>
      <c r="AL95" s="158"/>
      <c r="AM95" s="158"/>
      <c r="AN95" s="158"/>
      <c r="AO95" s="158"/>
      <c r="AP95" s="158"/>
      <c r="AQ95" s="158"/>
      <c r="AR95" s="158"/>
      <c r="AS95" s="158"/>
      <c r="AT95" s="158"/>
      <c r="AU95" s="158"/>
      <c r="AV95" s="158"/>
      <c r="AW95" s="158"/>
      <c r="AX95" s="158"/>
      <c r="AY95" s="158"/>
      <c r="AZ95" s="158"/>
      <c r="BA95" s="158"/>
      <c r="BB95" s="158"/>
      <c r="BC95" s="158"/>
      <c r="BD95" s="158"/>
      <c r="BE95" s="158"/>
      <c r="BF95" s="158"/>
      <c r="BG95" s="158"/>
      <c r="BH95" s="158"/>
      <c r="BI95" s="158"/>
      <c r="BJ95" s="158"/>
      <c r="BK95" s="158"/>
      <c r="BL95" s="158"/>
      <c r="BM95" s="158"/>
      <c r="BN95" s="158"/>
      <c r="BO95" s="158"/>
      <c r="BP95" s="158"/>
      <c r="BQ95" s="158"/>
      <c r="BR95" s="158"/>
      <c r="BS95" s="158"/>
      <c r="BT95" s="158"/>
      <c r="BU95" s="158"/>
      <c r="BV95" s="158"/>
      <c r="BW95" s="158"/>
      <c r="BX95" s="158"/>
      <c r="BY95" s="158"/>
    </row>
    <row r="96" spans="1:77" x14ac:dyDescent="0.2">
      <c r="A96" s="153" t="s">
        <v>57</v>
      </c>
      <c r="B96" s="153" t="str">
        <f>Technologies!C$49</f>
        <v>EXPNGAL</v>
      </c>
      <c r="C96" s="153" t="str">
        <f>Technologies!D$49</f>
        <v>Exported natural gas liquids</v>
      </c>
      <c r="D96" s="153" t="str">
        <f>Commodities!C18</f>
        <v>NGAR1</v>
      </c>
      <c r="E96" s="192"/>
      <c r="F96" s="192"/>
      <c r="G96" s="192">
        <v>0</v>
      </c>
      <c r="H96" s="192" t="e">
        <f>-'AEO NG Imports'!O$20*#REF!</f>
        <v>#REF!</v>
      </c>
      <c r="I96" s="192" t="e">
        <f>-'AEO NG Imports'!P$20*#REF!</f>
        <v>#REF!</v>
      </c>
      <c r="J96" s="192" t="e">
        <f>-'AEO NG Imports'!Q$20*#REF!</f>
        <v>#REF!</v>
      </c>
      <c r="K96" s="192" t="e">
        <f>-'AEO NG Imports'!R$20*#REF!</f>
        <v>#REF!</v>
      </c>
      <c r="L96" s="192" t="e">
        <f t="shared" ref="L96" si="15">K96</f>
        <v>#REF!</v>
      </c>
      <c r="M96" s="192" t="e">
        <f>L96</f>
        <v>#REF!</v>
      </c>
      <c r="N96" s="192" t="e">
        <f>M96</f>
        <v>#REF!</v>
      </c>
      <c r="O96" s="158"/>
      <c r="P96" s="158"/>
      <c r="Q96" s="158"/>
      <c r="R96" s="158"/>
      <c r="S96" s="158"/>
      <c r="T96" s="158"/>
      <c r="U96" s="158"/>
      <c r="V96" s="158"/>
      <c r="W96" s="158"/>
      <c r="X96" s="158"/>
      <c r="Y96" s="158"/>
      <c r="Z96" s="158"/>
      <c r="AA96" s="158"/>
      <c r="AB96" s="158"/>
      <c r="AC96" s="158"/>
      <c r="AD96" s="158"/>
      <c r="AE96" s="158"/>
      <c r="AF96" s="158"/>
      <c r="AG96" s="158"/>
      <c r="AH96" s="158"/>
      <c r="AI96" s="158"/>
      <c r="AJ96" s="158"/>
      <c r="AK96" s="158"/>
      <c r="AL96" s="158"/>
      <c r="AM96" s="158"/>
      <c r="AN96" s="158"/>
      <c r="AO96" s="158"/>
      <c r="AP96" s="158"/>
      <c r="AQ96" s="158"/>
      <c r="AR96" s="158"/>
      <c r="AS96" s="158"/>
      <c r="AT96" s="158"/>
      <c r="AU96" s="158"/>
      <c r="AV96" s="158"/>
      <c r="AW96" s="158"/>
      <c r="AX96" s="158"/>
      <c r="AY96" s="158"/>
      <c r="AZ96" s="158"/>
      <c r="BA96" s="158"/>
      <c r="BB96" s="158"/>
      <c r="BC96" s="158"/>
      <c r="BD96" s="158"/>
      <c r="BE96" s="158"/>
      <c r="BF96" s="158"/>
      <c r="BG96" s="158"/>
      <c r="BH96" s="158"/>
      <c r="BI96" s="158"/>
      <c r="BJ96" s="158"/>
      <c r="BK96" s="158"/>
      <c r="BL96" s="158"/>
      <c r="BM96" s="158"/>
      <c r="BN96" s="158"/>
      <c r="BO96" s="158"/>
      <c r="BP96" s="158"/>
      <c r="BQ96" s="158"/>
      <c r="BR96" s="158"/>
      <c r="BS96" s="158"/>
      <c r="BT96" s="158"/>
      <c r="BU96" s="158"/>
      <c r="BV96" s="158"/>
      <c r="BW96" s="158"/>
      <c r="BX96" s="158"/>
      <c r="BY96" s="158"/>
    </row>
    <row r="97" spans="1:78" x14ac:dyDescent="0.2">
      <c r="A97" s="153" t="s">
        <v>65</v>
      </c>
      <c r="B97" s="153" t="str">
        <f>Technologies!C$49</f>
        <v>EXPNGAL</v>
      </c>
      <c r="C97" s="153" t="str">
        <f>Technologies!D$49</f>
        <v>Exported natural gas liquids</v>
      </c>
      <c r="D97" s="153" t="str">
        <f>Commodities!C19</f>
        <v>NGAR2</v>
      </c>
      <c r="E97" s="192">
        <v>0</v>
      </c>
      <c r="F97" s="192">
        <v>0</v>
      </c>
      <c r="G97" s="192">
        <v>0</v>
      </c>
      <c r="H97" s="192">
        <v>0</v>
      </c>
      <c r="I97" s="192">
        <v>0</v>
      </c>
      <c r="J97" s="192">
        <v>0</v>
      </c>
      <c r="K97" s="192">
        <v>0</v>
      </c>
      <c r="L97" s="192">
        <v>0</v>
      </c>
      <c r="M97" s="192">
        <v>0</v>
      </c>
      <c r="N97" s="192">
        <v>0</v>
      </c>
      <c r="O97" s="158"/>
      <c r="P97" s="158"/>
      <c r="Q97" s="158"/>
      <c r="R97" s="158"/>
      <c r="S97" s="158"/>
      <c r="T97" s="158"/>
      <c r="U97" s="158"/>
      <c r="V97" s="158"/>
      <c r="W97" s="158"/>
      <c r="X97" s="158"/>
      <c r="Y97" s="158"/>
      <c r="Z97" s="158"/>
      <c r="AA97" s="158"/>
      <c r="AB97" s="158"/>
      <c r="AC97" s="158"/>
      <c r="AD97" s="158"/>
      <c r="AE97" s="158"/>
      <c r="AF97" s="158"/>
      <c r="AG97" s="158"/>
      <c r="AH97" s="158"/>
      <c r="AI97" s="158"/>
      <c r="AJ97" s="158"/>
      <c r="AK97" s="158"/>
      <c r="AL97" s="158"/>
      <c r="AM97" s="158"/>
      <c r="AN97" s="158"/>
      <c r="AO97" s="158"/>
      <c r="AP97" s="158"/>
      <c r="AQ97" s="158"/>
      <c r="AR97" s="158"/>
      <c r="AS97" s="158"/>
      <c r="AT97" s="158"/>
      <c r="AU97" s="158"/>
      <c r="AV97" s="158"/>
      <c r="AW97" s="158"/>
      <c r="AX97" s="158"/>
      <c r="AY97" s="158"/>
      <c r="AZ97" s="158"/>
      <c r="BA97" s="158"/>
      <c r="BB97" s="158"/>
      <c r="BC97" s="158"/>
      <c r="BD97" s="158"/>
      <c r="BE97" s="158"/>
      <c r="BF97" s="158"/>
      <c r="BG97" s="158"/>
      <c r="BH97" s="158"/>
      <c r="BI97" s="158"/>
      <c r="BJ97" s="158"/>
      <c r="BK97" s="158"/>
      <c r="BL97" s="158"/>
      <c r="BM97" s="158"/>
      <c r="BN97" s="158"/>
      <c r="BO97" s="158"/>
      <c r="BP97" s="158"/>
      <c r="BQ97" s="158"/>
      <c r="BR97" s="158"/>
      <c r="BS97" s="158"/>
      <c r="BT97" s="158"/>
      <c r="BU97" s="158"/>
      <c r="BV97" s="158"/>
      <c r="BW97" s="158"/>
      <c r="BX97" s="158"/>
      <c r="BY97" s="158"/>
    </row>
    <row r="98" spans="1:78" x14ac:dyDescent="0.2">
      <c r="A98" s="153" t="s">
        <v>62</v>
      </c>
      <c r="B98" s="153" t="str">
        <f>Technologies!C$49</f>
        <v>EXPNGAL</v>
      </c>
      <c r="C98" s="153" t="str">
        <f>Technologies!D$49</f>
        <v>Exported natural gas liquids</v>
      </c>
      <c r="D98" s="153" t="str">
        <f>Commodities!C20</f>
        <v>NGAR3</v>
      </c>
      <c r="E98" s="180">
        <v>0</v>
      </c>
      <c r="F98" s="180">
        <v>0</v>
      </c>
      <c r="G98" s="180">
        <v>0</v>
      </c>
      <c r="H98" s="180">
        <v>0</v>
      </c>
      <c r="I98" s="180">
        <v>0</v>
      </c>
      <c r="J98" s="180">
        <v>0</v>
      </c>
      <c r="K98" s="180">
        <v>0</v>
      </c>
      <c r="L98" s="180">
        <v>0</v>
      </c>
      <c r="M98" s="180">
        <v>0</v>
      </c>
      <c r="N98" s="180">
        <v>0</v>
      </c>
      <c r="O98" s="158"/>
      <c r="P98" s="158"/>
      <c r="Q98" s="158"/>
      <c r="R98" s="158"/>
      <c r="S98" s="158"/>
      <c r="T98" s="158"/>
      <c r="U98" s="158"/>
      <c r="V98" s="158"/>
      <c r="W98" s="158"/>
      <c r="X98" s="158"/>
      <c r="Y98" s="158"/>
      <c r="Z98" s="158"/>
      <c r="AA98" s="158"/>
      <c r="AB98" s="158"/>
      <c r="AC98" s="158"/>
      <c r="AD98" s="158"/>
      <c r="AE98" s="158"/>
      <c r="AF98" s="158"/>
      <c r="AG98" s="158"/>
      <c r="AH98" s="158"/>
      <c r="AI98" s="158"/>
      <c r="AJ98" s="158"/>
      <c r="AK98" s="158"/>
      <c r="AL98" s="158"/>
      <c r="AM98" s="158"/>
      <c r="AN98" s="158"/>
      <c r="AO98" s="158"/>
      <c r="AP98" s="158"/>
      <c r="AQ98" s="158"/>
      <c r="AR98" s="158"/>
      <c r="AS98" s="158"/>
      <c r="AT98" s="158"/>
      <c r="AU98" s="158"/>
      <c r="AV98" s="158"/>
      <c r="AW98" s="158"/>
      <c r="AX98" s="158"/>
      <c r="AY98" s="158"/>
      <c r="AZ98" s="158"/>
      <c r="BA98" s="158"/>
      <c r="BB98" s="158"/>
      <c r="BC98" s="158"/>
      <c r="BD98" s="158"/>
      <c r="BE98" s="158"/>
      <c r="BF98" s="158"/>
      <c r="BG98" s="158"/>
      <c r="BH98" s="158"/>
      <c r="BI98" s="158"/>
      <c r="BJ98" s="158"/>
      <c r="BK98" s="158"/>
      <c r="BL98" s="158"/>
      <c r="BM98" s="158"/>
      <c r="BN98" s="158"/>
      <c r="BO98" s="158"/>
      <c r="BP98" s="158"/>
      <c r="BQ98" s="158"/>
      <c r="BR98" s="158"/>
      <c r="BS98" s="158"/>
      <c r="BT98" s="158"/>
      <c r="BU98" s="158"/>
      <c r="BV98" s="158"/>
      <c r="BW98" s="158"/>
      <c r="BX98" s="158"/>
      <c r="BY98" s="158"/>
    </row>
    <row r="99" spans="1:78" x14ac:dyDescent="0.2">
      <c r="A99" s="153" t="s">
        <v>93</v>
      </c>
      <c r="B99" s="153" t="str">
        <f>Technologies!C$49</f>
        <v>EXPNGAL</v>
      </c>
      <c r="C99" s="153" t="str">
        <f>Technologies!D$49</f>
        <v>Exported natural gas liquids</v>
      </c>
      <c r="D99" s="153" t="str">
        <f>Commodities!C21</f>
        <v>NGAR4</v>
      </c>
      <c r="E99" s="180">
        <v>0</v>
      </c>
      <c r="F99" s="180">
        <v>0</v>
      </c>
      <c r="G99" s="180">
        <v>0</v>
      </c>
      <c r="H99" s="180">
        <v>0</v>
      </c>
      <c r="I99" s="180">
        <v>0</v>
      </c>
      <c r="J99" s="180">
        <v>0</v>
      </c>
      <c r="K99" s="180">
        <v>0</v>
      </c>
      <c r="L99" s="180">
        <v>0</v>
      </c>
      <c r="M99" s="180">
        <v>0</v>
      </c>
      <c r="N99" s="180">
        <v>0</v>
      </c>
      <c r="O99" s="158"/>
      <c r="P99" s="158"/>
      <c r="Q99" s="158"/>
      <c r="R99" s="158"/>
      <c r="S99" s="158"/>
      <c r="T99" s="158"/>
      <c r="U99" s="158"/>
      <c r="V99" s="158"/>
      <c r="W99" s="158"/>
      <c r="X99" s="158"/>
      <c r="Y99" s="158"/>
      <c r="Z99" s="158"/>
      <c r="AA99" s="158"/>
      <c r="AB99" s="158"/>
      <c r="AC99" s="158"/>
      <c r="AD99" s="158"/>
      <c r="AE99" s="158"/>
      <c r="AF99" s="158"/>
      <c r="AG99" s="158"/>
      <c r="AH99" s="158"/>
      <c r="AI99" s="158"/>
      <c r="AJ99" s="158"/>
      <c r="AK99" s="158"/>
      <c r="AL99" s="158"/>
      <c r="AM99" s="158"/>
      <c r="AN99" s="158"/>
      <c r="AO99" s="158"/>
      <c r="AP99" s="158"/>
      <c r="AQ99" s="158"/>
      <c r="AR99" s="158"/>
      <c r="AS99" s="158"/>
      <c r="AT99" s="158"/>
      <c r="AU99" s="158"/>
      <c r="AV99" s="158"/>
      <c r="AW99" s="158"/>
      <c r="AX99" s="158"/>
      <c r="AY99" s="158"/>
      <c r="AZ99" s="158"/>
      <c r="BA99" s="158"/>
      <c r="BB99" s="158"/>
      <c r="BC99" s="158"/>
      <c r="BD99" s="158"/>
      <c r="BE99" s="158"/>
      <c r="BF99" s="158"/>
      <c r="BG99" s="158"/>
      <c r="BH99" s="158"/>
      <c r="BI99" s="158"/>
      <c r="BJ99" s="158"/>
      <c r="BK99" s="158"/>
      <c r="BL99" s="158"/>
      <c r="BM99" s="158"/>
      <c r="BN99" s="158"/>
      <c r="BO99" s="158"/>
      <c r="BP99" s="158"/>
      <c r="BQ99" s="158"/>
      <c r="BR99" s="158"/>
      <c r="BS99" s="158"/>
      <c r="BT99" s="158"/>
      <c r="BU99" s="158"/>
      <c r="BV99" s="158"/>
      <c r="BW99" s="158"/>
      <c r="BX99" s="158"/>
      <c r="BY99" s="158"/>
    </row>
    <row r="100" spans="1:78" x14ac:dyDescent="0.2">
      <c r="A100" s="153" t="s">
        <v>92</v>
      </c>
      <c r="B100" s="153" t="str">
        <f>Technologies!C$49</f>
        <v>EXPNGAL</v>
      </c>
      <c r="C100" s="153" t="str">
        <f>Technologies!D$49</f>
        <v>Exported natural gas liquids</v>
      </c>
      <c r="D100" s="153" t="str">
        <f>Commodities!C22</f>
        <v>NGAR5</v>
      </c>
      <c r="E100" s="180">
        <v>0</v>
      </c>
      <c r="F100" s="180">
        <v>0</v>
      </c>
      <c r="G100" s="180">
        <v>0</v>
      </c>
      <c r="H100" s="180">
        <v>0</v>
      </c>
      <c r="I100" s="180">
        <v>0</v>
      </c>
      <c r="J100" s="180">
        <v>0</v>
      </c>
      <c r="K100" s="180">
        <v>0</v>
      </c>
      <c r="L100" s="180">
        <v>0</v>
      </c>
      <c r="M100" s="180">
        <v>0</v>
      </c>
      <c r="N100" s="180">
        <v>0</v>
      </c>
      <c r="O100" s="158"/>
      <c r="P100" s="158"/>
      <c r="Q100" s="158"/>
      <c r="R100" s="158"/>
      <c r="S100" s="158"/>
      <c r="T100" s="158"/>
      <c r="U100" s="158"/>
      <c r="V100" s="158"/>
      <c r="W100" s="158"/>
      <c r="X100" s="158"/>
      <c r="Y100" s="158"/>
      <c r="Z100" s="158"/>
      <c r="AA100" s="158"/>
      <c r="AB100" s="158"/>
      <c r="AC100" s="158"/>
      <c r="AD100" s="158"/>
      <c r="AE100" s="158"/>
      <c r="AF100" s="158"/>
      <c r="AG100" s="158"/>
      <c r="AH100" s="158"/>
      <c r="AI100" s="158"/>
      <c r="AJ100" s="158"/>
      <c r="AK100" s="158"/>
      <c r="AL100" s="158"/>
      <c r="AM100" s="158"/>
      <c r="AN100" s="158"/>
      <c r="AO100" s="158"/>
      <c r="AP100" s="158"/>
      <c r="AQ100" s="158"/>
      <c r="AR100" s="158"/>
      <c r="AS100" s="158"/>
      <c r="AT100" s="158"/>
      <c r="AU100" s="158"/>
      <c r="AV100" s="158"/>
      <c r="AW100" s="158"/>
      <c r="AX100" s="158"/>
      <c r="AY100" s="158"/>
      <c r="AZ100" s="158"/>
      <c r="BA100" s="158"/>
      <c r="BB100" s="158"/>
      <c r="BC100" s="158"/>
      <c r="BD100" s="158"/>
      <c r="BE100" s="158"/>
      <c r="BF100" s="158"/>
      <c r="BG100" s="158"/>
      <c r="BH100" s="158"/>
      <c r="BI100" s="158"/>
      <c r="BJ100" s="158"/>
      <c r="BK100" s="158"/>
      <c r="BL100" s="158"/>
      <c r="BM100" s="158"/>
      <c r="BN100" s="158"/>
      <c r="BO100" s="158"/>
      <c r="BP100" s="158"/>
      <c r="BQ100" s="158"/>
      <c r="BR100" s="158"/>
      <c r="BS100" s="158"/>
      <c r="BT100" s="158"/>
      <c r="BU100" s="158"/>
      <c r="BV100" s="158"/>
      <c r="BW100" s="158"/>
      <c r="BX100" s="158"/>
      <c r="BY100" s="158"/>
    </row>
    <row r="101" spans="1:78" x14ac:dyDescent="0.2">
      <c r="A101" s="153" t="s">
        <v>94</v>
      </c>
      <c r="B101" s="153" t="str">
        <f>Technologies!C$49</f>
        <v>EXPNGAL</v>
      </c>
      <c r="C101" s="153" t="str">
        <f>Technologies!D$49</f>
        <v>Exported natural gas liquids</v>
      </c>
      <c r="D101" s="153" t="str">
        <f>Commodities!C23</f>
        <v>NGAR6</v>
      </c>
      <c r="E101" s="180">
        <v>0</v>
      </c>
      <c r="F101" s="180">
        <v>0</v>
      </c>
      <c r="G101" s="180">
        <v>0</v>
      </c>
      <c r="H101" s="180">
        <v>0</v>
      </c>
      <c r="I101" s="180">
        <v>0</v>
      </c>
      <c r="J101" s="180">
        <v>0</v>
      </c>
      <c r="K101" s="180">
        <v>0</v>
      </c>
      <c r="L101" s="180">
        <v>0</v>
      </c>
      <c r="M101" s="180">
        <v>0</v>
      </c>
      <c r="N101" s="180">
        <v>0</v>
      </c>
      <c r="O101" s="158"/>
      <c r="P101" s="158"/>
      <c r="Q101" s="158"/>
      <c r="R101" s="158"/>
      <c r="S101" s="158"/>
      <c r="T101" s="158"/>
      <c r="U101" s="158"/>
      <c r="V101" s="158"/>
      <c r="W101" s="158"/>
      <c r="X101" s="158"/>
      <c r="Y101" s="158"/>
      <c r="Z101" s="158"/>
      <c r="AA101" s="158"/>
      <c r="AB101" s="158"/>
      <c r="AC101" s="158"/>
      <c r="AD101" s="158"/>
      <c r="AE101" s="158"/>
      <c r="AF101" s="158"/>
      <c r="AG101" s="158"/>
      <c r="AH101" s="158"/>
      <c r="AI101" s="158"/>
      <c r="AJ101" s="158"/>
      <c r="AK101" s="158"/>
      <c r="AL101" s="158"/>
      <c r="AM101" s="158"/>
      <c r="AN101" s="158"/>
      <c r="AO101" s="158"/>
      <c r="AP101" s="158"/>
      <c r="AQ101" s="158"/>
      <c r="AR101" s="158"/>
      <c r="AS101" s="158"/>
      <c r="AT101" s="158"/>
      <c r="AU101" s="158"/>
      <c r="AV101" s="158"/>
      <c r="AW101" s="158"/>
      <c r="AX101" s="158"/>
      <c r="AY101" s="158"/>
      <c r="AZ101" s="158"/>
      <c r="BA101" s="158"/>
      <c r="BB101" s="158"/>
      <c r="BC101" s="158"/>
      <c r="BD101" s="158"/>
      <c r="BE101" s="158"/>
      <c r="BF101" s="158"/>
      <c r="BG101" s="158"/>
      <c r="BH101" s="158"/>
      <c r="BI101" s="158"/>
      <c r="BJ101" s="158"/>
      <c r="BK101" s="158"/>
      <c r="BL101" s="158"/>
      <c r="BM101" s="158"/>
      <c r="BN101" s="158"/>
      <c r="BO101" s="158"/>
      <c r="BP101" s="158"/>
      <c r="BQ101" s="158"/>
      <c r="BR101" s="158"/>
      <c r="BS101" s="158"/>
      <c r="BT101" s="158"/>
      <c r="BU101" s="158"/>
      <c r="BV101" s="158"/>
      <c r="BW101" s="158"/>
      <c r="BX101" s="158"/>
      <c r="BY101" s="158"/>
    </row>
    <row r="102" spans="1:78" x14ac:dyDescent="0.2">
      <c r="A102" s="142"/>
      <c r="B102" s="142"/>
      <c r="C102" s="142"/>
      <c r="D102" s="142"/>
      <c r="E102" s="142"/>
      <c r="F102" s="142"/>
      <c r="G102" s="142"/>
      <c r="BZ102" s="159"/>
    </row>
    <row r="103" spans="1:78" x14ac:dyDescent="0.2">
      <c r="A103" s="142"/>
      <c r="B103" s="142"/>
      <c r="C103" s="142"/>
      <c r="D103" s="142"/>
      <c r="E103" s="142"/>
      <c r="F103" s="142"/>
      <c r="G103" s="142"/>
      <c r="BZ103" s="159"/>
    </row>
    <row r="104" spans="1:78" x14ac:dyDescent="0.2">
      <c r="A104" s="142"/>
      <c r="B104" s="142"/>
      <c r="C104" s="142"/>
      <c r="D104" s="142"/>
      <c r="E104" s="142"/>
      <c r="F104" s="142"/>
      <c r="G104" s="142"/>
      <c r="BZ104" s="159"/>
    </row>
    <row r="105" spans="1:78" x14ac:dyDescent="0.2">
      <c r="A105" s="142"/>
      <c r="B105" s="142"/>
      <c r="C105" s="142"/>
      <c r="D105" s="142"/>
      <c r="E105" s="142"/>
      <c r="F105" s="142"/>
      <c r="G105" s="142"/>
      <c r="BZ105" s="159"/>
    </row>
    <row r="106" spans="1:78" x14ac:dyDescent="0.2">
      <c r="A106" s="142"/>
      <c r="B106" s="142"/>
      <c r="C106" s="142"/>
      <c r="D106" s="142"/>
      <c r="E106" s="142"/>
      <c r="F106" s="142"/>
      <c r="G106" s="142"/>
      <c r="BZ106" s="159"/>
    </row>
    <row r="107" spans="1:78" x14ac:dyDescent="0.2">
      <c r="A107" s="142"/>
      <c r="B107" s="142"/>
      <c r="C107" s="142"/>
      <c r="D107" s="142"/>
      <c r="E107" s="142"/>
      <c r="F107" s="142"/>
      <c r="G107" s="142"/>
      <c r="BZ107" s="159"/>
    </row>
    <row r="108" spans="1:78" ht="17.25" customHeight="1" x14ac:dyDescent="0.2">
      <c r="D108" s="157"/>
      <c r="G108" s="160"/>
      <c r="H108" s="160"/>
      <c r="I108" s="160"/>
      <c r="L108" s="160"/>
      <c r="M108" s="160"/>
      <c r="N108" s="160"/>
      <c r="O108" s="160"/>
      <c r="P108" s="160"/>
      <c r="Q108" s="160"/>
      <c r="R108" s="160"/>
      <c r="S108" s="160"/>
      <c r="X108" s="160"/>
      <c r="Y108" s="160"/>
      <c r="AU108" s="163"/>
      <c r="AV108" s="163"/>
      <c r="BT108" s="160"/>
      <c r="BU108" s="160"/>
      <c r="BV108" s="160"/>
      <c r="BW108" s="160"/>
      <c r="BX108" s="160"/>
      <c r="BZ108" s="159"/>
    </row>
    <row r="109" spans="1:78" ht="15.75" customHeight="1" x14ac:dyDescent="0.2">
      <c r="A109" s="146" t="s">
        <v>15</v>
      </c>
      <c r="B109" s="146" t="s">
        <v>27</v>
      </c>
      <c r="C109" s="146" t="s">
        <v>28</v>
      </c>
      <c r="D109" s="146" t="s">
        <v>31</v>
      </c>
      <c r="E109" s="146" t="s">
        <v>1093</v>
      </c>
      <c r="F109" s="146" t="s">
        <v>1094</v>
      </c>
      <c r="G109" s="146" t="s">
        <v>1095</v>
      </c>
      <c r="H109" s="146" t="s">
        <v>1096</v>
      </c>
      <c r="I109" s="146" t="s">
        <v>1097</v>
      </c>
      <c r="J109" s="146" t="s">
        <v>1098</v>
      </c>
      <c r="K109" s="146" t="s">
        <v>1099</v>
      </c>
      <c r="L109" s="146" t="s">
        <v>1100</v>
      </c>
      <c r="M109" s="146" t="s">
        <v>1101</v>
      </c>
      <c r="N109" s="146" t="s">
        <v>1102</v>
      </c>
      <c r="O109" s="146" t="s">
        <v>1103</v>
      </c>
      <c r="P109" s="158"/>
      <c r="Q109" s="158"/>
      <c r="R109" s="158"/>
      <c r="S109" s="158"/>
      <c r="T109" s="158"/>
      <c r="U109" s="158"/>
      <c r="V109" s="158"/>
      <c r="W109" s="158"/>
      <c r="X109" s="158"/>
      <c r="Y109" s="158"/>
      <c r="Z109" s="158"/>
      <c r="AA109" s="158"/>
      <c r="AB109" s="158"/>
      <c r="AC109" s="158"/>
      <c r="AD109" s="158"/>
      <c r="AE109" s="158"/>
      <c r="AF109" s="158"/>
      <c r="AG109" s="158"/>
      <c r="AH109" s="158"/>
      <c r="AI109" s="158"/>
      <c r="AJ109" s="158"/>
      <c r="AK109" s="158"/>
      <c r="AL109" s="158"/>
      <c r="AM109" s="158"/>
      <c r="AN109" s="158"/>
      <c r="AO109" s="158"/>
      <c r="AP109" s="158"/>
      <c r="AQ109" s="158"/>
      <c r="AR109" s="158"/>
      <c r="AS109" s="158"/>
      <c r="AT109" s="158"/>
      <c r="AU109" s="158"/>
      <c r="AV109" s="158"/>
      <c r="AW109" s="158"/>
      <c r="AX109" s="158"/>
      <c r="AY109" s="158"/>
      <c r="AZ109" s="158"/>
      <c r="BA109" s="158"/>
      <c r="BB109" s="158"/>
      <c r="BC109" s="158"/>
      <c r="BD109" s="158"/>
      <c r="BE109" s="158"/>
      <c r="BF109" s="158"/>
      <c r="BG109" s="158"/>
      <c r="BH109" s="158"/>
      <c r="BI109" s="158"/>
      <c r="BJ109" s="158"/>
      <c r="BK109" s="158"/>
      <c r="BL109" s="158"/>
      <c r="BM109" s="158"/>
      <c r="BN109" s="158"/>
      <c r="BO109" s="158"/>
      <c r="BP109" s="158"/>
      <c r="BQ109" s="158"/>
      <c r="BR109" s="158"/>
      <c r="BS109" s="158"/>
      <c r="BT109" s="158"/>
      <c r="BU109" s="158"/>
      <c r="BV109" s="158"/>
      <c r="BW109" s="158"/>
      <c r="BX109" s="158"/>
      <c r="BY109" s="158"/>
    </row>
    <row r="110" spans="1:78" x14ac:dyDescent="0.2">
      <c r="A110" s="150" t="s">
        <v>1057</v>
      </c>
      <c r="B110" s="151"/>
      <c r="C110" s="151"/>
      <c r="D110" s="151"/>
      <c r="E110" s="151"/>
      <c r="F110" s="177"/>
      <c r="G110" s="177"/>
      <c r="H110" s="177"/>
      <c r="I110" s="177"/>
      <c r="J110" s="177"/>
      <c r="K110" s="177"/>
      <c r="L110" s="177"/>
      <c r="M110" s="177"/>
      <c r="N110" s="177"/>
      <c r="O110" s="177"/>
      <c r="P110" s="158"/>
      <c r="Q110" s="158"/>
      <c r="R110" s="158"/>
      <c r="S110" s="158"/>
      <c r="T110" s="158"/>
      <c r="U110" s="158"/>
      <c r="V110" s="158"/>
      <c r="W110" s="158"/>
      <c r="X110" s="158"/>
      <c r="Y110" s="158"/>
      <c r="Z110" s="158"/>
      <c r="AA110" s="158"/>
      <c r="AB110" s="158"/>
      <c r="AC110" s="158"/>
      <c r="AD110" s="158"/>
      <c r="AE110" s="158"/>
      <c r="AF110" s="158"/>
      <c r="AG110" s="158"/>
      <c r="AH110" s="158"/>
      <c r="AI110" s="158"/>
      <c r="AJ110" s="158"/>
      <c r="AK110" s="158"/>
      <c r="AL110" s="158"/>
      <c r="AM110" s="158"/>
      <c r="AN110" s="158"/>
      <c r="AO110" s="158"/>
      <c r="AP110" s="158"/>
      <c r="AQ110" s="158"/>
      <c r="AR110" s="158"/>
      <c r="AS110" s="158"/>
      <c r="AT110" s="158"/>
      <c r="AU110" s="158"/>
      <c r="AV110" s="158"/>
      <c r="AW110" s="158"/>
      <c r="AX110" s="158"/>
      <c r="AY110" s="158"/>
      <c r="AZ110" s="158"/>
      <c r="BA110" s="158"/>
      <c r="BB110" s="158"/>
      <c r="BC110" s="158"/>
      <c r="BD110" s="158"/>
      <c r="BE110" s="158"/>
      <c r="BF110" s="158"/>
      <c r="BG110" s="158"/>
      <c r="BH110" s="158"/>
      <c r="BI110" s="158"/>
      <c r="BJ110" s="158"/>
      <c r="BK110" s="158"/>
      <c r="BL110" s="158"/>
      <c r="BM110" s="158"/>
      <c r="BN110" s="158"/>
      <c r="BO110" s="158"/>
      <c r="BP110" s="158"/>
      <c r="BQ110" s="158"/>
      <c r="BR110" s="158"/>
      <c r="BS110" s="158"/>
      <c r="BT110" s="158"/>
      <c r="BU110" s="158"/>
      <c r="BV110" s="158"/>
      <c r="BW110" s="158"/>
      <c r="BX110" s="158"/>
      <c r="BY110" s="158"/>
    </row>
    <row r="111" spans="1:78" x14ac:dyDescent="0.2">
      <c r="A111" s="153" t="str">
        <f>Technologies!B15</f>
        <v>R1</v>
      </c>
      <c r="B111" s="153" t="str">
        <f>Technologies!C15</f>
        <v>MINNGLDMY</v>
      </c>
      <c r="C111" s="153" t="str">
        <f>Technologies!D15</f>
        <v>Dummy NGL Resource Supply</v>
      </c>
      <c r="D111" s="153" t="str">
        <f>Commodities!C24</f>
        <v>NGL</v>
      </c>
      <c r="E111" s="153">
        <v>2010</v>
      </c>
      <c r="F111" s="192">
        <f>L65*1.25</f>
        <v>5.7255981482541234</v>
      </c>
      <c r="G111" s="192">
        <f t="shared" ref="G111:O111" si="16">M65*1.25</f>
        <v>5.4420632705676315</v>
      </c>
      <c r="H111" s="192">
        <f t="shared" si="16"/>
        <v>6.3817052220493018</v>
      </c>
      <c r="I111" s="192">
        <f t="shared" si="16"/>
        <v>7.003373620568639</v>
      </c>
      <c r="J111" s="192">
        <f t="shared" si="16"/>
        <v>7.7085860311744909</v>
      </c>
      <c r="K111" s="192">
        <f t="shared" si="16"/>
        <v>8.6669944114954269</v>
      </c>
      <c r="L111" s="192">
        <f t="shared" si="16"/>
        <v>9.567774058321616</v>
      </c>
      <c r="M111" s="192">
        <f t="shared" si="16"/>
        <v>10.616906849598177</v>
      </c>
      <c r="N111" s="192">
        <f t="shared" si="16"/>
        <v>11.781079942518824</v>
      </c>
      <c r="O111" s="192">
        <f t="shared" si="16"/>
        <v>13.072907823173782</v>
      </c>
      <c r="P111" s="158"/>
      <c r="Q111" s="158"/>
      <c r="R111" s="158"/>
      <c r="S111" s="158"/>
      <c r="T111" s="158"/>
      <c r="U111" s="158"/>
      <c r="V111" s="158"/>
      <c r="W111" s="158"/>
      <c r="X111" s="158"/>
      <c r="Y111" s="158"/>
      <c r="Z111" s="158"/>
      <c r="AA111" s="158"/>
      <c r="AB111" s="158"/>
      <c r="AC111" s="158"/>
      <c r="AD111" s="158"/>
      <c r="AE111" s="158"/>
      <c r="AF111" s="158"/>
      <c r="AG111" s="158"/>
      <c r="AH111" s="158"/>
      <c r="AI111" s="158"/>
      <c r="AJ111" s="158"/>
      <c r="AK111" s="158"/>
      <c r="AL111" s="158"/>
      <c r="AM111" s="158"/>
      <c r="AN111" s="158"/>
      <c r="AO111" s="158"/>
      <c r="AP111" s="158"/>
      <c r="AQ111" s="158"/>
      <c r="AR111" s="158"/>
      <c r="AS111" s="158"/>
      <c r="AT111" s="158"/>
      <c r="AU111" s="158"/>
      <c r="AV111" s="158"/>
      <c r="AW111" s="158"/>
      <c r="AX111" s="158"/>
      <c r="AY111" s="158"/>
      <c r="AZ111" s="158"/>
      <c r="BA111" s="158"/>
      <c r="BB111" s="158"/>
      <c r="BC111" s="158"/>
      <c r="BD111" s="158"/>
      <c r="BE111" s="158"/>
      <c r="BF111" s="158"/>
      <c r="BG111" s="158"/>
      <c r="BH111" s="158"/>
      <c r="BI111" s="158"/>
      <c r="BJ111" s="158"/>
      <c r="BK111" s="158"/>
      <c r="BL111" s="158"/>
      <c r="BM111" s="158"/>
      <c r="BN111" s="158"/>
      <c r="BO111" s="158"/>
      <c r="BP111" s="158"/>
      <c r="BQ111" s="158"/>
      <c r="BR111" s="158"/>
      <c r="BS111" s="158"/>
      <c r="BT111" s="158"/>
      <c r="BU111" s="158"/>
      <c r="BV111" s="158"/>
      <c r="BW111" s="158"/>
      <c r="BX111" s="158"/>
      <c r="BY111" s="158"/>
    </row>
    <row r="112" spans="1:78" x14ac:dyDescent="0.2">
      <c r="BZ112" s="159"/>
    </row>
    <row r="113" spans="78:78" x14ac:dyDescent="0.2">
      <c r="BZ113" s="159"/>
    </row>
    <row r="114" spans="78:78" x14ac:dyDescent="0.2">
      <c r="BZ114" s="159"/>
    </row>
    <row r="115" spans="78:78" x14ac:dyDescent="0.2">
      <c r="BZ115" s="159"/>
    </row>
    <row r="116" spans="78:78" x14ac:dyDescent="0.2">
      <c r="BZ116" s="159"/>
    </row>
    <row r="117" spans="78:78" x14ac:dyDescent="0.2">
      <c r="BZ117" s="159"/>
    </row>
    <row r="118" spans="78:78" x14ac:dyDescent="0.2">
      <c r="BZ118" s="159"/>
    </row>
    <row r="119" spans="78:78" x14ac:dyDescent="0.2">
      <c r="BZ119" s="159"/>
    </row>
    <row r="120" spans="78:78" x14ac:dyDescent="0.2">
      <c r="BZ120" s="159"/>
    </row>
    <row r="121" spans="78:78" x14ac:dyDescent="0.2">
      <c r="BZ121" s="159"/>
    </row>
    <row r="122" spans="78:78" x14ac:dyDescent="0.2">
      <c r="BZ122" s="159"/>
    </row>
    <row r="123" spans="78:78" x14ac:dyDescent="0.2">
      <c r="BZ123" s="159"/>
    </row>
    <row r="124" spans="78:78" x14ac:dyDescent="0.2">
      <c r="BZ124" s="159"/>
    </row>
  </sheetData>
  <phoneticPr fontId="0" type="noConversion"/>
  <pageMargins left="0.75" right="0.75" top="1" bottom="1" header="0.5" footer="0.5"/>
  <pageSetup paperSize="9" orientation="landscape" horizontalDpi="1200" r:id="rId1"/>
  <headerFooter alignWithMargins="0"/>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B1634-4637-4EE5-B1B5-8F6FD4F1CB90}">
  <sheetPr codeName="Sheet11"/>
  <dimension ref="A1"/>
  <sheetViews>
    <sheetView workbookViewId="0"/>
  </sheetViews>
  <sheetFormatPr defaultRowHeight="12.75" x14ac:dyDescent="0.2"/>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7">
    <tabColor rgb="FFFFC000"/>
  </sheetPr>
  <dimension ref="B1:O334"/>
  <sheetViews>
    <sheetView zoomScale="80" zoomScaleNormal="80" workbookViewId="0">
      <pane xSplit="4" ySplit="7" topLeftCell="E32" activePane="bottomRight" state="frozen"/>
      <selection activeCell="N56" sqref="N56"/>
      <selection pane="topRight" activeCell="N56" sqref="N56"/>
      <selection pane="bottomLeft" activeCell="N56" sqref="N56"/>
      <selection pane="bottomRight" activeCell="A6" sqref="A6:XFD6"/>
    </sheetView>
  </sheetViews>
  <sheetFormatPr defaultColWidth="9.140625" defaultRowHeight="12.75" x14ac:dyDescent="0.2"/>
  <cols>
    <col min="1" max="1" width="9.140625" style="141"/>
    <col min="2" max="2" width="25" style="141" customWidth="1"/>
    <col min="3" max="3" width="12.28515625" style="141" customWidth="1"/>
    <col min="4" max="4" width="52" style="141" customWidth="1"/>
    <col min="5" max="5" width="10.28515625" style="141" customWidth="1"/>
    <col min="6" max="6" width="29.7109375" style="141" customWidth="1"/>
    <col min="7" max="7" width="10.28515625" style="141" customWidth="1"/>
    <col min="8" max="16384" width="9.140625" style="141"/>
  </cols>
  <sheetData>
    <row r="1" spans="2:15" x14ac:dyDescent="0.2">
      <c r="B1" s="140" t="s">
        <v>40</v>
      </c>
      <c r="C1" s="141" t="s">
        <v>902</v>
      </c>
    </row>
    <row r="4" spans="2:15" ht="17.25" customHeight="1" x14ac:dyDescent="0.2"/>
    <row r="5" spans="2:15" ht="17.25" customHeight="1" x14ac:dyDescent="0.2"/>
    <row r="6" spans="2:15" customFormat="1" ht="15.75" customHeight="1" x14ac:dyDescent="0.2">
      <c r="B6" s="145"/>
    </row>
    <row r="7" spans="2:15" customFormat="1" x14ac:dyDescent="0.2">
      <c r="B7" s="146" t="s">
        <v>15</v>
      </c>
      <c r="C7" s="146" t="s">
        <v>25</v>
      </c>
      <c r="D7" s="146" t="s">
        <v>26</v>
      </c>
      <c r="E7" s="146" t="s">
        <v>1077</v>
      </c>
      <c r="F7" s="146" t="s">
        <v>1078</v>
      </c>
      <c r="G7" s="146" t="s">
        <v>1079</v>
      </c>
      <c r="H7" s="146" t="s">
        <v>1080</v>
      </c>
      <c r="I7" s="146" t="s">
        <v>1081</v>
      </c>
      <c r="J7" s="146" t="s">
        <v>1082</v>
      </c>
      <c r="O7" t="s">
        <v>21</v>
      </c>
    </row>
    <row r="8" spans="2:15" x14ac:dyDescent="0.2">
      <c r="B8" s="150" t="s">
        <v>43</v>
      </c>
      <c r="C8" s="151"/>
      <c r="D8" s="151"/>
      <c r="E8" s="151"/>
      <c r="F8" s="151"/>
      <c r="G8" s="151"/>
      <c r="H8" s="152"/>
      <c r="I8" s="152"/>
      <c r="J8" s="152"/>
    </row>
    <row r="9" spans="2:15" x14ac:dyDescent="0.2">
      <c r="B9" s="153" t="s">
        <v>872</v>
      </c>
      <c r="C9" s="153" t="s">
        <v>44</v>
      </c>
      <c r="D9" s="153" t="s">
        <v>45</v>
      </c>
      <c r="E9" s="153" t="s">
        <v>41</v>
      </c>
      <c r="F9" s="153" t="s">
        <v>1088</v>
      </c>
      <c r="G9" s="153"/>
      <c r="H9" s="154"/>
      <c r="I9" s="154"/>
      <c r="J9" s="154"/>
    </row>
    <row r="10" spans="2:15" x14ac:dyDescent="0.2">
      <c r="B10" s="153" t="s">
        <v>872</v>
      </c>
      <c r="C10" s="153" t="s">
        <v>46</v>
      </c>
      <c r="D10" s="153" t="s">
        <v>47</v>
      </c>
      <c r="E10" s="153" t="s">
        <v>41</v>
      </c>
      <c r="F10" s="153"/>
      <c r="G10" s="153"/>
      <c r="H10" s="154"/>
      <c r="I10" s="154"/>
      <c r="J10" s="154"/>
    </row>
    <row r="11" spans="2:15" x14ac:dyDescent="0.2">
      <c r="B11" s="153" t="s">
        <v>872</v>
      </c>
      <c r="C11" s="153" t="s">
        <v>48</v>
      </c>
      <c r="D11" s="153" t="s">
        <v>361</v>
      </c>
      <c r="E11" s="153" t="s">
        <v>41</v>
      </c>
      <c r="F11" s="153"/>
      <c r="G11" s="153"/>
      <c r="H11" s="154"/>
      <c r="I11" s="154"/>
      <c r="J11" s="154"/>
    </row>
    <row r="12" spans="2:15" x14ac:dyDescent="0.2">
      <c r="B12" s="153" t="s">
        <v>57</v>
      </c>
      <c r="C12" s="153" t="s">
        <v>903</v>
      </c>
      <c r="D12" s="153" t="s">
        <v>871</v>
      </c>
      <c r="E12" s="153" t="s">
        <v>41</v>
      </c>
      <c r="F12" s="153"/>
      <c r="G12" s="153"/>
      <c r="H12" s="154"/>
      <c r="I12" s="154"/>
      <c r="J12" s="154"/>
    </row>
    <row r="13" spans="2:15" x14ac:dyDescent="0.2">
      <c r="B13" s="153" t="s">
        <v>65</v>
      </c>
      <c r="C13" s="153" t="s">
        <v>215</v>
      </c>
      <c r="D13" s="153" t="s">
        <v>356</v>
      </c>
      <c r="E13" s="153" t="s">
        <v>41</v>
      </c>
      <c r="F13" s="153"/>
      <c r="G13" s="153"/>
      <c r="H13" s="154"/>
      <c r="I13" s="154"/>
      <c r="J13" s="154"/>
    </row>
    <row r="14" spans="2:15" x14ac:dyDescent="0.2">
      <c r="B14" s="153" t="s">
        <v>62</v>
      </c>
      <c r="C14" s="153" t="s">
        <v>216</v>
      </c>
      <c r="D14" s="153" t="s">
        <v>357</v>
      </c>
      <c r="E14" s="153" t="s">
        <v>41</v>
      </c>
      <c r="F14" s="153"/>
      <c r="G14" s="153"/>
      <c r="H14" s="154"/>
      <c r="I14" s="154"/>
      <c r="J14" s="154"/>
    </row>
    <row r="15" spans="2:15" x14ac:dyDescent="0.2">
      <c r="B15" s="153" t="s">
        <v>93</v>
      </c>
      <c r="C15" s="153" t="s">
        <v>217</v>
      </c>
      <c r="D15" s="153" t="s">
        <v>358</v>
      </c>
      <c r="E15" s="153" t="s">
        <v>41</v>
      </c>
      <c r="F15" s="153"/>
      <c r="G15" s="153"/>
      <c r="H15" s="154"/>
      <c r="I15" s="154"/>
      <c r="J15" s="154"/>
    </row>
    <row r="16" spans="2:15" x14ac:dyDescent="0.2">
      <c r="B16" s="153" t="s">
        <v>92</v>
      </c>
      <c r="C16" s="153" t="s">
        <v>218</v>
      </c>
      <c r="D16" s="153" t="s">
        <v>359</v>
      </c>
      <c r="E16" s="153" t="s">
        <v>41</v>
      </c>
      <c r="F16" s="153"/>
      <c r="G16" s="153"/>
      <c r="H16" s="154"/>
      <c r="I16" s="154"/>
      <c r="J16" s="154"/>
    </row>
    <row r="17" spans="2:10" x14ac:dyDescent="0.2">
      <c r="B17" s="153" t="s">
        <v>94</v>
      </c>
      <c r="C17" s="153" t="s">
        <v>219</v>
      </c>
      <c r="D17" s="153" t="s">
        <v>360</v>
      </c>
      <c r="E17" s="153" t="s">
        <v>41</v>
      </c>
      <c r="F17" s="153"/>
      <c r="G17" s="153"/>
      <c r="H17" s="154"/>
      <c r="I17" s="154"/>
      <c r="J17" s="154"/>
    </row>
    <row r="18" spans="2:10" x14ac:dyDescent="0.2">
      <c r="B18" s="153" t="s">
        <v>872</v>
      </c>
      <c r="C18" s="153" t="s">
        <v>873</v>
      </c>
      <c r="D18" s="153" t="s">
        <v>874</v>
      </c>
      <c r="E18" s="153" t="s">
        <v>41</v>
      </c>
      <c r="F18" s="153"/>
      <c r="G18" s="153"/>
      <c r="H18" s="154"/>
      <c r="I18" s="154"/>
      <c r="J18" s="154"/>
    </row>
    <row r="19" spans="2:10" x14ac:dyDescent="0.2">
      <c r="B19" s="153" t="s">
        <v>872</v>
      </c>
      <c r="C19" s="153" t="s">
        <v>81</v>
      </c>
      <c r="D19" s="153" t="s">
        <v>362</v>
      </c>
      <c r="E19" s="153" t="s">
        <v>41</v>
      </c>
      <c r="F19" s="153"/>
      <c r="G19" s="153"/>
      <c r="H19" s="154"/>
      <c r="I19" s="154"/>
      <c r="J19" s="154"/>
    </row>
    <row r="20" spans="2:10" x14ac:dyDescent="0.2">
      <c r="B20" s="153" t="s">
        <v>872</v>
      </c>
      <c r="C20" s="153" t="s">
        <v>82</v>
      </c>
      <c r="D20" s="153" t="s">
        <v>363</v>
      </c>
      <c r="E20" s="153" t="s">
        <v>41</v>
      </c>
      <c r="F20" s="153"/>
      <c r="G20" s="153"/>
      <c r="H20" s="154"/>
      <c r="I20" s="154"/>
      <c r="J20" s="154"/>
    </row>
    <row r="21" spans="2:10" x14ac:dyDescent="0.2">
      <c r="B21" s="153" t="s">
        <v>872</v>
      </c>
      <c r="C21" s="153" t="s">
        <v>83</v>
      </c>
      <c r="D21" s="153" t="s">
        <v>364</v>
      </c>
      <c r="E21" s="153" t="s">
        <v>41</v>
      </c>
      <c r="F21" s="153"/>
      <c r="G21" s="153"/>
      <c r="H21" s="154"/>
      <c r="I21" s="154"/>
      <c r="J21" s="154"/>
    </row>
    <row r="22" spans="2:10" x14ac:dyDescent="0.2">
      <c r="B22" s="153" t="s">
        <v>872</v>
      </c>
      <c r="C22" s="153" t="s">
        <v>84</v>
      </c>
      <c r="D22" s="153" t="s">
        <v>365</v>
      </c>
      <c r="E22" s="153" t="s">
        <v>41</v>
      </c>
      <c r="F22" s="153"/>
      <c r="G22" s="153"/>
      <c r="H22" s="154"/>
      <c r="I22" s="154"/>
      <c r="J22" s="154"/>
    </row>
    <row r="23" spans="2:10" x14ac:dyDescent="0.2">
      <c r="B23" s="153" t="s">
        <v>872</v>
      </c>
      <c r="C23" s="153" t="s">
        <v>85</v>
      </c>
      <c r="D23" s="153" t="s">
        <v>366</v>
      </c>
      <c r="E23" s="153" t="s">
        <v>41</v>
      </c>
      <c r="F23" s="153"/>
      <c r="G23" s="153"/>
      <c r="H23" s="154"/>
      <c r="I23" s="154"/>
      <c r="J23" s="154"/>
    </row>
    <row r="24" spans="2:10" x14ac:dyDescent="0.2">
      <c r="B24" s="153" t="s">
        <v>872</v>
      </c>
      <c r="C24" s="153" t="s">
        <v>49</v>
      </c>
      <c r="D24" s="153" t="s">
        <v>50</v>
      </c>
      <c r="E24" s="153" t="s">
        <v>41</v>
      </c>
      <c r="F24" s="153"/>
      <c r="G24" s="153"/>
      <c r="H24" s="154"/>
      <c r="I24" s="154"/>
      <c r="J24" s="154"/>
    </row>
    <row r="25" spans="2:10" x14ac:dyDescent="0.2">
      <c r="B25" s="153" t="s">
        <v>42</v>
      </c>
      <c r="C25" s="153" t="s">
        <v>51</v>
      </c>
      <c r="D25" s="153" t="s">
        <v>748</v>
      </c>
      <c r="E25" s="153" t="s">
        <v>41</v>
      </c>
      <c r="F25" s="153"/>
      <c r="G25" s="153"/>
      <c r="H25" s="154"/>
      <c r="I25" s="154"/>
      <c r="J25" s="154"/>
    </row>
    <row r="26" spans="2:10" x14ac:dyDescent="0.2">
      <c r="B26" s="153" t="s">
        <v>126</v>
      </c>
      <c r="C26" s="153" t="s">
        <v>52</v>
      </c>
      <c r="D26" s="153" t="s">
        <v>749</v>
      </c>
      <c r="E26" s="153" t="s">
        <v>41</v>
      </c>
      <c r="F26" s="153"/>
      <c r="G26" s="153"/>
      <c r="H26" s="154"/>
      <c r="I26" s="154"/>
      <c r="J26" s="154"/>
    </row>
    <row r="27" spans="2:10" x14ac:dyDescent="0.2">
      <c r="B27" s="153" t="s">
        <v>875</v>
      </c>
      <c r="C27" s="153" t="s">
        <v>53</v>
      </c>
      <c r="D27" s="153" t="s">
        <v>750</v>
      </c>
      <c r="E27" s="153" t="s">
        <v>41</v>
      </c>
      <c r="F27" s="153"/>
      <c r="G27" s="153"/>
      <c r="H27" s="154"/>
      <c r="I27" s="154"/>
      <c r="J27" s="154"/>
    </row>
    <row r="28" spans="2:10" x14ac:dyDescent="0.2">
      <c r="B28" s="153" t="s">
        <v>42</v>
      </c>
      <c r="C28" s="153" t="s">
        <v>731</v>
      </c>
      <c r="D28" s="153" t="s">
        <v>732</v>
      </c>
      <c r="E28" s="153" t="s">
        <v>41</v>
      </c>
      <c r="F28" s="153"/>
      <c r="G28" s="153"/>
      <c r="H28" s="154"/>
      <c r="I28" s="154"/>
      <c r="J28" s="154"/>
    </row>
    <row r="29" spans="2:10" x14ac:dyDescent="0.2">
      <c r="B29" s="153" t="s">
        <v>54</v>
      </c>
      <c r="C29" s="153" t="s">
        <v>325</v>
      </c>
      <c r="D29" s="153" t="s">
        <v>744</v>
      </c>
      <c r="E29" s="153" t="s">
        <v>41</v>
      </c>
      <c r="F29" s="153"/>
      <c r="G29" s="153"/>
      <c r="H29" s="154"/>
      <c r="I29" s="154"/>
      <c r="J29" s="154"/>
    </row>
    <row r="30" spans="2:10" x14ac:dyDescent="0.2">
      <c r="B30" s="153" t="s">
        <v>1049</v>
      </c>
      <c r="C30" s="153" t="s">
        <v>326</v>
      </c>
      <c r="D30" s="153" t="s">
        <v>745</v>
      </c>
      <c r="E30" s="153" t="s">
        <v>41</v>
      </c>
      <c r="F30" s="153"/>
      <c r="G30" s="153"/>
      <c r="H30" s="154"/>
      <c r="I30" s="154"/>
      <c r="J30" s="154"/>
    </row>
    <row r="31" spans="2:10" x14ac:dyDescent="0.2">
      <c r="B31" s="153" t="s">
        <v>1050</v>
      </c>
      <c r="C31" s="153" t="s">
        <v>865</v>
      </c>
      <c r="D31" s="153" t="s">
        <v>868</v>
      </c>
      <c r="E31" s="153" t="s">
        <v>41</v>
      </c>
      <c r="F31" s="153"/>
      <c r="G31" s="153"/>
      <c r="H31" s="154"/>
      <c r="I31" s="154"/>
      <c r="J31" s="154"/>
    </row>
    <row r="32" spans="2:10" x14ac:dyDescent="0.2">
      <c r="B32" s="153" t="s">
        <v>1051</v>
      </c>
      <c r="C32" s="153" t="s">
        <v>327</v>
      </c>
      <c r="D32" s="153" t="s">
        <v>746</v>
      </c>
      <c r="E32" s="153" t="s">
        <v>41</v>
      </c>
      <c r="F32" s="153"/>
      <c r="G32" s="153"/>
      <c r="H32" s="154"/>
      <c r="I32" s="154"/>
      <c r="J32" s="154"/>
    </row>
    <row r="33" spans="2:10" x14ac:dyDescent="0.2">
      <c r="B33" s="153" t="s">
        <v>1052</v>
      </c>
      <c r="C33" s="153" t="s">
        <v>866</v>
      </c>
      <c r="D33" s="153" t="s">
        <v>869</v>
      </c>
      <c r="E33" s="153" t="s">
        <v>41</v>
      </c>
      <c r="F33" s="153"/>
      <c r="G33" s="153"/>
      <c r="H33" s="154"/>
      <c r="I33" s="154"/>
      <c r="J33" s="154"/>
    </row>
    <row r="34" spans="2:10" x14ac:dyDescent="0.2">
      <c r="B34" s="153" t="s">
        <v>1053</v>
      </c>
      <c r="C34" s="153" t="s">
        <v>867</v>
      </c>
      <c r="D34" s="153" t="s">
        <v>870</v>
      </c>
      <c r="E34" s="153" t="s">
        <v>41</v>
      </c>
      <c r="F34" s="153"/>
      <c r="G34" s="153"/>
      <c r="H34" s="154"/>
      <c r="I34" s="154"/>
      <c r="J34" s="154"/>
    </row>
    <row r="35" spans="2:10" x14ac:dyDescent="0.2">
      <c r="B35" s="153" t="s">
        <v>54</v>
      </c>
      <c r="C35" s="153" t="s">
        <v>328</v>
      </c>
      <c r="D35" s="153" t="s">
        <v>747</v>
      </c>
      <c r="E35" s="153" t="s">
        <v>41</v>
      </c>
      <c r="F35" s="153"/>
      <c r="G35" s="153"/>
      <c r="H35" s="154"/>
      <c r="I35" s="154"/>
      <c r="J35" s="154"/>
    </row>
    <row r="36" spans="2:10" x14ac:dyDescent="0.2">
      <c r="B36" s="153" t="s">
        <v>55</v>
      </c>
      <c r="C36" s="153" t="s">
        <v>877</v>
      </c>
      <c r="D36" s="153" t="s">
        <v>876</v>
      </c>
      <c r="E36" s="153" t="s">
        <v>41</v>
      </c>
      <c r="F36" s="153"/>
      <c r="G36" s="153"/>
      <c r="H36" s="154"/>
      <c r="I36" s="154"/>
      <c r="J36" s="154"/>
    </row>
    <row r="37" spans="2:10" x14ac:dyDescent="0.2">
      <c r="B37" s="153" t="s">
        <v>56</v>
      </c>
      <c r="C37" s="153" t="s">
        <v>329</v>
      </c>
      <c r="D37" s="153" t="s">
        <v>878</v>
      </c>
      <c r="E37" s="153" t="s">
        <v>41</v>
      </c>
      <c r="F37" s="153"/>
      <c r="G37" s="153"/>
      <c r="H37" s="154"/>
      <c r="I37" s="154"/>
      <c r="J37" s="154"/>
    </row>
    <row r="38" spans="2:10" x14ac:dyDescent="0.2">
      <c r="B38" s="153" t="s">
        <v>872</v>
      </c>
      <c r="C38" s="153" t="s">
        <v>880</v>
      </c>
      <c r="D38" s="153" t="s">
        <v>881</v>
      </c>
      <c r="E38" s="153" t="s">
        <v>41</v>
      </c>
      <c r="F38" s="153"/>
      <c r="G38" s="153"/>
      <c r="H38" s="154"/>
      <c r="I38" s="154"/>
      <c r="J38" s="154"/>
    </row>
    <row r="39" spans="2:10" x14ac:dyDescent="0.2">
      <c r="B39" s="153" t="s">
        <v>872</v>
      </c>
      <c r="C39" s="153" t="s">
        <v>58</v>
      </c>
      <c r="D39" s="153" t="s">
        <v>59</v>
      </c>
      <c r="E39" s="153" t="s">
        <v>41</v>
      </c>
      <c r="F39" s="153"/>
      <c r="G39" s="153"/>
      <c r="H39" s="154"/>
      <c r="I39" s="154"/>
      <c r="J39" s="154"/>
    </row>
    <row r="40" spans="2:10" x14ac:dyDescent="0.2">
      <c r="B40" s="153" t="s">
        <v>872</v>
      </c>
      <c r="C40" s="153" t="s">
        <v>60</v>
      </c>
      <c r="D40" s="153" t="s">
        <v>61</v>
      </c>
      <c r="E40" s="153" t="s">
        <v>41</v>
      </c>
      <c r="F40" s="153"/>
      <c r="G40" s="153"/>
      <c r="H40" s="154"/>
      <c r="I40" s="154"/>
      <c r="J40" s="154"/>
    </row>
    <row r="41" spans="2:10" x14ac:dyDescent="0.2">
      <c r="B41" s="153" t="s">
        <v>872</v>
      </c>
      <c r="C41" s="153" t="s">
        <v>63</v>
      </c>
      <c r="D41" s="153" t="s">
        <v>64</v>
      </c>
      <c r="E41" s="153" t="s">
        <v>41</v>
      </c>
      <c r="F41" s="153"/>
      <c r="G41" s="153"/>
      <c r="H41" s="154"/>
      <c r="I41" s="154"/>
      <c r="J41" s="154"/>
    </row>
    <row r="42" spans="2:10" x14ac:dyDescent="0.2">
      <c r="B42" s="153" t="s">
        <v>872</v>
      </c>
      <c r="C42" s="153" t="s">
        <v>66</v>
      </c>
      <c r="D42" s="153" t="s">
        <v>67</v>
      </c>
      <c r="E42" s="153" t="s">
        <v>41</v>
      </c>
      <c r="F42" s="153"/>
      <c r="G42" s="153"/>
      <c r="H42" s="154"/>
      <c r="I42" s="154"/>
      <c r="J42" s="154"/>
    </row>
    <row r="43" spans="2:10" x14ac:dyDescent="0.2">
      <c r="B43" s="153" t="s">
        <v>872</v>
      </c>
      <c r="C43" s="153" t="s">
        <v>68</v>
      </c>
      <c r="D43" s="153" t="s">
        <v>69</v>
      </c>
      <c r="E43" s="153" t="s">
        <v>41</v>
      </c>
      <c r="F43" s="153"/>
      <c r="G43" s="153"/>
      <c r="H43" s="154"/>
      <c r="I43" s="154"/>
      <c r="J43" s="154"/>
    </row>
    <row r="44" spans="2:10" x14ac:dyDescent="0.2">
      <c r="B44" s="150" t="s">
        <v>70</v>
      </c>
      <c r="C44" s="151"/>
      <c r="D44" s="151"/>
      <c r="E44" s="151"/>
      <c r="F44" s="151"/>
      <c r="G44" s="151"/>
      <c r="H44" s="152"/>
      <c r="I44" s="152"/>
      <c r="J44" s="152"/>
    </row>
    <row r="45" spans="2:10" x14ac:dyDescent="0.2">
      <c r="B45" s="153" t="s">
        <v>872</v>
      </c>
      <c r="C45" s="153" t="s">
        <v>71</v>
      </c>
      <c r="D45" s="153" t="s">
        <v>72</v>
      </c>
      <c r="E45" s="153" t="s">
        <v>41</v>
      </c>
      <c r="F45" s="153" t="s">
        <v>1088</v>
      </c>
      <c r="G45" s="153"/>
      <c r="H45" s="154"/>
      <c r="I45" s="154"/>
      <c r="J45" s="154"/>
    </row>
    <row r="46" spans="2:10" x14ac:dyDescent="0.2">
      <c r="B46" s="153" t="s">
        <v>872</v>
      </c>
      <c r="C46" s="153" t="s">
        <v>73</v>
      </c>
      <c r="D46" s="153" t="s">
        <v>74</v>
      </c>
      <c r="E46" s="153" t="s">
        <v>41</v>
      </c>
      <c r="F46" s="153"/>
      <c r="G46" s="153"/>
      <c r="H46" s="154"/>
      <c r="I46" s="154"/>
      <c r="J46" s="154"/>
    </row>
    <row r="47" spans="2:10" x14ac:dyDescent="0.2">
      <c r="B47" s="153" t="s">
        <v>872</v>
      </c>
      <c r="C47" s="153" t="s">
        <v>75</v>
      </c>
      <c r="D47" s="153" t="s">
        <v>76</v>
      </c>
      <c r="E47" s="153" t="s">
        <v>41</v>
      </c>
      <c r="F47" s="153"/>
      <c r="G47" s="153"/>
      <c r="H47" s="154"/>
      <c r="I47" s="154"/>
      <c r="J47" s="154"/>
    </row>
    <row r="48" spans="2:10" x14ac:dyDescent="0.2">
      <c r="B48" s="153" t="s">
        <v>872</v>
      </c>
      <c r="C48" s="153" t="s">
        <v>77</v>
      </c>
      <c r="D48" s="153" t="s">
        <v>78</v>
      </c>
      <c r="E48" s="153" t="s">
        <v>41</v>
      </c>
      <c r="F48" s="153"/>
      <c r="G48" s="153"/>
      <c r="H48" s="154"/>
      <c r="I48" s="154"/>
      <c r="J48" s="154"/>
    </row>
    <row r="49" spans="2:10" x14ac:dyDescent="0.2">
      <c r="B49" s="153" t="s">
        <v>872</v>
      </c>
      <c r="C49" s="153" t="s">
        <v>79</v>
      </c>
      <c r="D49" s="153" t="s">
        <v>80</v>
      </c>
      <c r="E49" s="153" t="s">
        <v>41</v>
      </c>
      <c r="F49" s="153"/>
      <c r="G49" s="153"/>
      <c r="H49" s="154"/>
      <c r="I49" s="154"/>
      <c r="J49" s="154"/>
    </row>
    <row r="50" spans="2:10" x14ac:dyDescent="0.2">
      <c r="B50" s="153" t="s">
        <v>879</v>
      </c>
      <c r="C50" s="153" t="s">
        <v>87</v>
      </c>
      <c r="D50" s="153" t="s">
        <v>448</v>
      </c>
      <c r="E50" s="153" t="s">
        <v>41</v>
      </c>
      <c r="F50" s="153"/>
      <c r="G50" s="153"/>
      <c r="H50" s="154"/>
      <c r="I50" s="154"/>
      <c r="J50" s="154"/>
    </row>
    <row r="51" spans="2:10" x14ac:dyDescent="0.2">
      <c r="B51" s="153" t="s">
        <v>1151</v>
      </c>
      <c r="C51" s="153" t="s">
        <v>88</v>
      </c>
      <c r="D51" s="153" t="s">
        <v>449</v>
      </c>
      <c r="E51" s="153" t="s">
        <v>41</v>
      </c>
      <c r="F51" s="153"/>
      <c r="G51" s="153"/>
      <c r="H51" s="154"/>
      <c r="I51" s="154"/>
      <c r="J51" s="154"/>
    </row>
    <row r="52" spans="2:10" x14ac:dyDescent="0.2">
      <c r="B52" s="153" t="s">
        <v>1152</v>
      </c>
      <c r="C52" s="153" t="s">
        <v>436</v>
      </c>
      <c r="D52" s="153" t="s">
        <v>450</v>
      </c>
      <c r="E52" s="153" t="s">
        <v>41</v>
      </c>
      <c r="F52" s="153"/>
      <c r="G52" s="153"/>
      <c r="H52" s="154"/>
      <c r="I52" s="154"/>
      <c r="J52" s="154"/>
    </row>
    <row r="53" spans="2:10" x14ac:dyDescent="0.2">
      <c r="B53" s="153" t="s">
        <v>1153</v>
      </c>
      <c r="C53" s="153" t="s">
        <v>86</v>
      </c>
      <c r="D53" s="153" t="s">
        <v>447</v>
      </c>
      <c r="E53" s="153" t="s">
        <v>41</v>
      </c>
      <c r="F53" s="153"/>
      <c r="G53" s="153"/>
      <c r="H53" s="154"/>
      <c r="I53" s="154"/>
      <c r="J53" s="154"/>
    </row>
    <row r="54" spans="2:10" x14ac:dyDescent="0.2">
      <c r="B54" s="153" t="s">
        <v>1154</v>
      </c>
      <c r="C54" s="153" t="s">
        <v>439</v>
      </c>
      <c r="D54" s="153" t="s">
        <v>440</v>
      </c>
      <c r="E54" s="153" t="s">
        <v>41</v>
      </c>
      <c r="F54" s="153"/>
      <c r="G54" s="153"/>
      <c r="H54" s="154"/>
      <c r="I54" s="154"/>
      <c r="J54" s="154"/>
    </row>
    <row r="55" spans="2:10" x14ac:dyDescent="0.2">
      <c r="B55" s="153" t="s">
        <v>1155</v>
      </c>
      <c r="C55" s="153" t="s">
        <v>458</v>
      </c>
      <c r="D55" s="153" t="s">
        <v>434</v>
      </c>
      <c r="E55" s="153" t="s">
        <v>41</v>
      </c>
      <c r="F55" s="153"/>
      <c r="G55" s="153"/>
      <c r="H55" s="154"/>
      <c r="I55" s="154"/>
      <c r="J55" s="154"/>
    </row>
    <row r="56" spans="2:10" x14ac:dyDescent="0.2">
      <c r="B56" s="153" t="s">
        <v>1156</v>
      </c>
      <c r="C56" s="153" t="s">
        <v>457</v>
      </c>
      <c r="D56" s="153" t="s">
        <v>433</v>
      </c>
      <c r="E56" s="153" t="s">
        <v>41</v>
      </c>
      <c r="F56" s="153"/>
      <c r="G56" s="153"/>
      <c r="H56" s="154"/>
      <c r="I56" s="154"/>
      <c r="J56" s="154"/>
    </row>
    <row r="57" spans="2:10" x14ac:dyDescent="0.2">
      <c r="B57" s="153" t="s">
        <v>1157</v>
      </c>
      <c r="C57" s="153" t="s">
        <v>451</v>
      </c>
      <c r="D57" s="153" t="s">
        <v>435</v>
      </c>
      <c r="E57" s="153" t="s">
        <v>41</v>
      </c>
      <c r="F57" s="153"/>
      <c r="G57" s="153"/>
      <c r="H57" s="154"/>
      <c r="I57" s="154"/>
      <c r="J57" s="154"/>
    </row>
    <row r="70" spans="2:10" x14ac:dyDescent="0.2">
      <c r="F70" s="140"/>
    </row>
    <row r="74" spans="2:10" x14ac:dyDescent="0.2">
      <c r="B74" s="151" t="s">
        <v>1035</v>
      </c>
      <c r="C74" s="151"/>
      <c r="D74" s="151"/>
      <c r="E74" s="151"/>
      <c r="F74" s="151"/>
      <c r="G74" s="151"/>
      <c r="H74" s="152"/>
      <c r="I74" s="152"/>
      <c r="J74" s="152"/>
    </row>
    <row r="75" spans="2:10" x14ac:dyDescent="0.2">
      <c r="B75" s="153" t="s">
        <v>872</v>
      </c>
      <c r="C75" s="153" t="s">
        <v>202</v>
      </c>
      <c r="D75" s="153" t="s">
        <v>1036</v>
      </c>
      <c r="E75" s="153" t="s">
        <v>1037</v>
      </c>
      <c r="F75" s="153" t="s">
        <v>1038</v>
      </c>
      <c r="G75" s="153"/>
      <c r="H75" s="154"/>
      <c r="I75" s="154"/>
      <c r="J75" s="154"/>
    </row>
    <row r="76" spans="2:10" x14ac:dyDescent="0.2">
      <c r="B76" s="153" t="s">
        <v>872</v>
      </c>
      <c r="C76" s="153" t="s">
        <v>196</v>
      </c>
      <c r="D76" s="153" t="s">
        <v>1039</v>
      </c>
      <c r="E76" s="153" t="s">
        <v>1040</v>
      </c>
      <c r="F76" s="153" t="s">
        <v>1038</v>
      </c>
      <c r="G76" s="153"/>
      <c r="H76" s="154"/>
      <c r="I76" s="154"/>
      <c r="J76" s="154"/>
    </row>
    <row r="77" spans="2:10" x14ac:dyDescent="0.2">
      <c r="B77" s="153" t="s">
        <v>872</v>
      </c>
      <c r="C77" s="153" t="s">
        <v>197</v>
      </c>
      <c r="D77" s="153" t="s">
        <v>1041</v>
      </c>
      <c r="E77" s="153" t="s">
        <v>1040</v>
      </c>
      <c r="F77" s="153" t="s">
        <v>1038</v>
      </c>
      <c r="G77" s="153"/>
      <c r="H77" s="154"/>
      <c r="I77" s="154"/>
      <c r="J77" s="154"/>
    </row>
    <row r="78" spans="2:10" x14ac:dyDescent="0.2">
      <c r="B78" s="153" t="s">
        <v>872</v>
      </c>
      <c r="C78" s="153" t="s">
        <v>198</v>
      </c>
      <c r="D78" s="153" t="s">
        <v>1042</v>
      </c>
      <c r="E78" s="153" t="s">
        <v>1040</v>
      </c>
      <c r="F78" s="153" t="s">
        <v>1038</v>
      </c>
      <c r="G78" s="153"/>
      <c r="H78" s="154"/>
      <c r="I78" s="154"/>
      <c r="J78" s="154"/>
    </row>
    <row r="79" spans="2:10" x14ac:dyDescent="0.2">
      <c r="B79" s="153" t="s">
        <v>872</v>
      </c>
      <c r="C79" s="153" t="s">
        <v>154</v>
      </c>
      <c r="D79" s="153" t="s">
        <v>1043</v>
      </c>
      <c r="E79" s="153" t="s">
        <v>1040</v>
      </c>
      <c r="F79" s="153" t="s">
        <v>1038</v>
      </c>
      <c r="G79" s="153"/>
      <c r="H79" s="154"/>
      <c r="I79" s="154"/>
      <c r="J79" s="154"/>
    </row>
    <row r="80" spans="2:10" x14ac:dyDescent="0.2">
      <c r="B80" s="153" t="s">
        <v>872</v>
      </c>
      <c r="C80" s="153" t="s">
        <v>155</v>
      </c>
      <c r="D80" s="153" t="s">
        <v>1044</v>
      </c>
      <c r="E80" s="153" t="s">
        <v>1040</v>
      </c>
      <c r="F80" s="153" t="s">
        <v>1038</v>
      </c>
      <c r="G80" s="153"/>
      <c r="H80" s="154"/>
      <c r="I80" s="154"/>
      <c r="J80" s="154"/>
    </row>
    <row r="81" spans="2:10" x14ac:dyDescent="0.2">
      <c r="B81" s="153" t="s">
        <v>872</v>
      </c>
      <c r="C81" s="153" t="s">
        <v>200</v>
      </c>
      <c r="D81" s="153" t="s">
        <v>1045</v>
      </c>
      <c r="E81" s="153" t="s">
        <v>1040</v>
      </c>
      <c r="F81" s="153" t="s">
        <v>1038</v>
      </c>
      <c r="G81" s="153"/>
      <c r="H81" s="154"/>
      <c r="I81" s="154"/>
      <c r="J81" s="154"/>
    </row>
    <row r="82" spans="2:10" x14ac:dyDescent="0.2">
      <c r="B82" s="153" t="s">
        <v>872</v>
      </c>
      <c r="C82" s="153" t="s">
        <v>201</v>
      </c>
      <c r="D82" s="153" t="s">
        <v>201</v>
      </c>
      <c r="E82" s="153" t="s">
        <v>1040</v>
      </c>
      <c r="F82" s="153" t="s">
        <v>1038</v>
      </c>
      <c r="G82" s="153"/>
      <c r="H82" s="154"/>
      <c r="I82" s="154"/>
      <c r="J82" s="154"/>
    </row>
    <row r="83" spans="2:10" x14ac:dyDescent="0.2">
      <c r="B83" s="153" t="s">
        <v>872</v>
      </c>
      <c r="C83" s="153" t="s">
        <v>203</v>
      </c>
      <c r="D83" s="153" t="s">
        <v>1046</v>
      </c>
      <c r="E83" s="153" t="s">
        <v>1040</v>
      </c>
      <c r="F83" s="153" t="s">
        <v>1038</v>
      </c>
      <c r="G83" s="153"/>
      <c r="H83" s="154"/>
      <c r="I83" s="154"/>
      <c r="J83" s="154"/>
    </row>
    <row r="84" spans="2:10" x14ac:dyDescent="0.2">
      <c r="B84" s="153" t="s">
        <v>872</v>
      </c>
      <c r="C84" s="153" t="s">
        <v>156</v>
      </c>
      <c r="D84" s="153" t="s">
        <v>1047</v>
      </c>
      <c r="E84" s="153" t="s">
        <v>1040</v>
      </c>
      <c r="F84" s="153" t="s">
        <v>1038</v>
      </c>
      <c r="G84" s="153"/>
      <c r="H84" s="154"/>
      <c r="I84" s="154"/>
      <c r="J84" s="154"/>
    </row>
    <row r="85" spans="2:10" x14ac:dyDescent="0.2">
      <c r="B85" s="153" t="s">
        <v>872</v>
      </c>
      <c r="C85" s="153" t="s">
        <v>199</v>
      </c>
      <c r="D85" s="153" t="s">
        <v>1048</v>
      </c>
      <c r="E85" s="153" t="s">
        <v>1040</v>
      </c>
      <c r="F85" s="153" t="s">
        <v>1038</v>
      </c>
      <c r="G85" s="153"/>
      <c r="H85" s="154"/>
      <c r="I85" s="154"/>
      <c r="J85" s="154"/>
    </row>
    <row r="86" spans="2:10" x14ac:dyDescent="0.2">
      <c r="C86" s="143"/>
      <c r="D86" s="143"/>
    </row>
    <row r="87" spans="2:10" x14ac:dyDescent="0.2">
      <c r="C87" s="143"/>
      <c r="D87" s="143"/>
    </row>
    <row r="89" spans="2:10" x14ac:dyDescent="0.2">
      <c r="C89" s="143"/>
      <c r="D89" s="143"/>
    </row>
    <row r="90" spans="2:10" x14ac:dyDescent="0.2">
      <c r="C90" s="143"/>
      <c r="D90" s="143"/>
    </row>
    <row r="91" spans="2:10" x14ac:dyDescent="0.2">
      <c r="C91" s="143"/>
      <c r="D91" s="143"/>
    </row>
    <row r="92" spans="2:10" x14ac:dyDescent="0.2">
      <c r="C92" s="143"/>
      <c r="D92" s="143"/>
    </row>
    <row r="93" spans="2:10" x14ac:dyDescent="0.2">
      <c r="C93" s="143"/>
      <c r="D93" s="143"/>
    </row>
    <row r="94" spans="2:10" x14ac:dyDescent="0.2">
      <c r="C94" s="143"/>
      <c r="D94" s="143"/>
    </row>
    <row r="95" spans="2:10" x14ac:dyDescent="0.2">
      <c r="C95" s="143"/>
      <c r="D95" s="143"/>
    </row>
    <row r="96" spans="2:10" x14ac:dyDescent="0.2">
      <c r="C96" s="143"/>
      <c r="D96" s="143"/>
    </row>
    <row r="97" spans="3:4" x14ac:dyDescent="0.2">
      <c r="C97" s="143"/>
      <c r="D97" s="143"/>
    </row>
    <row r="98" spans="3:4" x14ac:dyDescent="0.2">
      <c r="C98" s="143"/>
      <c r="D98" s="143"/>
    </row>
    <row r="99" spans="3:4" x14ac:dyDescent="0.2">
      <c r="C99" s="143"/>
      <c r="D99" s="143"/>
    </row>
    <row r="100" spans="3:4" x14ac:dyDescent="0.2">
      <c r="C100" s="143"/>
      <c r="D100" s="143"/>
    </row>
    <row r="102" spans="3:4" x14ac:dyDescent="0.2">
      <c r="C102" s="143"/>
      <c r="D102" s="143"/>
    </row>
    <row r="103" spans="3:4" x14ac:dyDescent="0.2">
      <c r="C103" s="143"/>
      <c r="D103" s="143"/>
    </row>
    <row r="104" spans="3:4" x14ac:dyDescent="0.2">
      <c r="C104" s="143"/>
      <c r="D104" s="143"/>
    </row>
    <row r="105" spans="3:4" x14ac:dyDescent="0.2">
      <c r="C105" s="143"/>
      <c r="D105" s="143"/>
    </row>
    <row r="106" spans="3:4" x14ac:dyDescent="0.2">
      <c r="C106" s="143"/>
      <c r="D106" s="143"/>
    </row>
    <row r="107" spans="3:4" x14ac:dyDescent="0.2">
      <c r="C107" s="143"/>
      <c r="D107" s="143"/>
    </row>
    <row r="108" spans="3:4" x14ac:dyDescent="0.2">
      <c r="C108" s="143"/>
      <c r="D108" s="143"/>
    </row>
    <row r="109" spans="3:4" x14ac:dyDescent="0.2">
      <c r="C109" s="143"/>
      <c r="D109" s="143"/>
    </row>
    <row r="110" spans="3:4" x14ac:dyDescent="0.2">
      <c r="C110" s="143"/>
      <c r="D110" s="143"/>
    </row>
    <row r="111" spans="3:4" x14ac:dyDescent="0.2">
      <c r="C111" s="143"/>
      <c r="D111" s="143"/>
    </row>
    <row r="112" spans="3:4" x14ac:dyDescent="0.2">
      <c r="C112" s="143"/>
      <c r="D112" s="143"/>
    </row>
    <row r="113" spans="2:4" x14ac:dyDescent="0.2">
      <c r="C113" s="143"/>
      <c r="D113" s="143"/>
    </row>
    <row r="115" spans="2:4" x14ac:dyDescent="0.2">
      <c r="C115" s="143"/>
      <c r="D115" s="143"/>
    </row>
    <row r="116" spans="2:4" x14ac:dyDescent="0.2">
      <c r="C116" s="143"/>
      <c r="D116" s="143"/>
    </row>
    <row r="117" spans="2:4" x14ac:dyDescent="0.2">
      <c r="C117" s="143"/>
      <c r="D117" s="143"/>
    </row>
    <row r="118" spans="2:4" x14ac:dyDescent="0.2">
      <c r="C118" s="143"/>
      <c r="D118" s="143"/>
    </row>
    <row r="119" spans="2:4" x14ac:dyDescent="0.2">
      <c r="C119" s="143"/>
      <c r="D119" s="143"/>
    </row>
    <row r="120" spans="2:4" x14ac:dyDescent="0.2">
      <c r="C120" s="143"/>
      <c r="D120" s="143"/>
    </row>
    <row r="121" spans="2:4" x14ac:dyDescent="0.2">
      <c r="C121" s="143"/>
      <c r="D121" s="143"/>
    </row>
    <row r="122" spans="2:4" x14ac:dyDescent="0.2">
      <c r="C122" s="143"/>
      <c r="D122" s="143"/>
    </row>
    <row r="123" spans="2:4" x14ac:dyDescent="0.2">
      <c r="C123" s="143"/>
      <c r="D123" s="143"/>
    </row>
    <row r="124" spans="2:4" x14ac:dyDescent="0.2">
      <c r="C124" s="143"/>
      <c r="D124" s="143"/>
    </row>
    <row r="125" spans="2:4" x14ac:dyDescent="0.2">
      <c r="C125" s="143"/>
      <c r="D125" s="143"/>
    </row>
    <row r="126" spans="2:4" x14ac:dyDescent="0.2">
      <c r="C126" s="143"/>
      <c r="D126" s="143"/>
    </row>
    <row r="128" spans="2:4" x14ac:dyDescent="0.2">
      <c r="B128" s="140"/>
      <c r="C128" s="143"/>
      <c r="D128" s="143"/>
    </row>
    <row r="129" spans="4:4" x14ac:dyDescent="0.2">
      <c r="D129" s="143"/>
    </row>
    <row r="130" spans="4:4" x14ac:dyDescent="0.2">
      <c r="D130" s="143"/>
    </row>
    <row r="131" spans="4:4" x14ac:dyDescent="0.2">
      <c r="D131" s="143"/>
    </row>
    <row r="132" spans="4:4" x14ac:dyDescent="0.2">
      <c r="D132" s="143"/>
    </row>
    <row r="133" spans="4:4" x14ac:dyDescent="0.2">
      <c r="D133" s="143"/>
    </row>
    <row r="134" spans="4:4" x14ac:dyDescent="0.2">
      <c r="D134" s="143"/>
    </row>
    <row r="135" spans="4:4" x14ac:dyDescent="0.2">
      <c r="D135" s="143"/>
    </row>
    <row r="136" spans="4:4" x14ac:dyDescent="0.2">
      <c r="D136" s="143"/>
    </row>
    <row r="137" spans="4:4" x14ac:dyDescent="0.2">
      <c r="D137" s="143"/>
    </row>
    <row r="138" spans="4:4" x14ac:dyDescent="0.2">
      <c r="D138" s="143"/>
    </row>
    <row r="139" spans="4:4" x14ac:dyDescent="0.2">
      <c r="D139" s="143"/>
    </row>
    <row r="140" spans="4:4" x14ac:dyDescent="0.2">
      <c r="D140" s="143"/>
    </row>
    <row r="141" spans="4:4" x14ac:dyDescent="0.2">
      <c r="D141" s="143"/>
    </row>
    <row r="142" spans="4:4" x14ac:dyDescent="0.2">
      <c r="D142" s="143"/>
    </row>
    <row r="143" spans="4:4" x14ac:dyDescent="0.2">
      <c r="D143" s="143"/>
    </row>
    <row r="144" spans="4:4" x14ac:dyDescent="0.2">
      <c r="D144" s="143"/>
    </row>
    <row r="145" spans="4:4" x14ac:dyDescent="0.2">
      <c r="D145" s="143"/>
    </row>
    <row r="146" spans="4:4" x14ac:dyDescent="0.2">
      <c r="D146" s="143"/>
    </row>
    <row r="147" spans="4:4" x14ac:dyDescent="0.2">
      <c r="D147" s="143"/>
    </row>
    <row r="148" spans="4:4" x14ac:dyDescent="0.2">
      <c r="D148" s="143"/>
    </row>
    <row r="149" spans="4:4" x14ac:dyDescent="0.2">
      <c r="D149" s="143"/>
    </row>
    <row r="150" spans="4:4" x14ac:dyDescent="0.2">
      <c r="D150" s="143"/>
    </row>
    <row r="151" spans="4:4" x14ac:dyDescent="0.2">
      <c r="D151" s="143"/>
    </row>
    <row r="152" spans="4:4" x14ac:dyDescent="0.2">
      <c r="D152" s="143"/>
    </row>
    <row r="153" spans="4:4" x14ac:dyDescent="0.2">
      <c r="D153" s="143"/>
    </row>
    <row r="154" spans="4:4" x14ac:dyDescent="0.2">
      <c r="D154" s="143"/>
    </row>
    <row r="155" spans="4:4" x14ac:dyDescent="0.2">
      <c r="D155" s="143"/>
    </row>
    <row r="156" spans="4:4" x14ac:dyDescent="0.2">
      <c r="D156" s="143"/>
    </row>
    <row r="157" spans="4:4" x14ac:dyDescent="0.2">
      <c r="D157" s="143"/>
    </row>
    <row r="158" spans="4:4" x14ac:dyDescent="0.2">
      <c r="D158" s="143"/>
    </row>
    <row r="159" spans="4:4" x14ac:dyDescent="0.2">
      <c r="D159" s="143"/>
    </row>
    <row r="160" spans="4:4" x14ac:dyDescent="0.2">
      <c r="D160" s="143"/>
    </row>
    <row r="161" spans="4:4" x14ac:dyDescent="0.2">
      <c r="D161" s="143"/>
    </row>
    <row r="162" spans="4:4" x14ac:dyDescent="0.2">
      <c r="D162" s="143"/>
    </row>
    <row r="163" spans="4:4" x14ac:dyDescent="0.2">
      <c r="D163" s="143"/>
    </row>
    <row r="164" spans="4:4" x14ac:dyDescent="0.2">
      <c r="D164" s="143"/>
    </row>
    <row r="165" spans="4:4" x14ac:dyDescent="0.2">
      <c r="D165" s="143"/>
    </row>
    <row r="166" spans="4:4" x14ac:dyDescent="0.2">
      <c r="D166" s="143"/>
    </row>
    <row r="167" spans="4:4" x14ac:dyDescent="0.2">
      <c r="D167" s="143"/>
    </row>
    <row r="168" spans="4:4" x14ac:dyDescent="0.2">
      <c r="D168" s="143"/>
    </row>
    <row r="169" spans="4:4" x14ac:dyDescent="0.2">
      <c r="D169" s="143"/>
    </row>
    <row r="170" spans="4:4" x14ac:dyDescent="0.2">
      <c r="D170" s="143"/>
    </row>
    <row r="171" spans="4:4" x14ac:dyDescent="0.2">
      <c r="D171" s="143"/>
    </row>
    <row r="172" spans="4:4" x14ac:dyDescent="0.2">
      <c r="D172" s="143"/>
    </row>
    <row r="173" spans="4:4" x14ac:dyDescent="0.2">
      <c r="D173" s="143"/>
    </row>
    <row r="174" spans="4:4" x14ac:dyDescent="0.2">
      <c r="D174" s="143"/>
    </row>
    <row r="175" spans="4:4" x14ac:dyDescent="0.2">
      <c r="D175" s="143"/>
    </row>
    <row r="176" spans="4:4" x14ac:dyDescent="0.2">
      <c r="D176" s="143"/>
    </row>
    <row r="177" spans="4:4" x14ac:dyDescent="0.2">
      <c r="D177" s="143"/>
    </row>
    <row r="178" spans="4:4" x14ac:dyDescent="0.2">
      <c r="D178" s="143"/>
    </row>
    <row r="179" spans="4:4" x14ac:dyDescent="0.2">
      <c r="D179" s="143"/>
    </row>
    <row r="180" spans="4:4" x14ac:dyDescent="0.2">
      <c r="D180" s="143"/>
    </row>
    <row r="181" spans="4:4" x14ac:dyDescent="0.2">
      <c r="D181" s="143"/>
    </row>
    <row r="182" spans="4:4" x14ac:dyDescent="0.2">
      <c r="D182" s="143"/>
    </row>
    <row r="183" spans="4:4" x14ac:dyDescent="0.2">
      <c r="D183" s="143"/>
    </row>
    <row r="184" spans="4:4" x14ac:dyDescent="0.2">
      <c r="D184" s="143"/>
    </row>
    <row r="185" spans="4:4" x14ac:dyDescent="0.2">
      <c r="D185" s="143"/>
    </row>
    <row r="186" spans="4:4" x14ac:dyDescent="0.2">
      <c r="D186" s="143"/>
    </row>
    <row r="187" spans="4:4" x14ac:dyDescent="0.2">
      <c r="D187" s="143"/>
    </row>
    <row r="188" spans="4:4" x14ac:dyDescent="0.2">
      <c r="D188" s="143"/>
    </row>
    <row r="189" spans="4:4" x14ac:dyDescent="0.2">
      <c r="D189" s="143"/>
    </row>
    <row r="190" spans="4:4" x14ac:dyDescent="0.2">
      <c r="D190" s="143"/>
    </row>
    <row r="191" spans="4:4" x14ac:dyDescent="0.2">
      <c r="D191" s="143"/>
    </row>
    <row r="192" spans="4:4" x14ac:dyDescent="0.2">
      <c r="D192" s="143"/>
    </row>
    <row r="193" spans="2:4" x14ac:dyDescent="0.2">
      <c r="D193" s="143"/>
    </row>
    <row r="194" spans="2:4" x14ac:dyDescent="0.2">
      <c r="D194" s="143"/>
    </row>
    <row r="195" spans="2:4" x14ac:dyDescent="0.2">
      <c r="D195" s="143"/>
    </row>
    <row r="196" spans="2:4" x14ac:dyDescent="0.2">
      <c r="D196" s="143"/>
    </row>
    <row r="197" spans="2:4" x14ac:dyDescent="0.2">
      <c r="D197" s="143"/>
    </row>
    <row r="198" spans="2:4" x14ac:dyDescent="0.2">
      <c r="D198" s="143"/>
    </row>
    <row r="199" spans="2:4" x14ac:dyDescent="0.2">
      <c r="D199" s="143"/>
    </row>
    <row r="200" spans="2:4" x14ac:dyDescent="0.2">
      <c r="D200" s="143"/>
    </row>
    <row r="201" spans="2:4" x14ac:dyDescent="0.2">
      <c r="D201" s="143"/>
    </row>
    <row r="202" spans="2:4" x14ac:dyDescent="0.2">
      <c r="D202" s="143"/>
    </row>
    <row r="203" spans="2:4" x14ac:dyDescent="0.2">
      <c r="D203" s="143"/>
    </row>
    <row r="204" spans="2:4" x14ac:dyDescent="0.2">
      <c r="D204" s="143"/>
    </row>
    <row r="205" spans="2:4" x14ac:dyDescent="0.2">
      <c r="D205" s="143"/>
    </row>
    <row r="206" spans="2:4" x14ac:dyDescent="0.2">
      <c r="D206" s="143"/>
    </row>
    <row r="207" spans="2:4" x14ac:dyDescent="0.2">
      <c r="B207" s="140"/>
      <c r="D207" s="143"/>
    </row>
    <row r="208" spans="2:4" x14ac:dyDescent="0.2">
      <c r="D208" s="143"/>
    </row>
    <row r="209" spans="4:4" x14ac:dyDescent="0.2">
      <c r="D209" s="143"/>
    </row>
    <row r="210" spans="4:4" x14ac:dyDescent="0.2">
      <c r="D210" s="143"/>
    </row>
    <row r="211" spans="4:4" x14ac:dyDescent="0.2">
      <c r="D211" s="143"/>
    </row>
    <row r="212" spans="4:4" x14ac:dyDescent="0.2">
      <c r="D212" s="143"/>
    </row>
    <row r="213" spans="4:4" x14ac:dyDescent="0.2">
      <c r="D213" s="143"/>
    </row>
    <row r="214" spans="4:4" x14ac:dyDescent="0.2">
      <c r="D214" s="143"/>
    </row>
    <row r="215" spans="4:4" x14ac:dyDescent="0.2">
      <c r="D215" s="143"/>
    </row>
    <row r="216" spans="4:4" x14ac:dyDescent="0.2">
      <c r="D216" s="143"/>
    </row>
    <row r="217" spans="4:4" x14ac:dyDescent="0.2">
      <c r="D217" s="143"/>
    </row>
    <row r="218" spans="4:4" x14ac:dyDescent="0.2">
      <c r="D218" s="143"/>
    </row>
    <row r="219" spans="4:4" x14ac:dyDescent="0.2">
      <c r="D219" s="143"/>
    </row>
    <row r="220" spans="4:4" x14ac:dyDescent="0.2">
      <c r="D220" s="143"/>
    </row>
    <row r="221" spans="4:4" x14ac:dyDescent="0.2">
      <c r="D221" s="143"/>
    </row>
    <row r="222" spans="4:4" x14ac:dyDescent="0.2">
      <c r="D222" s="143"/>
    </row>
    <row r="223" spans="4:4" x14ac:dyDescent="0.2">
      <c r="D223" s="143"/>
    </row>
    <row r="224" spans="4:4" x14ac:dyDescent="0.2">
      <c r="D224" s="143"/>
    </row>
    <row r="225" spans="4:4" x14ac:dyDescent="0.2">
      <c r="D225" s="143"/>
    </row>
    <row r="226" spans="4:4" x14ac:dyDescent="0.2">
      <c r="D226" s="143"/>
    </row>
    <row r="227" spans="4:4" x14ac:dyDescent="0.2">
      <c r="D227" s="143"/>
    </row>
    <row r="228" spans="4:4" x14ac:dyDescent="0.2">
      <c r="D228" s="143"/>
    </row>
    <row r="229" spans="4:4" x14ac:dyDescent="0.2">
      <c r="D229" s="143"/>
    </row>
    <row r="230" spans="4:4" x14ac:dyDescent="0.2">
      <c r="D230" s="143"/>
    </row>
    <row r="231" spans="4:4" x14ac:dyDescent="0.2">
      <c r="D231" s="143"/>
    </row>
    <row r="232" spans="4:4" x14ac:dyDescent="0.2">
      <c r="D232" s="143"/>
    </row>
    <row r="233" spans="4:4" x14ac:dyDescent="0.2">
      <c r="D233" s="143"/>
    </row>
    <row r="234" spans="4:4" x14ac:dyDescent="0.2">
      <c r="D234" s="143"/>
    </row>
    <row r="235" spans="4:4" x14ac:dyDescent="0.2">
      <c r="D235" s="143"/>
    </row>
    <row r="236" spans="4:4" x14ac:dyDescent="0.2">
      <c r="D236" s="143"/>
    </row>
    <row r="237" spans="4:4" x14ac:dyDescent="0.2">
      <c r="D237" s="143"/>
    </row>
    <row r="238" spans="4:4" x14ac:dyDescent="0.2">
      <c r="D238" s="143"/>
    </row>
    <row r="239" spans="4:4" x14ac:dyDescent="0.2">
      <c r="D239" s="143"/>
    </row>
    <row r="240" spans="4:4" x14ac:dyDescent="0.2">
      <c r="D240" s="143"/>
    </row>
    <row r="241" spans="4:4" x14ac:dyDescent="0.2">
      <c r="D241" s="143"/>
    </row>
    <row r="242" spans="4:4" x14ac:dyDescent="0.2">
      <c r="D242" s="143"/>
    </row>
    <row r="243" spans="4:4" x14ac:dyDescent="0.2">
      <c r="D243" s="143"/>
    </row>
    <row r="244" spans="4:4" x14ac:dyDescent="0.2">
      <c r="D244" s="143"/>
    </row>
    <row r="245" spans="4:4" x14ac:dyDescent="0.2">
      <c r="D245" s="143"/>
    </row>
    <row r="246" spans="4:4" x14ac:dyDescent="0.2">
      <c r="D246" s="143"/>
    </row>
    <row r="247" spans="4:4" x14ac:dyDescent="0.2">
      <c r="D247" s="143"/>
    </row>
    <row r="248" spans="4:4" x14ac:dyDescent="0.2">
      <c r="D248" s="143"/>
    </row>
    <row r="249" spans="4:4" x14ac:dyDescent="0.2">
      <c r="D249" s="143"/>
    </row>
    <row r="250" spans="4:4" x14ac:dyDescent="0.2">
      <c r="D250" s="143"/>
    </row>
    <row r="251" spans="4:4" x14ac:dyDescent="0.2">
      <c r="D251" s="143"/>
    </row>
    <row r="252" spans="4:4" x14ac:dyDescent="0.2">
      <c r="D252" s="143"/>
    </row>
    <row r="253" spans="4:4" x14ac:dyDescent="0.2">
      <c r="D253" s="143"/>
    </row>
    <row r="254" spans="4:4" x14ac:dyDescent="0.2">
      <c r="D254" s="143"/>
    </row>
    <row r="255" spans="4:4" x14ac:dyDescent="0.2">
      <c r="D255" s="143"/>
    </row>
    <row r="256" spans="4:4" x14ac:dyDescent="0.2">
      <c r="D256" s="143"/>
    </row>
    <row r="257" spans="4:4" x14ac:dyDescent="0.2">
      <c r="D257" s="143"/>
    </row>
    <row r="258" spans="4:4" x14ac:dyDescent="0.2">
      <c r="D258" s="143"/>
    </row>
    <row r="259" spans="4:4" x14ac:dyDescent="0.2">
      <c r="D259" s="143"/>
    </row>
    <row r="260" spans="4:4" x14ac:dyDescent="0.2">
      <c r="D260" s="143"/>
    </row>
    <row r="261" spans="4:4" x14ac:dyDescent="0.2">
      <c r="D261" s="143"/>
    </row>
    <row r="262" spans="4:4" x14ac:dyDescent="0.2">
      <c r="D262" s="143"/>
    </row>
    <row r="263" spans="4:4" x14ac:dyDescent="0.2">
      <c r="D263" s="143"/>
    </row>
    <row r="264" spans="4:4" x14ac:dyDescent="0.2">
      <c r="D264" s="143"/>
    </row>
    <row r="265" spans="4:4" x14ac:dyDescent="0.2">
      <c r="D265" s="143"/>
    </row>
    <row r="266" spans="4:4" x14ac:dyDescent="0.2">
      <c r="D266" s="143"/>
    </row>
    <row r="267" spans="4:4" x14ac:dyDescent="0.2">
      <c r="D267" s="143"/>
    </row>
    <row r="268" spans="4:4" x14ac:dyDescent="0.2">
      <c r="D268" s="143"/>
    </row>
    <row r="269" spans="4:4" x14ac:dyDescent="0.2">
      <c r="D269" s="143"/>
    </row>
    <row r="270" spans="4:4" x14ac:dyDescent="0.2">
      <c r="D270" s="143"/>
    </row>
    <row r="271" spans="4:4" x14ac:dyDescent="0.2">
      <c r="D271" s="143"/>
    </row>
    <row r="272" spans="4:4" x14ac:dyDescent="0.2">
      <c r="D272" s="143"/>
    </row>
    <row r="273" spans="4:4" x14ac:dyDescent="0.2">
      <c r="D273" s="143"/>
    </row>
    <row r="274" spans="4:4" x14ac:dyDescent="0.2">
      <c r="D274" s="143"/>
    </row>
    <row r="275" spans="4:4" x14ac:dyDescent="0.2">
      <c r="D275" s="143"/>
    </row>
    <row r="276" spans="4:4" x14ac:dyDescent="0.2">
      <c r="D276" s="143"/>
    </row>
    <row r="277" spans="4:4" x14ac:dyDescent="0.2">
      <c r="D277" s="143"/>
    </row>
    <row r="278" spans="4:4" x14ac:dyDescent="0.2">
      <c r="D278" s="143"/>
    </row>
    <row r="279" spans="4:4" x14ac:dyDescent="0.2">
      <c r="D279" s="143"/>
    </row>
    <row r="280" spans="4:4" x14ac:dyDescent="0.2">
      <c r="D280" s="143"/>
    </row>
    <row r="281" spans="4:4" x14ac:dyDescent="0.2">
      <c r="D281" s="143"/>
    </row>
    <row r="282" spans="4:4" x14ac:dyDescent="0.2">
      <c r="D282" s="143"/>
    </row>
    <row r="283" spans="4:4" x14ac:dyDescent="0.2">
      <c r="D283" s="143"/>
    </row>
    <row r="284" spans="4:4" x14ac:dyDescent="0.2">
      <c r="D284" s="143"/>
    </row>
    <row r="285" spans="4:4" x14ac:dyDescent="0.2">
      <c r="D285" s="143"/>
    </row>
    <row r="286" spans="4:4" x14ac:dyDescent="0.2">
      <c r="D286" s="143"/>
    </row>
    <row r="287" spans="4:4" x14ac:dyDescent="0.2">
      <c r="D287" s="143"/>
    </row>
    <row r="288" spans="4:4" x14ac:dyDescent="0.2">
      <c r="D288" s="143"/>
    </row>
    <row r="289" spans="2:4" x14ac:dyDescent="0.2">
      <c r="D289" s="143"/>
    </row>
    <row r="290" spans="2:4" x14ac:dyDescent="0.2">
      <c r="D290" s="143"/>
    </row>
    <row r="291" spans="2:4" x14ac:dyDescent="0.2">
      <c r="D291" s="143"/>
    </row>
    <row r="292" spans="2:4" x14ac:dyDescent="0.2">
      <c r="D292" s="143"/>
    </row>
    <row r="293" spans="2:4" x14ac:dyDescent="0.2">
      <c r="D293" s="143"/>
    </row>
    <row r="294" spans="2:4" x14ac:dyDescent="0.2">
      <c r="D294" s="143"/>
    </row>
    <row r="295" spans="2:4" x14ac:dyDescent="0.2">
      <c r="D295" s="143"/>
    </row>
    <row r="296" spans="2:4" x14ac:dyDescent="0.2">
      <c r="D296" s="143"/>
    </row>
    <row r="297" spans="2:4" x14ac:dyDescent="0.2">
      <c r="D297" s="143"/>
    </row>
    <row r="298" spans="2:4" x14ac:dyDescent="0.2">
      <c r="D298" s="143"/>
    </row>
    <row r="299" spans="2:4" x14ac:dyDescent="0.2">
      <c r="B299" s="140"/>
    </row>
    <row r="317" spans="3:3" x14ac:dyDescent="0.2">
      <c r="C317" s="144"/>
    </row>
    <row r="324" spans="2:6" x14ac:dyDescent="0.2">
      <c r="B324" s="140"/>
    </row>
    <row r="325" spans="2:6" x14ac:dyDescent="0.2">
      <c r="E325" s="140"/>
      <c r="F325" s="140"/>
    </row>
    <row r="334" spans="2:6" x14ac:dyDescent="0.2">
      <c r="B334" s="140"/>
    </row>
  </sheetData>
  <phoneticPr fontId="0" type="noConversion"/>
  <pageMargins left="0.75" right="0.75" top="1" bottom="1" header="0.5" footer="0.5"/>
  <pageSetup paperSize="9" orientation="portrait" horizontalDpi="1200" r:id="rId1"/>
  <headerFooter alignWithMargins="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dimension ref="A1:L38"/>
  <sheetViews>
    <sheetView workbookViewId="0">
      <pane xSplit="3" ySplit="7" topLeftCell="D8" activePane="bottomRight" state="frozen"/>
      <selection pane="topRight" activeCell="D1" sqref="D1"/>
      <selection pane="bottomLeft" activeCell="A8" sqref="A8"/>
      <selection pane="bottomRight"/>
    </sheetView>
  </sheetViews>
  <sheetFormatPr defaultRowHeight="12.75" x14ac:dyDescent="0.2"/>
  <cols>
    <col min="1" max="1" width="12.42578125" customWidth="1"/>
    <col min="2" max="2" width="11.140625" customWidth="1"/>
    <col min="3" max="3" width="27.28515625" customWidth="1"/>
    <col min="4" max="4" width="9.7109375" customWidth="1"/>
    <col min="5" max="5" width="9.85546875" customWidth="1"/>
    <col min="6" max="6" width="30.42578125" customWidth="1"/>
    <col min="7" max="7" width="10.42578125" customWidth="1"/>
  </cols>
  <sheetData>
    <row r="1" spans="1:12" x14ac:dyDescent="0.2">
      <c r="A1" s="1" t="s">
        <v>35</v>
      </c>
      <c r="B1" s="2"/>
    </row>
    <row r="4" spans="1:12" ht="18" customHeight="1" x14ac:dyDescent="0.2"/>
    <row r="7" spans="1:12" x14ac:dyDescent="0.2">
      <c r="B7" s="1" t="s">
        <v>27</v>
      </c>
      <c r="C7" s="1" t="s">
        <v>28</v>
      </c>
      <c r="D7" s="1" t="s">
        <v>22</v>
      </c>
      <c r="E7" s="1" t="s">
        <v>23</v>
      </c>
      <c r="F7" s="1" t="s">
        <v>24</v>
      </c>
      <c r="G7" s="1" t="s">
        <v>21</v>
      </c>
    </row>
    <row r="8" spans="1:12" x14ac:dyDescent="0.2">
      <c r="B8" s="1"/>
      <c r="C8" s="1"/>
      <c r="D8" s="1"/>
      <c r="E8" s="1"/>
      <c r="F8" s="1"/>
      <c r="G8" s="1"/>
    </row>
    <row r="9" spans="1:12" x14ac:dyDescent="0.2">
      <c r="D9" s="3"/>
      <c r="E9" s="3"/>
      <c r="F9" s="3"/>
    </row>
    <row r="10" spans="1:12" x14ac:dyDescent="0.2">
      <c r="F10" s="3"/>
    </row>
    <row r="11" spans="1:12" x14ac:dyDescent="0.2">
      <c r="B11" s="1"/>
      <c r="C11" s="1"/>
      <c r="D11" s="12"/>
      <c r="E11" s="12"/>
    </row>
    <row r="12" spans="1:12" x14ac:dyDescent="0.2">
      <c r="B12" s="8"/>
      <c r="C12" s="3"/>
      <c r="F12" s="12"/>
    </row>
    <row r="13" spans="1:12" x14ac:dyDescent="0.2">
      <c r="B13" s="3"/>
      <c r="C13" s="3"/>
    </row>
    <row r="14" spans="1:12" x14ac:dyDescent="0.2">
      <c r="B14" s="3"/>
      <c r="C14" s="3"/>
      <c r="D14" s="6"/>
      <c r="F14" s="3"/>
      <c r="L14" s="5"/>
    </row>
    <row r="15" spans="1:12" x14ac:dyDescent="0.2">
      <c r="B15" s="3"/>
      <c r="C15" s="3"/>
      <c r="E15" s="6"/>
      <c r="F15" s="3"/>
    </row>
    <row r="16" spans="1:12" x14ac:dyDescent="0.2">
      <c r="B16" s="3"/>
      <c r="C16" s="3"/>
      <c r="F16" s="3"/>
    </row>
    <row r="17" spans="2:6" x14ac:dyDescent="0.2">
      <c r="D17" s="6"/>
    </row>
    <row r="18" spans="2:6" x14ac:dyDescent="0.2">
      <c r="E18" s="6"/>
    </row>
    <row r="20" spans="2:6" x14ac:dyDescent="0.2">
      <c r="B20" s="3"/>
      <c r="C20" s="3"/>
      <c r="F20" s="9"/>
    </row>
    <row r="21" spans="2:6" x14ac:dyDescent="0.2">
      <c r="B21" s="3"/>
      <c r="C21" s="3"/>
    </row>
    <row r="22" spans="2:6" x14ac:dyDescent="0.2">
      <c r="B22" s="3"/>
      <c r="C22" s="3"/>
      <c r="D22" s="3"/>
      <c r="E22" s="3"/>
      <c r="F22" s="3"/>
    </row>
    <row r="23" spans="2:6" x14ac:dyDescent="0.2">
      <c r="B23" s="3"/>
      <c r="C23" s="3"/>
    </row>
    <row r="24" spans="2:6" x14ac:dyDescent="0.2">
      <c r="B24" s="3"/>
      <c r="C24" s="3"/>
    </row>
    <row r="25" spans="2:6" x14ac:dyDescent="0.2">
      <c r="D25" s="6"/>
      <c r="E25" s="6"/>
    </row>
    <row r="26" spans="2:6" x14ac:dyDescent="0.2">
      <c r="F26" s="3"/>
    </row>
    <row r="27" spans="2:6" x14ac:dyDescent="0.2">
      <c r="B27" s="4"/>
      <c r="C27" s="3"/>
      <c r="D27" s="6"/>
      <c r="E27" s="6"/>
    </row>
    <row r="28" spans="2:6" x14ac:dyDescent="0.2">
      <c r="B28" s="3"/>
      <c r="C28" s="3"/>
      <c r="D28" s="9"/>
      <c r="E28" s="3"/>
      <c r="F28" s="3"/>
    </row>
    <row r="29" spans="2:6" x14ac:dyDescent="0.2">
      <c r="B29" s="3"/>
      <c r="C29" s="3"/>
    </row>
    <row r="30" spans="2:6" x14ac:dyDescent="0.2">
      <c r="B30" s="3"/>
      <c r="C30" s="3"/>
    </row>
    <row r="31" spans="2:6" x14ac:dyDescent="0.2">
      <c r="B31" s="3"/>
      <c r="C31" s="3"/>
    </row>
    <row r="32" spans="2:6" x14ac:dyDescent="0.2">
      <c r="B32" s="3"/>
      <c r="C32" s="3"/>
    </row>
    <row r="33" spans="2:6" x14ac:dyDescent="0.2">
      <c r="B33" s="3"/>
      <c r="C33" s="3"/>
    </row>
    <row r="37" spans="2:6" x14ac:dyDescent="0.2">
      <c r="B37" s="3"/>
      <c r="C37" s="3"/>
      <c r="F37" s="3"/>
    </row>
    <row r="38" spans="2:6" x14ac:dyDescent="0.2">
      <c r="B38" s="4"/>
      <c r="C38" s="3"/>
    </row>
  </sheetData>
  <phoneticPr fontId="0" type="noConversion"/>
  <pageMargins left="0.75" right="0.75" top="1" bottom="1" header="0.5" footer="0.5"/>
  <pageSetup paperSize="9" orientation="portrait" horizontalDpi="1200" verticalDpi="0" r:id="rId1"/>
  <headerFooter alignWithMargins="0"/>
  <drawing r:id="rId2"/>
  <legacyDrawing r:id="rId3"/>
  <controls>
    <mc:AlternateContent xmlns:mc="http://schemas.openxmlformats.org/markup-compatibility/2006">
      <mc:Choice Requires="x14">
        <control shapeId="1135" r:id="rId4" name="cmdRefreshUnits">
          <controlPr defaultSize="0" autoLine="0" r:id="rId5">
            <anchor moveWithCells="1">
              <from>
                <xdr:col>3</xdr:col>
                <xdr:colOff>381000</xdr:colOff>
                <xdr:row>1</xdr:row>
                <xdr:rowOff>152400</xdr:rowOff>
              </from>
              <to>
                <xdr:col>4</xdr:col>
                <xdr:colOff>285750</xdr:colOff>
                <xdr:row>3</xdr:row>
                <xdr:rowOff>200025</xdr:rowOff>
              </to>
            </anchor>
          </controlPr>
        </control>
      </mc:Choice>
      <mc:Fallback>
        <control shapeId="1135" r:id="rId4" name="cmdRefreshUnits"/>
      </mc:Fallback>
    </mc:AlternateContent>
    <mc:AlternateContent xmlns:mc="http://schemas.openxmlformats.org/markup-compatibility/2006">
      <mc:Choice Requires="x14">
        <control shapeId="1036" r:id="rId6" name="cmdTCAPUnit">
          <controlPr defaultSize="0" autoLine="0" r:id="rId7">
            <anchor moveWithCells="1">
              <from>
                <xdr:col>4</xdr:col>
                <xdr:colOff>9525</xdr:colOff>
                <xdr:row>4</xdr:row>
                <xdr:rowOff>19050</xdr:rowOff>
              </from>
              <to>
                <xdr:col>4</xdr:col>
                <xdr:colOff>647700</xdr:colOff>
                <xdr:row>5</xdr:row>
                <xdr:rowOff>95250</xdr:rowOff>
              </to>
            </anchor>
          </controlPr>
        </control>
      </mc:Choice>
      <mc:Fallback>
        <control shapeId="1036" r:id="rId6" name="cmdTCAPUnit"/>
      </mc:Fallback>
    </mc:AlternateContent>
    <mc:AlternateContent xmlns:mc="http://schemas.openxmlformats.org/markup-compatibility/2006">
      <mc:Choice Requires="x14">
        <control shapeId="1035" r:id="rId8" name="cmdTACTUnit">
          <controlPr defaultSize="0" autoLine="0" r:id="rId9">
            <anchor moveWithCells="1">
              <from>
                <xdr:col>3</xdr:col>
                <xdr:colOff>9525</xdr:colOff>
                <xdr:row>4</xdr:row>
                <xdr:rowOff>19050</xdr:rowOff>
              </from>
              <to>
                <xdr:col>4</xdr:col>
                <xdr:colOff>0</xdr:colOff>
                <xdr:row>5</xdr:row>
                <xdr:rowOff>95250</xdr:rowOff>
              </to>
            </anchor>
          </controlPr>
        </control>
      </mc:Choice>
      <mc:Fallback>
        <control shapeId="1035" r:id="rId8" name="cmdTACTUnit"/>
      </mc:Fallback>
    </mc:AlternateContent>
    <mc:AlternateContent xmlns:mc="http://schemas.openxmlformats.org/markup-compatibility/2006">
      <mc:Choice Requires="x14">
        <control shapeId="1034" r:id="rId10" name="cmdCheckTechnologiesSheet">
          <controlPr defaultSize="0" autoLine="0" autoPict="0" r:id="rId11">
            <anchor moveWithCells="1">
              <from>
                <xdr:col>0</xdr:col>
                <xdr:colOff>9525</xdr:colOff>
                <xdr:row>2</xdr:row>
                <xdr:rowOff>152400</xdr:rowOff>
              </from>
              <to>
                <xdr:col>1</xdr:col>
                <xdr:colOff>0</xdr:colOff>
                <xdr:row>4</xdr:row>
                <xdr:rowOff>0</xdr:rowOff>
              </to>
            </anchor>
          </controlPr>
        </control>
      </mc:Choice>
      <mc:Fallback>
        <control shapeId="1034" r:id="rId10" name="cmdCheckTechnologiesSheet"/>
      </mc:Fallback>
    </mc:AlternateContent>
    <mc:AlternateContent xmlns:mc="http://schemas.openxmlformats.org/markup-compatibility/2006">
      <mc:Choice Requires="x14">
        <control shapeId="1025" r:id="rId12" name="cmdTechnologySets">
          <controlPr defaultSize="0" autoLine="0" r:id="rId13">
            <anchor moveWithCells="1">
              <from>
                <xdr:col>5</xdr:col>
                <xdr:colOff>19050</xdr:colOff>
                <xdr:row>4</xdr:row>
                <xdr:rowOff>19050</xdr:rowOff>
              </from>
              <to>
                <xdr:col>5</xdr:col>
                <xdr:colOff>1819275</xdr:colOff>
                <xdr:row>5</xdr:row>
                <xdr:rowOff>95250</xdr:rowOff>
              </to>
            </anchor>
          </controlPr>
        </control>
      </mc:Choice>
      <mc:Fallback>
        <control shapeId="1025" r:id="rId12" name="cmdTechnologySets"/>
      </mc:Fallback>
    </mc:AlternateContent>
  </control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C000"/>
  </sheetPr>
  <dimension ref="B1:O256"/>
  <sheetViews>
    <sheetView zoomScale="82" zoomScaleNormal="82" workbookViewId="0">
      <pane xSplit="4" ySplit="7" topLeftCell="E35" activePane="bottomRight" state="frozen"/>
      <selection activeCell="N56" sqref="N56"/>
      <selection pane="topRight" activeCell="N56" sqref="N56"/>
      <selection pane="bottomLeft" activeCell="N56" sqref="N56"/>
      <selection pane="bottomRight" activeCell="A6" sqref="A6:XFD6"/>
    </sheetView>
  </sheetViews>
  <sheetFormatPr defaultColWidth="9.140625" defaultRowHeight="12.75" x14ac:dyDescent="0.2"/>
  <cols>
    <col min="1" max="1" width="9.140625" style="148"/>
    <col min="2" max="2" width="22.5703125" style="148" customWidth="1"/>
    <col min="3" max="3" width="13.28515625" style="148" customWidth="1"/>
    <col min="4" max="4" width="66" style="148" customWidth="1"/>
    <col min="5" max="5" width="9.7109375" style="148" customWidth="1"/>
    <col min="6" max="6" width="9.85546875" style="148" customWidth="1"/>
    <col min="7" max="7" width="30.42578125" style="148" customWidth="1"/>
    <col min="8" max="8" width="10.42578125" style="148" customWidth="1"/>
    <col min="9" max="16384" width="9.140625" style="148"/>
  </cols>
  <sheetData>
    <row r="1" spans="2:15" x14ac:dyDescent="0.2">
      <c r="B1" s="147" t="s">
        <v>89</v>
      </c>
      <c r="C1" s="148" t="s">
        <v>902</v>
      </c>
    </row>
    <row r="4" spans="2:15" ht="18" customHeight="1" x14ac:dyDescent="0.2"/>
    <row r="6" spans="2:15" customFormat="1" x14ac:dyDescent="0.2">
      <c r="B6" s="145"/>
    </row>
    <row r="7" spans="2:15" customFormat="1" x14ac:dyDescent="0.2">
      <c r="B7" s="146" t="s">
        <v>15</v>
      </c>
      <c r="C7" s="146" t="s">
        <v>27</v>
      </c>
      <c r="D7" s="146" t="s">
        <v>28</v>
      </c>
      <c r="E7" s="149" t="s">
        <v>1083</v>
      </c>
      <c r="F7" s="149" t="s">
        <v>1084</v>
      </c>
      <c r="G7" s="146" t="s">
        <v>1085</v>
      </c>
      <c r="H7" s="149" t="s">
        <v>1086</v>
      </c>
      <c r="I7" s="149" t="s">
        <v>1087</v>
      </c>
      <c r="O7" s="146" t="s">
        <v>21</v>
      </c>
    </row>
    <row r="8" spans="2:15" x14ac:dyDescent="0.2">
      <c r="B8" s="153" t="s">
        <v>872</v>
      </c>
      <c r="C8" s="153" t="s">
        <v>0</v>
      </c>
      <c r="D8" s="153" t="s">
        <v>98</v>
      </c>
      <c r="E8" s="153" t="s">
        <v>41</v>
      </c>
      <c r="F8" s="153" t="s">
        <v>90</v>
      </c>
      <c r="G8" s="153" t="s">
        <v>1089</v>
      </c>
      <c r="H8" s="153"/>
      <c r="I8" s="155"/>
    </row>
    <row r="9" spans="2:15" x14ac:dyDescent="0.2">
      <c r="B9" s="153" t="s">
        <v>872</v>
      </c>
      <c r="C9" s="153" t="s">
        <v>1</v>
      </c>
      <c r="D9" s="153" t="s">
        <v>99</v>
      </c>
      <c r="E9" s="153" t="s">
        <v>41</v>
      </c>
      <c r="F9" s="153" t="s">
        <v>90</v>
      </c>
      <c r="G9" s="153"/>
      <c r="H9" s="153"/>
      <c r="I9" s="155"/>
    </row>
    <row r="10" spans="2:15" x14ac:dyDescent="0.2">
      <c r="B10" s="153" t="s">
        <v>872</v>
      </c>
      <c r="C10" s="153" t="s">
        <v>2</v>
      </c>
      <c r="D10" s="153" t="s">
        <v>100</v>
      </c>
      <c r="E10" s="153" t="s">
        <v>41</v>
      </c>
      <c r="F10" s="153" t="s">
        <v>90</v>
      </c>
      <c r="G10" s="153"/>
      <c r="H10" s="153"/>
      <c r="I10" s="155"/>
    </row>
    <row r="11" spans="2:15" x14ac:dyDescent="0.2">
      <c r="B11" s="153" t="s">
        <v>872</v>
      </c>
      <c r="C11" s="153" t="s">
        <v>3</v>
      </c>
      <c r="D11" s="153" t="s">
        <v>101</v>
      </c>
      <c r="E11" s="153" t="s">
        <v>41</v>
      </c>
      <c r="F11" s="153" t="s">
        <v>90</v>
      </c>
      <c r="G11" s="153"/>
      <c r="H11" s="153"/>
      <c r="I11" s="155"/>
    </row>
    <row r="12" spans="2:15" x14ac:dyDescent="0.2">
      <c r="B12" s="153" t="s">
        <v>872</v>
      </c>
      <c r="C12" s="153" t="s">
        <v>4</v>
      </c>
      <c r="D12" s="153" t="s">
        <v>102</v>
      </c>
      <c r="E12" s="153" t="s">
        <v>41</v>
      </c>
      <c r="F12" s="153" t="s">
        <v>90</v>
      </c>
      <c r="G12" s="153"/>
      <c r="H12" s="153"/>
      <c r="I12" s="155"/>
    </row>
    <row r="13" spans="2:15" x14ac:dyDescent="0.2">
      <c r="B13" s="153" t="s">
        <v>872</v>
      </c>
      <c r="C13" s="153" t="s">
        <v>5</v>
      </c>
      <c r="D13" s="153" t="s">
        <v>103</v>
      </c>
      <c r="E13" s="153" t="s">
        <v>41</v>
      </c>
      <c r="F13" s="153" t="s">
        <v>90</v>
      </c>
      <c r="G13" s="153"/>
      <c r="H13" s="153"/>
      <c r="I13" s="155"/>
    </row>
    <row r="14" spans="2:15" x14ac:dyDescent="0.2">
      <c r="B14" s="153" t="s">
        <v>872</v>
      </c>
      <c r="C14" s="153" t="s">
        <v>104</v>
      </c>
      <c r="D14" s="153" t="s">
        <v>105</v>
      </c>
      <c r="E14" s="153" t="s">
        <v>41</v>
      </c>
      <c r="F14" s="153" t="s">
        <v>90</v>
      </c>
      <c r="G14" s="153" t="s">
        <v>1090</v>
      </c>
      <c r="H14" s="153"/>
      <c r="I14" s="155"/>
    </row>
    <row r="15" spans="2:15" x14ac:dyDescent="0.2">
      <c r="B15" s="153" t="s">
        <v>57</v>
      </c>
      <c r="C15" s="153" t="s">
        <v>1055</v>
      </c>
      <c r="D15" s="153" t="s">
        <v>1056</v>
      </c>
      <c r="E15" s="153" t="s">
        <v>41</v>
      </c>
      <c r="F15" s="153" t="s">
        <v>90</v>
      </c>
      <c r="G15" s="153" t="s">
        <v>1089</v>
      </c>
      <c r="H15" s="153"/>
      <c r="I15" s="155"/>
    </row>
    <row r="16" spans="2:15" x14ac:dyDescent="0.2">
      <c r="B16" s="153" t="s">
        <v>57</v>
      </c>
      <c r="C16" s="153" t="s">
        <v>910</v>
      </c>
      <c r="D16" s="153" t="s">
        <v>882</v>
      </c>
      <c r="E16" s="153" t="s">
        <v>41</v>
      </c>
      <c r="F16" s="153" t="s">
        <v>90</v>
      </c>
      <c r="G16" s="153" t="s">
        <v>1090</v>
      </c>
      <c r="H16" s="153"/>
      <c r="I16" s="155"/>
    </row>
    <row r="17" spans="2:9" x14ac:dyDescent="0.2">
      <c r="B17" s="153" t="s">
        <v>65</v>
      </c>
      <c r="C17" s="153" t="s">
        <v>367</v>
      </c>
      <c r="D17" s="153" t="s">
        <v>372</v>
      </c>
      <c r="E17" s="153" t="s">
        <v>41</v>
      </c>
      <c r="F17" s="153" t="s">
        <v>90</v>
      </c>
      <c r="G17" s="153"/>
      <c r="H17" s="153"/>
      <c r="I17" s="155"/>
    </row>
    <row r="18" spans="2:9" x14ac:dyDescent="0.2">
      <c r="B18" s="153" t="s">
        <v>62</v>
      </c>
      <c r="C18" s="153" t="s">
        <v>368</v>
      </c>
      <c r="D18" s="153" t="s">
        <v>373</v>
      </c>
      <c r="E18" s="153" t="s">
        <v>41</v>
      </c>
      <c r="F18" s="153" t="s">
        <v>90</v>
      </c>
      <c r="G18" s="153"/>
      <c r="H18" s="153"/>
      <c r="I18" s="155"/>
    </row>
    <row r="19" spans="2:9" x14ac:dyDescent="0.2">
      <c r="B19" s="153" t="s">
        <v>93</v>
      </c>
      <c r="C19" s="153" t="s">
        <v>369</v>
      </c>
      <c r="D19" s="153" t="s">
        <v>374</v>
      </c>
      <c r="E19" s="153" t="s">
        <v>41</v>
      </c>
      <c r="F19" s="153" t="s">
        <v>90</v>
      </c>
      <c r="G19" s="153"/>
      <c r="H19" s="153"/>
      <c r="I19" s="155"/>
    </row>
    <row r="20" spans="2:9" x14ac:dyDescent="0.2">
      <c r="B20" s="153" t="s">
        <v>92</v>
      </c>
      <c r="C20" s="153" t="s">
        <v>370</v>
      </c>
      <c r="D20" s="153" t="s">
        <v>375</v>
      </c>
      <c r="E20" s="153" t="s">
        <v>41</v>
      </c>
      <c r="F20" s="153" t="s">
        <v>90</v>
      </c>
      <c r="G20" s="153"/>
      <c r="H20" s="153"/>
      <c r="I20" s="155"/>
    </row>
    <row r="21" spans="2:9" x14ac:dyDescent="0.2">
      <c r="B21" s="153" t="s">
        <v>94</v>
      </c>
      <c r="C21" s="153" t="s">
        <v>371</v>
      </c>
      <c r="D21" s="153" t="s">
        <v>376</v>
      </c>
      <c r="E21" s="153" t="s">
        <v>41</v>
      </c>
      <c r="F21" s="153" t="s">
        <v>90</v>
      </c>
      <c r="G21" s="153"/>
      <c r="H21" s="153"/>
      <c r="I21" s="155"/>
    </row>
    <row r="22" spans="2:9" x14ac:dyDescent="0.2">
      <c r="B22" s="153" t="s">
        <v>127</v>
      </c>
      <c r="C22" s="153"/>
      <c r="D22" s="153"/>
      <c r="E22" s="153"/>
      <c r="F22" s="153"/>
      <c r="G22" s="153"/>
      <c r="H22" s="153"/>
      <c r="I22" s="155"/>
    </row>
    <row r="23" spans="2:9" x14ac:dyDescent="0.2">
      <c r="B23" s="153" t="s">
        <v>57</v>
      </c>
      <c r="C23" s="153" t="s">
        <v>883</v>
      </c>
      <c r="D23" s="153" t="s">
        <v>884</v>
      </c>
      <c r="E23" s="153" t="s">
        <v>41</v>
      </c>
      <c r="F23" s="153" t="s">
        <v>90</v>
      </c>
      <c r="G23" s="153"/>
      <c r="H23" s="153"/>
      <c r="I23" s="155"/>
    </row>
    <row r="24" spans="2:9" x14ac:dyDescent="0.2">
      <c r="B24" s="153" t="s">
        <v>65</v>
      </c>
      <c r="C24" s="153" t="s">
        <v>701</v>
      </c>
      <c r="D24" s="153" t="s">
        <v>296</v>
      </c>
      <c r="E24" s="153" t="s">
        <v>41</v>
      </c>
      <c r="F24" s="153" t="s">
        <v>90</v>
      </c>
      <c r="G24" s="153"/>
      <c r="H24" s="153"/>
      <c r="I24" s="155"/>
    </row>
    <row r="25" spans="2:9" x14ac:dyDescent="0.2">
      <c r="B25" s="153" t="s">
        <v>62</v>
      </c>
      <c r="C25" s="153" t="s">
        <v>702</v>
      </c>
      <c r="D25" s="153" t="s">
        <v>297</v>
      </c>
      <c r="E25" s="153" t="s">
        <v>41</v>
      </c>
      <c r="F25" s="153" t="s">
        <v>90</v>
      </c>
      <c r="G25" s="153"/>
      <c r="H25" s="153"/>
      <c r="I25" s="155"/>
    </row>
    <row r="26" spans="2:9" x14ac:dyDescent="0.2">
      <c r="B26" s="153" t="s">
        <v>93</v>
      </c>
      <c r="C26" s="153" t="s">
        <v>703</v>
      </c>
      <c r="D26" s="153" t="s">
        <v>298</v>
      </c>
      <c r="E26" s="153" t="s">
        <v>41</v>
      </c>
      <c r="F26" s="153" t="s">
        <v>90</v>
      </c>
      <c r="G26" s="153"/>
      <c r="H26" s="153"/>
      <c r="I26" s="155"/>
    </row>
    <row r="27" spans="2:9" x14ac:dyDescent="0.2">
      <c r="B27" s="153" t="s">
        <v>92</v>
      </c>
      <c r="C27" s="153" t="s">
        <v>704</v>
      </c>
      <c r="D27" s="153" t="s">
        <v>299</v>
      </c>
      <c r="E27" s="153" t="s">
        <v>41</v>
      </c>
      <c r="F27" s="153" t="s">
        <v>90</v>
      </c>
      <c r="G27" s="153"/>
      <c r="H27" s="153"/>
      <c r="I27" s="155"/>
    </row>
    <row r="28" spans="2:9" x14ac:dyDescent="0.2">
      <c r="B28" s="153" t="s">
        <v>94</v>
      </c>
      <c r="C28" s="153" t="s">
        <v>705</v>
      </c>
      <c r="D28" s="153" t="s">
        <v>300</v>
      </c>
      <c r="E28" s="153" t="s">
        <v>41</v>
      </c>
      <c r="F28" s="153" t="s">
        <v>90</v>
      </c>
      <c r="G28" s="153"/>
      <c r="H28" s="153"/>
      <c r="I28" s="155"/>
    </row>
    <row r="29" spans="2:9" x14ac:dyDescent="0.2">
      <c r="B29" s="150" t="s">
        <v>106</v>
      </c>
      <c r="C29" s="151"/>
      <c r="D29" s="151"/>
      <c r="E29" s="151"/>
      <c r="F29" s="151"/>
      <c r="G29" s="151"/>
      <c r="H29" s="151"/>
      <c r="I29" s="156"/>
    </row>
    <row r="30" spans="2:9" x14ac:dyDescent="0.2">
      <c r="B30" s="153" t="s">
        <v>42</v>
      </c>
      <c r="C30" s="153" t="s">
        <v>109</v>
      </c>
      <c r="D30" s="153" t="s">
        <v>110</v>
      </c>
      <c r="E30" s="153" t="s">
        <v>41</v>
      </c>
      <c r="F30" s="153" t="s">
        <v>90</v>
      </c>
      <c r="G30" s="153" t="s">
        <v>1091</v>
      </c>
      <c r="H30" s="153"/>
      <c r="I30" s="155"/>
    </row>
    <row r="31" spans="2:9" x14ac:dyDescent="0.2">
      <c r="B31" s="153" t="s">
        <v>42</v>
      </c>
      <c r="C31" s="153" t="s">
        <v>111</v>
      </c>
      <c r="D31" s="153" t="s">
        <v>112</v>
      </c>
      <c r="E31" s="153" t="s">
        <v>41</v>
      </c>
      <c r="F31" s="153" t="s">
        <v>90</v>
      </c>
      <c r="G31" s="153"/>
      <c r="H31" s="153"/>
      <c r="I31" s="155"/>
    </row>
    <row r="32" spans="2:9" x14ac:dyDescent="0.2">
      <c r="B32" s="153" t="s">
        <v>42</v>
      </c>
      <c r="C32" s="153" t="s">
        <v>113</v>
      </c>
      <c r="D32" s="153" t="s">
        <v>114</v>
      </c>
      <c r="E32" s="153" t="s">
        <v>41</v>
      </c>
      <c r="F32" s="153" t="s">
        <v>90</v>
      </c>
      <c r="G32" s="153"/>
      <c r="H32" s="153"/>
      <c r="I32" s="155"/>
    </row>
    <row r="33" spans="2:9" x14ac:dyDescent="0.2">
      <c r="B33" s="153" t="s">
        <v>42</v>
      </c>
      <c r="C33" s="153" t="s">
        <v>332</v>
      </c>
      <c r="D33" s="153" t="s">
        <v>115</v>
      </c>
      <c r="E33" s="153" t="s">
        <v>41</v>
      </c>
      <c r="F33" s="153" t="s">
        <v>90</v>
      </c>
      <c r="G33" s="153" t="s">
        <v>1090</v>
      </c>
      <c r="H33" s="153"/>
      <c r="I33" s="155"/>
    </row>
    <row r="34" spans="2:9" x14ac:dyDescent="0.2">
      <c r="B34" s="153" t="s">
        <v>42</v>
      </c>
      <c r="C34" s="153" t="s">
        <v>141</v>
      </c>
      <c r="D34" s="153" t="s">
        <v>107</v>
      </c>
      <c r="E34" s="153" t="s">
        <v>41</v>
      </c>
      <c r="F34" s="153" t="s">
        <v>90</v>
      </c>
      <c r="G34" s="153" t="s">
        <v>1091</v>
      </c>
      <c r="H34" s="153"/>
      <c r="I34" s="155"/>
    </row>
    <row r="35" spans="2:9" x14ac:dyDescent="0.2">
      <c r="B35" s="153" t="s">
        <v>42</v>
      </c>
      <c r="C35" s="153" t="s">
        <v>142</v>
      </c>
      <c r="D35" s="153" t="s">
        <v>108</v>
      </c>
      <c r="E35" s="153" t="s">
        <v>41</v>
      </c>
      <c r="F35" s="153" t="s">
        <v>90</v>
      </c>
      <c r="G35" s="153"/>
      <c r="H35" s="153"/>
      <c r="I35" s="155"/>
    </row>
    <row r="36" spans="2:9" x14ac:dyDescent="0.2">
      <c r="B36" s="153" t="s">
        <v>42</v>
      </c>
      <c r="C36" s="153" t="s">
        <v>143</v>
      </c>
      <c r="D36" s="153" t="s">
        <v>144</v>
      </c>
      <c r="E36" s="153" t="s">
        <v>41</v>
      </c>
      <c r="F36" s="153" t="s">
        <v>90</v>
      </c>
      <c r="G36" s="153"/>
      <c r="H36" s="153"/>
      <c r="I36" s="155"/>
    </row>
    <row r="37" spans="2:9" x14ac:dyDescent="0.2">
      <c r="B37" s="153" t="s">
        <v>42</v>
      </c>
      <c r="C37" s="153" t="s">
        <v>145</v>
      </c>
      <c r="D37" s="153" t="s">
        <v>146</v>
      </c>
      <c r="E37" s="153" t="s">
        <v>41</v>
      </c>
      <c r="F37" s="153" t="s">
        <v>90</v>
      </c>
      <c r="G37" s="153"/>
      <c r="H37" s="153"/>
      <c r="I37" s="155"/>
    </row>
    <row r="38" spans="2:9" x14ac:dyDescent="0.2">
      <c r="B38" s="153" t="s">
        <v>42</v>
      </c>
      <c r="C38" s="153" t="s">
        <v>147</v>
      </c>
      <c r="D38" s="153" t="s">
        <v>148</v>
      </c>
      <c r="E38" s="153" t="s">
        <v>41</v>
      </c>
      <c r="F38" s="153" t="s">
        <v>90</v>
      </c>
      <c r="G38" s="153"/>
      <c r="H38" s="153"/>
      <c r="I38" s="155"/>
    </row>
    <row r="39" spans="2:9" x14ac:dyDescent="0.2">
      <c r="B39" s="153" t="s">
        <v>42</v>
      </c>
      <c r="C39" s="153" t="s">
        <v>149</v>
      </c>
      <c r="D39" s="153" t="s">
        <v>150</v>
      </c>
      <c r="E39" s="153" t="s">
        <v>41</v>
      </c>
      <c r="F39" s="153" t="s">
        <v>90</v>
      </c>
      <c r="G39" s="153"/>
      <c r="H39" s="153"/>
      <c r="I39" s="155"/>
    </row>
    <row r="40" spans="2:9" x14ac:dyDescent="0.2">
      <c r="B40" s="153" t="s">
        <v>42</v>
      </c>
      <c r="C40" s="153" t="s">
        <v>331</v>
      </c>
      <c r="D40" s="153" t="s">
        <v>330</v>
      </c>
      <c r="E40" s="153" t="s">
        <v>41</v>
      </c>
      <c r="F40" s="153" t="s">
        <v>90</v>
      </c>
      <c r="G40" s="153" t="s">
        <v>1090</v>
      </c>
      <c r="H40" s="153"/>
      <c r="I40" s="155"/>
    </row>
    <row r="41" spans="2:9" x14ac:dyDescent="0.2">
      <c r="B41" s="153" t="s">
        <v>42</v>
      </c>
      <c r="C41" s="153" t="s">
        <v>733</v>
      </c>
      <c r="D41" s="153" t="s">
        <v>736</v>
      </c>
      <c r="E41" s="153" t="s">
        <v>41</v>
      </c>
      <c r="F41" s="153" t="s">
        <v>90</v>
      </c>
      <c r="G41" s="153"/>
      <c r="H41" s="153"/>
      <c r="I41" s="155"/>
    </row>
    <row r="42" spans="2:9" x14ac:dyDescent="0.2">
      <c r="B42" s="153" t="s">
        <v>126</v>
      </c>
      <c r="C42" s="153" t="s">
        <v>734</v>
      </c>
      <c r="D42" s="153" t="s">
        <v>737</v>
      </c>
      <c r="E42" s="153" t="s">
        <v>41</v>
      </c>
      <c r="F42" s="153" t="s">
        <v>90</v>
      </c>
      <c r="G42" s="153"/>
      <c r="H42" s="153"/>
      <c r="I42" s="155"/>
    </row>
    <row r="43" spans="2:9" x14ac:dyDescent="0.2">
      <c r="B43" s="153" t="s">
        <v>126</v>
      </c>
      <c r="C43" s="153" t="s">
        <v>904</v>
      </c>
      <c r="D43" s="153" t="s">
        <v>906</v>
      </c>
      <c r="E43" s="153" t="s">
        <v>41</v>
      </c>
      <c r="F43" s="153" t="s">
        <v>90</v>
      </c>
      <c r="G43" s="153"/>
      <c r="H43" s="153"/>
      <c r="I43" s="155"/>
    </row>
    <row r="44" spans="2:9" x14ac:dyDescent="0.2">
      <c r="B44" s="153" t="s">
        <v>126</v>
      </c>
      <c r="C44" s="153" t="s">
        <v>735</v>
      </c>
      <c r="D44" s="153" t="s">
        <v>738</v>
      </c>
      <c r="E44" s="153" t="s">
        <v>41</v>
      </c>
      <c r="F44" s="153" t="s">
        <v>90</v>
      </c>
      <c r="G44" s="153"/>
      <c r="H44" s="153"/>
      <c r="I44" s="155"/>
    </row>
    <row r="45" spans="2:9" x14ac:dyDescent="0.2">
      <c r="B45" s="153" t="s">
        <v>126</v>
      </c>
      <c r="C45" s="153" t="s">
        <v>905</v>
      </c>
      <c r="D45" s="153" t="s">
        <v>907</v>
      </c>
      <c r="E45" s="153" t="s">
        <v>41</v>
      </c>
      <c r="F45" s="153" t="s">
        <v>90</v>
      </c>
      <c r="G45" s="153"/>
      <c r="H45" s="153"/>
      <c r="I45" s="155"/>
    </row>
    <row r="46" spans="2:9" x14ac:dyDescent="0.2">
      <c r="B46" s="153" t="s">
        <v>126</v>
      </c>
      <c r="C46" s="153" t="s">
        <v>908</v>
      </c>
      <c r="D46" s="153" t="s">
        <v>909</v>
      </c>
      <c r="E46" s="153" t="s">
        <v>41</v>
      </c>
      <c r="F46" s="153" t="s">
        <v>90</v>
      </c>
      <c r="G46" s="153"/>
      <c r="H46" s="153"/>
      <c r="I46" s="155"/>
    </row>
    <row r="47" spans="2:9" x14ac:dyDescent="0.2">
      <c r="B47" s="150" t="s">
        <v>700</v>
      </c>
      <c r="C47" s="151"/>
      <c r="D47" s="151"/>
      <c r="E47" s="151"/>
      <c r="F47" s="151"/>
      <c r="G47" s="151"/>
      <c r="H47" s="151"/>
      <c r="I47" s="156"/>
    </row>
    <row r="48" spans="2:9" hidden="1" x14ac:dyDescent="0.2">
      <c r="B48" s="153" t="s">
        <v>862</v>
      </c>
      <c r="C48" s="153" t="s">
        <v>695</v>
      </c>
      <c r="D48" s="153" t="s">
        <v>696</v>
      </c>
      <c r="E48" s="153"/>
      <c r="F48" s="153"/>
      <c r="G48" s="153" t="s">
        <v>91</v>
      </c>
      <c r="H48" s="153"/>
      <c r="I48" s="155"/>
    </row>
    <row r="49" spans="2:9" x14ac:dyDescent="0.2">
      <c r="B49" s="153" t="s">
        <v>872</v>
      </c>
      <c r="C49" s="153" t="s">
        <v>699</v>
      </c>
      <c r="D49" s="153" t="s">
        <v>698</v>
      </c>
      <c r="E49" s="153" t="s">
        <v>41</v>
      </c>
      <c r="F49" s="153" t="s">
        <v>90</v>
      </c>
      <c r="G49" s="153" t="s">
        <v>1092</v>
      </c>
      <c r="H49" s="153"/>
      <c r="I49" s="155"/>
    </row>
    <row r="50" spans="2:9" x14ac:dyDescent="0.2">
      <c r="B50" s="153" t="s">
        <v>57</v>
      </c>
      <c r="C50" s="153" t="s">
        <v>333</v>
      </c>
      <c r="D50" s="153" t="s">
        <v>334</v>
      </c>
      <c r="E50" s="153" t="s">
        <v>41</v>
      </c>
      <c r="F50" s="153" t="s">
        <v>90</v>
      </c>
      <c r="G50" s="153" t="s">
        <v>1090</v>
      </c>
      <c r="H50" s="153"/>
      <c r="I50" s="155"/>
    </row>
    <row r="51" spans="2:9" x14ac:dyDescent="0.2">
      <c r="B51" s="153" t="s">
        <v>860</v>
      </c>
      <c r="C51" s="153" t="s">
        <v>335</v>
      </c>
      <c r="D51" s="153" t="s">
        <v>336</v>
      </c>
      <c r="E51" s="153" t="s">
        <v>41</v>
      </c>
      <c r="F51" s="153" t="s">
        <v>90</v>
      </c>
      <c r="G51" s="153"/>
      <c r="H51" s="153"/>
      <c r="I51" s="155"/>
    </row>
    <row r="52" spans="2:9" x14ac:dyDescent="0.2">
      <c r="B52" s="153" t="s">
        <v>863</v>
      </c>
      <c r="C52" s="153" t="s">
        <v>885</v>
      </c>
      <c r="D52" s="153" t="s">
        <v>887</v>
      </c>
      <c r="E52" s="153" t="s">
        <v>41</v>
      </c>
      <c r="F52" s="153" t="s">
        <v>90</v>
      </c>
      <c r="G52" s="153"/>
      <c r="H52" s="153"/>
      <c r="I52" s="155"/>
    </row>
    <row r="53" spans="2:9" x14ac:dyDescent="0.2">
      <c r="B53" s="153" t="s">
        <v>859</v>
      </c>
      <c r="C53" s="153" t="s">
        <v>337</v>
      </c>
      <c r="D53" s="153" t="s">
        <v>338</v>
      </c>
      <c r="E53" s="153" t="s">
        <v>41</v>
      </c>
      <c r="F53" s="153" t="s">
        <v>90</v>
      </c>
      <c r="G53" s="153"/>
      <c r="H53" s="153"/>
      <c r="I53" s="155"/>
    </row>
    <row r="54" spans="2:9" x14ac:dyDescent="0.2">
      <c r="B54" s="153" t="s">
        <v>864</v>
      </c>
      <c r="C54" s="153" t="s">
        <v>886</v>
      </c>
      <c r="D54" s="153" t="s">
        <v>888</v>
      </c>
      <c r="E54" s="153" t="s">
        <v>41</v>
      </c>
      <c r="F54" s="153" t="s">
        <v>90</v>
      </c>
      <c r="G54" s="153"/>
      <c r="H54" s="153"/>
      <c r="I54" s="155"/>
    </row>
    <row r="55" spans="2:9" x14ac:dyDescent="0.2">
      <c r="B55" s="153" t="s">
        <v>973</v>
      </c>
      <c r="C55" s="153" t="s">
        <v>889</v>
      </c>
      <c r="D55" s="153" t="s">
        <v>890</v>
      </c>
      <c r="E55" s="153" t="s">
        <v>41</v>
      </c>
      <c r="F55" s="153" t="s">
        <v>90</v>
      </c>
      <c r="G55" s="153"/>
      <c r="H55" s="153"/>
      <c r="I55" s="155"/>
    </row>
    <row r="56" spans="2:9" x14ac:dyDescent="0.2">
      <c r="B56" s="153" t="s">
        <v>127</v>
      </c>
      <c r="C56" s="153"/>
      <c r="D56" s="153"/>
      <c r="E56" s="153"/>
      <c r="F56" s="153"/>
      <c r="G56" s="153"/>
      <c r="H56" s="153"/>
      <c r="I56" s="155"/>
    </row>
    <row r="57" spans="2:9" x14ac:dyDescent="0.2">
      <c r="B57" s="153" t="s">
        <v>57</v>
      </c>
      <c r="C57" s="153" t="s">
        <v>345</v>
      </c>
      <c r="D57" s="153" t="s">
        <v>346</v>
      </c>
      <c r="E57" s="153" t="s">
        <v>41</v>
      </c>
      <c r="F57" s="153" t="s">
        <v>90</v>
      </c>
      <c r="G57" s="153"/>
      <c r="H57" s="153"/>
      <c r="I57" s="155"/>
    </row>
    <row r="58" spans="2:9" x14ac:dyDescent="0.2">
      <c r="B58" s="153" t="s">
        <v>93</v>
      </c>
      <c r="C58" s="153" t="s">
        <v>897</v>
      </c>
      <c r="D58" s="153" t="s">
        <v>898</v>
      </c>
      <c r="E58" s="153" t="s">
        <v>41</v>
      </c>
      <c r="F58" s="153" t="s">
        <v>90</v>
      </c>
      <c r="G58" s="153"/>
      <c r="H58" s="153"/>
      <c r="I58" s="155"/>
    </row>
    <row r="59" spans="2:9" x14ac:dyDescent="0.2">
      <c r="B59" s="153" t="s">
        <v>92</v>
      </c>
      <c r="C59" s="153" t="s">
        <v>347</v>
      </c>
      <c r="D59" s="153" t="s">
        <v>899</v>
      </c>
      <c r="E59" s="153" t="s">
        <v>41</v>
      </c>
      <c r="F59" s="153" t="s">
        <v>90</v>
      </c>
      <c r="G59" s="153"/>
      <c r="H59" s="153"/>
      <c r="I59" s="155"/>
    </row>
    <row r="60" spans="2:9" x14ac:dyDescent="0.2">
      <c r="B60" s="150" t="s">
        <v>118</v>
      </c>
      <c r="C60" s="151"/>
      <c r="D60" s="151"/>
      <c r="E60" s="151"/>
      <c r="F60" s="151"/>
      <c r="G60" s="151"/>
      <c r="H60" s="151"/>
      <c r="I60" s="156"/>
    </row>
    <row r="61" spans="2:9" x14ac:dyDescent="0.2">
      <c r="B61" s="153" t="s">
        <v>872</v>
      </c>
      <c r="C61" s="153" t="s">
        <v>351</v>
      </c>
      <c r="D61" s="153" t="s">
        <v>119</v>
      </c>
      <c r="E61" s="153" t="s">
        <v>41</v>
      </c>
      <c r="F61" s="153" t="s">
        <v>90</v>
      </c>
      <c r="G61" s="153" t="s">
        <v>1090</v>
      </c>
      <c r="H61" s="153"/>
      <c r="I61" s="155"/>
    </row>
    <row r="62" spans="2:9" x14ac:dyDescent="0.2">
      <c r="B62" s="153" t="s">
        <v>872</v>
      </c>
      <c r="C62" s="153" t="s">
        <v>352</v>
      </c>
      <c r="D62" s="153" t="s">
        <v>120</v>
      </c>
      <c r="E62" s="153" t="s">
        <v>41</v>
      </c>
      <c r="F62" s="153" t="s">
        <v>90</v>
      </c>
      <c r="G62" s="153"/>
      <c r="H62" s="153"/>
      <c r="I62" s="155"/>
    </row>
    <row r="63" spans="2:9" x14ac:dyDescent="0.2">
      <c r="B63" s="153" t="s">
        <v>872</v>
      </c>
      <c r="C63" s="153" t="s">
        <v>353</v>
      </c>
      <c r="D63" s="153" t="s">
        <v>459</v>
      </c>
      <c r="E63" s="153" t="s">
        <v>41</v>
      </c>
      <c r="F63" s="153" t="s">
        <v>90</v>
      </c>
      <c r="G63" s="153"/>
      <c r="H63" s="153"/>
      <c r="I63" s="155"/>
    </row>
    <row r="64" spans="2:9" x14ac:dyDescent="0.2">
      <c r="B64" s="153" t="s">
        <v>872</v>
      </c>
      <c r="C64" s="153" t="s">
        <v>354</v>
      </c>
      <c r="D64" s="153" t="s">
        <v>121</v>
      </c>
      <c r="E64" s="153" t="s">
        <v>41</v>
      </c>
      <c r="F64" s="153" t="s">
        <v>90</v>
      </c>
      <c r="G64" s="153"/>
      <c r="H64" s="153"/>
      <c r="I64" s="155"/>
    </row>
    <row r="65" spans="2:9" x14ac:dyDescent="0.2">
      <c r="B65" s="153" t="s">
        <v>872</v>
      </c>
      <c r="C65" s="153" t="s">
        <v>355</v>
      </c>
      <c r="D65" s="153" t="s">
        <v>122</v>
      </c>
      <c r="E65" s="153" t="s">
        <v>41</v>
      </c>
      <c r="F65" s="153" t="s">
        <v>90</v>
      </c>
      <c r="G65" s="153"/>
      <c r="H65" s="153"/>
      <c r="I65" s="155"/>
    </row>
    <row r="66" spans="2:9" x14ac:dyDescent="0.2">
      <c r="B66" s="153" t="s">
        <v>127</v>
      </c>
      <c r="C66" s="153" t="s">
        <v>437</v>
      </c>
      <c r="D66" s="153" t="s">
        <v>438</v>
      </c>
      <c r="E66" s="153"/>
      <c r="F66" s="153"/>
      <c r="G66" s="153"/>
      <c r="H66" s="153"/>
      <c r="I66" s="155"/>
    </row>
    <row r="67" spans="2:9" x14ac:dyDescent="0.2">
      <c r="B67" s="150" t="s">
        <v>441</v>
      </c>
      <c r="C67" s="151"/>
      <c r="D67" s="151"/>
      <c r="E67" s="151"/>
      <c r="F67" s="151"/>
      <c r="G67" s="151"/>
      <c r="H67" s="151"/>
      <c r="I67" s="156"/>
    </row>
    <row r="68" spans="2:9" x14ac:dyDescent="0.2">
      <c r="B68" s="153" t="s">
        <v>879</v>
      </c>
      <c r="C68" s="153" t="s">
        <v>453</v>
      </c>
      <c r="D68" s="153" t="s">
        <v>456</v>
      </c>
      <c r="E68" s="153"/>
      <c r="F68" s="153"/>
      <c r="G68" s="153"/>
      <c r="H68" s="153"/>
      <c r="I68" s="155"/>
    </row>
    <row r="69" spans="2:9" x14ac:dyDescent="0.2">
      <c r="B69" s="153" t="s">
        <v>879</v>
      </c>
      <c r="C69" s="153" t="s">
        <v>454</v>
      </c>
      <c r="D69" s="153" t="s">
        <v>455</v>
      </c>
      <c r="E69" s="153"/>
      <c r="F69" s="153"/>
      <c r="G69" s="153"/>
      <c r="H69" s="153"/>
      <c r="I69" s="155"/>
    </row>
    <row r="70" spans="2:9" x14ac:dyDescent="0.2">
      <c r="B70" s="153" t="s">
        <v>879</v>
      </c>
      <c r="C70" s="153" t="s">
        <v>452</v>
      </c>
      <c r="D70" s="153" t="s">
        <v>444</v>
      </c>
      <c r="E70" s="153"/>
      <c r="F70" s="153"/>
      <c r="G70" s="153"/>
      <c r="H70" s="153"/>
      <c r="I70" s="155"/>
    </row>
    <row r="71" spans="2:9" x14ac:dyDescent="0.2">
      <c r="B71" s="153" t="s">
        <v>879</v>
      </c>
      <c r="C71" s="153" t="s">
        <v>442</v>
      </c>
      <c r="D71" s="153" t="s">
        <v>445</v>
      </c>
      <c r="E71" s="153"/>
      <c r="F71" s="153"/>
      <c r="G71" s="153"/>
      <c r="H71" s="153"/>
      <c r="I71" s="155"/>
    </row>
    <row r="72" spans="2:9" x14ac:dyDescent="0.2">
      <c r="B72" s="153" t="s">
        <v>879</v>
      </c>
      <c r="C72" s="153" t="s">
        <v>443</v>
      </c>
      <c r="D72" s="153" t="s">
        <v>446</v>
      </c>
      <c r="E72" s="153"/>
      <c r="F72" s="153"/>
      <c r="G72" s="153"/>
      <c r="H72" s="153"/>
      <c r="I72" s="155"/>
    </row>
    <row r="73" spans="2:9" x14ac:dyDescent="0.2">
      <c r="B73" s="153" t="s">
        <v>127</v>
      </c>
      <c r="C73" s="153"/>
      <c r="D73" s="153"/>
      <c r="E73" s="153"/>
      <c r="F73" s="153"/>
      <c r="G73" s="153"/>
      <c r="H73" s="153"/>
      <c r="I73" s="155"/>
    </row>
    <row r="74" spans="2:9" x14ac:dyDescent="0.2">
      <c r="B74" s="150" t="s">
        <v>123</v>
      </c>
      <c r="C74" s="151"/>
      <c r="D74" s="151"/>
      <c r="E74" s="151"/>
      <c r="F74" s="151"/>
      <c r="G74" s="151"/>
      <c r="H74" s="151"/>
      <c r="I74" s="156"/>
    </row>
    <row r="75" spans="2:9" x14ac:dyDescent="0.2">
      <c r="B75" s="153" t="s">
        <v>65</v>
      </c>
      <c r="C75" s="153" t="s">
        <v>974</v>
      </c>
      <c r="D75" s="153" t="s">
        <v>975</v>
      </c>
      <c r="E75" s="153" t="s">
        <v>41</v>
      </c>
      <c r="F75" s="153" t="s">
        <v>90</v>
      </c>
      <c r="G75" s="153" t="s">
        <v>1090</v>
      </c>
      <c r="H75" s="153"/>
      <c r="I75" s="155"/>
    </row>
    <row r="76" spans="2:9" x14ac:dyDescent="0.2">
      <c r="B76" s="153" t="s">
        <v>62</v>
      </c>
      <c r="C76" s="153" t="s">
        <v>976</v>
      </c>
      <c r="D76" s="153" t="s">
        <v>977</v>
      </c>
      <c r="E76" s="153" t="s">
        <v>41</v>
      </c>
      <c r="F76" s="153" t="s">
        <v>90</v>
      </c>
      <c r="G76" s="153"/>
      <c r="H76" s="153"/>
      <c r="I76" s="155"/>
    </row>
    <row r="77" spans="2:9" x14ac:dyDescent="0.2">
      <c r="B77" s="153" t="s">
        <v>93</v>
      </c>
      <c r="C77" s="153" t="s">
        <v>978</v>
      </c>
      <c r="D77" s="153" t="s">
        <v>979</v>
      </c>
      <c r="E77" s="153" t="s">
        <v>41</v>
      </c>
      <c r="F77" s="153" t="s">
        <v>90</v>
      </c>
      <c r="G77" s="153"/>
      <c r="H77" s="153"/>
      <c r="I77" s="155"/>
    </row>
    <row r="78" spans="2:9" x14ac:dyDescent="0.2">
      <c r="B78" s="153" t="s">
        <v>92</v>
      </c>
      <c r="C78" s="153" t="s">
        <v>980</v>
      </c>
      <c r="D78" s="153" t="s">
        <v>981</v>
      </c>
      <c r="E78" s="153" t="s">
        <v>41</v>
      </c>
      <c r="F78" s="153" t="s">
        <v>90</v>
      </c>
      <c r="G78" s="153"/>
      <c r="H78" s="153"/>
      <c r="I78" s="155"/>
    </row>
    <row r="79" spans="2:9" x14ac:dyDescent="0.2">
      <c r="B79" s="153" t="s">
        <v>94</v>
      </c>
      <c r="C79" s="153" t="s">
        <v>982</v>
      </c>
      <c r="D79" s="153" t="s">
        <v>983</v>
      </c>
      <c r="E79" s="153" t="s">
        <v>41</v>
      </c>
      <c r="F79" s="153" t="s">
        <v>90</v>
      </c>
      <c r="G79" s="153"/>
      <c r="H79" s="153"/>
      <c r="I79" s="155"/>
    </row>
    <row r="80" spans="2:9" x14ac:dyDescent="0.2">
      <c r="B80" s="153" t="s">
        <v>62</v>
      </c>
      <c r="C80" s="153" t="s">
        <v>984</v>
      </c>
      <c r="D80" s="153" t="s">
        <v>985</v>
      </c>
      <c r="E80" s="153" t="s">
        <v>41</v>
      </c>
      <c r="F80" s="153" t="s">
        <v>90</v>
      </c>
      <c r="G80" s="153"/>
      <c r="H80" s="153"/>
      <c r="I80" s="155"/>
    </row>
    <row r="81" spans="2:9" x14ac:dyDescent="0.2">
      <c r="B81" s="153" t="s">
        <v>93</v>
      </c>
      <c r="C81" s="153" t="s">
        <v>986</v>
      </c>
      <c r="D81" s="153" t="s">
        <v>987</v>
      </c>
      <c r="E81" s="153" t="s">
        <v>41</v>
      </c>
      <c r="F81" s="153" t="s">
        <v>90</v>
      </c>
      <c r="G81" s="153"/>
      <c r="H81" s="153"/>
      <c r="I81" s="155"/>
    </row>
    <row r="82" spans="2:9" x14ac:dyDescent="0.2">
      <c r="B82" s="153" t="s">
        <v>92</v>
      </c>
      <c r="C82" s="153" t="s">
        <v>988</v>
      </c>
      <c r="D82" s="153" t="s">
        <v>989</v>
      </c>
      <c r="E82" s="153" t="s">
        <v>41</v>
      </c>
      <c r="F82" s="153" t="s">
        <v>90</v>
      </c>
      <c r="G82" s="153"/>
      <c r="H82" s="153"/>
      <c r="I82" s="155"/>
    </row>
    <row r="83" spans="2:9" x14ac:dyDescent="0.2">
      <c r="B83" s="153" t="s">
        <v>65</v>
      </c>
      <c r="C83" s="153" t="s">
        <v>379</v>
      </c>
      <c r="D83" s="153" t="s">
        <v>390</v>
      </c>
      <c r="E83" s="153" t="s">
        <v>41</v>
      </c>
      <c r="F83" s="153" t="s">
        <v>90</v>
      </c>
      <c r="G83" s="153"/>
      <c r="H83" s="153"/>
      <c r="I83" s="155"/>
    </row>
    <row r="84" spans="2:9" x14ac:dyDescent="0.2">
      <c r="B84" s="153" t="s">
        <v>93</v>
      </c>
      <c r="C84" s="153" t="s">
        <v>990</v>
      </c>
      <c r="D84" s="153" t="s">
        <v>991</v>
      </c>
      <c r="E84" s="153" t="s">
        <v>41</v>
      </c>
      <c r="F84" s="153" t="s">
        <v>90</v>
      </c>
      <c r="G84" s="153"/>
      <c r="H84" s="153"/>
      <c r="I84" s="155"/>
    </row>
    <row r="85" spans="2:9" x14ac:dyDescent="0.2">
      <c r="B85" s="153" t="s">
        <v>94</v>
      </c>
      <c r="C85" s="153" t="s">
        <v>992</v>
      </c>
      <c r="D85" s="153" t="s">
        <v>993</v>
      </c>
      <c r="E85" s="153" t="s">
        <v>41</v>
      </c>
      <c r="F85" s="153" t="s">
        <v>90</v>
      </c>
      <c r="G85" s="153"/>
      <c r="H85" s="153"/>
      <c r="I85" s="155"/>
    </row>
    <row r="86" spans="2:9" x14ac:dyDescent="0.2">
      <c r="B86" s="153" t="s">
        <v>65</v>
      </c>
      <c r="C86" s="153" t="s">
        <v>994</v>
      </c>
      <c r="D86" s="153" t="s">
        <v>995</v>
      </c>
      <c r="E86" s="153" t="s">
        <v>41</v>
      </c>
      <c r="F86" s="153" t="s">
        <v>90</v>
      </c>
      <c r="G86" s="153"/>
      <c r="H86" s="153"/>
      <c r="I86" s="155"/>
    </row>
    <row r="87" spans="2:9" x14ac:dyDescent="0.2">
      <c r="B87" s="153" t="s">
        <v>62</v>
      </c>
      <c r="C87" s="153" t="s">
        <v>381</v>
      </c>
      <c r="D87" s="153" t="s">
        <v>392</v>
      </c>
      <c r="E87" s="153" t="s">
        <v>41</v>
      </c>
      <c r="F87" s="153" t="s">
        <v>90</v>
      </c>
      <c r="G87" s="153"/>
      <c r="H87" s="153"/>
      <c r="I87" s="155"/>
    </row>
    <row r="88" spans="2:9" x14ac:dyDescent="0.2">
      <c r="B88" s="153" t="s">
        <v>92</v>
      </c>
      <c r="C88" s="153" t="s">
        <v>996</v>
      </c>
      <c r="D88" s="153" t="s">
        <v>997</v>
      </c>
      <c r="E88" s="153" t="s">
        <v>41</v>
      </c>
      <c r="F88" s="153" t="s">
        <v>90</v>
      </c>
      <c r="G88" s="153"/>
      <c r="H88" s="153"/>
      <c r="I88" s="155"/>
    </row>
    <row r="89" spans="2:9" x14ac:dyDescent="0.2">
      <c r="B89" s="153" t="s">
        <v>94</v>
      </c>
      <c r="C89" s="153" t="s">
        <v>998</v>
      </c>
      <c r="D89" s="153" t="s">
        <v>999</v>
      </c>
      <c r="E89" s="153" t="s">
        <v>41</v>
      </c>
      <c r="F89" s="153" t="s">
        <v>90</v>
      </c>
      <c r="G89" s="153"/>
      <c r="H89" s="153"/>
      <c r="I89" s="155"/>
    </row>
    <row r="90" spans="2:9" x14ac:dyDescent="0.2">
      <c r="B90" s="153" t="s">
        <v>65</v>
      </c>
      <c r="C90" s="153" t="s">
        <v>382</v>
      </c>
      <c r="D90" s="153" t="s">
        <v>393</v>
      </c>
      <c r="E90" s="153" t="s">
        <v>41</v>
      </c>
      <c r="F90" s="153" t="s">
        <v>90</v>
      </c>
      <c r="G90" s="153"/>
      <c r="H90" s="153"/>
      <c r="I90" s="155"/>
    </row>
    <row r="91" spans="2:9" x14ac:dyDescent="0.2">
      <c r="B91" s="153" t="s">
        <v>93</v>
      </c>
      <c r="C91" s="153" t="s">
        <v>1000</v>
      </c>
      <c r="D91" s="153" t="s">
        <v>1001</v>
      </c>
      <c r="E91" s="153" t="s">
        <v>41</v>
      </c>
      <c r="F91" s="153" t="s">
        <v>90</v>
      </c>
      <c r="G91" s="153"/>
      <c r="H91" s="153"/>
      <c r="I91" s="155"/>
    </row>
    <row r="92" spans="2:9" x14ac:dyDescent="0.2">
      <c r="B92" s="153" t="s">
        <v>62</v>
      </c>
      <c r="C92" s="153" t="s">
        <v>383</v>
      </c>
      <c r="D92" s="153" t="s">
        <v>394</v>
      </c>
      <c r="E92" s="153" t="s">
        <v>41</v>
      </c>
      <c r="F92" s="153" t="s">
        <v>90</v>
      </c>
      <c r="G92" s="153"/>
      <c r="H92" s="153"/>
      <c r="I92" s="155"/>
    </row>
    <row r="93" spans="2:9" x14ac:dyDescent="0.2">
      <c r="B93" s="153" t="s">
        <v>93</v>
      </c>
      <c r="C93" s="153" t="s">
        <v>1002</v>
      </c>
      <c r="D93" s="153" t="s">
        <v>1003</v>
      </c>
      <c r="E93" s="153" t="s">
        <v>41</v>
      </c>
      <c r="F93" s="153" t="s">
        <v>90</v>
      </c>
      <c r="G93" s="153"/>
      <c r="H93" s="153"/>
      <c r="I93" s="155"/>
    </row>
    <row r="94" spans="2:9" x14ac:dyDescent="0.2">
      <c r="B94" s="153" t="s">
        <v>127</v>
      </c>
      <c r="C94" s="153"/>
      <c r="D94" s="153"/>
      <c r="E94" s="153"/>
      <c r="F94" s="153"/>
      <c r="G94" s="153"/>
      <c r="H94" s="153"/>
      <c r="I94" s="155"/>
    </row>
    <row r="95" spans="2:9" x14ac:dyDescent="0.2">
      <c r="B95" s="142"/>
      <c r="C95" s="142"/>
      <c r="D95" s="142"/>
      <c r="E95" s="142"/>
      <c r="F95" s="142"/>
      <c r="G95" s="142"/>
      <c r="H95" s="142"/>
    </row>
    <row r="96" spans="2:9" x14ac:dyDescent="0.2">
      <c r="B96" s="142"/>
      <c r="C96" s="142"/>
      <c r="D96" s="142"/>
      <c r="E96" s="142"/>
      <c r="F96" s="142"/>
      <c r="G96" s="142"/>
      <c r="H96" s="142"/>
    </row>
    <row r="97" spans="2:9" x14ac:dyDescent="0.2">
      <c r="B97" s="142"/>
      <c r="C97" s="142"/>
      <c r="D97" s="142"/>
      <c r="E97" s="142"/>
      <c r="F97" s="142"/>
      <c r="G97" s="142"/>
      <c r="H97" s="142"/>
    </row>
    <row r="98" spans="2:9" x14ac:dyDescent="0.2">
      <c r="B98" s="142"/>
      <c r="C98" s="142"/>
      <c r="D98" s="142"/>
      <c r="E98" s="142"/>
      <c r="F98" s="142"/>
      <c r="G98" s="142"/>
      <c r="H98" s="142"/>
    </row>
    <row r="99" spans="2:9" x14ac:dyDescent="0.2">
      <c r="B99" s="142"/>
      <c r="C99" s="142"/>
      <c r="D99" s="142"/>
      <c r="E99" s="142"/>
      <c r="F99" s="142"/>
      <c r="G99" s="142"/>
      <c r="H99" s="142"/>
    </row>
    <row r="100" spans="2:9" x14ac:dyDescent="0.2">
      <c r="B100" s="142"/>
      <c r="C100" s="142"/>
      <c r="D100" s="142"/>
      <c r="E100" s="142"/>
      <c r="F100" s="142"/>
      <c r="G100" s="142"/>
      <c r="H100" s="142"/>
    </row>
    <row r="101" spans="2:9" x14ac:dyDescent="0.2">
      <c r="B101" s="142"/>
      <c r="C101" s="142"/>
      <c r="D101" s="142"/>
      <c r="E101" s="142"/>
      <c r="F101" s="142"/>
      <c r="G101" s="142"/>
      <c r="H101" s="142"/>
    </row>
    <row r="102" spans="2:9" x14ac:dyDescent="0.2">
      <c r="B102" s="142"/>
      <c r="C102" s="142"/>
      <c r="D102" s="142"/>
      <c r="E102" s="142"/>
      <c r="F102" s="142"/>
      <c r="G102" s="142"/>
      <c r="H102" s="142"/>
    </row>
    <row r="103" spans="2:9" x14ac:dyDescent="0.2">
      <c r="B103" s="153" t="str">
        <f t="shared" ref="B103:B121" si="0">B75</f>
        <v>R2</v>
      </c>
      <c r="C103" s="153" t="s">
        <v>1004</v>
      </c>
      <c r="D103" s="153" t="s">
        <v>1005</v>
      </c>
      <c r="E103" s="153" t="s">
        <v>41</v>
      </c>
      <c r="F103" s="153" t="s">
        <v>90</v>
      </c>
      <c r="G103" s="153" t="s">
        <v>1090</v>
      </c>
      <c r="H103" s="153"/>
      <c r="I103" s="155"/>
    </row>
    <row r="104" spans="2:9" x14ac:dyDescent="0.2">
      <c r="B104" s="153" t="str">
        <f t="shared" si="0"/>
        <v>R3</v>
      </c>
      <c r="C104" s="153" t="s">
        <v>1006</v>
      </c>
      <c r="D104" s="153" t="s">
        <v>1007</v>
      </c>
      <c r="E104" s="153" t="s">
        <v>41</v>
      </c>
      <c r="F104" s="153" t="s">
        <v>90</v>
      </c>
      <c r="G104" s="153"/>
      <c r="H104" s="153"/>
      <c r="I104" s="155"/>
    </row>
    <row r="105" spans="2:9" x14ac:dyDescent="0.2">
      <c r="B105" s="153" t="str">
        <f t="shared" si="0"/>
        <v>R4</v>
      </c>
      <c r="C105" s="153" t="s">
        <v>1008</v>
      </c>
      <c r="D105" s="153" t="s">
        <v>1009</v>
      </c>
      <c r="E105" s="153" t="s">
        <v>41</v>
      </c>
      <c r="F105" s="153" t="s">
        <v>90</v>
      </c>
      <c r="G105" s="153"/>
      <c r="H105" s="153"/>
      <c r="I105" s="155"/>
    </row>
    <row r="106" spans="2:9" x14ac:dyDescent="0.2">
      <c r="B106" s="153" t="str">
        <f t="shared" si="0"/>
        <v>R5</v>
      </c>
      <c r="C106" s="153" t="s">
        <v>1010</v>
      </c>
      <c r="D106" s="153" t="s">
        <v>1011</v>
      </c>
      <c r="E106" s="153" t="s">
        <v>41</v>
      </c>
      <c r="F106" s="153" t="s">
        <v>90</v>
      </c>
      <c r="G106" s="153"/>
      <c r="H106" s="153"/>
      <c r="I106" s="155"/>
    </row>
    <row r="107" spans="2:9" x14ac:dyDescent="0.2">
      <c r="B107" s="153" t="str">
        <f t="shared" si="0"/>
        <v>R6</v>
      </c>
      <c r="C107" s="153" t="s">
        <v>1012</v>
      </c>
      <c r="D107" s="153" t="s">
        <v>1013</v>
      </c>
      <c r="E107" s="153" t="s">
        <v>41</v>
      </c>
      <c r="F107" s="153" t="s">
        <v>90</v>
      </c>
      <c r="G107" s="153"/>
      <c r="H107" s="153"/>
      <c r="I107" s="155"/>
    </row>
    <row r="108" spans="2:9" x14ac:dyDescent="0.2">
      <c r="B108" s="153" t="str">
        <f t="shared" si="0"/>
        <v>R3</v>
      </c>
      <c r="C108" s="153" t="s">
        <v>1014</v>
      </c>
      <c r="D108" s="153" t="s">
        <v>1015</v>
      </c>
      <c r="E108" s="153" t="s">
        <v>41</v>
      </c>
      <c r="F108" s="153" t="s">
        <v>90</v>
      </c>
      <c r="G108" s="153"/>
      <c r="H108" s="153"/>
      <c r="I108" s="155"/>
    </row>
    <row r="109" spans="2:9" x14ac:dyDescent="0.2">
      <c r="B109" s="153" t="str">
        <f t="shared" si="0"/>
        <v>R4</v>
      </c>
      <c r="C109" s="153" t="s">
        <v>1016</v>
      </c>
      <c r="D109" s="153" t="s">
        <v>1017</v>
      </c>
      <c r="E109" s="153" t="s">
        <v>41</v>
      </c>
      <c r="F109" s="153" t="s">
        <v>90</v>
      </c>
      <c r="G109" s="153"/>
      <c r="H109" s="153"/>
      <c r="I109" s="155"/>
    </row>
    <row r="110" spans="2:9" x14ac:dyDescent="0.2">
      <c r="B110" s="153" t="str">
        <f t="shared" si="0"/>
        <v>R5</v>
      </c>
      <c r="C110" s="153" t="s">
        <v>1018</v>
      </c>
      <c r="D110" s="153" t="s">
        <v>1019</v>
      </c>
      <c r="E110" s="153" t="s">
        <v>41</v>
      </c>
      <c r="F110" s="153" t="s">
        <v>90</v>
      </c>
      <c r="G110" s="153"/>
      <c r="H110" s="153"/>
      <c r="I110" s="155"/>
    </row>
    <row r="111" spans="2:9" x14ac:dyDescent="0.2">
      <c r="B111" s="153" t="str">
        <f t="shared" si="0"/>
        <v>R2</v>
      </c>
      <c r="C111" s="153" t="s">
        <v>707</v>
      </c>
      <c r="D111" s="153" t="s">
        <v>1020</v>
      </c>
      <c r="E111" s="153" t="s">
        <v>41</v>
      </c>
      <c r="F111" s="153" t="s">
        <v>90</v>
      </c>
      <c r="G111" s="153"/>
      <c r="H111" s="153"/>
      <c r="I111" s="155"/>
    </row>
    <row r="112" spans="2:9" x14ac:dyDescent="0.2">
      <c r="B112" s="153" t="str">
        <f t="shared" si="0"/>
        <v>R4</v>
      </c>
      <c r="C112" s="153" t="s">
        <v>1021</v>
      </c>
      <c r="D112" s="153" t="s">
        <v>1022</v>
      </c>
      <c r="E112" s="153" t="s">
        <v>41</v>
      </c>
      <c r="F112" s="153" t="s">
        <v>90</v>
      </c>
      <c r="G112" s="153"/>
      <c r="H112" s="153"/>
      <c r="I112" s="155"/>
    </row>
    <row r="113" spans="2:9" x14ac:dyDescent="0.2">
      <c r="B113" s="153" t="str">
        <f t="shared" si="0"/>
        <v>R6</v>
      </c>
      <c r="C113" s="153" t="s">
        <v>1023</v>
      </c>
      <c r="D113" s="153" t="s">
        <v>1024</v>
      </c>
      <c r="E113" s="153" t="s">
        <v>41</v>
      </c>
      <c r="F113" s="153" t="s">
        <v>90</v>
      </c>
      <c r="G113" s="153"/>
      <c r="H113" s="153"/>
      <c r="I113" s="155"/>
    </row>
    <row r="114" spans="2:9" x14ac:dyDescent="0.2">
      <c r="B114" s="153" t="str">
        <f t="shared" si="0"/>
        <v>R2</v>
      </c>
      <c r="C114" s="153" t="s">
        <v>1025</v>
      </c>
      <c r="D114" s="153" t="s">
        <v>1026</v>
      </c>
      <c r="E114" s="153" t="s">
        <v>41</v>
      </c>
      <c r="F114" s="153" t="s">
        <v>90</v>
      </c>
      <c r="G114" s="153"/>
      <c r="H114" s="153"/>
      <c r="I114" s="155"/>
    </row>
    <row r="115" spans="2:9" x14ac:dyDescent="0.2">
      <c r="B115" s="153" t="str">
        <f t="shared" si="0"/>
        <v>R3</v>
      </c>
      <c r="C115" s="153" t="s">
        <v>709</v>
      </c>
      <c r="D115" s="153" t="s">
        <v>721</v>
      </c>
      <c r="E115" s="153" t="s">
        <v>41</v>
      </c>
      <c r="F115" s="153" t="s">
        <v>90</v>
      </c>
      <c r="G115" s="153"/>
      <c r="H115" s="153"/>
      <c r="I115" s="155"/>
    </row>
    <row r="116" spans="2:9" x14ac:dyDescent="0.2">
      <c r="B116" s="153" t="str">
        <f t="shared" si="0"/>
        <v>R5</v>
      </c>
      <c r="C116" s="153" t="s">
        <v>1027</v>
      </c>
      <c r="D116" s="153" t="s">
        <v>1028</v>
      </c>
      <c r="E116" s="153" t="s">
        <v>41</v>
      </c>
      <c r="F116" s="153" t="s">
        <v>90</v>
      </c>
      <c r="G116" s="153"/>
      <c r="H116" s="153"/>
      <c r="I116" s="155"/>
    </row>
    <row r="117" spans="2:9" x14ac:dyDescent="0.2">
      <c r="B117" s="153" t="str">
        <f t="shared" si="0"/>
        <v>R6</v>
      </c>
      <c r="C117" s="153" t="s">
        <v>1029</v>
      </c>
      <c r="D117" s="153" t="s">
        <v>1030</v>
      </c>
      <c r="E117" s="153" t="s">
        <v>41</v>
      </c>
      <c r="F117" s="153" t="s">
        <v>90</v>
      </c>
      <c r="G117" s="153"/>
      <c r="H117" s="153"/>
      <c r="I117" s="155"/>
    </row>
    <row r="118" spans="2:9" x14ac:dyDescent="0.2">
      <c r="B118" s="153" t="str">
        <f t="shared" si="0"/>
        <v>R2</v>
      </c>
      <c r="C118" s="153" t="s">
        <v>710</v>
      </c>
      <c r="D118" s="153" t="s">
        <v>722</v>
      </c>
      <c r="E118" s="153" t="s">
        <v>41</v>
      </c>
      <c r="F118" s="153" t="s">
        <v>90</v>
      </c>
      <c r="G118" s="153"/>
      <c r="H118" s="153"/>
      <c r="I118" s="155"/>
    </row>
    <row r="119" spans="2:9" x14ac:dyDescent="0.2">
      <c r="B119" s="153" t="str">
        <f t="shared" si="0"/>
        <v>R4</v>
      </c>
      <c r="C119" s="153" t="s">
        <v>1031</v>
      </c>
      <c r="D119" s="153" t="s">
        <v>1032</v>
      </c>
      <c r="E119" s="153" t="s">
        <v>41</v>
      </c>
      <c r="F119" s="153" t="s">
        <v>90</v>
      </c>
      <c r="G119" s="153"/>
      <c r="H119" s="153"/>
      <c r="I119" s="155"/>
    </row>
    <row r="120" spans="2:9" x14ac:dyDescent="0.2">
      <c r="B120" s="153" t="str">
        <f t="shared" si="0"/>
        <v>R3</v>
      </c>
      <c r="C120" s="153" t="s">
        <v>711</v>
      </c>
      <c r="D120" s="153" t="s">
        <v>723</v>
      </c>
      <c r="E120" s="153" t="s">
        <v>41</v>
      </c>
      <c r="F120" s="153" t="s">
        <v>90</v>
      </c>
      <c r="G120" s="153"/>
      <c r="H120" s="153"/>
      <c r="I120" s="155"/>
    </row>
    <row r="121" spans="2:9" x14ac:dyDescent="0.2">
      <c r="B121" s="153" t="str">
        <f t="shared" si="0"/>
        <v>R4</v>
      </c>
      <c r="C121" s="153" t="s">
        <v>1033</v>
      </c>
      <c r="D121" s="153" t="s">
        <v>1034</v>
      </c>
      <c r="E121" s="153" t="s">
        <v>41</v>
      </c>
      <c r="F121" s="153" t="s">
        <v>90</v>
      </c>
      <c r="G121" s="153"/>
      <c r="H121" s="153"/>
      <c r="I121" s="155"/>
    </row>
    <row r="122" spans="2:9" x14ac:dyDescent="0.2">
      <c r="B122" s="153" t="s">
        <v>127</v>
      </c>
      <c r="C122" s="153"/>
      <c r="D122" s="153"/>
      <c r="E122" s="153"/>
      <c r="F122" s="153"/>
      <c r="G122" s="153"/>
      <c r="H122" s="153"/>
      <c r="I122" s="155"/>
    </row>
    <row r="123" spans="2:9" x14ac:dyDescent="0.2">
      <c r="B123" s="153" t="s">
        <v>57</v>
      </c>
      <c r="C123" s="153" t="s">
        <v>339</v>
      </c>
      <c r="D123" s="153" t="s">
        <v>340</v>
      </c>
      <c r="E123" s="153" t="s">
        <v>41</v>
      </c>
      <c r="F123" s="153" t="s">
        <v>90</v>
      </c>
      <c r="G123" s="153"/>
      <c r="H123" s="153"/>
      <c r="I123" s="155"/>
    </row>
    <row r="124" spans="2:9" x14ac:dyDescent="0.2">
      <c r="B124" s="153" t="s">
        <v>860</v>
      </c>
      <c r="C124" s="153" t="s">
        <v>341</v>
      </c>
      <c r="D124" s="153" t="s">
        <v>342</v>
      </c>
      <c r="E124" s="153" t="s">
        <v>41</v>
      </c>
      <c r="F124" s="153" t="s">
        <v>90</v>
      </c>
      <c r="G124" s="153"/>
      <c r="H124" s="153"/>
      <c r="I124" s="155"/>
    </row>
    <row r="125" spans="2:9" x14ac:dyDescent="0.2">
      <c r="B125" s="153" t="s">
        <v>863</v>
      </c>
      <c r="C125" s="153" t="s">
        <v>891</v>
      </c>
      <c r="D125" s="153" t="s">
        <v>895</v>
      </c>
      <c r="E125" s="153" t="s">
        <v>41</v>
      </c>
      <c r="F125" s="153" t="s">
        <v>90</v>
      </c>
      <c r="G125" s="153"/>
      <c r="H125" s="153"/>
      <c r="I125" s="155"/>
    </row>
    <row r="126" spans="2:9" x14ac:dyDescent="0.2">
      <c r="B126" s="153" t="s">
        <v>859</v>
      </c>
      <c r="C126" s="153" t="s">
        <v>343</v>
      </c>
      <c r="D126" s="153" t="s">
        <v>344</v>
      </c>
      <c r="E126" s="153" t="s">
        <v>41</v>
      </c>
      <c r="F126" s="153" t="s">
        <v>90</v>
      </c>
      <c r="G126" s="153"/>
      <c r="H126" s="153"/>
      <c r="I126" s="155"/>
    </row>
    <row r="127" spans="2:9" x14ac:dyDescent="0.2">
      <c r="B127" s="153" t="s">
        <v>864</v>
      </c>
      <c r="C127" s="153" t="s">
        <v>893</v>
      </c>
      <c r="D127" s="153" t="s">
        <v>896</v>
      </c>
      <c r="E127" s="153" t="s">
        <v>41</v>
      </c>
      <c r="F127" s="153" t="s">
        <v>90</v>
      </c>
      <c r="G127" s="153"/>
      <c r="H127" s="153"/>
      <c r="I127" s="155"/>
    </row>
    <row r="128" spans="2:9" x14ac:dyDescent="0.2">
      <c r="B128" s="153" t="s">
        <v>973</v>
      </c>
      <c r="C128" s="153" t="s">
        <v>892</v>
      </c>
      <c r="D128" s="153" t="s">
        <v>894</v>
      </c>
      <c r="E128" s="153" t="s">
        <v>41</v>
      </c>
      <c r="F128" s="153" t="s">
        <v>90</v>
      </c>
      <c r="G128" s="153"/>
      <c r="H128" s="153"/>
      <c r="I128" s="155"/>
    </row>
    <row r="129" spans="2:9" x14ac:dyDescent="0.2">
      <c r="B129" s="153" t="s">
        <v>57</v>
      </c>
      <c r="C129" s="153" t="s">
        <v>348</v>
      </c>
      <c r="D129" s="153" t="s">
        <v>349</v>
      </c>
      <c r="E129" s="153" t="s">
        <v>41</v>
      </c>
      <c r="F129" s="153" t="s">
        <v>90</v>
      </c>
      <c r="G129" s="153"/>
      <c r="H129" s="153"/>
      <c r="I129" s="155"/>
    </row>
    <row r="130" spans="2:9" x14ac:dyDescent="0.2">
      <c r="B130" s="153" t="s">
        <v>93</v>
      </c>
      <c r="C130" s="153" t="s">
        <v>900</v>
      </c>
      <c r="D130" s="153" t="s">
        <v>1148</v>
      </c>
      <c r="E130" s="153" t="s">
        <v>41</v>
      </c>
      <c r="F130" s="153" t="s">
        <v>90</v>
      </c>
      <c r="G130" s="153"/>
      <c r="H130" s="153"/>
      <c r="I130" s="155"/>
    </row>
    <row r="131" spans="2:9" x14ac:dyDescent="0.2">
      <c r="B131" s="153" t="s">
        <v>92</v>
      </c>
      <c r="C131" s="153" t="s">
        <v>350</v>
      </c>
      <c r="D131" s="153" t="s">
        <v>901</v>
      </c>
      <c r="E131" s="153" t="s">
        <v>41</v>
      </c>
      <c r="F131" s="153" t="s">
        <v>90</v>
      </c>
      <c r="G131" s="153"/>
      <c r="H131" s="153"/>
      <c r="I131" s="155"/>
    </row>
    <row r="143" spans="2:9" x14ac:dyDescent="0.2">
      <c r="B143" s="150" t="s">
        <v>911</v>
      </c>
      <c r="C143" s="151"/>
      <c r="D143" s="151"/>
      <c r="E143" s="151"/>
      <c r="F143" s="151"/>
      <c r="G143" s="151"/>
      <c r="H143" s="151"/>
      <c r="I143" s="156"/>
    </row>
    <row r="144" spans="2:9" x14ac:dyDescent="0.2">
      <c r="B144" s="153" t="s">
        <v>57</v>
      </c>
      <c r="C144" s="153" t="s">
        <v>912</v>
      </c>
      <c r="D144" s="153" t="s">
        <v>913</v>
      </c>
      <c r="E144" s="153" t="s">
        <v>41</v>
      </c>
      <c r="F144" s="153" t="s">
        <v>90</v>
      </c>
      <c r="G144" s="153" t="s">
        <v>1092</v>
      </c>
      <c r="H144" s="153"/>
      <c r="I144" s="155"/>
    </row>
    <row r="145" spans="2:9" x14ac:dyDescent="0.2">
      <c r="B145" s="153" t="s">
        <v>57</v>
      </c>
      <c r="C145" s="153" t="s">
        <v>914</v>
      </c>
      <c r="D145" s="153" t="s">
        <v>915</v>
      </c>
      <c r="E145" s="153" t="s">
        <v>41</v>
      </c>
      <c r="F145" s="153" t="s">
        <v>90</v>
      </c>
      <c r="G145" s="153"/>
      <c r="H145" s="153"/>
      <c r="I145" s="155"/>
    </row>
    <row r="146" spans="2:9" x14ac:dyDescent="0.2">
      <c r="B146" s="153" t="s">
        <v>57</v>
      </c>
      <c r="C146" s="153" t="s">
        <v>916</v>
      </c>
      <c r="D146" s="153" t="s">
        <v>917</v>
      </c>
      <c r="E146" s="153" t="s">
        <v>41</v>
      </c>
      <c r="F146" s="153" t="s">
        <v>90</v>
      </c>
      <c r="G146" s="153"/>
      <c r="H146" s="153"/>
      <c r="I146" s="155"/>
    </row>
    <row r="147" spans="2:9" x14ac:dyDescent="0.2">
      <c r="B147" s="153" t="s">
        <v>57</v>
      </c>
      <c r="C147" s="153" t="s">
        <v>918</v>
      </c>
      <c r="D147" s="153" t="s">
        <v>919</v>
      </c>
      <c r="E147" s="153" t="s">
        <v>41</v>
      </c>
      <c r="F147" s="153" t="s">
        <v>90</v>
      </c>
      <c r="G147" s="153"/>
      <c r="H147" s="153"/>
      <c r="I147" s="155"/>
    </row>
    <row r="148" spans="2:9" x14ac:dyDescent="0.2">
      <c r="B148" s="153" t="s">
        <v>57</v>
      </c>
      <c r="C148" s="153" t="s">
        <v>920</v>
      </c>
      <c r="D148" s="153" t="s">
        <v>921</v>
      </c>
      <c r="E148" s="153" t="s">
        <v>41</v>
      </c>
      <c r="F148" s="153" t="s">
        <v>90</v>
      </c>
      <c r="G148" s="153"/>
      <c r="H148" s="153"/>
      <c r="I148" s="155"/>
    </row>
    <row r="149" spans="2:9" x14ac:dyDescent="0.2">
      <c r="B149" s="153" t="s">
        <v>65</v>
      </c>
      <c r="C149" s="153" t="s">
        <v>922</v>
      </c>
      <c r="D149" s="153" t="s">
        <v>923</v>
      </c>
      <c r="E149" s="153" t="s">
        <v>41</v>
      </c>
      <c r="F149" s="153" t="s">
        <v>90</v>
      </c>
      <c r="G149" s="153"/>
      <c r="H149" s="153"/>
      <c r="I149" s="155"/>
    </row>
    <row r="150" spans="2:9" x14ac:dyDescent="0.2">
      <c r="B150" s="153" t="s">
        <v>65</v>
      </c>
      <c r="C150" s="153" t="s">
        <v>924</v>
      </c>
      <c r="D150" s="153" t="s">
        <v>925</v>
      </c>
      <c r="E150" s="153" t="s">
        <v>41</v>
      </c>
      <c r="F150" s="153" t="s">
        <v>90</v>
      </c>
      <c r="G150" s="153"/>
      <c r="H150" s="153"/>
      <c r="I150" s="155"/>
    </row>
    <row r="151" spans="2:9" x14ac:dyDescent="0.2">
      <c r="B151" s="153" t="s">
        <v>65</v>
      </c>
      <c r="C151" s="153" t="s">
        <v>926</v>
      </c>
      <c r="D151" s="153" t="s">
        <v>927</v>
      </c>
      <c r="E151" s="153" t="s">
        <v>41</v>
      </c>
      <c r="F151" s="153" t="s">
        <v>90</v>
      </c>
      <c r="G151" s="153"/>
      <c r="H151" s="153"/>
      <c r="I151" s="155"/>
    </row>
    <row r="152" spans="2:9" x14ac:dyDescent="0.2">
      <c r="B152" s="153" t="s">
        <v>62</v>
      </c>
      <c r="C152" s="153" t="s">
        <v>402</v>
      </c>
      <c r="D152" s="153" t="s">
        <v>302</v>
      </c>
      <c r="E152" s="153" t="s">
        <v>41</v>
      </c>
      <c r="F152" s="153" t="s">
        <v>90</v>
      </c>
      <c r="G152" s="153"/>
      <c r="H152" s="153"/>
      <c r="I152" s="155"/>
    </row>
    <row r="153" spans="2:9" x14ac:dyDescent="0.2">
      <c r="B153" s="153" t="s">
        <v>62</v>
      </c>
      <c r="C153" s="153" t="s">
        <v>928</v>
      </c>
      <c r="D153" s="153" t="s">
        <v>929</v>
      </c>
      <c r="E153" s="153" t="s">
        <v>41</v>
      </c>
      <c r="F153" s="153" t="s">
        <v>90</v>
      </c>
      <c r="G153" s="153"/>
      <c r="H153" s="153"/>
      <c r="I153" s="155"/>
    </row>
    <row r="154" spans="2:9" x14ac:dyDescent="0.2">
      <c r="B154" s="153" t="s">
        <v>62</v>
      </c>
      <c r="C154" s="153" t="s">
        <v>930</v>
      </c>
      <c r="D154" s="153" t="s">
        <v>931</v>
      </c>
      <c r="E154" s="153" t="s">
        <v>41</v>
      </c>
      <c r="F154" s="153" t="s">
        <v>90</v>
      </c>
      <c r="G154" s="153"/>
      <c r="H154" s="153"/>
      <c r="I154" s="155"/>
    </row>
    <row r="155" spans="2:9" x14ac:dyDescent="0.2">
      <c r="B155" s="153" t="s">
        <v>93</v>
      </c>
      <c r="C155" s="153" t="s">
        <v>932</v>
      </c>
      <c r="D155" s="153" t="s">
        <v>933</v>
      </c>
      <c r="E155" s="153" t="s">
        <v>41</v>
      </c>
      <c r="F155" s="153" t="s">
        <v>90</v>
      </c>
      <c r="G155" s="153"/>
      <c r="H155" s="153"/>
      <c r="I155" s="155"/>
    </row>
    <row r="156" spans="2:9" x14ac:dyDescent="0.2">
      <c r="B156" s="153" t="s">
        <v>93</v>
      </c>
      <c r="C156" s="153" t="s">
        <v>404</v>
      </c>
      <c r="D156" s="153" t="s">
        <v>304</v>
      </c>
      <c r="E156" s="153" t="s">
        <v>41</v>
      </c>
      <c r="F156" s="153" t="s">
        <v>90</v>
      </c>
      <c r="G156" s="153"/>
      <c r="H156" s="153"/>
      <c r="I156" s="155"/>
    </row>
    <row r="157" spans="2:9" x14ac:dyDescent="0.2">
      <c r="B157" s="153" t="s">
        <v>93</v>
      </c>
      <c r="C157" s="153" t="s">
        <v>934</v>
      </c>
      <c r="D157" s="153" t="s">
        <v>935</v>
      </c>
      <c r="E157" s="153" t="s">
        <v>41</v>
      </c>
      <c r="F157" s="153" t="s">
        <v>90</v>
      </c>
      <c r="G157" s="153"/>
      <c r="H157" s="153"/>
      <c r="I157" s="155"/>
    </row>
    <row r="158" spans="2:9" x14ac:dyDescent="0.2">
      <c r="B158" s="153" t="s">
        <v>93</v>
      </c>
      <c r="C158" s="153" t="s">
        <v>936</v>
      </c>
      <c r="D158" s="153" t="s">
        <v>937</v>
      </c>
      <c r="E158" s="153" t="s">
        <v>41</v>
      </c>
      <c r="F158" s="153" t="s">
        <v>90</v>
      </c>
      <c r="G158" s="153"/>
      <c r="H158" s="153"/>
      <c r="I158" s="155"/>
    </row>
    <row r="159" spans="2:9" x14ac:dyDescent="0.2">
      <c r="B159" s="153" t="s">
        <v>92</v>
      </c>
      <c r="C159" s="153" t="s">
        <v>405</v>
      </c>
      <c r="D159" s="153" t="s">
        <v>305</v>
      </c>
      <c r="E159" s="153" t="s">
        <v>41</v>
      </c>
      <c r="F159" s="153" t="s">
        <v>90</v>
      </c>
      <c r="G159" s="153"/>
      <c r="H159" s="153"/>
      <c r="I159" s="155"/>
    </row>
    <row r="160" spans="2:9" x14ac:dyDescent="0.2">
      <c r="B160" s="153" t="s">
        <v>92</v>
      </c>
      <c r="C160" s="153" t="s">
        <v>938</v>
      </c>
      <c r="D160" s="153" t="s">
        <v>939</v>
      </c>
      <c r="E160" s="153" t="s">
        <v>41</v>
      </c>
      <c r="F160" s="153" t="s">
        <v>90</v>
      </c>
      <c r="G160" s="153"/>
      <c r="H160" s="153"/>
      <c r="I160" s="155"/>
    </row>
    <row r="161" spans="2:9" x14ac:dyDescent="0.2">
      <c r="B161" s="153" t="s">
        <v>94</v>
      </c>
      <c r="C161" s="153" t="s">
        <v>406</v>
      </c>
      <c r="D161" s="153" t="s">
        <v>306</v>
      </c>
      <c r="E161" s="153" t="s">
        <v>41</v>
      </c>
      <c r="F161" s="153" t="s">
        <v>90</v>
      </c>
      <c r="G161" s="153"/>
      <c r="H161" s="153"/>
      <c r="I161" s="155"/>
    </row>
    <row r="162" spans="2:9" x14ac:dyDescent="0.2">
      <c r="B162" s="153" t="s">
        <v>94</v>
      </c>
      <c r="C162" s="153" t="s">
        <v>940</v>
      </c>
      <c r="D162" s="153" t="s">
        <v>941</v>
      </c>
      <c r="E162" s="153" t="s">
        <v>41</v>
      </c>
      <c r="F162" s="153" t="s">
        <v>90</v>
      </c>
      <c r="G162" s="153"/>
      <c r="H162" s="153"/>
      <c r="I162" s="155"/>
    </row>
    <row r="163" spans="2:9" x14ac:dyDescent="0.2">
      <c r="B163" s="153" t="s">
        <v>65</v>
      </c>
      <c r="C163" s="153" t="s">
        <v>942</v>
      </c>
      <c r="D163" s="153" t="s">
        <v>943</v>
      </c>
      <c r="E163" s="153" t="s">
        <v>41</v>
      </c>
      <c r="F163" s="153" t="s">
        <v>90</v>
      </c>
      <c r="G163" s="153" t="s">
        <v>1091</v>
      </c>
      <c r="H163" s="153"/>
      <c r="I163" s="155"/>
    </row>
    <row r="164" spans="2:9" x14ac:dyDescent="0.2">
      <c r="B164" s="153" t="s">
        <v>62</v>
      </c>
      <c r="C164" s="153" t="s">
        <v>944</v>
      </c>
      <c r="D164" s="153" t="s">
        <v>945</v>
      </c>
      <c r="E164" s="153" t="s">
        <v>41</v>
      </c>
      <c r="F164" s="153" t="s">
        <v>90</v>
      </c>
      <c r="G164" s="153"/>
      <c r="H164" s="153"/>
      <c r="I164" s="155"/>
    </row>
    <row r="165" spans="2:9" x14ac:dyDescent="0.2">
      <c r="B165" s="153" t="s">
        <v>93</v>
      </c>
      <c r="C165" s="153" t="s">
        <v>946</v>
      </c>
      <c r="D165" s="153" t="s">
        <v>947</v>
      </c>
      <c r="E165" s="153" t="s">
        <v>41</v>
      </c>
      <c r="F165" s="153" t="s">
        <v>90</v>
      </c>
      <c r="G165" s="153"/>
      <c r="H165" s="153"/>
      <c r="I165" s="155"/>
    </row>
    <row r="166" spans="2:9" x14ac:dyDescent="0.2">
      <c r="B166" s="153" t="s">
        <v>92</v>
      </c>
      <c r="C166" s="153" t="s">
        <v>948</v>
      </c>
      <c r="D166" s="153" t="s">
        <v>949</v>
      </c>
      <c r="E166" s="153" t="s">
        <v>41</v>
      </c>
      <c r="F166" s="153" t="s">
        <v>90</v>
      </c>
      <c r="G166" s="153"/>
      <c r="H166" s="153"/>
      <c r="I166" s="155"/>
    </row>
    <row r="167" spans="2:9" x14ac:dyDescent="0.2">
      <c r="B167" s="153" t="s">
        <v>94</v>
      </c>
      <c r="C167" s="153" t="s">
        <v>950</v>
      </c>
      <c r="D167" s="153" t="s">
        <v>951</v>
      </c>
      <c r="E167" s="153" t="s">
        <v>41</v>
      </c>
      <c r="F167" s="153" t="s">
        <v>90</v>
      </c>
      <c r="G167" s="153"/>
      <c r="H167" s="153"/>
      <c r="I167" s="155"/>
    </row>
    <row r="168" spans="2:9" x14ac:dyDescent="0.2">
      <c r="B168" s="153" t="s">
        <v>62</v>
      </c>
      <c r="C168" s="153" t="s">
        <v>952</v>
      </c>
      <c r="D168" s="153" t="s">
        <v>953</v>
      </c>
      <c r="E168" s="153" t="s">
        <v>41</v>
      </c>
      <c r="F168" s="153" t="s">
        <v>90</v>
      </c>
      <c r="G168" s="153"/>
      <c r="H168" s="153"/>
      <c r="I168" s="155"/>
    </row>
    <row r="169" spans="2:9" x14ac:dyDescent="0.2">
      <c r="B169" s="153" t="s">
        <v>93</v>
      </c>
      <c r="C169" s="153" t="s">
        <v>954</v>
      </c>
      <c r="D169" s="153" t="s">
        <v>955</v>
      </c>
      <c r="E169" s="153" t="s">
        <v>41</v>
      </c>
      <c r="F169" s="153" t="s">
        <v>90</v>
      </c>
      <c r="G169" s="153"/>
      <c r="H169" s="153"/>
      <c r="I169" s="155"/>
    </row>
    <row r="170" spans="2:9" x14ac:dyDescent="0.2">
      <c r="B170" s="153" t="s">
        <v>92</v>
      </c>
      <c r="C170" s="153" t="s">
        <v>956</v>
      </c>
      <c r="D170" s="153" t="s">
        <v>957</v>
      </c>
      <c r="E170" s="153" t="s">
        <v>41</v>
      </c>
      <c r="F170" s="153" t="s">
        <v>90</v>
      </c>
      <c r="G170" s="153"/>
      <c r="H170" s="153"/>
      <c r="I170" s="155"/>
    </row>
    <row r="171" spans="2:9" x14ac:dyDescent="0.2">
      <c r="B171" s="153" t="s">
        <v>65</v>
      </c>
      <c r="C171" s="153" t="s">
        <v>414</v>
      </c>
      <c r="D171" s="153" t="s">
        <v>314</v>
      </c>
      <c r="E171" s="153" t="s">
        <v>41</v>
      </c>
      <c r="F171" s="153" t="s">
        <v>90</v>
      </c>
      <c r="G171" s="153"/>
      <c r="H171" s="153"/>
      <c r="I171" s="155"/>
    </row>
    <row r="172" spans="2:9" x14ac:dyDescent="0.2">
      <c r="B172" s="153" t="s">
        <v>93</v>
      </c>
      <c r="C172" s="153" t="s">
        <v>958</v>
      </c>
      <c r="D172" s="153" t="s">
        <v>959</v>
      </c>
      <c r="E172" s="153" t="s">
        <v>41</v>
      </c>
      <c r="F172" s="153" t="s">
        <v>90</v>
      </c>
      <c r="G172" s="153"/>
      <c r="H172" s="153"/>
      <c r="I172" s="155"/>
    </row>
    <row r="173" spans="2:9" x14ac:dyDescent="0.2">
      <c r="B173" s="153" t="s">
        <v>94</v>
      </c>
      <c r="C173" s="153" t="s">
        <v>960</v>
      </c>
      <c r="D173" s="153" t="s">
        <v>961</v>
      </c>
      <c r="E173" s="153" t="s">
        <v>41</v>
      </c>
      <c r="F173" s="153" t="s">
        <v>90</v>
      </c>
      <c r="G173" s="153"/>
      <c r="H173" s="153"/>
      <c r="I173" s="155"/>
    </row>
    <row r="174" spans="2:9" x14ac:dyDescent="0.2">
      <c r="B174" s="153" t="s">
        <v>65</v>
      </c>
      <c r="C174" s="153" t="s">
        <v>962</v>
      </c>
      <c r="D174" s="153" t="s">
        <v>963</v>
      </c>
      <c r="E174" s="153" t="s">
        <v>41</v>
      </c>
      <c r="F174" s="153" t="s">
        <v>90</v>
      </c>
      <c r="G174" s="153"/>
      <c r="H174" s="153"/>
      <c r="I174" s="155"/>
    </row>
    <row r="175" spans="2:9" x14ac:dyDescent="0.2">
      <c r="B175" s="153" t="s">
        <v>62</v>
      </c>
      <c r="C175" s="153" t="s">
        <v>416</v>
      </c>
      <c r="D175" s="153" t="s">
        <v>316</v>
      </c>
      <c r="E175" s="153" t="s">
        <v>41</v>
      </c>
      <c r="F175" s="153" t="s">
        <v>90</v>
      </c>
      <c r="G175" s="153"/>
      <c r="H175" s="153"/>
      <c r="I175" s="155"/>
    </row>
    <row r="176" spans="2:9" x14ac:dyDescent="0.2">
      <c r="B176" s="153" t="s">
        <v>92</v>
      </c>
      <c r="C176" s="153" t="s">
        <v>964</v>
      </c>
      <c r="D176" s="153" t="s">
        <v>965</v>
      </c>
      <c r="E176" s="153" t="s">
        <v>41</v>
      </c>
      <c r="F176" s="153" t="s">
        <v>90</v>
      </c>
      <c r="G176" s="153"/>
      <c r="H176" s="153"/>
      <c r="I176" s="155"/>
    </row>
    <row r="177" spans="2:9" x14ac:dyDescent="0.2">
      <c r="B177" s="153" t="s">
        <v>94</v>
      </c>
      <c r="C177" s="153" t="s">
        <v>966</v>
      </c>
      <c r="D177" s="153" t="s">
        <v>967</v>
      </c>
      <c r="E177" s="153" t="s">
        <v>41</v>
      </c>
      <c r="F177" s="153" t="s">
        <v>90</v>
      </c>
      <c r="G177" s="153"/>
      <c r="H177" s="153"/>
      <c r="I177" s="155"/>
    </row>
    <row r="178" spans="2:9" x14ac:dyDescent="0.2">
      <c r="B178" s="153" t="s">
        <v>65</v>
      </c>
      <c r="C178" s="153" t="s">
        <v>417</v>
      </c>
      <c r="D178" s="153" t="s">
        <v>317</v>
      </c>
      <c r="E178" s="153" t="s">
        <v>41</v>
      </c>
      <c r="F178" s="153" t="s">
        <v>90</v>
      </c>
      <c r="G178" s="153"/>
      <c r="H178" s="153"/>
      <c r="I178" s="155"/>
    </row>
    <row r="179" spans="2:9" x14ac:dyDescent="0.2">
      <c r="B179" s="153" t="s">
        <v>93</v>
      </c>
      <c r="C179" s="153" t="s">
        <v>968</v>
      </c>
      <c r="D179" s="153" t="s">
        <v>969</v>
      </c>
      <c r="E179" s="153" t="s">
        <v>41</v>
      </c>
      <c r="F179" s="153" t="s">
        <v>90</v>
      </c>
      <c r="G179" s="153"/>
      <c r="H179" s="153"/>
      <c r="I179" s="155"/>
    </row>
    <row r="180" spans="2:9" x14ac:dyDescent="0.2">
      <c r="B180" s="153" t="s">
        <v>62</v>
      </c>
      <c r="C180" s="153" t="s">
        <v>418</v>
      </c>
      <c r="D180" s="153" t="s">
        <v>318</v>
      </c>
      <c r="E180" s="153" t="s">
        <v>41</v>
      </c>
      <c r="F180" s="153" t="s">
        <v>90</v>
      </c>
      <c r="G180" s="153"/>
      <c r="H180" s="153"/>
      <c r="I180" s="155"/>
    </row>
    <row r="181" spans="2:9" x14ac:dyDescent="0.2">
      <c r="B181" s="153" t="s">
        <v>93</v>
      </c>
      <c r="C181" s="153" t="s">
        <v>970</v>
      </c>
      <c r="D181" s="153" t="s">
        <v>971</v>
      </c>
      <c r="E181" s="153" t="s">
        <v>41</v>
      </c>
      <c r="F181" s="153" t="s">
        <v>90</v>
      </c>
      <c r="G181" s="153"/>
      <c r="H181" s="153"/>
      <c r="I181" s="155"/>
    </row>
    <row r="182" spans="2:9" x14ac:dyDescent="0.2">
      <c r="B182" s="150" t="s">
        <v>1054</v>
      </c>
      <c r="C182" s="151"/>
      <c r="D182" s="151"/>
      <c r="E182" s="151"/>
      <c r="F182" s="151"/>
      <c r="G182" s="151"/>
      <c r="H182" s="151"/>
      <c r="I182" s="156"/>
    </row>
    <row r="183" spans="2:9" x14ac:dyDescent="0.2">
      <c r="B183" s="153" t="s">
        <v>972</v>
      </c>
      <c r="C183" s="153" t="s">
        <v>377</v>
      </c>
      <c r="D183" s="153" t="s">
        <v>378</v>
      </c>
      <c r="E183" s="153" t="s">
        <v>41</v>
      </c>
      <c r="F183" s="153" t="s">
        <v>90</v>
      </c>
      <c r="G183" s="153" t="s">
        <v>1090</v>
      </c>
      <c r="H183" s="153"/>
      <c r="I183" s="155"/>
    </row>
    <row r="184" spans="2:9" x14ac:dyDescent="0.2">
      <c r="B184" s="153" t="s">
        <v>860</v>
      </c>
      <c r="C184" s="153" t="s">
        <v>379</v>
      </c>
      <c r="D184" s="153" t="s">
        <v>390</v>
      </c>
      <c r="E184" s="153" t="s">
        <v>41</v>
      </c>
      <c r="F184" s="153" t="s">
        <v>90</v>
      </c>
      <c r="G184" s="153"/>
      <c r="H184" s="153"/>
      <c r="I184" s="155"/>
    </row>
    <row r="185" spans="2:9" x14ac:dyDescent="0.2">
      <c r="B185" s="153" t="s">
        <v>864</v>
      </c>
      <c r="C185" s="153" t="s">
        <v>380</v>
      </c>
      <c r="D185" s="153" t="s">
        <v>391</v>
      </c>
      <c r="E185" s="153" t="s">
        <v>41</v>
      </c>
      <c r="F185" s="153" t="s">
        <v>90</v>
      </c>
      <c r="G185" s="153"/>
      <c r="H185" s="153"/>
      <c r="I185" s="155"/>
    </row>
    <row r="186" spans="2:9" x14ac:dyDescent="0.2">
      <c r="B186" s="153" t="s">
        <v>863</v>
      </c>
      <c r="C186" s="153" t="s">
        <v>381</v>
      </c>
      <c r="D186" s="153" t="s">
        <v>392</v>
      </c>
      <c r="E186" s="153" t="s">
        <v>41</v>
      </c>
      <c r="F186" s="153" t="s">
        <v>90</v>
      </c>
      <c r="G186" s="153"/>
      <c r="H186" s="153"/>
      <c r="I186" s="155"/>
    </row>
    <row r="187" spans="2:9" x14ac:dyDescent="0.2">
      <c r="B187" s="153" t="s">
        <v>860</v>
      </c>
      <c r="C187" s="153" t="s">
        <v>382</v>
      </c>
      <c r="D187" s="153" t="s">
        <v>393</v>
      </c>
      <c r="E187" s="153" t="s">
        <v>41</v>
      </c>
      <c r="F187" s="153" t="s">
        <v>90</v>
      </c>
      <c r="G187" s="153"/>
      <c r="H187" s="153"/>
      <c r="I187" s="155"/>
    </row>
    <row r="188" spans="2:9" x14ac:dyDescent="0.2">
      <c r="B188" s="153" t="s">
        <v>863</v>
      </c>
      <c r="C188" s="153" t="s">
        <v>383</v>
      </c>
      <c r="D188" s="153" t="s">
        <v>394</v>
      </c>
      <c r="E188" s="153" t="s">
        <v>41</v>
      </c>
      <c r="F188" s="153" t="s">
        <v>90</v>
      </c>
      <c r="G188" s="153"/>
      <c r="H188" s="153"/>
      <c r="I188" s="155"/>
    </row>
    <row r="189" spans="2:9" x14ac:dyDescent="0.2">
      <c r="B189" s="153" t="s">
        <v>864</v>
      </c>
      <c r="C189" s="153" t="s">
        <v>384</v>
      </c>
      <c r="D189" s="153" t="s">
        <v>395</v>
      </c>
      <c r="E189" s="153" t="s">
        <v>41</v>
      </c>
      <c r="F189" s="153" t="s">
        <v>90</v>
      </c>
      <c r="G189" s="153"/>
      <c r="H189" s="153"/>
      <c r="I189" s="155"/>
    </row>
    <row r="190" spans="2:9" hidden="1" x14ac:dyDescent="0.2">
      <c r="B190" s="153" t="s">
        <v>859</v>
      </c>
      <c r="C190" s="153" t="s">
        <v>385</v>
      </c>
      <c r="D190" s="153" t="s">
        <v>396</v>
      </c>
      <c r="E190" s="153" t="s">
        <v>41</v>
      </c>
      <c r="F190" s="153" t="s">
        <v>90</v>
      </c>
      <c r="G190" s="153"/>
      <c r="H190" s="153"/>
      <c r="I190" s="155"/>
    </row>
    <row r="191" spans="2:9" hidden="1" x14ac:dyDescent="0.2">
      <c r="B191" s="153" t="s">
        <v>973</v>
      </c>
      <c r="C191" s="153" t="s">
        <v>386</v>
      </c>
      <c r="D191" s="153" t="s">
        <v>397</v>
      </c>
      <c r="E191" s="153" t="s">
        <v>41</v>
      </c>
      <c r="F191" s="153" t="s">
        <v>90</v>
      </c>
      <c r="G191" s="153"/>
      <c r="H191" s="153"/>
      <c r="I191" s="155"/>
    </row>
    <row r="192" spans="2:9" hidden="1" x14ac:dyDescent="0.2">
      <c r="B192" s="153" t="s">
        <v>859</v>
      </c>
      <c r="C192" s="153" t="s">
        <v>387</v>
      </c>
      <c r="D192" s="153" t="s">
        <v>398</v>
      </c>
      <c r="E192" s="153"/>
      <c r="F192" s="153"/>
      <c r="G192" s="153"/>
      <c r="H192" s="153"/>
      <c r="I192" s="155"/>
    </row>
    <row r="193" spans="2:9" hidden="1" x14ac:dyDescent="0.2">
      <c r="B193" s="153" t="s">
        <v>858</v>
      </c>
      <c r="C193" s="153" t="s">
        <v>388</v>
      </c>
      <c r="D193" s="153" t="s">
        <v>399</v>
      </c>
      <c r="E193" s="153"/>
      <c r="F193" s="153"/>
      <c r="G193" s="153"/>
      <c r="H193" s="153"/>
      <c r="I193" s="155"/>
    </row>
    <row r="194" spans="2:9" hidden="1" x14ac:dyDescent="0.2">
      <c r="B194" s="153" t="s">
        <v>857</v>
      </c>
      <c r="C194" s="153" t="s">
        <v>389</v>
      </c>
      <c r="D194" s="153" t="s">
        <v>400</v>
      </c>
      <c r="E194" s="153"/>
      <c r="F194" s="153"/>
      <c r="G194" s="153"/>
      <c r="H194" s="153"/>
      <c r="I194" s="155"/>
    </row>
    <row r="195" spans="2:9" x14ac:dyDescent="0.2">
      <c r="B195" s="153" t="s">
        <v>127</v>
      </c>
      <c r="C195" s="153"/>
      <c r="D195" s="153"/>
      <c r="E195" s="153"/>
      <c r="F195" s="153"/>
      <c r="G195" s="153"/>
      <c r="H195" s="153"/>
      <c r="I195" s="155"/>
    </row>
    <row r="196" spans="2:9" x14ac:dyDescent="0.2">
      <c r="B196" s="153" t="s">
        <v>972</v>
      </c>
      <c r="C196" s="153" t="s">
        <v>706</v>
      </c>
      <c r="D196" s="153" t="s">
        <v>718</v>
      </c>
      <c r="E196" s="153" t="s">
        <v>41</v>
      </c>
      <c r="F196" s="153" t="s">
        <v>90</v>
      </c>
      <c r="G196" s="153"/>
      <c r="H196" s="153"/>
      <c r="I196" s="155"/>
    </row>
    <row r="197" spans="2:9" x14ac:dyDescent="0.2">
      <c r="B197" s="153" t="s">
        <v>860</v>
      </c>
      <c r="C197" s="153" t="s">
        <v>707</v>
      </c>
      <c r="D197" s="153" t="s">
        <v>719</v>
      </c>
      <c r="E197" s="153" t="s">
        <v>41</v>
      </c>
      <c r="F197" s="153" t="s">
        <v>90</v>
      </c>
      <c r="G197" s="153"/>
      <c r="H197" s="153"/>
      <c r="I197" s="155"/>
    </row>
    <row r="198" spans="2:9" x14ac:dyDescent="0.2">
      <c r="B198" s="153" t="s">
        <v>864</v>
      </c>
      <c r="C198" s="153" t="s">
        <v>708</v>
      </c>
      <c r="D198" s="153" t="s">
        <v>720</v>
      </c>
      <c r="E198" s="153" t="s">
        <v>41</v>
      </c>
      <c r="F198" s="153" t="s">
        <v>90</v>
      </c>
      <c r="G198" s="153"/>
      <c r="H198" s="153"/>
      <c r="I198" s="155"/>
    </row>
    <row r="199" spans="2:9" x14ac:dyDescent="0.2">
      <c r="B199" s="153" t="s">
        <v>863</v>
      </c>
      <c r="C199" s="153" t="s">
        <v>709</v>
      </c>
      <c r="D199" s="153" t="s">
        <v>721</v>
      </c>
      <c r="E199" s="153" t="s">
        <v>41</v>
      </c>
      <c r="F199" s="153" t="s">
        <v>90</v>
      </c>
      <c r="G199" s="153"/>
      <c r="H199" s="153"/>
      <c r="I199" s="155"/>
    </row>
    <row r="200" spans="2:9" x14ac:dyDescent="0.2">
      <c r="B200" s="153" t="s">
        <v>860</v>
      </c>
      <c r="C200" s="153" t="s">
        <v>710</v>
      </c>
      <c r="D200" s="153" t="s">
        <v>722</v>
      </c>
      <c r="E200" s="153" t="s">
        <v>41</v>
      </c>
      <c r="F200" s="153" t="s">
        <v>90</v>
      </c>
      <c r="G200" s="153"/>
      <c r="H200" s="153"/>
      <c r="I200" s="155"/>
    </row>
    <row r="201" spans="2:9" x14ac:dyDescent="0.2">
      <c r="B201" s="153" t="s">
        <v>863</v>
      </c>
      <c r="C201" s="153" t="s">
        <v>711</v>
      </c>
      <c r="D201" s="153" t="s">
        <v>723</v>
      </c>
      <c r="E201" s="153" t="s">
        <v>41</v>
      </c>
      <c r="F201" s="153" t="s">
        <v>90</v>
      </c>
      <c r="G201" s="153"/>
      <c r="H201" s="153"/>
      <c r="I201" s="155"/>
    </row>
    <row r="202" spans="2:9" x14ac:dyDescent="0.2">
      <c r="B202" s="153" t="s">
        <v>864</v>
      </c>
      <c r="C202" s="153" t="s">
        <v>712</v>
      </c>
      <c r="D202" s="153" t="s">
        <v>724</v>
      </c>
      <c r="E202" s="153" t="s">
        <v>41</v>
      </c>
      <c r="F202" s="153" t="s">
        <v>90</v>
      </c>
      <c r="G202" s="153"/>
      <c r="H202" s="153"/>
      <c r="I202" s="155"/>
    </row>
    <row r="203" spans="2:9" hidden="1" x14ac:dyDescent="0.2">
      <c r="B203" s="153" t="s">
        <v>859</v>
      </c>
      <c r="C203" s="153" t="s">
        <v>713</v>
      </c>
      <c r="D203" s="153" t="s">
        <v>725</v>
      </c>
      <c r="E203" s="153" t="s">
        <v>41</v>
      </c>
      <c r="F203" s="153" t="s">
        <v>90</v>
      </c>
      <c r="G203" s="153"/>
      <c r="H203" s="153"/>
      <c r="I203" s="155"/>
    </row>
    <row r="204" spans="2:9" hidden="1" x14ac:dyDescent="0.2">
      <c r="B204" s="153" t="s">
        <v>973</v>
      </c>
      <c r="C204" s="153" t="s">
        <v>714</v>
      </c>
      <c r="D204" s="153" t="s">
        <v>726</v>
      </c>
      <c r="E204" s="153" t="s">
        <v>41</v>
      </c>
      <c r="F204" s="153" t="s">
        <v>90</v>
      </c>
      <c r="G204" s="153"/>
      <c r="H204" s="153"/>
      <c r="I204" s="155"/>
    </row>
    <row r="205" spans="2:9" hidden="1" x14ac:dyDescent="0.2">
      <c r="B205" s="153" t="s">
        <v>859</v>
      </c>
      <c r="C205" s="153" t="s">
        <v>715</v>
      </c>
      <c r="D205" s="153" t="s">
        <v>727</v>
      </c>
      <c r="E205" s="153"/>
      <c r="F205" s="153"/>
      <c r="G205" s="153"/>
      <c r="H205" s="153"/>
      <c r="I205" s="155"/>
    </row>
    <row r="206" spans="2:9" hidden="1" x14ac:dyDescent="0.2">
      <c r="B206" s="153" t="s">
        <v>858</v>
      </c>
      <c r="C206" s="153" t="s">
        <v>716</v>
      </c>
      <c r="D206" s="153" t="s">
        <v>728</v>
      </c>
      <c r="E206" s="153"/>
      <c r="F206" s="153"/>
      <c r="G206" s="153"/>
      <c r="H206" s="153"/>
      <c r="I206" s="155"/>
    </row>
    <row r="207" spans="2:9" hidden="1" x14ac:dyDescent="0.2">
      <c r="B207" s="153" t="s">
        <v>857</v>
      </c>
      <c r="C207" s="153" t="s">
        <v>717</v>
      </c>
      <c r="D207" s="153" t="s">
        <v>729</v>
      </c>
      <c r="E207" s="153"/>
      <c r="F207" s="153"/>
      <c r="G207" s="153"/>
      <c r="H207" s="153"/>
      <c r="I207" s="155"/>
    </row>
    <row r="208" spans="2:9" x14ac:dyDescent="0.2">
      <c r="B208" s="153" t="s">
        <v>127</v>
      </c>
      <c r="C208" s="153"/>
      <c r="D208" s="153"/>
      <c r="E208" s="153"/>
      <c r="F208" s="153"/>
      <c r="G208" s="153"/>
      <c r="H208" s="153"/>
      <c r="I208" s="155"/>
    </row>
    <row r="209" spans="2:9" x14ac:dyDescent="0.2">
      <c r="B209" s="153" t="s">
        <v>127</v>
      </c>
      <c r="C209" s="153"/>
      <c r="D209" s="153"/>
      <c r="E209" s="153"/>
      <c r="F209" s="153"/>
      <c r="G209" s="153"/>
      <c r="H209" s="153"/>
      <c r="I209" s="155"/>
    </row>
    <row r="210" spans="2:9" x14ac:dyDescent="0.2">
      <c r="B210" s="153" t="s">
        <v>860</v>
      </c>
      <c r="C210" s="153" t="s">
        <v>401</v>
      </c>
      <c r="D210" s="153" t="s">
        <v>301</v>
      </c>
      <c r="E210" s="153" t="s">
        <v>41</v>
      </c>
      <c r="F210" s="153" t="s">
        <v>90</v>
      </c>
      <c r="G210" s="153" t="s">
        <v>1092</v>
      </c>
      <c r="H210" s="153"/>
      <c r="I210" s="155"/>
    </row>
    <row r="211" spans="2:9" x14ac:dyDescent="0.2">
      <c r="B211" s="153" t="s">
        <v>863</v>
      </c>
      <c r="C211" s="153" t="s">
        <v>402</v>
      </c>
      <c r="D211" s="153" t="s">
        <v>302</v>
      </c>
      <c r="E211" s="153" t="s">
        <v>41</v>
      </c>
      <c r="F211" s="153" t="s">
        <v>90</v>
      </c>
      <c r="G211" s="153"/>
      <c r="H211" s="153"/>
      <c r="I211" s="155"/>
    </row>
    <row r="212" spans="2:9" x14ac:dyDescent="0.2">
      <c r="B212" s="153" t="s">
        <v>863</v>
      </c>
      <c r="C212" s="153" t="s">
        <v>403</v>
      </c>
      <c r="D212" s="153" t="s">
        <v>303</v>
      </c>
      <c r="E212" s="153" t="s">
        <v>41</v>
      </c>
      <c r="F212" s="153" t="s">
        <v>90</v>
      </c>
      <c r="G212" s="153"/>
      <c r="H212" s="153"/>
      <c r="I212" s="155"/>
    </row>
    <row r="213" spans="2:9" x14ac:dyDescent="0.2">
      <c r="B213" s="153" t="s">
        <v>859</v>
      </c>
      <c r="C213" s="153" t="s">
        <v>404</v>
      </c>
      <c r="D213" s="153" t="s">
        <v>304</v>
      </c>
      <c r="E213" s="153" t="s">
        <v>41</v>
      </c>
      <c r="F213" s="153" t="s">
        <v>90</v>
      </c>
      <c r="G213" s="153"/>
      <c r="H213" s="153"/>
      <c r="I213" s="155"/>
    </row>
    <row r="214" spans="2:9" x14ac:dyDescent="0.2">
      <c r="B214" s="153" t="s">
        <v>864</v>
      </c>
      <c r="C214" s="153" t="s">
        <v>405</v>
      </c>
      <c r="D214" s="153" t="s">
        <v>305</v>
      </c>
      <c r="E214" s="153" t="s">
        <v>41</v>
      </c>
      <c r="F214" s="153" t="s">
        <v>90</v>
      </c>
      <c r="G214" s="153"/>
      <c r="H214" s="153"/>
      <c r="I214" s="155"/>
    </row>
    <row r="215" spans="2:9" x14ac:dyDescent="0.2">
      <c r="B215" s="153" t="s">
        <v>973</v>
      </c>
      <c r="C215" s="153" t="s">
        <v>406</v>
      </c>
      <c r="D215" s="153" t="s">
        <v>306</v>
      </c>
      <c r="E215" s="153" t="s">
        <v>41</v>
      </c>
      <c r="F215" s="153" t="s">
        <v>90</v>
      </c>
      <c r="G215" s="153"/>
      <c r="H215" s="153"/>
      <c r="I215" s="155"/>
    </row>
    <row r="216" spans="2:9" x14ac:dyDescent="0.2">
      <c r="B216" s="153" t="s">
        <v>973</v>
      </c>
      <c r="C216" s="153" t="s">
        <v>407</v>
      </c>
      <c r="D216" s="153" t="s">
        <v>307</v>
      </c>
      <c r="E216" s="153" t="s">
        <v>41</v>
      </c>
      <c r="F216" s="153" t="s">
        <v>90</v>
      </c>
      <c r="G216" s="153"/>
      <c r="H216" s="153"/>
      <c r="I216" s="155"/>
    </row>
    <row r="217" spans="2:9" hidden="1" x14ac:dyDescent="0.2">
      <c r="B217" s="153" t="s">
        <v>858</v>
      </c>
      <c r="C217" s="153" t="s">
        <v>408</v>
      </c>
      <c r="D217" s="153" t="s">
        <v>308</v>
      </c>
      <c r="E217" s="153"/>
      <c r="F217" s="153"/>
      <c r="G217" s="153"/>
      <c r="H217" s="153"/>
      <c r="I217" s="155"/>
    </row>
    <row r="218" spans="2:9" hidden="1" x14ac:dyDescent="0.2">
      <c r="B218" s="153" t="s">
        <v>858</v>
      </c>
      <c r="C218" s="153" t="s">
        <v>409</v>
      </c>
      <c r="D218" s="153" t="s">
        <v>309</v>
      </c>
      <c r="E218" s="153"/>
      <c r="F218" s="153"/>
      <c r="G218" s="153"/>
      <c r="H218" s="153"/>
      <c r="I218" s="155"/>
    </row>
    <row r="219" spans="2:9" hidden="1" x14ac:dyDescent="0.2">
      <c r="B219" s="153" t="s">
        <v>861</v>
      </c>
      <c r="C219" s="153" t="s">
        <v>410</v>
      </c>
      <c r="D219" s="153" t="s">
        <v>310</v>
      </c>
      <c r="E219" s="153"/>
      <c r="F219" s="153"/>
      <c r="G219" s="153"/>
      <c r="H219" s="153"/>
      <c r="I219" s="155"/>
    </row>
    <row r="220" spans="2:9" hidden="1" x14ac:dyDescent="0.2">
      <c r="B220" s="153" t="s">
        <v>861</v>
      </c>
      <c r="C220" s="153" t="s">
        <v>411</v>
      </c>
      <c r="D220" s="153" t="s">
        <v>311</v>
      </c>
      <c r="E220" s="153"/>
      <c r="F220" s="153"/>
      <c r="G220" s="153"/>
      <c r="H220" s="153"/>
      <c r="I220" s="155"/>
    </row>
    <row r="221" spans="2:9" hidden="1" x14ac:dyDescent="0.2">
      <c r="B221" s="153" t="s">
        <v>861</v>
      </c>
      <c r="C221" s="153" t="s">
        <v>412</v>
      </c>
      <c r="D221" s="153" t="s">
        <v>312</v>
      </c>
      <c r="E221" s="153"/>
      <c r="F221" s="153"/>
      <c r="G221" s="153"/>
      <c r="H221" s="153"/>
      <c r="I221" s="155"/>
    </row>
    <row r="222" spans="2:9" x14ac:dyDescent="0.2">
      <c r="B222" s="153" t="s">
        <v>972</v>
      </c>
      <c r="C222" s="153" t="s">
        <v>413</v>
      </c>
      <c r="D222" s="153" t="s">
        <v>313</v>
      </c>
      <c r="E222" s="153" t="s">
        <v>41</v>
      </c>
      <c r="F222" s="153" t="s">
        <v>90</v>
      </c>
      <c r="G222" s="153" t="s">
        <v>1091</v>
      </c>
      <c r="H222" s="153"/>
      <c r="I222" s="155"/>
    </row>
    <row r="223" spans="2:9" x14ac:dyDescent="0.2">
      <c r="B223" s="153" t="s">
        <v>860</v>
      </c>
      <c r="C223" s="153" t="s">
        <v>414</v>
      </c>
      <c r="D223" s="153" t="s">
        <v>314</v>
      </c>
      <c r="E223" s="153" t="s">
        <v>41</v>
      </c>
      <c r="F223" s="153" t="s">
        <v>90</v>
      </c>
      <c r="G223" s="153"/>
      <c r="H223" s="153"/>
      <c r="I223" s="155"/>
    </row>
    <row r="224" spans="2:9" x14ac:dyDescent="0.2">
      <c r="B224" s="153" t="s">
        <v>864</v>
      </c>
      <c r="C224" s="153" t="s">
        <v>415</v>
      </c>
      <c r="D224" s="153" t="s">
        <v>315</v>
      </c>
      <c r="E224" s="153" t="s">
        <v>41</v>
      </c>
      <c r="F224" s="153" t="s">
        <v>90</v>
      </c>
      <c r="G224" s="153"/>
      <c r="H224" s="153"/>
      <c r="I224" s="155"/>
    </row>
    <row r="225" spans="2:9" x14ac:dyDescent="0.2">
      <c r="B225" s="153" t="s">
        <v>863</v>
      </c>
      <c r="C225" s="153" t="s">
        <v>416</v>
      </c>
      <c r="D225" s="153" t="s">
        <v>316</v>
      </c>
      <c r="E225" s="153" t="s">
        <v>41</v>
      </c>
      <c r="F225" s="153" t="s">
        <v>90</v>
      </c>
      <c r="G225" s="153"/>
      <c r="H225" s="153"/>
      <c r="I225" s="155"/>
    </row>
    <row r="226" spans="2:9" x14ac:dyDescent="0.2">
      <c r="B226" s="153" t="s">
        <v>860</v>
      </c>
      <c r="C226" s="153" t="s">
        <v>417</v>
      </c>
      <c r="D226" s="153" t="s">
        <v>317</v>
      </c>
      <c r="E226" s="153" t="s">
        <v>41</v>
      </c>
      <c r="F226" s="153" t="s">
        <v>90</v>
      </c>
      <c r="G226" s="153"/>
      <c r="H226" s="153"/>
      <c r="I226" s="155"/>
    </row>
    <row r="227" spans="2:9" x14ac:dyDescent="0.2">
      <c r="B227" s="153" t="s">
        <v>863</v>
      </c>
      <c r="C227" s="153" t="s">
        <v>418</v>
      </c>
      <c r="D227" s="153" t="s">
        <v>318</v>
      </c>
      <c r="E227" s="153" t="s">
        <v>41</v>
      </c>
      <c r="F227" s="153" t="s">
        <v>90</v>
      </c>
      <c r="G227" s="153"/>
      <c r="H227" s="153"/>
      <c r="I227" s="155"/>
    </row>
    <row r="228" spans="2:9" x14ac:dyDescent="0.2">
      <c r="B228" s="153" t="s">
        <v>864</v>
      </c>
      <c r="C228" s="153" t="s">
        <v>419</v>
      </c>
      <c r="D228" s="153" t="s">
        <v>319</v>
      </c>
      <c r="E228" s="153" t="s">
        <v>41</v>
      </c>
      <c r="F228" s="153" t="s">
        <v>90</v>
      </c>
      <c r="G228" s="153"/>
      <c r="H228" s="153"/>
      <c r="I228" s="155"/>
    </row>
    <row r="229" spans="2:9" hidden="1" x14ac:dyDescent="0.2">
      <c r="B229" s="153" t="s">
        <v>859</v>
      </c>
      <c r="C229" s="153" t="s">
        <v>420</v>
      </c>
      <c r="D229" s="153" t="s">
        <v>320</v>
      </c>
      <c r="E229" s="153"/>
      <c r="F229" s="153"/>
      <c r="G229" s="153"/>
      <c r="H229" s="153"/>
      <c r="I229" s="155"/>
    </row>
    <row r="230" spans="2:9" hidden="1" x14ac:dyDescent="0.2">
      <c r="B230" s="153" t="s">
        <v>973</v>
      </c>
      <c r="C230" s="153" t="s">
        <v>421</v>
      </c>
      <c r="D230" s="153" t="s">
        <v>321</v>
      </c>
      <c r="E230" s="153"/>
      <c r="F230" s="153"/>
      <c r="G230" s="153"/>
      <c r="H230" s="153"/>
      <c r="I230" s="155"/>
    </row>
    <row r="231" spans="2:9" hidden="1" x14ac:dyDescent="0.2">
      <c r="B231" s="153" t="s">
        <v>859</v>
      </c>
      <c r="C231" s="153" t="s">
        <v>422</v>
      </c>
      <c r="D231" s="153" t="s">
        <v>322</v>
      </c>
      <c r="E231" s="153"/>
      <c r="F231" s="153"/>
      <c r="G231" s="153"/>
      <c r="H231" s="153"/>
      <c r="I231" s="155"/>
    </row>
    <row r="232" spans="2:9" hidden="1" x14ac:dyDescent="0.2">
      <c r="B232" s="153" t="s">
        <v>858</v>
      </c>
      <c r="C232" s="153" t="s">
        <v>423</v>
      </c>
      <c r="D232" s="153" t="s">
        <v>323</v>
      </c>
      <c r="E232" s="153"/>
      <c r="F232" s="153"/>
      <c r="G232" s="153"/>
      <c r="H232" s="153"/>
      <c r="I232" s="155"/>
    </row>
    <row r="233" spans="2:9" hidden="1" x14ac:dyDescent="0.2">
      <c r="B233" s="153" t="s">
        <v>857</v>
      </c>
      <c r="C233" s="153" t="s">
        <v>424</v>
      </c>
      <c r="D233" s="153" t="s">
        <v>324</v>
      </c>
      <c r="E233" s="153"/>
      <c r="F233" s="153"/>
      <c r="G233" s="153"/>
      <c r="H233" s="153"/>
      <c r="I233" s="155"/>
    </row>
    <row r="234" spans="2:9" x14ac:dyDescent="0.2">
      <c r="B234" s="153" t="s">
        <v>127</v>
      </c>
      <c r="C234" s="153"/>
      <c r="D234" s="153"/>
      <c r="E234" s="153"/>
      <c r="F234" s="153"/>
      <c r="G234" s="153"/>
      <c r="H234" s="153"/>
      <c r="I234" s="155"/>
    </row>
    <row r="235" spans="2:9" x14ac:dyDescent="0.2">
      <c r="B235" s="150" t="s">
        <v>116</v>
      </c>
      <c r="C235" s="151"/>
      <c r="D235" s="151"/>
      <c r="E235" s="151"/>
      <c r="F235" s="151"/>
      <c r="G235" s="151"/>
      <c r="H235" s="151"/>
      <c r="I235" s="156"/>
    </row>
    <row r="236" spans="2:9" x14ac:dyDescent="0.2">
      <c r="B236" s="153" t="s">
        <v>42</v>
      </c>
      <c r="C236" s="153" t="str">
        <f>CONCATENATE("EXP",Commodities!C29,1)</f>
        <v>EXPNGAC11</v>
      </c>
      <c r="D236" s="153" t="str">
        <f t="shared" ref="D236:D241" si="1">CONCATENATE("Export Canadian natural gas to R",RIGHT(C236))</f>
        <v>Export Canadian natural gas to R1</v>
      </c>
      <c r="E236" s="153" t="s">
        <v>41</v>
      </c>
      <c r="F236" s="153" t="s">
        <v>90</v>
      </c>
      <c r="G236" s="153" t="s">
        <v>1092</v>
      </c>
      <c r="H236" s="153"/>
      <c r="I236" s="155"/>
    </row>
    <row r="237" spans="2:9" x14ac:dyDescent="0.2">
      <c r="B237" s="153" t="s">
        <v>126</v>
      </c>
      <c r="C237" s="153" t="str">
        <f>CONCATENATE("EXP",Commodities!C30,2)</f>
        <v>EXPNGAC22</v>
      </c>
      <c r="D237" s="153" t="str">
        <f t="shared" si="1"/>
        <v>Export Canadian natural gas to R2</v>
      </c>
      <c r="E237" s="153" t="s">
        <v>41</v>
      </c>
      <c r="F237" s="153" t="s">
        <v>90</v>
      </c>
      <c r="G237" s="153"/>
      <c r="H237" s="153"/>
      <c r="I237" s="155"/>
    </row>
    <row r="238" spans="2:9" x14ac:dyDescent="0.2">
      <c r="B238" s="153" t="s">
        <v>126</v>
      </c>
      <c r="C238" s="153" t="str">
        <f>CONCATENATE("EXP",Commodities!C31,3)</f>
        <v>EXPNGAC33</v>
      </c>
      <c r="D238" s="153" t="str">
        <f t="shared" si="1"/>
        <v>Export Canadian natural gas to R3</v>
      </c>
      <c r="E238" s="153" t="s">
        <v>41</v>
      </c>
      <c r="F238" s="153" t="s">
        <v>90</v>
      </c>
      <c r="G238" s="153"/>
      <c r="H238" s="153"/>
      <c r="I238" s="155"/>
    </row>
    <row r="239" spans="2:9" x14ac:dyDescent="0.2">
      <c r="B239" s="153" t="s">
        <v>126</v>
      </c>
      <c r="C239" s="153" t="str">
        <f>CONCATENATE("EXP",Commodities!C32,4)</f>
        <v>EXPNGAC44</v>
      </c>
      <c r="D239" s="153" t="str">
        <f t="shared" si="1"/>
        <v>Export Canadian natural gas to R4</v>
      </c>
      <c r="E239" s="153" t="s">
        <v>41</v>
      </c>
      <c r="F239" s="153" t="s">
        <v>90</v>
      </c>
      <c r="G239" s="153"/>
      <c r="H239" s="153"/>
      <c r="I239" s="155"/>
    </row>
    <row r="240" spans="2:9" x14ac:dyDescent="0.2">
      <c r="B240" s="153" t="s">
        <v>126</v>
      </c>
      <c r="C240" s="153" t="str">
        <f>CONCATENATE("EXP",Commodities!C33,5)</f>
        <v>EXPNGAC55</v>
      </c>
      <c r="D240" s="153" t="str">
        <f t="shared" si="1"/>
        <v>Export Canadian natural gas to R5</v>
      </c>
      <c r="E240" s="153" t="s">
        <v>41</v>
      </c>
      <c r="F240" s="153" t="s">
        <v>90</v>
      </c>
      <c r="G240" s="153"/>
      <c r="H240" s="153"/>
      <c r="I240" s="155"/>
    </row>
    <row r="241" spans="2:9" x14ac:dyDescent="0.2">
      <c r="B241" s="153" t="s">
        <v>126</v>
      </c>
      <c r="C241" s="153" t="str">
        <f>CONCATENATE("EXP",Commodities!C34,6)</f>
        <v>EXPNGAC66</v>
      </c>
      <c r="D241" s="153" t="str">
        <f t="shared" si="1"/>
        <v>Export Canadian natural gas to R6</v>
      </c>
      <c r="E241" s="153" t="s">
        <v>41</v>
      </c>
      <c r="F241" s="153" t="s">
        <v>90</v>
      </c>
      <c r="G241" s="153"/>
      <c r="H241" s="153"/>
      <c r="I241" s="155"/>
    </row>
    <row r="242" spans="2:9" x14ac:dyDescent="0.2">
      <c r="B242" s="153" t="s">
        <v>42</v>
      </c>
      <c r="C242" s="153" t="str">
        <f>CONCATENATE("EXP",Commodities!C35,1)</f>
        <v>EXPNGALE11</v>
      </c>
      <c r="D242" s="153" t="str">
        <f>CONCATENATE("Supply LNG to Existing terminal in R",RIGHT(Commodities!C35))</f>
        <v>Supply LNG to Existing terminal in R1</v>
      </c>
      <c r="E242" s="153" t="s">
        <v>41</v>
      </c>
      <c r="F242" s="153" t="s">
        <v>90</v>
      </c>
      <c r="G242" s="153"/>
      <c r="H242" s="153"/>
      <c r="I242" s="155"/>
    </row>
    <row r="243" spans="2:9" x14ac:dyDescent="0.2">
      <c r="B243" s="153" t="s">
        <v>42</v>
      </c>
      <c r="C243" s="153" t="str">
        <f>CONCATENATE("EXP",Commodities!C36,4)</f>
        <v>EXPNGALE44</v>
      </c>
      <c r="D243" s="153" t="str">
        <f>CONCATENATE("Supply LNG to Existing terminal in R",RIGHT(Commodities!C36))</f>
        <v>Supply LNG to Existing terminal in R4</v>
      </c>
      <c r="E243" s="153" t="s">
        <v>41</v>
      </c>
      <c r="F243" s="153" t="s">
        <v>90</v>
      </c>
      <c r="G243" s="153"/>
      <c r="H243" s="153"/>
      <c r="I243" s="155"/>
    </row>
    <row r="244" spans="2:9" x14ac:dyDescent="0.2">
      <c r="B244" s="153" t="s">
        <v>42</v>
      </c>
      <c r="C244" s="153" t="str">
        <f>CONCATENATE("EXP",Commodities!C37,5)</f>
        <v>EXPNGALE55</v>
      </c>
      <c r="D244" s="153" t="str">
        <f>CONCATENATE("Supply LNG to Existing terminal in R",RIGHT(Commodities!C37))</f>
        <v>Supply LNG to Existing terminal in R5</v>
      </c>
      <c r="E244" s="153" t="s">
        <v>41</v>
      </c>
      <c r="F244" s="153" t="s">
        <v>90</v>
      </c>
      <c r="G244" s="153"/>
      <c r="H244" s="153"/>
      <c r="I244" s="155"/>
    </row>
    <row r="245" spans="2:9" x14ac:dyDescent="0.2">
      <c r="B245" s="150" t="s">
        <v>117</v>
      </c>
      <c r="C245" s="151"/>
      <c r="D245" s="151"/>
      <c r="E245" s="151"/>
      <c r="F245" s="151"/>
      <c r="G245" s="151"/>
      <c r="H245" s="151"/>
      <c r="I245" s="156"/>
    </row>
    <row r="246" spans="2:9" x14ac:dyDescent="0.2">
      <c r="B246" s="153" t="str">
        <f>CONCATENATE("R",RIGHT(C246))</f>
        <v>R1</v>
      </c>
      <c r="C246" s="153" t="str">
        <f>CONCATENATE("IMP",Commodities!C29,1)</f>
        <v>IMPNGAC11</v>
      </c>
      <c r="D246" s="153" t="str">
        <f t="shared" ref="D246:D251" si="2">CONCATENATE("Import Canadian natural gas to R",RIGHT(C246))</f>
        <v>Import Canadian natural gas to R1</v>
      </c>
      <c r="E246" s="153" t="s">
        <v>41</v>
      </c>
      <c r="F246" s="153" t="s">
        <v>90</v>
      </c>
      <c r="G246" s="153" t="s">
        <v>1091</v>
      </c>
      <c r="H246" s="153"/>
      <c r="I246" s="155"/>
    </row>
    <row r="247" spans="2:9" x14ac:dyDescent="0.2">
      <c r="B247" s="153" t="str">
        <f>CONCATENATE("*R",RIGHT(C247))</f>
        <v>*R2</v>
      </c>
      <c r="C247" s="153" t="str">
        <f>CONCATENATE("IMP",Commodities!C30,2)</f>
        <v>IMPNGAC22</v>
      </c>
      <c r="D247" s="153" t="str">
        <f t="shared" si="2"/>
        <v>Import Canadian natural gas to R2</v>
      </c>
      <c r="E247" s="153" t="s">
        <v>41</v>
      </c>
      <c r="F247" s="153" t="s">
        <v>90</v>
      </c>
      <c r="G247" s="153"/>
      <c r="H247" s="153"/>
      <c r="I247" s="155"/>
    </row>
    <row r="248" spans="2:9" x14ac:dyDescent="0.2">
      <c r="B248" s="153" t="str">
        <f>CONCATENATE("*R",RIGHT(C248))</f>
        <v>*R3</v>
      </c>
      <c r="C248" s="153" t="str">
        <f>CONCATENATE("IMP",Commodities!C31,3)</f>
        <v>IMPNGAC33</v>
      </c>
      <c r="D248" s="153" t="str">
        <f t="shared" si="2"/>
        <v>Import Canadian natural gas to R3</v>
      </c>
      <c r="E248" s="153" t="s">
        <v>41</v>
      </c>
      <c r="F248" s="153" t="s">
        <v>90</v>
      </c>
      <c r="G248" s="153"/>
      <c r="H248" s="153"/>
      <c r="I248" s="155"/>
    </row>
    <row r="249" spans="2:9" x14ac:dyDescent="0.2">
      <c r="B249" s="153" t="str">
        <f>CONCATENATE("*R",RIGHT(C249))</f>
        <v>*R4</v>
      </c>
      <c r="C249" s="153" t="str">
        <f>CONCATENATE("IMP",Commodities!C32,4)</f>
        <v>IMPNGAC44</v>
      </c>
      <c r="D249" s="153" t="str">
        <f t="shared" si="2"/>
        <v>Import Canadian natural gas to R4</v>
      </c>
      <c r="E249" s="153" t="s">
        <v>41</v>
      </c>
      <c r="F249" s="153" t="s">
        <v>90</v>
      </c>
      <c r="G249" s="153"/>
      <c r="H249" s="153"/>
      <c r="I249" s="155"/>
    </row>
    <row r="250" spans="2:9" x14ac:dyDescent="0.2">
      <c r="B250" s="153" t="str">
        <f>CONCATENATE("*R",RIGHT(C250))</f>
        <v>*R5</v>
      </c>
      <c r="C250" s="153" t="str">
        <f>CONCATENATE("IMP",Commodities!C33,5)</f>
        <v>IMPNGAC55</v>
      </c>
      <c r="D250" s="153" t="str">
        <f t="shared" si="2"/>
        <v>Import Canadian natural gas to R5</v>
      </c>
      <c r="E250" s="153" t="s">
        <v>41</v>
      </c>
      <c r="F250" s="153" t="s">
        <v>90</v>
      </c>
      <c r="G250" s="153"/>
      <c r="H250" s="153"/>
      <c r="I250" s="155"/>
    </row>
    <row r="251" spans="2:9" x14ac:dyDescent="0.2">
      <c r="B251" s="153" t="str">
        <f>CONCATENATE("*R",RIGHT(C251))</f>
        <v>*R6</v>
      </c>
      <c r="C251" s="153" t="str">
        <f>CONCATENATE("IMP",Commodities!C34,6)</f>
        <v>IMPNGAC66</v>
      </c>
      <c r="D251" s="153" t="str">
        <f t="shared" si="2"/>
        <v>Import Canadian natural gas to R6</v>
      </c>
      <c r="E251" s="153" t="s">
        <v>41</v>
      </c>
      <c r="F251" s="153" t="s">
        <v>90</v>
      </c>
      <c r="G251" s="153"/>
      <c r="H251" s="153"/>
      <c r="I251" s="155"/>
    </row>
    <row r="252" spans="2:9" x14ac:dyDescent="0.2">
      <c r="B252" s="153" t="str">
        <f>CONCATENATE("R",RIGHT(Commodities!C35))</f>
        <v>R1</v>
      </c>
      <c r="C252" s="153" t="str">
        <f>CONCATENATE("IMP",Commodities!C35,1)</f>
        <v>IMPNGALE11</v>
      </c>
      <c r="D252" s="153" t="str">
        <f>CONCATENATE("Import LNG to Existing terminal in R",RIGHT(Commodities!C35))</f>
        <v>Import LNG to Existing terminal in R1</v>
      </c>
      <c r="E252" s="153" t="s">
        <v>41</v>
      </c>
      <c r="F252" s="153" t="s">
        <v>90</v>
      </c>
      <c r="G252" s="153"/>
      <c r="H252" s="153"/>
      <c r="I252" s="155"/>
    </row>
    <row r="253" spans="2:9" x14ac:dyDescent="0.2">
      <c r="B253" s="153" t="str">
        <f>CONCATENATE("R",RIGHT(Commodities!C36))</f>
        <v>R4</v>
      </c>
      <c r="C253" s="153" t="str">
        <f>CONCATENATE("IMP",Commodities!C36,4)</f>
        <v>IMPNGALE44</v>
      </c>
      <c r="D253" s="153" t="str">
        <f>CONCATENATE("Import LNG to Existing terminal in R",RIGHT(Commodities!C36))</f>
        <v>Import LNG to Existing terminal in R4</v>
      </c>
      <c r="E253" s="153" t="s">
        <v>41</v>
      </c>
      <c r="F253" s="153" t="s">
        <v>90</v>
      </c>
      <c r="G253" s="153"/>
      <c r="H253" s="153"/>
      <c r="I253" s="155"/>
    </row>
    <row r="254" spans="2:9" x14ac:dyDescent="0.2">
      <c r="B254" s="153" t="str">
        <f>CONCATENATE("R",RIGHT(Commodities!C37))</f>
        <v>R5</v>
      </c>
      <c r="C254" s="153" t="str">
        <f>CONCATENATE("IMP",Commodities!C37,5)</f>
        <v>IMPNGALE55</v>
      </c>
      <c r="D254" s="153" t="str">
        <f>CONCATENATE("Import LNG to Existing terminal in R",RIGHT(Commodities!C37))</f>
        <v>Import LNG to Existing terminal in R5</v>
      </c>
      <c r="E254" s="153" t="s">
        <v>41</v>
      </c>
      <c r="F254" s="153" t="s">
        <v>90</v>
      </c>
      <c r="G254" s="153"/>
      <c r="H254" s="153"/>
      <c r="I254" s="155"/>
    </row>
    <row r="255" spans="2:9" x14ac:dyDescent="0.2">
      <c r="B255" s="153" t="s">
        <v>127</v>
      </c>
      <c r="C255" s="153"/>
      <c r="D255" s="153"/>
      <c r="E255" s="153"/>
      <c r="F255" s="153"/>
      <c r="G255" s="153"/>
      <c r="H255" s="153"/>
      <c r="I255" s="155"/>
    </row>
    <row r="256" spans="2:9" ht="12" customHeight="1" x14ac:dyDescent="0.2"/>
  </sheetData>
  <phoneticPr fontId="0" type="noConversion"/>
  <pageMargins left="0.75" right="0.75" top="1" bottom="1" header="0.5" footer="0.5"/>
  <pageSetup paperSize="9" orientation="portrait" horizontalDpi="1200" r:id="rId1"/>
  <headerFooter alignWithMargins="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F24"/>
  <sheetViews>
    <sheetView workbookViewId="0">
      <pane xSplit="3" ySplit="7" topLeftCell="D8" activePane="bottomRight" state="frozen"/>
      <selection pane="topRight" activeCell="D1" sqref="D1"/>
      <selection pane="bottomLeft" activeCell="A8" sqref="A8"/>
      <selection pane="bottomRight"/>
    </sheetView>
  </sheetViews>
  <sheetFormatPr defaultRowHeight="12.75" x14ac:dyDescent="0.2"/>
  <cols>
    <col min="1" max="1" width="12" customWidth="1"/>
    <col min="2" max="2" width="11.7109375" customWidth="1"/>
    <col min="3" max="3" width="21.42578125" customWidth="1"/>
    <col min="4" max="4" width="8.7109375" customWidth="1"/>
    <col min="5" max="5" width="18.140625" customWidth="1"/>
    <col min="6" max="6" width="10.28515625" customWidth="1"/>
  </cols>
  <sheetData>
    <row r="1" spans="1:6" x14ac:dyDescent="0.2">
      <c r="A1" s="1" t="s">
        <v>36</v>
      </c>
      <c r="B1" s="2"/>
    </row>
    <row r="4" spans="1:6" ht="18.75" customHeight="1" x14ac:dyDescent="0.2"/>
    <row r="5" spans="1:6" ht="17.25" customHeight="1" x14ac:dyDescent="0.2">
      <c r="C5" s="3"/>
    </row>
    <row r="6" spans="1:6" ht="15.75" customHeight="1" x14ac:dyDescent="0.2"/>
    <row r="7" spans="1:6" x14ac:dyDescent="0.2">
      <c r="B7" s="4" t="s">
        <v>32</v>
      </c>
      <c r="C7" s="1" t="s">
        <v>33</v>
      </c>
      <c r="D7" s="1" t="s">
        <v>29</v>
      </c>
      <c r="E7" s="1" t="s">
        <v>24</v>
      </c>
      <c r="F7" s="1" t="s">
        <v>21</v>
      </c>
    </row>
    <row r="8" spans="1:6" x14ac:dyDescent="0.2">
      <c r="B8" s="1"/>
      <c r="C8" s="1"/>
      <c r="D8" s="1"/>
      <c r="E8" s="3"/>
      <c r="F8" s="1"/>
    </row>
    <row r="10" spans="1:6" x14ac:dyDescent="0.2">
      <c r="B10" s="3"/>
      <c r="C10" s="3"/>
      <c r="D10" s="12"/>
      <c r="E10" s="12"/>
    </row>
    <row r="11" spans="1:6" x14ac:dyDescent="0.2">
      <c r="B11" s="3"/>
      <c r="C11" s="3"/>
    </row>
    <row r="12" spans="1:6" x14ac:dyDescent="0.2">
      <c r="B12" s="3"/>
      <c r="C12" s="3"/>
      <c r="D12" s="3"/>
      <c r="E12" s="3"/>
    </row>
    <row r="13" spans="1:6" x14ac:dyDescent="0.2">
      <c r="B13" s="3"/>
      <c r="C13" s="3"/>
      <c r="D13" s="6"/>
      <c r="E13" s="3"/>
    </row>
    <row r="14" spans="1:6" x14ac:dyDescent="0.2">
      <c r="B14" s="3"/>
      <c r="C14" s="3"/>
      <c r="D14" s="3"/>
      <c r="E14" s="3"/>
    </row>
    <row r="15" spans="1:6" x14ac:dyDescent="0.2">
      <c r="B15" s="3"/>
      <c r="C15" s="3"/>
      <c r="E15" s="3"/>
    </row>
    <row r="16" spans="1:6" x14ac:dyDescent="0.2">
      <c r="B16" s="3"/>
      <c r="C16" s="3"/>
    </row>
    <row r="17" spans="2:5" x14ac:dyDescent="0.2">
      <c r="B17" s="3"/>
      <c r="C17" s="3"/>
      <c r="D17" s="6"/>
      <c r="E17" s="3"/>
    </row>
    <row r="18" spans="2:5" x14ac:dyDescent="0.2">
      <c r="B18" s="4"/>
      <c r="C18" s="3"/>
      <c r="E18" s="3"/>
    </row>
    <row r="19" spans="2:5" x14ac:dyDescent="0.2">
      <c r="E19" s="3"/>
    </row>
    <row r="21" spans="2:5" x14ac:dyDescent="0.2">
      <c r="B21" s="3"/>
      <c r="C21" s="3"/>
      <c r="D21" s="3"/>
      <c r="E21" s="3"/>
    </row>
    <row r="22" spans="2:5" x14ac:dyDescent="0.2">
      <c r="B22" s="3"/>
      <c r="C22" s="3"/>
    </row>
    <row r="23" spans="2:5" x14ac:dyDescent="0.2">
      <c r="B23" s="3"/>
      <c r="C23" s="3"/>
      <c r="E23" s="3"/>
    </row>
    <row r="24" spans="2:5" x14ac:dyDescent="0.2">
      <c r="D24" s="3"/>
      <c r="E24" s="3"/>
    </row>
  </sheetData>
  <phoneticPr fontId="0" type="noConversion"/>
  <pageMargins left="0.75" right="0.75" top="1" bottom="1" header="0.5" footer="0.5"/>
  <pageSetup paperSize="9" orientation="portrait" horizontalDpi="1200" verticalDpi="0" r:id="rId1"/>
  <headerFooter alignWithMargins="0"/>
  <drawing r:id="rId2"/>
  <legacyDrawing r:id="rId3"/>
  <controls>
    <mc:AlternateContent xmlns:mc="http://schemas.openxmlformats.org/markup-compatibility/2006">
      <mc:Choice Requires="x14">
        <control shapeId="10359" r:id="rId4" name="cmdRefreshUnits">
          <controlPr defaultSize="0" autoLine="0" r:id="rId5">
            <anchor moveWithCells="1">
              <from>
                <xdr:col>3</xdr:col>
                <xdr:colOff>19050</xdr:colOff>
                <xdr:row>2</xdr:row>
                <xdr:rowOff>47625</xdr:rowOff>
              </from>
              <to>
                <xdr:col>3</xdr:col>
                <xdr:colOff>571500</xdr:colOff>
                <xdr:row>4</xdr:row>
                <xdr:rowOff>19050</xdr:rowOff>
              </to>
            </anchor>
          </controlPr>
        </control>
      </mc:Choice>
      <mc:Fallback>
        <control shapeId="10359" r:id="rId4" name="cmdRefreshUnits"/>
      </mc:Fallback>
    </mc:AlternateContent>
    <mc:AlternateContent xmlns:mc="http://schemas.openxmlformats.org/markup-compatibility/2006">
      <mc:Choice Requires="x14">
        <control shapeId="10247" r:id="rId6" name="cmdConstraintUnit">
          <controlPr defaultSize="0" autoLine="0" r:id="rId7">
            <anchor moveWithCells="1">
              <from>
                <xdr:col>3</xdr:col>
                <xdr:colOff>19050</xdr:colOff>
                <xdr:row>4</xdr:row>
                <xdr:rowOff>9525</xdr:rowOff>
              </from>
              <to>
                <xdr:col>3</xdr:col>
                <xdr:colOff>571500</xdr:colOff>
                <xdr:row>5</xdr:row>
                <xdr:rowOff>28575</xdr:rowOff>
              </to>
            </anchor>
          </controlPr>
        </control>
      </mc:Choice>
      <mc:Fallback>
        <control shapeId="10247" r:id="rId6" name="cmdConstraintUnit"/>
      </mc:Fallback>
    </mc:AlternateContent>
    <mc:AlternateContent xmlns:mc="http://schemas.openxmlformats.org/markup-compatibility/2006">
      <mc:Choice Requires="x14">
        <control shapeId="10246" r:id="rId8" name="cmdCheckConstraintsSheet">
          <controlPr defaultSize="0" autoLine="0" r:id="rId9">
            <anchor moveWithCells="1">
              <from>
                <xdr:col>0</xdr:col>
                <xdr:colOff>9525</xdr:colOff>
                <xdr:row>3</xdr:row>
                <xdr:rowOff>0</xdr:rowOff>
              </from>
              <to>
                <xdr:col>0</xdr:col>
                <xdr:colOff>790575</xdr:colOff>
                <xdr:row>4</xdr:row>
                <xdr:rowOff>0</xdr:rowOff>
              </to>
            </anchor>
          </controlPr>
        </control>
      </mc:Choice>
      <mc:Fallback>
        <control shapeId="10246" r:id="rId8" name="cmdCheckConstraintsSheet"/>
      </mc:Fallback>
    </mc:AlternateContent>
    <mc:AlternateContent xmlns:mc="http://schemas.openxmlformats.org/markup-compatibility/2006">
      <mc:Choice Requires="x14">
        <control shapeId="10242" r:id="rId10" name="cmdConstraintSets">
          <controlPr defaultSize="0" autoLine="0" r:id="rId11">
            <anchor moveWithCells="1">
              <from>
                <xdr:col>4</xdr:col>
                <xdr:colOff>19050</xdr:colOff>
                <xdr:row>4</xdr:row>
                <xdr:rowOff>19050</xdr:rowOff>
              </from>
              <to>
                <xdr:col>4</xdr:col>
                <xdr:colOff>990600</xdr:colOff>
                <xdr:row>5</xdr:row>
                <xdr:rowOff>38100</xdr:rowOff>
              </to>
            </anchor>
          </controlPr>
        </control>
      </mc:Choice>
      <mc:Fallback>
        <control shapeId="10242" r:id="rId10" name="cmdConstraintSets"/>
      </mc:Fallback>
    </mc:AlternateContent>
  </control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3"/>
  <dimension ref="A1:H23"/>
  <sheetViews>
    <sheetView workbookViewId="0">
      <pane xSplit="4" ySplit="7" topLeftCell="E8" activePane="bottomRight" state="frozen"/>
      <selection pane="topRight" activeCell="E1" sqref="E1"/>
      <selection pane="bottomLeft" activeCell="A8" sqref="A8"/>
      <selection pane="bottomRight"/>
    </sheetView>
  </sheetViews>
  <sheetFormatPr defaultRowHeight="12.75" x14ac:dyDescent="0.2"/>
  <cols>
    <col min="1" max="1" width="10.5703125" customWidth="1"/>
    <col min="2" max="2" width="11.7109375" customWidth="1"/>
    <col min="3" max="3" width="24" customWidth="1"/>
    <col min="4" max="4" width="5.42578125" customWidth="1"/>
    <col min="6" max="6" width="10.140625" bestFit="1" customWidth="1"/>
  </cols>
  <sheetData>
    <row r="1" spans="1:8" x14ac:dyDescent="0.2">
      <c r="A1" s="1" t="s">
        <v>37</v>
      </c>
      <c r="B1" s="2"/>
    </row>
    <row r="3" spans="1:8" ht="15" customHeight="1" x14ac:dyDescent="0.2"/>
    <row r="4" spans="1:8" ht="20.25" customHeight="1" x14ac:dyDescent="0.2"/>
    <row r="5" spans="1:8" ht="19.5" customHeight="1" x14ac:dyDescent="0.2">
      <c r="E5" s="3"/>
      <c r="F5" s="3"/>
      <c r="G5" s="12"/>
      <c r="H5" s="12"/>
    </row>
    <row r="6" spans="1:8" ht="19.5" customHeight="1" x14ac:dyDescent="0.2">
      <c r="E6" s="9"/>
      <c r="F6" s="9"/>
      <c r="G6" s="12"/>
      <c r="H6" s="12"/>
    </row>
    <row r="7" spans="1:8" x14ac:dyDescent="0.2">
      <c r="B7" s="1" t="s">
        <v>25</v>
      </c>
      <c r="C7" s="1" t="s">
        <v>26</v>
      </c>
      <c r="D7" s="1" t="s">
        <v>29</v>
      </c>
      <c r="E7" s="11"/>
      <c r="F7" s="7"/>
      <c r="G7" s="7"/>
      <c r="H7" s="12"/>
    </row>
    <row r="9" spans="1:8" x14ac:dyDescent="0.2">
      <c r="B9" s="9"/>
      <c r="C9" s="9"/>
      <c r="D9" s="9"/>
    </row>
    <row r="10" spans="1:8" x14ac:dyDescent="0.2">
      <c r="B10" s="9"/>
      <c r="C10" s="9"/>
      <c r="D10" s="9"/>
    </row>
    <row r="13" spans="1:8" x14ac:dyDescent="0.2">
      <c r="B13" s="9"/>
      <c r="C13" s="9"/>
      <c r="D13" s="9"/>
    </row>
    <row r="15" spans="1:8" x14ac:dyDescent="0.2">
      <c r="B15" s="9"/>
      <c r="C15" s="9"/>
      <c r="D15" s="9"/>
    </row>
    <row r="17" spans="2:4" x14ac:dyDescent="0.2">
      <c r="B17" s="9"/>
      <c r="C17" s="9"/>
      <c r="D17" s="9"/>
    </row>
    <row r="19" spans="2:4" x14ac:dyDescent="0.2">
      <c r="B19" s="9"/>
      <c r="C19" s="9"/>
      <c r="D19" s="9"/>
    </row>
    <row r="21" spans="2:4" x14ac:dyDescent="0.2">
      <c r="B21" s="9"/>
      <c r="C21" s="9"/>
      <c r="D21" s="9"/>
    </row>
    <row r="23" spans="2:4" x14ac:dyDescent="0.2">
      <c r="B23" s="9"/>
      <c r="C23" s="9"/>
      <c r="D23" s="9"/>
    </row>
  </sheetData>
  <phoneticPr fontId="0" type="noConversion"/>
  <conditionalFormatting sqref="B13">
    <cfRule type="cellIs" dxfId="1" priority="1" stopIfTrue="1" operator="equal">
      <formula>"REF"</formula>
    </cfRule>
  </conditionalFormatting>
  <pageMargins left="0.75" right="0.75" top="1" bottom="1" header="0.5" footer="0.5"/>
  <pageSetup paperSize="9" orientation="landscape" horizontalDpi="1200" verticalDpi="0" r:id="rId1"/>
  <headerFooter alignWithMargins="0"/>
  <drawing r:id="rId2"/>
  <legacyDrawing r:id="rId3"/>
  <controls>
    <mc:AlternateContent xmlns:mc="http://schemas.openxmlformats.org/markup-compatibility/2006">
      <mc:Choice Requires="x14">
        <control shapeId="4299" r:id="rId4" name="cmdRefreshUnits">
          <controlPr defaultSize="0" autoLine="0" r:id="rId5">
            <anchor moveWithCells="1">
              <from>
                <xdr:col>2</xdr:col>
                <xdr:colOff>1409700</xdr:colOff>
                <xdr:row>2</xdr:row>
                <xdr:rowOff>76200</xdr:rowOff>
              </from>
              <to>
                <xdr:col>4</xdr:col>
                <xdr:colOff>0</xdr:colOff>
                <xdr:row>4</xdr:row>
                <xdr:rowOff>0</xdr:rowOff>
              </to>
            </anchor>
          </controlPr>
        </control>
      </mc:Choice>
      <mc:Fallback>
        <control shapeId="4299" r:id="rId4" name="cmdRefreshUnits"/>
      </mc:Fallback>
    </mc:AlternateContent>
    <mc:AlternateContent xmlns:mc="http://schemas.openxmlformats.org/markup-compatibility/2006">
      <mc:Choice Requires="x14">
        <control shapeId="4106" r:id="rId6" name="cmdCheckCommDataSheet">
          <controlPr defaultSize="0" autoLine="0" r:id="rId7">
            <anchor moveWithCells="1">
              <from>
                <xdr:col>0</xdr:col>
                <xdr:colOff>9525</xdr:colOff>
                <xdr:row>3</xdr:row>
                <xdr:rowOff>19050</xdr:rowOff>
              </from>
              <to>
                <xdr:col>0</xdr:col>
                <xdr:colOff>695325</xdr:colOff>
                <xdr:row>4</xdr:row>
                <xdr:rowOff>0</xdr:rowOff>
              </to>
            </anchor>
          </controlPr>
        </control>
      </mc:Choice>
      <mc:Fallback>
        <control shapeId="4106" r:id="rId6" name="cmdCheckCommDataSheet"/>
      </mc:Fallback>
    </mc:AlternateContent>
    <mc:AlternateContent xmlns:mc="http://schemas.openxmlformats.org/markup-compatibility/2006">
      <mc:Choice Requires="x14">
        <control shapeId="4100" r:id="rId8" name="cmdAddParamQualifier">
          <controlPr defaultSize="0" autoLine="0" r:id="rId9">
            <anchor moveWithCells="1">
              <from>
                <xdr:col>0</xdr:col>
                <xdr:colOff>9525</xdr:colOff>
                <xdr:row>5</xdr:row>
                <xdr:rowOff>0</xdr:rowOff>
              </from>
              <to>
                <xdr:col>0</xdr:col>
                <xdr:colOff>695325</xdr:colOff>
                <xdr:row>5</xdr:row>
                <xdr:rowOff>238125</xdr:rowOff>
              </to>
            </anchor>
          </controlPr>
        </control>
      </mc:Choice>
      <mc:Fallback>
        <control shapeId="4100" r:id="rId8" name="cmdAddParamQualifier"/>
      </mc:Fallback>
    </mc:AlternateContent>
    <mc:AlternateContent xmlns:mc="http://schemas.openxmlformats.org/markup-compatibility/2006">
      <mc:Choice Requires="x14">
        <control shapeId="4098" r:id="rId10" name="cmdCommNameAndDesc">
          <controlPr defaultSize="0" autoLine="0" autoPict="0" r:id="rId11">
            <anchor moveWithCells="1">
              <from>
                <xdr:col>1</xdr:col>
                <xdr:colOff>0</xdr:colOff>
                <xdr:row>3</xdr:row>
                <xdr:rowOff>19050</xdr:rowOff>
              </from>
              <to>
                <xdr:col>2</xdr:col>
                <xdr:colOff>1390650</xdr:colOff>
                <xdr:row>4</xdr:row>
                <xdr:rowOff>0</xdr:rowOff>
              </to>
            </anchor>
          </controlPr>
        </control>
      </mc:Choice>
      <mc:Fallback>
        <control shapeId="4098" r:id="rId10" name="cmdCommNameAndDesc"/>
      </mc:Fallback>
    </mc:AlternateContent>
    <mc:AlternateContent xmlns:mc="http://schemas.openxmlformats.org/markup-compatibility/2006">
      <mc:Choice Requires="x14">
        <control shapeId="4097" r:id="rId12" name="cmdAddParameter">
          <controlPr defaultSize="0" autoLine="0" r:id="rId13">
            <anchor moveWithCells="1">
              <from>
                <xdr:col>0</xdr:col>
                <xdr:colOff>9525</xdr:colOff>
                <xdr:row>4</xdr:row>
                <xdr:rowOff>9525</xdr:rowOff>
              </from>
              <to>
                <xdr:col>0</xdr:col>
                <xdr:colOff>695325</xdr:colOff>
                <xdr:row>5</xdr:row>
                <xdr:rowOff>0</xdr:rowOff>
              </to>
            </anchor>
          </controlPr>
        </control>
      </mc:Choice>
      <mc:Fallback>
        <control shapeId="4097" r:id="rId12" name="cmdAddParameter"/>
      </mc:Fallback>
    </mc:AlternateContent>
  </control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4"/>
  <dimension ref="A1:P7"/>
  <sheetViews>
    <sheetView workbookViewId="0">
      <pane xSplit="6" ySplit="7" topLeftCell="G8" activePane="bottomRight" state="frozen"/>
      <selection pane="topRight" activeCell="G1" sqref="G1"/>
      <selection pane="bottomLeft" activeCell="A8" sqref="A8"/>
      <selection pane="bottomRight"/>
    </sheetView>
  </sheetViews>
  <sheetFormatPr defaultRowHeight="12.75" x14ac:dyDescent="0.2"/>
  <cols>
    <col min="1" max="2" width="10.28515625" customWidth="1"/>
    <col min="3" max="3" width="24.28515625" customWidth="1"/>
    <col min="4" max="4" width="7.85546875" customWidth="1"/>
    <col min="6" max="6" width="10.5703125" customWidth="1"/>
    <col min="7" max="7" width="9.85546875" customWidth="1"/>
    <col min="8" max="8" width="8.140625" customWidth="1"/>
    <col min="9" max="11" width="9.28515625" customWidth="1"/>
    <col min="12" max="12" width="12.5703125" customWidth="1"/>
    <col min="13" max="13" width="12.42578125" customWidth="1"/>
  </cols>
  <sheetData>
    <row r="1" spans="1:16" x14ac:dyDescent="0.2">
      <c r="A1" s="1" t="s">
        <v>38</v>
      </c>
      <c r="B1" s="2"/>
    </row>
    <row r="4" spans="1:16" ht="17.25" customHeight="1" x14ac:dyDescent="0.2"/>
    <row r="5" spans="1:16" ht="18" customHeight="1" x14ac:dyDescent="0.2">
      <c r="G5" s="3"/>
      <c r="H5" s="3"/>
      <c r="I5" s="3"/>
      <c r="J5" s="12"/>
      <c r="K5" s="12"/>
      <c r="L5" s="3"/>
      <c r="M5" s="10"/>
      <c r="N5" s="3"/>
      <c r="O5" s="10"/>
      <c r="P5" s="10"/>
    </row>
    <row r="6" spans="1:16" ht="17.25" customHeight="1" x14ac:dyDescent="0.2">
      <c r="G6" s="3"/>
      <c r="H6" s="3"/>
      <c r="I6" s="3"/>
      <c r="J6" s="3"/>
      <c r="K6" s="3"/>
      <c r="L6" s="3"/>
      <c r="M6" s="9"/>
      <c r="N6" s="3"/>
      <c r="O6" s="9"/>
    </row>
    <row r="7" spans="1:16" ht="15.75" customHeight="1" x14ac:dyDescent="0.2">
      <c r="B7" s="1" t="s">
        <v>27</v>
      </c>
      <c r="C7" s="1" t="s">
        <v>28</v>
      </c>
      <c r="D7" s="1" t="s">
        <v>29</v>
      </c>
      <c r="E7" s="1" t="s">
        <v>30</v>
      </c>
      <c r="F7" s="1" t="s">
        <v>31</v>
      </c>
      <c r="G7" s="3"/>
      <c r="H7" s="3"/>
      <c r="I7" s="3"/>
      <c r="J7" s="12"/>
      <c r="K7" s="3"/>
      <c r="L7" s="3"/>
      <c r="M7" s="9"/>
      <c r="N7" s="3"/>
      <c r="P7" s="9"/>
    </row>
  </sheetData>
  <phoneticPr fontId="0" type="noConversion"/>
  <pageMargins left="0.75" right="0.75" top="1" bottom="1" header="0.5" footer="0.5"/>
  <pageSetup paperSize="9" orientation="landscape" horizontalDpi="1200" verticalDpi="0" r:id="rId1"/>
  <headerFooter alignWithMargins="0"/>
  <drawing r:id="rId2"/>
  <legacyDrawing r:id="rId3"/>
  <controls>
    <mc:AlternateContent xmlns:mc="http://schemas.openxmlformats.org/markup-compatibility/2006">
      <mc:Choice Requires="x14">
        <control shapeId="3112" r:id="rId4" name="cmdRefreshUnits">
          <controlPr defaultSize="0" autoLine="0" r:id="rId5">
            <anchor moveWithCells="1">
              <from>
                <xdr:col>3</xdr:col>
                <xdr:colOff>0</xdr:colOff>
                <xdr:row>2</xdr:row>
                <xdr:rowOff>19050</xdr:rowOff>
              </from>
              <to>
                <xdr:col>4</xdr:col>
                <xdr:colOff>28575</xdr:colOff>
                <xdr:row>4</xdr:row>
                <xdr:rowOff>9525</xdr:rowOff>
              </to>
            </anchor>
          </controlPr>
        </control>
      </mc:Choice>
      <mc:Fallback>
        <control shapeId="3112" r:id="rId4" name="cmdRefreshUnits"/>
      </mc:Fallback>
    </mc:AlternateContent>
    <mc:AlternateContent xmlns:mc="http://schemas.openxmlformats.org/markup-compatibility/2006">
      <mc:Choice Requires="x14">
        <control shapeId="3080" r:id="rId6" name="cmdCheckTechDataSheet">
          <controlPr defaultSize="0" autoLine="0" autoPict="0" r:id="rId7">
            <anchor moveWithCells="1">
              <from>
                <xdr:col>0</xdr:col>
                <xdr:colOff>9525</xdr:colOff>
                <xdr:row>2</xdr:row>
                <xdr:rowOff>152400</xdr:rowOff>
              </from>
              <to>
                <xdr:col>1</xdr:col>
                <xdr:colOff>9525</xdr:colOff>
                <xdr:row>4</xdr:row>
                <xdr:rowOff>9525</xdr:rowOff>
              </to>
            </anchor>
          </controlPr>
        </control>
      </mc:Choice>
      <mc:Fallback>
        <control shapeId="3080" r:id="rId6" name="cmdCheckTechDataSheet"/>
      </mc:Fallback>
    </mc:AlternateContent>
    <mc:AlternateContent xmlns:mc="http://schemas.openxmlformats.org/markup-compatibility/2006">
      <mc:Choice Requires="x14">
        <control shapeId="3079" r:id="rId8" name="cmdAddParamQualifier">
          <controlPr defaultSize="0" autoLine="0" autoPict="0" r:id="rId9">
            <anchor moveWithCells="1">
              <from>
                <xdr:col>0</xdr:col>
                <xdr:colOff>9525</xdr:colOff>
                <xdr:row>5</xdr:row>
                <xdr:rowOff>9525</xdr:rowOff>
              </from>
              <to>
                <xdr:col>1</xdr:col>
                <xdr:colOff>9525</xdr:colOff>
                <xdr:row>6</xdr:row>
                <xdr:rowOff>28575</xdr:rowOff>
              </to>
            </anchor>
          </controlPr>
        </control>
      </mc:Choice>
      <mc:Fallback>
        <control shapeId="3079" r:id="rId8" name="cmdAddParamQualifier"/>
      </mc:Fallback>
    </mc:AlternateContent>
    <mc:AlternateContent xmlns:mc="http://schemas.openxmlformats.org/markup-compatibility/2006">
      <mc:Choice Requires="x14">
        <control shapeId="3077" r:id="rId10" name="cmdAddParameter">
          <controlPr defaultSize="0" autoLine="0" r:id="rId11">
            <anchor moveWithCells="1">
              <from>
                <xdr:col>0</xdr:col>
                <xdr:colOff>9525</xdr:colOff>
                <xdr:row>3</xdr:row>
                <xdr:rowOff>200025</xdr:rowOff>
              </from>
              <to>
                <xdr:col>1</xdr:col>
                <xdr:colOff>9525</xdr:colOff>
                <xdr:row>4</xdr:row>
                <xdr:rowOff>219075</xdr:rowOff>
              </to>
            </anchor>
          </controlPr>
        </control>
      </mc:Choice>
      <mc:Fallback>
        <control shapeId="3077" r:id="rId10" name="cmdAddParameter"/>
      </mc:Fallback>
    </mc:AlternateContent>
    <mc:AlternateContent xmlns:mc="http://schemas.openxmlformats.org/markup-compatibility/2006">
      <mc:Choice Requires="x14">
        <control shapeId="3076" r:id="rId12" name="cmdCommOUT">
          <controlPr defaultSize="0" autoLine="0" r:id="rId13">
            <anchor moveWithCells="1">
              <from>
                <xdr:col>5</xdr:col>
                <xdr:colOff>9525</xdr:colOff>
                <xdr:row>2</xdr:row>
                <xdr:rowOff>142875</xdr:rowOff>
              </from>
              <to>
                <xdr:col>6</xdr:col>
                <xdr:colOff>0</xdr:colOff>
                <xdr:row>4</xdr:row>
                <xdr:rowOff>0</xdr:rowOff>
              </to>
            </anchor>
          </controlPr>
        </control>
      </mc:Choice>
      <mc:Fallback>
        <control shapeId="3076" r:id="rId12" name="cmdCommOUT"/>
      </mc:Fallback>
    </mc:AlternateContent>
    <mc:AlternateContent xmlns:mc="http://schemas.openxmlformats.org/markup-compatibility/2006">
      <mc:Choice Requires="x14">
        <control shapeId="3075" r:id="rId14" name="cmdCommIN">
          <controlPr defaultSize="0" autoLine="0" r:id="rId15">
            <anchor moveWithCells="1">
              <from>
                <xdr:col>4</xdr:col>
                <xdr:colOff>9525</xdr:colOff>
                <xdr:row>2</xdr:row>
                <xdr:rowOff>142875</xdr:rowOff>
              </from>
              <to>
                <xdr:col>4</xdr:col>
                <xdr:colOff>600075</xdr:colOff>
                <xdr:row>4</xdr:row>
                <xdr:rowOff>0</xdr:rowOff>
              </to>
            </anchor>
          </controlPr>
        </control>
      </mc:Choice>
      <mc:Fallback>
        <control shapeId="3075" r:id="rId14" name="cmdCommIN"/>
      </mc:Fallback>
    </mc:AlternateContent>
    <mc:AlternateContent xmlns:mc="http://schemas.openxmlformats.org/markup-compatibility/2006">
      <mc:Choice Requires="x14">
        <control shapeId="3074" r:id="rId16" name="cmdTechNameAndDesc">
          <controlPr defaultSize="0" autoLine="0" r:id="rId17">
            <anchor moveWithCells="1">
              <from>
                <xdr:col>1</xdr:col>
                <xdr:colOff>38100</xdr:colOff>
                <xdr:row>2</xdr:row>
                <xdr:rowOff>152400</xdr:rowOff>
              </from>
              <to>
                <xdr:col>2</xdr:col>
                <xdr:colOff>1581150</xdr:colOff>
                <xdr:row>4</xdr:row>
                <xdr:rowOff>9525</xdr:rowOff>
              </to>
            </anchor>
          </controlPr>
        </control>
      </mc:Choice>
      <mc:Fallback>
        <control shapeId="3074" r:id="rId16" name="cmdTechNameAndDesc"/>
      </mc:Fallback>
    </mc:AlternateContent>
  </control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6"/>
  <dimension ref="A1:E18"/>
  <sheetViews>
    <sheetView workbookViewId="0">
      <pane xSplit="5" ySplit="7" topLeftCell="F8" activePane="bottomRight" state="frozen"/>
      <selection pane="topRight" activeCell="G1" sqref="G1"/>
      <selection pane="bottomLeft" activeCell="A8" sqref="A8"/>
      <selection pane="bottomRight" activeCell="A2" sqref="A2"/>
    </sheetView>
  </sheetViews>
  <sheetFormatPr defaultRowHeight="12.75" x14ac:dyDescent="0.2"/>
  <cols>
    <col min="1" max="1" width="10.42578125" customWidth="1"/>
    <col min="2" max="2" width="11.5703125" customWidth="1"/>
    <col min="3" max="3" width="17.5703125" customWidth="1"/>
    <col min="4" max="4" width="5.85546875" customWidth="1"/>
    <col min="5" max="5" width="10.140625" customWidth="1"/>
  </cols>
  <sheetData>
    <row r="1" spans="1:5" x14ac:dyDescent="0.2">
      <c r="A1" s="1" t="s">
        <v>39</v>
      </c>
      <c r="B1" s="2"/>
    </row>
    <row r="4" spans="1:5" ht="17.25" customHeight="1" x14ac:dyDescent="0.2"/>
    <row r="5" spans="1:5" ht="18" customHeight="1" x14ac:dyDescent="0.2"/>
    <row r="6" spans="1:5" ht="17.25" customHeight="1" x14ac:dyDescent="0.2"/>
    <row r="7" spans="1:5" ht="15.75" customHeight="1" x14ac:dyDescent="0.2">
      <c r="B7" s="1" t="s">
        <v>32</v>
      </c>
      <c r="C7" s="1" t="s">
        <v>33</v>
      </c>
      <c r="D7" s="1" t="s">
        <v>29</v>
      </c>
      <c r="E7" s="1" t="s">
        <v>27</v>
      </c>
    </row>
    <row r="8" spans="1:5" x14ac:dyDescent="0.2">
      <c r="B8" s="3"/>
      <c r="E8" s="3"/>
    </row>
    <row r="9" spans="1:5" x14ac:dyDescent="0.2">
      <c r="B9" s="8"/>
      <c r="E9" s="3"/>
    </row>
    <row r="10" spans="1:5" x14ac:dyDescent="0.2">
      <c r="B10" s="8"/>
      <c r="E10" s="3"/>
    </row>
    <row r="11" spans="1:5" x14ac:dyDescent="0.2">
      <c r="B11" s="8"/>
      <c r="E11" s="3"/>
    </row>
    <row r="14" spans="1:5" x14ac:dyDescent="0.2">
      <c r="A14" s="1"/>
    </row>
    <row r="18" spans="1:5" x14ac:dyDescent="0.2">
      <c r="A18" s="1"/>
      <c r="B18" s="1"/>
      <c r="C18" s="1"/>
      <c r="D18" s="1"/>
      <c r="E18" s="1"/>
    </row>
  </sheetData>
  <phoneticPr fontId="0" type="noConversion"/>
  <pageMargins left="0.75" right="0.75" top="1" bottom="1" header="0.5" footer="0.5"/>
  <pageSetup paperSize="9" orientation="landscape" horizontalDpi="1200" verticalDpi="0" r:id="rId1"/>
  <headerFooter alignWithMargins="0"/>
  <drawing r:id="rId2"/>
  <legacyDrawing r:id="rId3"/>
  <controls>
    <mc:AlternateContent xmlns:mc="http://schemas.openxmlformats.org/markup-compatibility/2006">
      <mc:Choice Requires="x14">
        <control shapeId="11374" r:id="rId4" name="cmdRefreshUnits">
          <controlPr defaultSize="0" autoLine="0" r:id="rId5">
            <anchor moveWithCells="1">
              <from>
                <xdr:col>2</xdr:col>
                <xdr:colOff>1009650</xdr:colOff>
                <xdr:row>2</xdr:row>
                <xdr:rowOff>28575</xdr:rowOff>
              </from>
              <to>
                <xdr:col>4</xdr:col>
                <xdr:colOff>0</xdr:colOff>
                <xdr:row>4</xdr:row>
                <xdr:rowOff>19050</xdr:rowOff>
              </to>
            </anchor>
          </controlPr>
        </control>
      </mc:Choice>
      <mc:Fallback>
        <control shapeId="11374" r:id="rId4" name="cmdRefreshUnits"/>
      </mc:Fallback>
    </mc:AlternateContent>
    <mc:AlternateContent xmlns:mc="http://schemas.openxmlformats.org/markup-compatibility/2006">
      <mc:Choice Requires="x14">
        <control shapeId="11361" r:id="rId6" name="cmdAddParamQualifier">
          <controlPr defaultSize="0" autoLine="0" r:id="rId7">
            <anchor moveWithCells="1">
              <from>
                <xdr:col>0</xdr:col>
                <xdr:colOff>9525</xdr:colOff>
                <xdr:row>5</xdr:row>
                <xdr:rowOff>0</xdr:rowOff>
              </from>
              <to>
                <xdr:col>1</xdr:col>
                <xdr:colOff>0</xdr:colOff>
                <xdr:row>6</xdr:row>
                <xdr:rowOff>19050</xdr:rowOff>
              </to>
            </anchor>
          </controlPr>
        </control>
      </mc:Choice>
      <mc:Fallback>
        <control shapeId="11361" r:id="rId6" name="cmdAddParamQualifier"/>
      </mc:Fallback>
    </mc:AlternateContent>
    <mc:AlternateContent xmlns:mc="http://schemas.openxmlformats.org/markup-compatibility/2006">
      <mc:Choice Requires="x14">
        <control shapeId="11271" r:id="rId8" name="cmdCheckConstrDataSheet">
          <controlPr defaultSize="0" autoLine="0" autoPict="0" r:id="rId9">
            <anchor moveWithCells="1">
              <from>
                <xdr:col>0</xdr:col>
                <xdr:colOff>9525</xdr:colOff>
                <xdr:row>2</xdr:row>
                <xdr:rowOff>152400</xdr:rowOff>
              </from>
              <to>
                <xdr:col>1</xdr:col>
                <xdr:colOff>0</xdr:colOff>
                <xdr:row>4</xdr:row>
                <xdr:rowOff>9525</xdr:rowOff>
              </to>
            </anchor>
          </controlPr>
        </control>
      </mc:Choice>
      <mc:Fallback>
        <control shapeId="11271" r:id="rId8" name="cmdCheckConstrDataSheet"/>
      </mc:Fallback>
    </mc:AlternateContent>
    <mc:AlternateContent xmlns:mc="http://schemas.openxmlformats.org/markup-compatibility/2006">
      <mc:Choice Requires="x14">
        <control shapeId="11268" r:id="rId10" name="cmdAddParameter">
          <controlPr defaultSize="0" autoLine="0" r:id="rId11">
            <anchor moveWithCells="1">
              <from>
                <xdr:col>0</xdr:col>
                <xdr:colOff>9525</xdr:colOff>
                <xdr:row>4</xdr:row>
                <xdr:rowOff>0</xdr:rowOff>
              </from>
              <to>
                <xdr:col>1</xdr:col>
                <xdr:colOff>0</xdr:colOff>
                <xdr:row>5</xdr:row>
                <xdr:rowOff>9525</xdr:rowOff>
              </to>
            </anchor>
          </controlPr>
        </control>
      </mc:Choice>
      <mc:Fallback>
        <control shapeId="11268" r:id="rId10" name="cmdAddParameter"/>
      </mc:Fallback>
    </mc:AlternateContent>
    <mc:AlternateContent xmlns:mc="http://schemas.openxmlformats.org/markup-compatibility/2006">
      <mc:Choice Requires="x14">
        <control shapeId="11266" r:id="rId12" name="cmdTechName">
          <controlPr defaultSize="0" autoLine="0" r:id="rId13">
            <anchor moveWithCells="1">
              <from>
                <xdr:col>4</xdr:col>
                <xdr:colOff>0</xdr:colOff>
                <xdr:row>3</xdr:row>
                <xdr:rowOff>0</xdr:rowOff>
              </from>
              <to>
                <xdr:col>4</xdr:col>
                <xdr:colOff>657225</xdr:colOff>
                <xdr:row>4</xdr:row>
                <xdr:rowOff>19050</xdr:rowOff>
              </to>
            </anchor>
          </controlPr>
        </control>
      </mc:Choice>
      <mc:Fallback>
        <control shapeId="11266" r:id="rId12" name="cmdTechName"/>
      </mc:Fallback>
    </mc:AlternateContent>
    <mc:AlternateContent xmlns:mc="http://schemas.openxmlformats.org/markup-compatibility/2006">
      <mc:Choice Requires="x14">
        <control shapeId="11265" r:id="rId14" name="cmdConstrNameAndDesc">
          <controlPr defaultSize="0" autoLine="0" autoPict="0" r:id="rId15">
            <anchor moveWithCells="1">
              <from>
                <xdr:col>1</xdr:col>
                <xdr:colOff>19050</xdr:colOff>
                <xdr:row>3</xdr:row>
                <xdr:rowOff>0</xdr:rowOff>
              </from>
              <to>
                <xdr:col>2</xdr:col>
                <xdr:colOff>1000125</xdr:colOff>
                <xdr:row>4</xdr:row>
                <xdr:rowOff>19050</xdr:rowOff>
              </to>
            </anchor>
          </controlPr>
        </control>
      </mc:Choice>
      <mc:Fallback>
        <control shapeId="11265" r:id="rId14" name="cmdConstrNameAndDesc"/>
      </mc:Fallback>
    </mc:AlternateContent>
  </control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5"/>
  <dimension ref="A1:AL91"/>
  <sheetViews>
    <sheetView zoomScale="80" zoomScaleNormal="80" workbookViewId="0">
      <selection activeCell="Q36" sqref="Q36"/>
    </sheetView>
  </sheetViews>
  <sheetFormatPr defaultColWidth="9.140625" defaultRowHeight="12.75" x14ac:dyDescent="0.2"/>
  <cols>
    <col min="1" max="1" width="36.5703125" style="20" customWidth="1"/>
    <col min="2" max="10" width="11.42578125" style="20" customWidth="1"/>
    <col min="11" max="11" width="20.7109375" style="20" customWidth="1"/>
    <col min="12" max="12" width="9.140625" style="20" customWidth="1"/>
    <col min="13" max="13" width="10" style="20" customWidth="1"/>
    <col min="14" max="20" width="9.140625" style="20"/>
    <col min="21" max="21" width="13.42578125" style="20" bestFit="1" customWidth="1"/>
    <col min="22" max="24" width="9.140625" style="20"/>
    <col min="25" max="25" width="36.5703125" style="20" customWidth="1"/>
    <col min="26" max="33" width="10.5703125" style="20" customWidth="1"/>
    <col min="34" max="36" width="9.140625" style="20"/>
    <col min="37" max="37" width="19.140625" style="20" customWidth="1"/>
    <col min="38" max="16384" width="9.140625" style="20"/>
  </cols>
  <sheetData>
    <row r="1" spans="1:38" ht="18" x14ac:dyDescent="0.2">
      <c r="A1" s="220" t="s">
        <v>220</v>
      </c>
      <c r="B1" s="220"/>
      <c r="C1" s="220"/>
      <c r="D1" s="220"/>
      <c r="E1" s="220"/>
      <c r="F1" s="220"/>
      <c r="G1" s="220"/>
      <c r="H1" s="220"/>
      <c r="I1" s="34"/>
      <c r="J1" s="34"/>
      <c r="Y1" s="220"/>
      <c r="Z1" s="220"/>
      <c r="AA1" s="220"/>
      <c r="AB1" s="220"/>
      <c r="AC1" s="220"/>
      <c r="AD1" s="220"/>
      <c r="AE1" s="220"/>
      <c r="AF1" s="220"/>
      <c r="AG1" s="220"/>
      <c r="AK1" s="31"/>
    </row>
    <row r="2" spans="1:38" ht="18" x14ac:dyDescent="0.2">
      <c r="A2" s="220"/>
      <c r="B2" s="220"/>
      <c r="C2" s="220"/>
      <c r="D2" s="220"/>
      <c r="E2" s="220"/>
      <c r="F2" s="220"/>
      <c r="G2" s="220"/>
      <c r="H2" s="220"/>
      <c r="I2" s="34"/>
      <c r="J2" s="34"/>
      <c r="Y2" s="220"/>
      <c r="Z2" s="220"/>
      <c r="AA2" s="220"/>
      <c r="AB2" s="220"/>
      <c r="AC2" s="220"/>
      <c r="AD2" s="220"/>
      <c r="AE2" s="220"/>
      <c r="AF2" s="220"/>
      <c r="AG2" s="220"/>
    </row>
    <row r="3" spans="1:38" ht="31.5" customHeight="1" x14ac:dyDescent="0.25">
      <c r="A3" s="37" t="s">
        <v>15</v>
      </c>
      <c r="B3" s="38" t="s">
        <v>1058</v>
      </c>
      <c r="C3" s="38" t="s">
        <v>1059</v>
      </c>
      <c r="D3" s="38">
        <v>2015</v>
      </c>
      <c r="E3" s="38">
        <v>2020</v>
      </c>
      <c r="F3" s="38">
        <v>2025</v>
      </c>
      <c r="G3" s="38">
        <v>2030</v>
      </c>
      <c r="H3" s="38">
        <v>2035</v>
      </c>
      <c r="I3" s="38">
        <v>2040</v>
      </c>
      <c r="J3" s="38"/>
      <c r="Y3" s="37"/>
      <c r="Z3" s="38"/>
      <c r="AA3" s="38"/>
      <c r="AB3" s="38"/>
      <c r="AC3" s="38"/>
      <c r="AD3" s="38"/>
      <c r="AE3" s="38"/>
      <c r="AF3" s="38"/>
      <c r="AG3" s="38"/>
    </row>
    <row r="4" spans="1:38" x14ac:dyDescent="0.2">
      <c r="A4" s="39"/>
      <c r="Y4" s="39"/>
    </row>
    <row r="5" spans="1:38" ht="15" x14ac:dyDescent="0.25">
      <c r="A5" s="37" t="s">
        <v>221</v>
      </c>
      <c r="Y5" s="37"/>
      <c r="AK5" s="31"/>
    </row>
    <row r="6" spans="1:38" ht="15" x14ac:dyDescent="0.25">
      <c r="A6" s="37" t="s">
        <v>222</v>
      </c>
      <c r="B6" s="40">
        <v>17.7726020812988</v>
      </c>
      <c r="C6" s="37">
        <v>21.22</v>
      </c>
      <c r="D6" s="40">
        <v>24.329756</v>
      </c>
      <c r="E6" s="40">
        <v>28.812149000000002</v>
      </c>
      <c r="F6" s="40">
        <v>31.609116</v>
      </c>
      <c r="G6" s="40">
        <v>33.242812999999998</v>
      </c>
      <c r="H6" s="40">
        <v>34.918686000000001</v>
      </c>
      <c r="I6" s="40">
        <v>36.377583000000001</v>
      </c>
      <c r="J6" s="40"/>
      <c r="Y6" s="37"/>
      <c r="Z6" s="37"/>
      <c r="AA6" s="37"/>
      <c r="AB6" s="37"/>
      <c r="AC6" s="37"/>
      <c r="AD6" s="37"/>
      <c r="AE6" s="37"/>
      <c r="AF6" s="37"/>
      <c r="AG6" s="37"/>
      <c r="AK6" s="31"/>
      <c r="AL6" s="41"/>
    </row>
    <row r="7" spans="1:38" x14ac:dyDescent="0.2">
      <c r="A7" s="39"/>
      <c r="B7" s="33"/>
      <c r="D7" s="33"/>
      <c r="E7" s="33"/>
      <c r="F7" s="33"/>
      <c r="G7" s="33"/>
      <c r="H7" s="33"/>
      <c r="I7" s="33"/>
      <c r="J7" s="33"/>
      <c r="Y7" s="39"/>
    </row>
    <row r="8" spans="1:38" ht="15" x14ac:dyDescent="0.25">
      <c r="A8" s="37" t="s">
        <v>223</v>
      </c>
      <c r="B8" s="40"/>
      <c r="C8" s="37">
        <v>18.66</v>
      </c>
      <c r="D8" s="40">
        <v>22.213336999999999</v>
      </c>
      <c r="E8" s="40">
        <v>26.654738999999999</v>
      </c>
      <c r="F8" s="40">
        <v>29.519766000000001</v>
      </c>
      <c r="G8" s="40">
        <v>30.822949999999999</v>
      </c>
      <c r="H8" s="40">
        <v>32.458857999999999</v>
      </c>
      <c r="I8" s="40">
        <v>33.428997000000003</v>
      </c>
      <c r="J8" s="40"/>
      <c r="Y8" s="37"/>
      <c r="Z8" s="37"/>
      <c r="AA8" s="37"/>
      <c r="AB8" s="37"/>
      <c r="AC8" s="37"/>
      <c r="AD8" s="37"/>
      <c r="AE8" s="37"/>
      <c r="AF8" s="37"/>
      <c r="AG8" s="37"/>
      <c r="AK8" s="31"/>
    </row>
    <row r="9" spans="1:38" x14ac:dyDescent="0.2">
      <c r="A9" s="39" t="s">
        <v>224</v>
      </c>
      <c r="B9" s="35">
        <v>1.09566950798035</v>
      </c>
      <c r="C9" s="39">
        <v>1.52</v>
      </c>
      <c r="D9" s="35">
        <v>4.2551189999999997</v>
      </c>
      <c r="E9" s="35">
        <v>5.2879639999999997</v>
      </c>
      <c r="F9" s="35">
        <v>6.5266979999999997</v>
      </c>
      <c r="G9" s="35">
        <v>6.5713489999999997</v>
      </c>
      <c r="H9" s="35">
        <v>7.7223309999999996</v>
      </c>
      <c r="I9" s="35">
        <v>8.0838029999999996</v>
      </c>
      <c r="J9" s="35"/>
      <c r="K9" s="25"/>
      <c r="Y9" s="39"/>
      <c r="Z9" s="39"/>
      <c r="AA9" s="39"/>
      <c r="AB9" s="39"/>
      <c r="AC9" s="39"/>
      <c r="AD9" s="39"/>
      <c r="AE9" s="39"/>
      <c r="AF9" s="39"/>
      <c r="AG9" s="39"/>
      <c r="AK9" s="31"/>
      <c r="AL9" s="41"/>
    </row>
    <row r="10" spans="1:38" x14ac:dyDescent="0.2">
      <c r="A10" s="39" t="s">
        <v>225</v>
      </c>
      <c r="B10" s="35">
        <v>4.6516690254211399</v>
      </c>
      <c r="C10" s="39">
        <v>4.8499999999999996</v>
      </c>
      <c r="D10" s="35">
        <v>6.0217070000000001</v>
      </c>
      <c r="E10" s="35">
        <v>8.3274349999999995</v>
      </c>
      <c r="F10" s="35">
        <v>9.7616929999999993</v>
      </c>
      <c r="G10" s="35">
        <v>10.173031999999999</v>
      </c>
      <c r="H10" s="35">
        <v>10.303288999999999</v>
      </c>
      <c r="I10" s="35">
        <v>10.544703</v>
      </c>
      <c r="J10" s="35"/>
      <c r="K10" s="25"/>
      <c r="Y10" s="39"/>
      <c r="Z10" s="39"/>
      <c r="AA10" s="39"/>
      <c r="AB10" s="39"/>
      <c r="AC10" s="39"/>
      <c r="AD10" s="39"/>
      <c r="AE10" s="39"/>
      <c r="AF10" s="39"/>
      <c r="AG10" s="39"/>
      <c r="AK10" s="31"/>
      <c r="AL10" s="41"/>
    </row>
    <row r="11" spans="1:38" x14ac:dyDescent="0.2">
      <c r="A11" s="39" t="s">
        <v>226</v>
      </c>
      <c r="B11" s="35">
        <v>2.4793183803558301</v>
      </c>
      <c r="C11" s="39">
        <v>3.43</v>
      </c>
      <c r="D11" s="35">
        <v>3.387572</v>
      </c>
      <c r="E11" s="35">
        <v>3.7362479999999998</v>
      </c>
      <c r="F11" s="35">
        <v>3.7076069999999999</v>
      </c>
      <c r="G11" s="35">
        <v>3.4862030000000002</v>
      </c>
      <c r="H11" s="35">
        <v>3.278044</v>
      </c>
      <c r="I11" s="35">
        <v>2.9766379999999999</v>
      </c>
      <c r="J11" s="35"/>
      <c r="K11" s="25"/>
      <c r="Y11" s="39"/>
      <c r="Z11" s="39"/>
      <c r="AA11" s="39"/>
      <c r="AB11" s="39"/>
      <c r="AC11" s="39"/>
      <c r="AD11" s="39"/>
      <c r="AE11" s="39"/>
      <c r="AF11" s="39"/>
      <c r="AG11" s="39"/>
      <c r="AK11" s="31"/>
      <c r="AL11" s="41"/>
    </row>
    <row r="12" spans="1:38" x14ac:dyDescent="0.2">
      <c r="A12" s="39" t="s">
        <v>227</v>
      </c>
      <c r="B12" s="35">
        <v>1.8143150806427</v>
      </c>
      <c r="C12" s="39">
        <v>3.59</v>
      </c>
      <c r="D12" s="35">
        <v>3.4546350000000001</v>
      </c>
      <c r="E12" s="35">
        <v>3.461408</v>
      </c>
      <c r="F12" s="35">
        <v>3.271382</v>
      </c>
      <c r="G12" s="35">
        <v>3.288815</v>
      </c>
      <c r="H12" s="35">
        <v>3.3253089999999998</v>
      </c>
      <c r="I12" s="35">
        <v>4.2020949999999999</v>
      </c>
      <c r="J12" s="35"/>
      <c r="K12" s="25"/>
      <c r="Y12" s="39"/>
      <c r="Z12" s="39"/>
      <c r="AA12" s="39"/>
      <c r="AB12" s="39"/>
      <c r="AC12" s="39"/>
      <c r="AD12" s="39"/>
      <c r="AE12" s="39"/>
      <c r="AF12" s="39"/>
      <c r="AG12" s="39"/>
      <c r="AK12" s="31"/>
      <c r="AL12" s="41"/>
    </row>
    <row r="13" spans="1:38" x14ac:dyDescent="0.2">
      <c r="A13" s="39" t="s">
        <v>228</v>
      </c>
      <c r="B13" s="35">
        <v>4.07385349273682</v>
      </c>
      <c r="C13" s="39">
        <v>5.0599999999999996</v>
      </c>
      <c r="D13" s="35">
        <v>4.9434019999999999</v>
      </c>
      <c r="E13" s="35">
        <v>5.6983189999999997</v>
      </c>
      <c r="F13" s="35">
        <v>6.1229630000000004</v>
      </c>
      <c r="G13" s="35">
        <v>7.1913309999999999</v>
      </c>
      <c r="H13" s="35">
        <v>7.7228519999999996</v>
      </c>
      <c r="I13" s="35">
        <v>7.4986879999999996</v>
      </c>
      <c r="J13" s="35"/>
      <c r="K13" s="25"/>
      <c r="Y13" s="39"/>
      <c r="Z13" s="39"/>
      <c r="AA13" s="39"/>
      <c r="AB13" s="39"/>
      <c r="AC13" s="39"/>
      <c r="AD13" s="39"/>
      <c r="AE13" s="39"/>
      <c r="AF13" s="39"/>
      <c r="AG13" s="39"/>
      <c r="AK13" s="31"/>
      <c r="AL13" s="41"/>
    </row>
    <row r="14" spans="1:38" x14ac:dyDescent="0.2">
      <c r="A14" s="39" t="s">
        <v>229</v>
      </c>
      <c r="B14" s="35">
        <v>0.25004801154136702</v>
      </c>
      <c r="C14" s="39">
        <v>0.21</v>
      </c>
      <c r="D14" s="35">
        <v>0.15090200000000001</v>
      </c>
      <c r="E14" s="35">
        <v>0.14336299999999999</v>
      </c>
      <c r="F14" s="35">
        <v>0.12942300000000001</v>
      </c>
      <c r="G14" s="35">
        <v>0.112223</v>
      </c>
      <c r="H14" s="35">
        <v>0.107034</v>
      </c>
      <c r="I14" s="35">
        <v>0.123074</v>
      </c>
      <c r="J14" s="35"/>
      <c r="K14" s="25"/>
      <c r="Y14" s="39"/>
      <c r="Z14" s="39"/>
      <c r="AA14" s="39"/>
      <c r="AB14" s="39"/>
      <c r="AC14" s="39"/>
      <c r="AD14" s="39"/>
      <c r="AE14" s="39"/>
      <c r="AF14" s="39"/>
      <c r="AG14" s="39"/>
      <c r="AK14" s="31"/>
      <c r="AL14" s="41"/>
    </row>
    <row r="15" spans="1:38" x14ac:dyDescent="0.2">
      <c r="A15" s="39"/>
      <c r="B15" s="33"/>
      <c r="D15" s="33"/>
      <c r="E15" s="33"/>
      <c r="F15" s="33"/>
      <c r="G15" s="33"/>
      <c r="H15" s="33"/>
      <c r="I15" s="33"/>
      <c r="J15" s="33"/>
      <c r="K15" s="26"/>
      <c r="Y15" s="39"/>
    </row>
    <row r="16" spans="1:38" ht="15" x14ac:dyDescent="0.25">
      <c r="A16" s="37" t="s">
        <v>230</v>
      </c>
      <c r="B16" s="40"/>
      <c r="C16" s="37">
        <v>2.56</v>
      </c>
      <c r="D16" s="40">
        <v>2.1164200000000002</v>
      </c>
      <c r="E16" s="40">
        <v>2.157413</v>
      </c>
      <c r="F16" s="40">
        <v>2.0893480000000002</v>
      </c>
      <c r="G16" s="40">
        <v>2.4198650000000002</v>
      </c>
      <c r="H16" s="40">
        <v>2.459829</v>
      </c>
      <c r="I16" s="40">
        <v>2.9485869999999998</v>
      </c>
      <c r="J16" s="40"/>
      <c r="Y16" s="37"/>
      <c r="Z16" s="37"/>
      <c r="AA16" s="37"/>
      <c r="AB16" s="37"/>
      <c r="AC16" s="37"/>
      <c r="AD16" s="37"/>
      <c r="AE16" s="37"/>
      <c r="AF16" s="37"/>
      <c r="AG16" s="37"/>
      <c r="AK16" s="31"/>
    </row>
    <row r="17" spans="1:38" x14ac:dyDescent="0.2">
      <c r="A17" s="39" t="s">
        <v>231</v>
      </c>
      <c r="B17" s="35">
        <v>3.3515694141387899</v>
      </c>
      <c r="C17" s="39">
        <v>2.52</v>
      </c>
      <c r="D17" s="35">
        <v>2.0879699999999999</v>
      </c>
      <c r="E17" s="35">
        <v>2.1362839999999998</v>
      </c>
      <c r="F17" s="35">
        <v>2.0720559999999999</v>
      </c>
      <c r="G17" s="35">
        <v>2.3131140000000001</v>
      </c>
      <c r="H17" s="35">
        <v>2.2972519999999998</v>
      </c>
      <c r="I17" s="35">
        <v>2.4850319999999999</v>
      </c>
      <c r="J17" s="35"/>
      <c r="N17" s="218" t="s">
        <v>253</v>
      </c>
      <c r="O17" s="218"/>
      <c r="P17" s="19"/>
      <c r="Y17" s="39"/>
      <c r="Z17" s="39"/>
      <c r="AA17" s="39"/>
      <c r="AB17" s="39"/>
      <c r="AC17" s="39"/>
      <c r="AD17" s="39"/>
      <c r="AE17" s="39"/>
      <c r="AF17" s="39"/>
      <c r="AG17" s="39"/>
      <c r="AK17" s="31"/>
      <c r="AL17" s="41"/>
    </row>
    <row r="18" spans="1:38" x14ac:dyDescent="0.2">
      <c r="A18" s="39" t="s">
        <v>232</v>
      </c>
      <c r="B18" s="35">
        <v>1.9836394786834699</v>
      </c>
      <c r="C18" s="39">
        <v>0.94</v>
      </c>
      <c r="D18" s="35">
        <v>0.60970299999999999</v>
      </c>
      <c r="E18" s="35">
        <v>0.42043700000000001</v>
      </c>
      <c r="F18" s="35">
        <v>0.490367</v>
      </c>
      <c r="G18" s="35">
        <v>0.56764800000000004</v>
      </c>
      <c r="H18" s="35">
        <v>0.57753299999999996</v>
      </c>
      <c r="I18" s="35">
        <v>0.526555</v>
      </c>
      <c r="J18" s="35"/>
      <c r="N18" s="32" t="s">
        <v>236</v>
      </c>
      <c r="O18" s="32" t="s">
        <v>254</v>
      </c>
      <c r="Y18" s="39"/>
      <c r="Z18" s="39"/>
      <c r="AA18" s="39"/>
      <c r="AB18" s="39"/>
      <c r="AC18" s="39"/>
      <c r="AD18" s="39"/>
      <c r="AE18" s="39"/>
      <c r="AF18" s="39"/>
      <c r="AG18" s="39"/>
      <c r="AK18" s="31"/>
      <c r="AL18" s="41"/>
    </row>
    <row r="19" spans="1:38" x14ac:dyDescent="0.2">
      <c r="A19" s="39" t="s">
        <v>233</v>
      </c>
      <c r="B19" s="35">
        <v>1.36793005466461</v>
      </c>
      <c r="C19" s="39">
        <v>1.58</v>
      </c>
      <c r="D19" s="35">
        <v>1.4782660000000001</v>
      </c>
      <c r="E19" s="35">
        <v>1.7158469999999999</v>
      </c>
      <c r="F19" s="35">
        <v>1.5816889999999999</v>
      </c>
      <c r="G19" s="35">
        <v>1.745466</v>
      </c>
      <c r="H19" s="35">
        <v>1.719719</v>
      </c>
      <c r="I19" s="35">
        <v>1.958477</v>
      </c>
      <c r="J19" s="35"/>
      <c r="M19" s="39">
        <v>1</v>
      </c>
      <c r="N19" s="21">
        <v>0.88</v>
      </c>
      <c r="O19" s="21">
        <v>0.4</v>
      </c>
      <c r="Y19" s="39"/>
      <c r="Z19" s="39"/>
      <c r="AA19" s="39"/>
      <c r="AB19" s="39"/>
      <c r="AC19" s="39"/>
      <c r="AD19" s="39"/>
      <c r="AE19" s="39"/>
      <c r="AF19" s="39"/>
      <c r="AG19" s="39"/>
      <c r="AK19" s="31"/>
      <c r="AL19" s="41"/>
    </row>
    <row r="20" spans="1:38" x14ac:dyDescent="0.2">
      <c r="A20" s="39" t="s">
        <v>234</v>
      </c>
      <c r="B20" s="35">
        <v>5.61599358916283E-2</v>
      </c>
      <c r="C20" s="39">
        <v>0.04</v>
      </c>
      <c r="D20" s="35">
        <v>2.845E-2</v>
      </c>
      <c r="E20" s="35">
        <v>2.1129999999999999E-2</v>
      </c>
      <c r="F20" s="35">
        <v>1.7291999999999998E-2</v>
      </c>
      <c r="G20" s="35">
        <v>4.4992999999999998E-2</v>
      </c>
      <c r="H20" s="35">
        <v>0.119662</v>
      </c>
      <c r="I20" s="35">
        <v>0.154505</v>
      </c>
      <c r="J20" s="35"/>
      <c r="M20" s="39">
        <v>2</v>
      </c>
      <c r="N20" s="21">
        <v>0.95</v>
      </c>
      <c r="O20" s="21">
        <v>0.7</v>
      </c>
      <c r="Y20" s="39"/>
      <c r="Z20" s="39"/>
      <c r="AA20" s="39"/>
      <c r="AB20" s="39"/>
      <c r="AC20" s="39"/>
      <c r="AD20" s="39"/>
      <c r="AE20" s="39"/>
      <c r="AF20" s="39"/>
      <c r="AG20" s="39"/>
      <c r="AK20" s="31"/>
      <c r="AL20" s="41"/>
    </row>
    <row r="21" spans="1:38" x14ac:dyDescent="0.2">
      <c r="A21" s="39" t="s">
        <v>235</v>
      </c>
      <c r="B21" s="35">
        <v>0</v>
      </c>
      <c r="C21" s="39">
        <v>0</v>
      </c>
      <c r="D21" s="35">
        <v>0</v>
      </c>
      <c r="E21" s="35">
        <v>0</v>
      </c>
      <c r="F21" s="35">
        <v>0</v>
      </c>
      <c r="G21" s="35">
        <v>6.1758E-2</v>
      </c>
      <c r="H21" s="35">
        <v>4.2915000000000002E-2</v>
      </c>
      <c r="I21" s="35">
        <v>0.30904999999999999</v>
      </c>
      <c r="J21" s="35"/>
      <c r="M21" s="39">
        <v>3</v>
      </c>
      <c r="N21" s="21">
        <v>1</v>
      </c>
      <c r="O21" s="21">
        <v>1</v>
      </c>
      <c r="Y21" s="39"/>
      <c r="Z21" s="39"/>
      <c r="AA21" s="39"/>
      <c r="AB21" s="39"/>
      <c r="AC21" s="39"/>
      <c r="AD21" s="39"/>
      <c r="AE21" s="39"/>
      <c r="AF21" s="39"/>
      <c r="AG21" s="39"/>
      <c r="AK21" s="31"/>
      <c r="AL21" s="41"/>
    </row>
    <row r="22" spans="1:38" x14ac:dyDescent="0.2">
      <c r="A22" s="39"/>
      <c r="D22" s="33"/>
      <c r="E22" s="33"/>
      <c r="F22" s="33"/>
      <c r="G22" s="33"/>
      <c r="H22" s="33"/>
      <c r="I22" s="33"/>
      <c r="J22" s="33"/>
      <c r="M22" s="39">
        <v>4</v>
      </c>
      <c r="N22" s="21">
        <v>1.08</v>
      </c>
      <c r="O22" s="21">
        <v>1.05</v>
      </c>
      <c r="Y22" s="39"/>
    </row>
    <row r="23" spans="1:38" ht="15" x14ac:dyDescent="0.25">
      <c r="A23" s="37" t="s">
        <v>643</v>
      </c>
      <c r="D23" s="33"/>
      <c r="E23" s="33"/>
      <c r="F23" s="33"/>
      <c r="G23" s="33"/>
      <c r="H23" s="33"/>
      <c r="I23" s="33"/>
      <c r="J23" s="33"/>
      <c r="M23" s="39">
        <v>5</v>
      </c>
      <c r="N23" s="21">
        <v>1.1200000000000001</v>
      </c>
      <c r="O23" s="21">
        <v>1.1000000000000001</v>
      </c>
      <c r="R23" s="20" t="s">
        <v>680</v>
      </c>
      <c r="Y23" s="37"/>
    </row>
    <row r="24" spans="1:38" ht="15" x14ac:dyDescent="0.25">
      <c r="A24" s="37" t="s">
        <v>1060</v>
      </c>
      <c r="D24" s="33"/>
      <c r="E24" s="33"/>
      <c r="F24" s="33"/>
      <c r="G24" s="33"/>
      <c r="H24" s="33"/>
      <c r="I24" s="33"/>
      <c r="J24" s="33"/>
      <c r="M24" s="39">
        <v>6</v>
      </c>
      <c r="N24" s="21">
        <v>1.53</v>
      </c>
      <c r="O24" s="21">
        <v>1.2</v>
      </c>
      <c r="R24" s="20" t="s">
        <v>681</v>
      </c>
      <c r="Y24" s="37"/>
      <c r="AK24" s="31"/>
    </row>
    <row r="25" spans="1:38" x14ac:dyDescent="0.2">
      <c r="A25" s="39" t="s">
        <v>644</v>
      </c>
      <c r="B25" s="35">
        <v>8.6000003814697301</v>
      </c>
      <c r="C25" s="39">
        <v>4.3899999999999997</v>
      </c>
      <c r="D25" s="35">
        <v>3.7437749999999999</v>
      </c>
      <c r="E25" s="35">
        <v>4.3764770000000004</v>
      </c>
      <c r="F25" s="35">
        <v>5.2335279999999997</v>
      </c>
      <c r="G25" s="35">
        <v>6.0347580000000001</v>
      </c>
      <c r="H25" s="35">
        <v>6.9247709999999998</v>
      </c>
      <c r="I25" s="35">
        <v>7.6520159999999997</v>
      </c>
      <c r="J25" s="35"/>
      <c r="S25" s="20" t="s">
        <v>682</v>
      </c>
      <c r="Y25" s="39"/>
      <c r="Z25" s="39"/>
      <c r="AA25" s="39"/>
      <c r="AB25" s="39"/>
      <c r="AC25" s="39"/>
      <c r="AD25" s="39"/>
      <c r="AE25" s="39"/>
      <c r="AF25" s="39"/>
      <c r="AG25" s="39"/>
      <c r="AK25" s="31"/>
      <c r="AL25" s="41"/>
    </row>
    <row r="26" spans="1:38" x14ac:dyDescent="0.2">
      <c r="A26" s="39" t="s">
        <v>645</v>
      </c>
      <c r="B26" s="35">
        <v>7.2912626266479501</v>
      </c>
      <c r="C26" s="39">
        <v>4.0599999999999996</v>
      </c>
      <c r="D26" s="35">
        <v>3.451457</v>
      </c>
      <c r="E26" s="35">
        <v>4.2442830000000002</v>
      </c>
      <c r="F26" s="35">
        <v>4.9052020000000001</v>
      </c>
      <c r="G26" s="35">
        <v>5.6313709999999997</v>
      </c>
      <c r="H26" s="35">
        <v>6.350606</v>
      </c>
      <c r="I26" s="35">
        <v>7.2639709999999997</v>
      </c>
      <c r="J26" s="42">
        <f>1+(I26-H26)/H26</f>
        <v>1.1438232823765164</v>
      </c>
      <c r="K26" s="35"/>
      <c r="L26" s="35"/>
      <c r="S26" s="20" t="s">
        <v>683</v>
      </c>
      <c r="Y26" s="39"/>
      <c r="Z26" s="39"/>
      <c r="AA26" s="39"/>
      <c r="AB26" s="39"/>
      <c r="AC26" s="39"/>
      <c r="AD26" s="39"/>
      <c r="AE26" s="39"/>
      <c r="AF26" s="39"/>
      <c r="AG26" s="39"/>
      <c r="AK26" s="31"/>
      <c r="AL26" s="41"/>
    </row>
    <row r="27" spans="1:38" x14ac:dyDescent="0.2">
      <c r="A27" s="39"/>
      <c r="B27" s="33">
        <f>B26/Conv!$J$5/1000000*Conv!$D$38</f>
        <v>6.9107825808752814</v>
      </c>
      <c r="C27" s="33">
        <f>C26/Conv!$J$5/1000000*Conv!$D$43</f>
        <v>3.4975839394205068</v>
      </c>
      <c r="D27" s="33">
        <f>D26/Conv!$J$5/1000000*Conv!$D$45</f>
        <v>2.8659903525442769</v>
      </c>
      <c r="E27" s="33">
        <f>E26/Conv!$J$5/1000000*Conv!$D$45</f>
        <v>3.5243301977882617</v>
      </c>
      <c r="F27" s="33">
        <f>F26/Conv!$J$5/1000000*Conv!$D$45</f>
        <v>4.07313827443914</v>
      </c>
      <c r="G27" s="33">
        <f>G26/Conv!$J$5/1000000*Conv!$D$45</f>
        <v>4.6761280692755607</v>
      </c>
      <c r="H27" s="33">
        <f>H26/Conv!$J$5/1000000*Conv!$D$45</f>
        <v>5.273360070489014</v>
      </c>
      <c r="I27" s="33">
        <f>I26/Conv!$J$5/1000000*Conv!$D$45</f>
        <v>6.0317920249800023</v>
      </c>
      <c r="J27" s="33"/>
      <c r="M27" s="20" t="s">
        <v>730</v>
      </c>
      <c r="P27" s="20">
        <v>1.1000000000000001</v>
      </c>
      <c r="S27" s="20" t="s">
        <v>684</v>
      </c>
      <c r="Y27" s="39"/>
    </row>
    <row r="28" spans="1:38" ht="15" x14ac:dyDescent="0.25">
      <c r="A28" s="37" t="s">
        <v>646</v>
      </c>
      <c r="B28" s="33"/>
      <c r="D28" s="33"/>
      <c r="E28" s="33"/>
      <c r="F28" s="33"/>
      <c r="G28" s="33"/>
      <c r="H28" s="33"/>
      <c r="I28" s="33"/>
      <c r="J28" s="33"/>
      <c r="P28" s="20" t="s">
        <v>825</v>
      </c>
      <c r="Y28" s="37"/>
      <c r="AK28" s="31"/>
    </row>
    <row r="29" spans="1:38" x14ac:dyDescent="0.2">
      <c r="A29" s="39" t="s">
        <v>645</v>
      </c>
      <c r="B29" s="35">
        <v>7.5100002288818404</v>
      </c>
      <c r="C29" s="39">
        <v>4.16</v>
      </c>
      <c r="D29" s="35">
        <v>3.5273889999999999</v>
      </c>
      <c r="E29" s="35">
        <v>4.3376570000000001</v>
      </c>
      <c r="F29" s="35">
        <v>5.0131160000000001</v>
      </c>
      <c r="G29" s="35">
        <v>5.755261</v>
      </c>
      <c r="H29" s="35">
        <v>6.4903190000000004</v>
      </c>
      <c r="I29" s="35">
        <v>7.4237780000000004</v>
      </c>
      <c r="J29" s="35"/>
      <c r="Y29" s="39"/>
      <c r="Z29" s="39"/>
      <c r="AA29" s="39"/>
      <c r="AB29" s="39"/>
      <c r="AC29" s="39"/>
      <c r="AD29" s="39"/>
      <c r="AE29" s="39"/>
      <c r="AF29" s="39"/>
      <c r="AG29" s="39"/>
      <c r="AK29" s="31"/>
      <c r="AL29" s="41"/>
    </row>
    <row r="30" spans="1:38" x14ac:dyDescent="0.2">
      <c r="A30" s="39"/>
      <c r="B30" s="33">
        <f>B29/Conv!$D$6/1000/Conv!$J$5/1000000*Conv!$D$38</f>
        <v>6.9648784698317172</v>
      </c>
      <c r="C30" s="33">
        <f>C29/Conv!$D$6/1000/Conv!$J$5/1000000*Conv!$D$43</f>
        <v>3.506586425725013</v>
      </c>
      <c r="D30" s="33">
        <f>D29/Conv!$D$6/1000/Conv!$J$5/1000000*Conv!$D$45</f>
        <v>2.8659903086694798</v>
      </c>
      <c r="E30" s="33">
        <f>E29/Conv!$D$6/1000/Conv!$J$5/1000000*Conv!$D$45</f>
        <v>3.5243300141641112</v>
      </c>
      <c r="F30" s="33">
        <f>F29/Conv!$D$6/1000/Conv!$J$5/1000000*Conv!$D$45</f>
        <v>4.0731379136908092</v>
      </c>
      <c r="G30" s="33">
        <f>G29/Conv!$D$6/1000/Conv!$J$5/1000000*Conv!$D$45</f>
        <v>4.6761279376511702</v>
      </c>
      <c r="H30" s="33">
        <f>H29/Conv!$D$6/1000/Conv!$J$5/1000000*Conv!$D$45</f>
        <v>5.2733598007402627</v>
      </c>
      <c r="I30" s="33">
        <f>I29/Conv!$D$6/1000/Conv!$J$5/1000000*Conv!$D$45</f>
        <v>6.0317917308563631</v>
      </c>
      <c r="J30" s="33"/>
      <c r="Y30" s="39"/>
    </row>
    <row r="31" spans="1:38" ht="15" x14ac:dyDescent="0.25">
      <c r="A31" s="37" t="s">
        <v>647</v>
      </c>
      <c r="B31" s="33"/>
      <c r="D31" s="33"/>
      <c r="E31" s="33"/>
      <c r="F31" s="33"/>
      <c r="G31" s="33"/>
      <c r="H31" s="33"/>
      <c r="I31" s="33"/>
      <c r="J31" s="33" t="s">
        <v>685</v>
      </c>
      <c r="M31" s="38">
        <v>2005</v>
      </c>
      <c r="N31" s="38">
        <v>2010</v>
      </c>
      <c r="O31" s="38">
        <v>2015</v>
      </c>
      <c r="P31" s="38">
        <v>2020</v>
      </c>
      <c r="Q31" s="38">
        <v>2025</v>
      </c>
      <c r="R31" s="38">
        <v>2030</v>
      </c>
      <c r="S31" s="38">
        <v>2035</v>
      </c>
      <c r="T31" s="38">
        <v>2040</v>
      </c>
      <c r="U31" s="32" t="s">
        <v>250</v>
      </c>
      <c r="Y31" s="37"/>
      <c r="AK31" s="31"/>
    </row>
    <row r="32" spans="1:38" x14ac:dyDescent="0.2">
      <c r="A32" s="39" t="s">
        <v>237</v>
      </c>
      <c r="B32" s="35">
        <v>7.6983780860900897</v>
      </c>
      <c r="C32" s="39">
        <v>4.59</v>
      </c>
      <c r="D32" s="35">
        <v>3.4621490000000001</v>
      </c>
      <c r="E32" s="35">
        <v>4.1064800000000004</v>
      </c>
      <c r="F32" s="35">
        <v>5.4441220000000001</v>
      </c>
      <c r="G32" s="35">
        <v>6.6122529999999999</v>
      </c>
      <c r="H32" s="35">
        <v>6.5718870000000003</v>
      </c>
      <c r="I32" s="35">
        <v>8.1105440000000009</v>
      </c>
      <c r="J32" s="35">
        <v>1.4</v>
      </c>
      <c r="L32" s="20" t="s">
        <v>57</v>
      </c>
      <c r="M32" s="33">
        <f>B32/Conv!$D$6/1000/Conv!$J$5/1000000*Conv!$D$38</f>
        <v>7.1395827097619629</v>
      </c>
      <c r="N32" s="33">
        <f>C32/Conv!$D$6/1000/Conv!$J$5/1000000*Conv!$D$43</f>
        <v>3.8690460803071658</v>
      </c>
      <c r="O32" s="33">
        <f>D32/Conv!$D$6/1000/Conv!$J$5/1000000*Conv!$D$45</f>
        <v>2.8129830538026095</v>
      </c>
      <c r="P32" s="33">
        <f>E32/Conv!$D$6/1000/Conv!$J$5/1000000*Conv!$D$45</f>
        <v>3.3364995702898232</v>
      </c>
      <c r="Q32" s="33">
        <f>F32/Conv!$D$6/1000/Conv!$J$5/1000000*Conv!$D$45</f>
        <v>4.4233286692265317</v>
      </c>
      <c r="R32" s="33">
        <f>G32/Conv!$D$6/1000/Conv!$J$5/1000000*Conv!$D$45</f>
        <v>5.3724307175847903</v>
      </c>
      <c r="S32" s="33">
        <f>H32/Conv!$D$6/1000/Conv!$J$5/1000000*Conv!$D$45</f>
        <v>5.3396334942562165</v>
      </c>
      <c r="T32" s="33">
        <f>I32/Conv!$D$6/1000/Conv!$J$5/1000000*Conv!$D$45</f>
        <v>6.5897865253980781</v>
      </c>
      <c r="U32" s="42">
        <f t="shared" ref="U32:U40" si="0">1+(T32-S32)/S32</f>
        <v>1.2341271236100075</v>
      </c>
      <c r="Y32" s="39"/>
      <c r="Z32" s="39"/>
      <c r="AA32" s="39"/>
      <c r="AB32" s="39"/>
      <c r="AC32" s="39"/>
      <c r="AD32" s="39"/>
      <c r="AE32" s="39"/>
      <c r="AF32" s="39"/>
      <c r="AG32" s="39"/>
      <c r="AK32" s="31"/>
      <c r="AL32" s="41"/>
    </row>
    <row r="33" spans="1:38" x14ac:dyDescent="0.2">
      <c r="A33" s="39" t="s">
        <v>238</v>
      </c>
      <c r="B33" s="35">
        <v>7.8819379806518599</v>
      </c>
      <c r="C33" s="39">
        <v>4.18</v>
      </c>
      <c r="D33" s="35">
        <v>3.5163609999999998</v>
      </c>
      <c r="E33" s="35">
        <v>4.144482</v>
      </c>
      <c r="F33" s="35">
        <v>4.9818379999999998</v>
      </c>
      <c r="G33" s="35">
        <v>5.780926</v>
      </c>
      <c r="H33" s="35">
        <v>6.6548369999999997</v>
      </c>
      <c r="I33" s="35">
        <v>7.4069279999999997</v>
      </c>
      <c r="J33" s="35">
        <v>1.4</v>
      </c>
      <c r="L33" s="20" t="s">
        <v>65</v>
      </c>
      <c r="M33" s="33">
        <f>B32/Conv!$D$6/1000/Conv!$J$5/1000000*Conv!$D$38</f>
        <v>7.1395827097619629</v>
      </c>
      <c r="N33" s="33">
        <f>C32/Conv!$D$6/1000/Conv!$J$5/1000000*Conv!$D$43</f>
        <v>3.8690460803071658</v>
      </c>
      <c r="O33" s="33">
        <f>D32/Conv!$D$6/1000/Conv!$J$5/1000000*Conv!$D$45</f>
        <v>2.8129830538026095</v>
      </c>
      <c r="P33" s="33">
        <f>E32/Conv!$D$6/1000/Conv!$J$5/1000000*Conv!$D$45</f>
        <v>3.3364995702898232</v>
      </c>
      <c r="Q33" s="33">
        <f>F32/Conv!$D$6/1000/Conv!$J$5/1000000*Conv!$D$45</f>
        <v>4.4233286692265317</v>
      </c>
      <c r="R33" s="33">
        <f>G32/Conv!$D$6/1000/Conv!$J$5/1000000*Conv!$D$45</f>
        <v>5.3724307175847903</v>
      </c>
      <c r="S33" s="33">
        <f>H32/Conv!$D$6/1000/Conv!$J$5/1000000*Conv!$D$45</f>
        <v>5.3396334942562165</v>
      </c>
      <c r="T33" s="33">
        <f>I32/Conv!$D$6/1000/Conv!$J$5/1000000*Conv!$D$45</f>
        <v>6.5897865253980781</v>
      </c>
      <c r="U33" s="42">
        <f t="shared" si="0"/>
        <v>1.2341271236100075</v>
      </c>
      <c r="Y33" s="39"/>
      <c r="Z33" s="39"/>
      <c r="AA33" s="39"/>
      <c r="AB33" s="39"/>
      <c r="AC33" s="39"/>
      <c r="AD33" s="39"/>
      <c r="AE33" s="39"/>
      <c r="AF33" s="39"/>
      <c r="AG33" s="39"/>
      <c r="AK33" s="31"/>
      <c r="AL33" s="41"/>
    </row>
    <row r="34" spans="1:38" x14ac:dyDescent="0.2">
      <c r="A34" s="39" t="s">
        <v>239</v>
      </c>
      <c r="B34" s="35">
        <v>7.3497467041015598</v>
      </c>
      <c r="C34" s="39">
        <v>3.85</v>
      </c>
      <c r="D34" s="35">
        <v>3.6933739999999999</v>
      </c>
      <c r="E34" s="35">
        <v>4.7455499999999997</v>
      </c>
      <c r="F34" s="35">
        <v>5.072756</v>
      </c>
      <c r="G34" s="35">
        <v>5.8356640000000004</v>
      </c>
      <c r="H34" s="35">
        <v>6.7762570000000002</v>
      </c>
      <c r="I34" s="35">
        <v>7.5913630000000003</v>
      </c>
      <c r="J34" s="35">
        <v>1.5</v>
      </c>
      <c r="L34" s="20" t="s">
        <v>62</v>
      </c>
      <c r="M34" s="33">
        <f>B32/Conv!$D$6/1000/Conv!$J$5/1000000*Conv!$D$38</f>
        <v>7.1395827097619629</v>
      </c>
      <c r="N34" s="33">
        <f>C32/Conv!$D$6/1000/Conv!$J$5/1000000*Conv!$D$43</f>
        <v>3.8690460803071658</v>
      </c>
      <c r="O34" s="33">
        <f>D32/Conv!$D$6/1000/Conv!$J$5/1000000*Conv!$D$45</f>
        <v>2.8129830538026095</v>
      </c>
      <c r="P34" s="33">
        <f>E32/Conv!$D$6/1000/Conv!$J$5/1000000*Conv!$D$45</f>
        <v>3.3364995702898232</v>
      </c>
      <c r="Q34" s="33">
        <f>F32/Conv!$D$6/1000/Conv!$J$5/1000000*Conv!$D$45</f>
        <v>4.4233286692265317</v>
      </c>
      <c r="R34" s="33">
        <f>G32/Conv!$D$6/1000/Conv!$J$5/1000000*Conv!$D$45</f>
        <v>5.3724307175847903</v>
      </c>
      <c r="S34" s="33">
        <f>H32/Conv!$D$6/1000/Conv!$J$5/1000000*Conv!$D$45</f>
        <v>5.3396334942562165</v>
      </c>
      <c r="T34" s="33">
        <f>I32/Conv!$D$6/1000/Conv!$J$5/1000000*Conv!$D$45</f>
        <v>6.5897865253980781</v>
      </c>
      <c r="U34" s="42">
        <f t="shared" si="0"/>
        <v>1.2341271236100075</v>
      </c>
      <c r="Y34" s="39"/>
      <c r="Z34" s="39"/>
      <c r="AA34" s="39"/>
      <c r="AB34" s="39"/>
      <c r="AC34" s="39"/>
      <c r="AD34" s="39"/>
      <c r="AE34" s="39"/>
      <c r="AF34" s="39"/>
      <c r="AG34" s="39"/>
      <c r="AK34" s="31"/>
      <c r="AL34" s="41"/>
    </row>
    <row r="35" spans="1:38" x14ac:dyDescent="0.2">
      <c r="A35" s="39" t="s">
        <v>240</v>
      </c>
      <c r="B35" s="35">
        <v>7.4758234024047896</v>
      </c>
      <c r="C35" s="39">
        <v>4.21</v>
      </c>
      <c r="D35" s="35">
        <v>3.797485</v>
      </c>
      <c r="E35" s="35">
        <v>4.9007759999999996</v>
      </c>
      <c r="F35" s="35">
        <v>5.2559399999999998</v>
      </c>
      <c r="G35" s="35">
        <v>5.8162190000000002</v>
      </c>
      <c r="H35" s="35">
        <v>6.761253</v>
      </c>
      <c r="I35" s="35">
        <v>7.0148320000000002</v>
      </c>
      <c r="J35" s="35">
        <v>1.5</v>
      </c>
      <c r="L35" s="20" t="s">
        <v>93</v>
      </c>
      <c r="M35" s="33">
        <f>(B34*0.67+B36*0.33)/Conv!$D$6/1000/Conv!$J$5/1000000*Conv!$D$38</f>
        <v>6.632462111815884</v>
      </c>
      <c r="N35" s="33">
        <f>(C34*0.67+C36*0.33)/Conv!$D$6/1000/Conv!$J$5/1000000*Conv!$D$43</f>
        <v>3.2285882999547946</v>
      </c>
      <c r="O35" s="33">
        <f>(D34*0.67+D36*0.33)/Conv!$D$6/1000/Conv!$J$5/1000000*Conv!$D$45</f>
        <v>2.8317146671778817</v>
      </c>
      <c r="P35" s="33">
        <f>(E34*0.67+E36*0.33)/Conv!$D$6/1000/Conv!$J$5/1000000*Conv!$D$45</f>
        <v>3.6307605057241363</v>
      </c>
      <c r="Q35" s="33">
        <f>(F34*0.67+F36*0.33)/Conv!$D$6/1000/Conv!$J$5/1000000*Conv!$D$45</f>
        <v>3.9224537742826806</v>
      </c>
      <c r="R35" s="33">
        <f>(G34*0.67+G36*0.33)/Conv!$D$6/1000/Conv!$J$5/1000000*Conv!$D$45</f>
        <v>4.4561491380726066</v>
      </c>
      <c r="S35" s="33">
        <f>(H34*0.67+H36*0.33)/Conv!$D$6/1000/Conv!$J$5/1000000*Conv!$D$45</f>
        <v>5.243822426086453</v>
      </c>
      <c r="T35" s="33">
        <f>(I34*0.67+I36*0.33)/Conv!$D$6/1000/Conv!$J$5/1000000*Conv!$D$45</f>
        <v>5.940160257107979</v>
      </c>
      <c r="U35" s="42">
        <f t="shared" si="0"/>
        <v>1.1327920311636515</v>
      </c>
      <c r="Y35" s="39"/>
      <c r="Z35" s="39"/>
      <c r="AA35" s="39"/>
      <c r="AB35" s="39"/>
      <c r="AC35" s="39"/>
      <c r="AD35" s="39"/>
      <c r="AE35" s="39"/>
      <c r="AF35" s="39"/>
      <c r="AG35" s="39"/>
      <c r="AK35" s="31"/>
      <c r="AL35" s="41"/>
    </row>
    <row r="36" spans="1:38" x14ac:dyDescent="0.2">
      <c r="A36" s="39" t="s">
        <v>241</v>
      </c>
      <c r="B36" s="35">
        <v>6.7492008209228498</v>
      </c>
      <c r="C36" s="39">
        <v>3.79</v>
      </c>
      <c r="D36" s="35">
        <v>3.062554</v>
      </c>
      <c r="E36" s="35">
        <v>3.9064559999999999</v>
      </c>
      <c r="F36" s="35">
        <v>4.3300340000000004</v>
      </c>
      <c r="G36" s="35">
        <v>4.7715810000000003</v>
      </c>
      <c r="H36" s="35">
        <v>5.7996150000000002</v>
      </c>
      <c r="I36" s="35">
        <v>6.7417790000000002</v>
      </c>
      <c r="J36" s="35">
        <v>1.6</v>
      </c>
      <c r="L36" s="20" t="s">
        <v>92</v>
      </c>
      <c r="M36" s="33">
        <f>B32/Conv!$D$6/1000/Conv!$J$5/1000000*Conv!$D$38</f>
        <v>7.1395827097619629</v>
      </c>
      <c r="N36" s="33">
        <f>C32/Conv!$D$6/1000/Conv!$J$5/1000000*Conv!$D$43</f>
        <v>3.8690460803071658</v>
      </c>
      <c r="O36" s="33">
        <f>D32/Conv!$D$6/1000/Conv!$J$5/1000000*Conv!$D$45</f>
        <v>2.8129830538026095</v>
      </c>
      <c r="P36" s="33">
        <f>E32/Conv!$D$6/1000/Conv!$J$5/1000000*Conv!$D$45</f>
        <v>3.3364995702898232</v>
      </c>
      <c r="Q36" s="33">
        <f>F32/Conv!$D$6/1000/Conv!$J$5/1000000*Conv!$D$45</f>
        <v>4.4233286692265317</v>
      </c>
      <c r="R36" s="33">
        <f>G32/Conv!$D$6/1000/Conv!$J$5/1000000*Conv!$D$45</f>
        <v>5.3724307175847903</v>
      </c>
      <c r="S36" s="33">
        <f>H32/Conv!$D$6/1000/Conv!$J$5/1000000*Conv!$D$45</f>
        <v>5.3396334942562165</v>
      </c>
      <c r="T36" s="33">
        <f>I32/Conv!$D$6/1000/Conv!$J$5/1000000*Conv!$D$45</f>
        <v>6.5897865253980781</v>
      </c>
      <c r="U36" s="42">
        <f t="shared" si="0"/>
        <v>1.2341271236100075</v>
      </c>
      <c r="Y36" s="39"/>
      <c r="Z36" s="39"/>
      <c r="AA36" s="39"/>
      <c r="AB36" s="39"/>
      <c r="AC36" s="39"/>
      <c r="AD36" s="39"/>
      <c r="AE36" s="39"/>
      <c r="AF36" s="39"/>
      <c r="AG36" s="39"/>
      <c r="AK36" s="31"/>
      <c r="AL36" s="41"/>
    </row>
    <row r="37" spans="1:38" x14ac:dyDescent="0.2">
      <c r="A37" s="39" t="s">
        <v>242</v>
      </c>
      <c r="B37" s="35">
        <v>7.5527424812316903</v>
      </c>
      <c r="C37" s="39">
        <v>4.33</v>
      </c>
      <c r="D37" s="35">
        <v>4.3867859999999999</v>
      </c>
      <c r="E37" s="35">
        <v>4.7607379999999999</v>
      </c>
      <c r="F37" s="35">
        <v>5.2818149999999999</v>
      </c>
      <c r="G37" s="35">
        <v>5.6592919999999998</v>
      </c>
      <c r="H37" s="35">
        <v>6.7945289999999998</v>
      </c>
      <c r="I37" s="35">
        <v>7.6236519999999999</v>
      </c>
      <c r="J37" s="35">
        <v>1</v>
      </c>
      <c r="L37" s="20" t="s">
        <v>94</v>
      </c>
      <c r="M37" s="33">
        <f>(B32*0.26+B33*0.74)/Conv!$D$6/1000/Conv!$J$5/1000000*Conv!$D$38</f>
        <v>7.2655573456820033</v>
      </c>
      <c r="N37" s="33">
        <f>(C32*0.26+C33*0.74)/Conv!$D$6/1000/Conv!$J$5/1000000*Conv!$D$43</f>
        <v>3.6133012914694334</v>
      </c>
      <c r="O37" s="33">
        <f>(D32*0.26+D33*0.74)/Conv!$D$6/1000/Conv!$J$5/1000000*Conv!$D$45</f>
        <v>2.845577868067227</v>
      </c>
      <c r="P37" s="33">
        <f>(E32*0.26+E33*0.74)/Conv!$D$6/1000/Conv!$J$5/1000000*Conv!$D$45</f>
        <v>3.3593481671260208</v>
      </c>
      <c r="Q37" s="33">
        <f>(F32*0.26+F33*0.74)/Conv!$D$6/1000/Conv!$J$5/1000000*Conv!$D$45</f>
        <v>4.1453816995979498</v>
      </c>
      <c r="R37" s="33">
        <f>(G32*0.26+G33*0.74)/Conv!$D$6/1000/Conv!$J$5/1000000*Conv!$D$45</f>
        <v>4.8725976703228913</v>
      </c>
      <c r="S37" s="33">
        <f>(H32*0.26+H33*0.74)/Conv!$D$6/1000/Conv!$J$5/1000000*Conv!$D$45</f>
        <v>5.3895069511154006</v>
      </c>
      <c r="T37" s="33">
        <f>(I32*0.26+I33*0.74)/Conv!$D$6/1000/Conv!$J$5/1000000*Conv!$D$45</f>
        <v>6.1667393617882968</v>
      </c>
      <c r="U37" s="42">
        <f t="shared" si="0"/>
        <v>1.1442121547894175</v>
      </c>
      <c r="Y37" s="39"/>
      <c r="Z37" s="39"/>
      <c r="AA37" s="39"/>
      <c r="AB37" s="39"/>
      <c r="AC37" s="39"/>
      <c r="AD37" s="39"/>
      <c r="AE37" s="39"/>
      <c r="AF37" s="39"/>
      <c r="AG37" s="39"/>
      <c r="AK37" s="31"/>
      <c r="AL37" s="41"/>
    </row>
    <row r="38" spans="1:38" x14ac:dyDescent="0.2">
      <c r="A38" s="39"/>
      <c r="B38" s="33"/>
      <c r="D38" s="33"/>
      <c r="E38" s="33"/>
      <c r="F38" s="33"/>
      <c r="G38" s="33"/>
      <c r="H38" s="33"/>
      <c r="I38" s="33"/>
      <c r="J38" s="33"/>
      <c r="L38" s="20" t="s">
        <v>95</v>
      </c>
      <c r="M38" s="33">
        <f>(B33*0.4+B34*0.24+B35*0.25+B40*0.11)/Conv!$D$6/1000/Conv!$J$5/1000000*Conv!$D$38</f>
        <v>7.1082316529956326</v>
      </c>
      <c r="N38" s="33">
        <f>(C33*0.4+C34*0.24+C35*0.25+C40*0.11)/Conv!$D$6/1000/Conv!$J$5/1000000*Conv!$D$43</f>
        <v>3.5325486521462466</v>
      </c>
      <c r="O38" s="33">
        <f>(D33*0.4+D34*0.24+D35*0.25+D40*0.11)/Conv!$D$6/1000/Conv!$J$5/1000000*Conv!$D$45</f>
        <v>2.991627187659176</v>
      </c>
      <c r="P38" s="33">
        <f>(E33*0.4+E34*0.24+E35*0.25+E40*0.11)/Conv!$D$6/1000/Conv!$J$5/1000000*Conv!$D$45</f>
        <v>3.7279213657767616</v>
      </c>
      <c r="Q38" s="33">
        <f>(F33*0.4+F34*0.24+F35*0.25+F40*0.11)/Conv!$D$6/1000/Conv!$J$5/1000000*Conv!$D$45</f>
        <v>4.1502662320093311</v>
      </c>
      <c r="R38" s="33">
        <f>(G33*0.4+G34*0.24+G35*0.25+G40*0.11)/Conv!$D$6/1000/Conv!$J$5/1000000*Conv!$D$45</f>
        <v>4.733050961284488</v>
      </c>
      <c r="S38" s="33">
        <f>(H33*0.4+H34*0.24+H35*0.25+H40*0.11)/Conv!$D$6/1000/Conv!$J$5/1000000*Conv!$D$45</f>
        <v>5.4771501326827243</v>
      </c>
      <c r="T38" s="33">
        <f>(I33*0.4+I34*0.24+I35*0.25+I40*0.11)/Conv!$D$6/1000/Conv!$J$5/1000000*Conv!$D$45</f>
        <v>5.9943983462828303</v>
      </c>
      <c r="U38" s="42">
        <f t="shared" si="0"/>
        <v>1.0944374722382781</v>
      </c>
      <c r="Y38" s="39"/>
    </row>
    <row r="39" spans="1:38" ht="15" x14ac:dyDescent="0.25">
      <c r="A39" s="37" t="s">
        <v>648</v>
      </c>
      <c r="B39" s="33"/>
      <c r="D39" s="33"/>
      <c r="E39" s="33"/>
      <c r="F39" s="33"/>
      <c r="G39" s="33"/>
      <c r="H39" s="33"/>
      <c r="I39" s="33"/>
      <c r="J39" s="33"/>
      <c r="L39" s="20" t="s">
        <v>96</v>
      </c>
      <c r="M39" s="33">
        <f>B36/Conv!$D$6/1000/Conv!$J$5/1000000*Conv!$D$38</f>
        <v>6.259302537093931</v>
      </c>
      <c r="N39" s="33">
        <f>C36/Conv!$D$6/1000/Conv!$J$5/1000000*Conv!$D$43</f>
        <v>3.1947025368985091</v>
      </c>
      <c r="O39" s="33">
        <f>D36/Conv!$D$6/1000/Conv!$J$5/1000000*Conv!$D$45</f>
        <v>2.4883136177430254</v>
      </c>
      <c r="P39" s="33">
        <f>E36/Conv!$D$6/1000/Conv!$J$5/1000000*Conv!$D$45</f>
        <v>3.173980821861083</v>
      </c>
      <c r="Q39" s="33">
        <f>F36/Conv!$D$6/1000/Conv!$J$5/1000000*Conv!$D$45</f>
        <v>3.518136355306813</v>
      </c>
      <c r="R39" s="33">
        <f>G36/Conv!$D$6/1000/Conv!$J$5/1000000*Conv!$D$45</f>
        <v>3.8768916337357258</v>
      </c>
      <c r="S39" s="33">
        <f>H36/Conv!$D$6/1000/Conv!$J$5/1000000*Conv!$D$45</f>
        <v>4.7121653959952097</v>
      </c>
      <c r="T39" s="33">
        <f>I36/Conv!$D$6/1000/Conv!$J$5/1000000*Conv!$D$45</f>
        <v>5.4776701059030968</v>
      </c>
      <c r="U39" s="42">
        <f t="shared" si="0"/>
        <v>1.162452852473828</v>
      </c>
      <c r="Y39" s="37"/>
      <c r="AK39" s="31"/>
    </row>
    <row r="40" spans="1:38" x14ac:dyDescent="0.2">
      <c r="A40" s="39" t="s">
        <v>243</v>
      </c>
      <c r="B40" s="35">
        <v>7.9900274276733398</v>
      </c>
      <c r="C40" s="39">
        <v>4.93</v>
      </c>
      <c r="D40" s="35">
        <v>3.9972210000000001</v>
      </c>
      <c r="E40" s="35">
        <v>5.1483030000000003</v>
      </c>
      <c r="F40" s="35">
        <v>5.307836</v>
      </c>
      <c r="G40" s="35">
        <v>5.9848720000000002</v>
      </c>
      <c r="H40" s="35">
        <v>6.9326299999999996</v>
      </c>
      <c r="I40" s="35">
        <v>7.6304439999999998</v>
      </c>
      <c r="J40" s="35"/>
      <c r="L40" s="20" t="s">
        <v>97</v>
      </c>
      <c r="M40" s="33">
        <f>B37/Conv!$D$6/1000/Conv!$J$5/1000000*Conv!$D$38</f>
        <v>7.0045182280302205</v>
      </c>
      <c r="N40" s="33">
        <f>C37/Conv!$D$6/1000/Conv!$J$5/1000000*Conv!$D$43</f>
        <v>3.6498844286993517</v>
      </c>
      <c r="O40" s="33">
        <f>D37/Conv!$D$6/1000/Conv!$J$5/1000000*Conv!$D$45</f>
        <v>3.5642471420665407</v>
      </c>
      <c r="P40" s="33">
        <f>E37/Conv!$D$6/1000/Conv!$J$5/1000000*Conv!$D$45</f>
        <v>3.8680817369772718</v>
      </c>
      <c r="Q40" s="33">
        <f>F37/Conv!$D$6/1000/Conv!$J$5/1000000*Conv!$D$45</f>
        <v>4.291454841579732</v>
      </c>
      <c r="R40" s="33">
        <f>G37/Conv!$D$6/1000/Conv!$J$5/1000000*Conv!$D$45</f>
        <v>4.5981534857456099</v>
      </c>
      <c r="S40" s="33">
        <f>H37/Conv!$D$6/1000/Conv!$J$5/1000000*Conv!$D$45</f>
        <v>5.5205292826999619</v>
      </c>
      <c r="T40" s="33">
        <f>I37/Conv!$D$6/1000/Conv!$J$5/1000000*Conv!$D$45</f>
        <v>6.1941886048487129</v>
      </c>
      <c r="U40" s="42">
        <f t="shared" si="0"/>
        <v>1.1220280316707749</v>
      </c>
      <c r="Y40" s="39"/>
      <c r="Z40" s="39"/>
      <c r="AA40" s="39"/>
      <c r="AB40" s="39"/>
      <c r="AC40" s="39"/>
      <c r="AD40" s="39"/>
      <c r="AE40" s="39"/>
      <c r="AF40" s="39"/>
      <c r="AG40" s="39"/>
      <c r="AK40" s="31"/>
      <c r="AL40" s="41"/>
    </row>
    <row r="41" spans="1:38" x14ac:dyDescent="0.2">
      <c r="A41" s="39" t="s">
        <v>244</v>
      </c>
      <c r="B41" s="35">
        <v>7.5570187568664604</v>
      </c>
      <c r="C41" s="39">
        <v>4.5199999999999996</v>
      </c>
      <c r="D41" s="35">
        <v>4.7603099999999996</v>
      </c>
      <c r="E41" s="35">
        <v>5.3041640000000001</v>
      </c>
      <c r="F41" s="35">
        <v>5.7574639999999997</v>
      </c>
      <c r="G41" s="35">
        <v>7.0714610000000002</v>
      </c>
      <c r="H41" s="35">
        <v>6.6764460000000003</v>
      </c>
      <c r="I41" s="35">
        <v>7.5662269999999996</v>
      </c>
      <c r="J41" s="35"/>
      <c r="M41" s="33"/>
      <c r="Y41" s="39"/>
      <c r="Z41" s="39"/>
      <c r="AA41" s="39"/>
      <c r="AB41" s="39"/>
      <c r="AC41" s="39"/>
      <c r="AD41" s="39"/>
      <c r="AE41" s="39"/>
      <c r="AF41" s="39"/>
      <c r="AG41" s="39"/>
      <c r="AK41" s="31"/>
      <c r="AL41" s="41"/>
    </row>
    <row r="42" spans="1:38" x14ac:dyDescent="0.2">
      <c r="A42" s="39" t="s">
        <v>245</v>
      </c>
      <c r="B42" s="35">
        <v>0</v>
      </c>
      <c r="C42" s="39">
        <v>4.25</v>
      </c>
      <c r="D42" s="35">
        <v>4.1038829999999997</v>
      </c>
      <c r="E42" s="35">
        <v>5.0207639999999998</v>
      </c>
      <c r="F42" s="35">
        <v>5.2019260000000003</v>
      </c>
      <c r="G42" s="35">
        <v>7.7119309999999999</v>
      </c>
      <c r="H42" s="35">
        <v>8.8160000000000007</v>
      </c>
      <c r="I42" s="35">
        <v>8.7189420000000002</v>
      </c>
      <c r="J42" s="35"/>
      <c r="L42" s="20" t="s">
        <v>824</v>
      </c>
      <c r="M42" s="33">
        <f>B25/Conv!$D$6/1000/Conv!$J$5/1000000*Conv!$D$38</f>
        <v>7.9757597432671776</v>
      </c>
      <c r="N42" s="33">
        <f>C25/Conv!$D$6/1000/Conv!$J$5/1000000*Conv!$D$43</f>
        <v>3.7004601944550011</v>
      </c>
      <c r="O42" s="33">
        <f>D25/Conv!$D$6/1000/Conv!$J$5/1000000*Conv!$D$45</f>
        <v>3.0418031206195519</v>
      </c>
      <c r="P42" s="33">
        <f>E25/Conv!$D$6/1000/Conv!$J$5/1000000*Conv!$D$45</f>
        <v>3.5558711183016332</v>
      </c>
      <c r="Q42" s="33">
        <f>F25/Conv!$D$6/1000/Conv!$J$5/1000000*Conv!$D$45</f>
        <v>4.2522218355135672</v>
      </c>
      <c r="R42" s="33">
        <f>G25/Conv!$D$6/1000/Conv!$J$5/1000000*Conv!$D$45</f>
        <v>4.9032181999676281</v>
      </c>
      <c r="S42" s="33">
        <f>H25/Conv!$D$6/1000/Conv!$J$5/1000000*Conv!$D$45</f>
        <v>5.6263504183279656</v>
      </c>
      <c r="T42" s="33">
        <f>I25/Conv!$D$6/1000/Conv!$J$5/1000000*Conv!$D$45</f>
        <v>6.2172342482736669</v>
      </c>
      <c r="U42" s="42">
        <f>1+(T42-S42)/S42</f>
        <v>1.105020801409895</v>
      </c>
      <c r="Y42" s="39"/>
      <c r="Z42" s="39"/>
      <c r="AA42" s="39"/>
      <c r="AB42" s="39"/>
      <c r="AC42" s="39"/>
      <c r="AD42" s="39"/>
      <c r="AE42" s="39"/>
      <c r="AF42" s="39"/>
      <c r="AG42" s="39"/>
      <c r="AK42" s="31"/>
      <c r="AL42" s="41"/>
    </row>
    <row r="43" spans="1:38" x14ac:dyDescent="0.2">
      <c r="A43" s="39"/>
      <c r="Y43" s="39"/>
    </row>
    <row r="44" spans="1:38" ht="15" customHeight="1" x14ac:dyDescent="0.2">
      <c r="A44" s="219" t="s">
        <v>246</v>
      </c>
      <c r="B44" s="219"/>
      <c r="C44" s="219"/>
      <c r="D44" s="219"/>
      <c r="E44" s="219"/>
      <c r="F44" s="219"/>
      <c r="G44" s="219"/>
      <c r="H44" s="219"/>
      <c r="I44" s="219"/>
      <c r="J44" s="39"/>
      <c r="Y44" s="219"/>
      <c r="Z44" s="219"/>
      <c r="AA44" s="219"/>
      <c r="AB44" s="219"/>
      <c r="AC44" s="219"/>
      <c r="AD44" s="219"/>
      <c r="AE44" s="219"/>
      <c r="AF44" s="219"/>
      <c r="AG44" s="219"/>
    </row>
    <row r="45" spans="1:38" ht="15" customHeight="1" x14ac:dyDescent="0.2">
      <c r="A45" s="219" t="s">
        <v>247</v>
      </c>
      <c r="B45" s="219"/>
      <c r="C45" s="219"/>
      <c r="D45" s="219"/>
      <c r="E45" s="219"/>
      <c r="F45" s="219"/>
      <c r="G45" s="219"/>
      <c r="H45" s="219"/>
      <c r="I45" s="219"/>
      <c r="J45" s="39"/>
      <c r="Y45" s="219"/>
      <c r="Z45" s="219"/>
      <c r="AA45" s="219"/>
      <c r="AB45" s="219"/>
      <c r="AC45" s="219"/>
      <c r="AD45" s="219"/>
      <c r="AE45" s="219"/>
      <c r="AF45" s="219"/>
      <c r="AG45" s="219"/>
    </row>
    <row r="46" spans="1:38" ht="15" customHeight="1" x14ac:dyDescent="0.2">
      <c r="A46" s="219" t="s">
        <v>248</v>
      </c>
      <c r="B46" s="219"/>
      <c r="C46" s="219"/>
      <c r="D46" s="219"/>
      <c r="E46" s="219"/>
      <c r="F46" s="219"/>
      <c r="G46" s="219"/>
      <c r="H46" s="219"/>
      <c r="I46" s="219"/>
      <c r="J46" s="39"/>
      <c r="K46" s="36"/>
      <c r="L46" s="33"/>
      <c r="M46" s="33"/>
      <c r="N46" s="33"/>
      <c r="O46" s="33"/>
      <c r="P46" s="33"/>
      <c r="Y46" s="219"/>
      <c r="Z46" s="219"/>
      <c r="AA46" s="219"/>
      <c r="AB46" s="219"/>
      <c r="AC46" s="219"/>
      <c r="AD46" s="219"/>
      <c r="AE46" s="219"/>
      <c r="AF46" s="219"/>
      <c r="AG46" s="219"/>
    </row>
    <row r="47" spans="1:38" ht="15" customHeight="1" x14ac:dyDescent="0.2">
      <c r="A47" s="219" t="s">
        <v>249</v>
      </c>
      <c r="B47" s="219"/>
      <c r="C47" s="219"/>
      <c r="D47" s="219"/>
      <c r="E47" s="219"/>
      <c r="F47" s="219"/>
      <c r="G47" s="219"/>
      <c r="H47" s="219"/>
      <c r="I47" s="219"/>
      <c r="J47" s="39"/>
      <c r="K47" s="36"/>
      <c r="L47" s="33"/>
      <c r="M47" s="33"/>
      <c r="N47" s="33"/>
      <c r="O47" s="33"/>
      <c r="P47" s="33"/>
      <c r="Y47" s="219"/>
      <c r="Z47" s="219"/>
      <c r="AA47" s="219"/>
      <c r="AB47" s="219"/>
      <c r="AC47" s="219"/>
      <c r="AD47" s="219"/>
      <c r="AE47" s="219"/>
      <c r="AF47" s="219"/>
      <c r="AG47" s="219"/>
    </row>
    <row r="48" spans="1:38" ht="15" customHeight="1" x14ac:dyDescent="0.2">
      <c r="A48" s="219" t="s">
        <v>649</v>
      </c>
      <c r="B48" s="219"/>
      <c r="C48" s="219"/>
      <c r="D48" s="219"/>
      <c r="E48" s="219"/>
      <c r="F48" s="219"/>
      <c r="G48" s="219"/>
      <c r="H48" s="219"/>
      <c r="I48" s="219"/>
      <c r="J48" s="39"/>
      <c r="K48" s="36"/>
      <c r="L48" s="33"/>
      <c r="M48" s="33"/>
      <c r="N48" s="33"/>
      <c r="O48" s="33"/>
      <c r="P48" s="33"/>
      <c r="Y48" s="219"/>
      <c r="Z48" s="219"/>
      <c r="AA48" s="219"/>
      <c r="AB48" s="219"/>
      <c r="AC48" s="219"/>
      <c r="AD48" s="219"/>
      <c r="AE48" s="219"/>
      <c r="AF48" s="219"/>
      <c r="AG48" s="219"/>
    </row>
    <row r="49" spans="1:33" ht="30" customHeight="1" x14ac:dyDescent="0.2">
      <c r="A49" s="219" t="s">
        <v>650</v>
      </c>
      <c r="B49" s="219"/>
      <c r="C49" s="219"/>
      <c r="D49" s="219"/>
      <c r="E49" s="219"/>
      <c r="F49" s="219"/>
      <c r="G49" s="219"/>
      <c r="H49" s="219"/>
      <c r="I49" s="219"/>
      <c r="J49" s="39"/>
      <c r="K49" s="36"/>
      <c r="L49" s="33"/>
      <c r="M49" s="33"/>
      <c r="N49" s="33"/>
      <c r="O49" s="33"/>
      <c r="P49" s="33"/>
      <c r="Y49" s="219"/>
      <c r="Z49" s="219"/>
      <c r="AA49" s="219"/>
      <c r="AB49" s="219"/>
      <c r="AC49" s="219"/>
      <c r="AD49" s="219"/>
      <c r="AE49" s="219"/>
      <c r="AF49" s="219"/>
      <c r="AG49" s="219"/>
    </row>
    <row r="50" spans="1:33" ht="15" customHeight="1" x14ac:dyDescent="0.2">
      <c r="A50" s="219" t="s">
        <v>651</v>
      </c>
      <c r="B50" s="219"/>
      <c r="C50" s="219"/>
      <c r="D50" s="219"/>
      <c r="E50" s="219"/>
      <c r="F50" s="219"/>
      <c r="G50" s="219"/>
      <c r="H50" s="219"/>
      <c r="I50" s="219"/>
      <c r="J50" s="39"/>
      <c r="K50" s="36"/>
      <c r="L50" s="33"/>
      <c r="M50" s="33"/>
      <c r="N50" s="33"/>
      <c r="O50" s="33"/>
      <c r="P50" s="33"/>
      <c r="Y50" s="219"/>
      <c r="Z50" s="219"/>
      <c r="AA50" s="219"/>
      <c r="AB50" s="219"/>
      <c r="AC50" s="219"/>
      <c r="AD50" s="219"/>
      <c r="AE50" s="219"/>
      <c r="AF50" s="219"/>
      <c r="AG50" s="219"/>
    </row>
    <row r="51" spans="1:33" ht="15" customHeight="1" x14ac:dyDescent="0.2">
      <c r="A51" s="219" t="s">
        <v>652</v>
      </c>
      <c r="B51" s="219"/>
      <c r="C51" s="219"/>
      <c r="D51" s="219"/>
      <c r="E51" s="219"/>
      <c r="F51" s="219"/>
      <c r="G51" s="219"/>
      <c r="H51" s="219"/>
      <c r="I51" s="219"/>
      <c r="J51" s="39"/>
      <c r="K51" s="36"/>
      <c r="L51" s="33"/>
      <c r="M51" s="33"/>
      <c r="N51" s="33"/>
      <c r="O51" s="33"/>
      <c r="P51" s="33"/>
      <c r="Y51" s="219"/>
      <c r="Z51" s="219"/>
      <c r="AA51" s="219"/>
      <c r="AB51" s="219"/>
      <c r="AC51" s="219"/>
      <c r="AD51" s="219"/>
      <c r="AE51" s="219"/>
      <c r="AF51" s="219"/>
      <c r="AG51" s="219"/>
    </row>
    <row r="52" spans="1:33" ht="15" customHeight="1" x14ac:dyDescent="0.2">
      <c r="A52" s="219" t="s">
        <v>653</v>
      </c>
      <c r="B52" s="219"/>
      <c r="C52" s="219"/>
      <c r="D52" s="219"/>
      <c r="E52" s="219"/>
      <c r="F52" s="219"/>
      <c r="G52" s="219"/>
      <c r="H52" s="219"/>
      <c r="I52" s="219"/>
      <c r="J52" s="39"/>
      <c r="Y52" s="219"/>
      <c r="Z52" s="219"/>
      <c r="AA52" s="219"/>
      <c r="AB52" s="219"/>
      <c r="AC52" s="219"/>
      <c r="AD52" s="219"/>
      <c r="AE52" s="219"/>
      <c r="AF52" s="219"/>
      <c r="AG52" s="219"/>
    </row>
    <row r="53" spans="1:33" x14ac:dyDescent="0.2">
      <c r="A53" s="219" t="s">
        <v>654</v>
      </c>
      <c r="B53" s="219"/>
      <c r="C53" s="219"/>
      <c r="D53" s="219"/>
      <c r="E53" s="219"/>
      <c r="F53" s="219"/>
      <c r="G53" s="219"/>
      <c r="H53" s="219"/>
      <c r="I53" s="219"/>
      <c r="J53" s="39"/>
      <c r="Y53" s="219"/>
      <c r="Z53" s="219"/>
      <c r="AA53" s="219"/>
      <c r="AB53" s="219"/>
      <c r="AC53" s="219"/>
      <c r="AD53" s="219"/>
      <c r="AE53" s="219"/>
      <c r="AF53" s="219"/>
      <c r="AG53" s="219"/>
    </row>
    <row r="54" spans="1:33" x14ac:dyDescent="0.2">
      <c r="A54" s="219" t="s">
        <v>655</v>
      </c>
      <c r="B54" s="219"/>
      <c r="C54" s="219"/>
      <c r="D54" s="219"/>
      <c r="E54" s="219"/>
      <c r="F54" s="219"/>
      <c r="G54" s="219"/>
      <c r="H54" s="219"/>
      <c r="I54" s="219"/>
      <c r="J54" s="39"/>
      <c r="Y54" s="219"/>
      <c r="Z54" s="219"/>
      <c r="AA54" s="219"/>
      <c r="AB54" s="219"/>
      <c r="AC54" s="219"/>
      <c r="AD54" s="219"/>
      <c r="AE54" s="219"/>
      <c r="AF54" s="219"/>
      <c r="AG54" s="219"/>
    </row>
    <row r="55" spans="1:33" x14ac:dyDescent="0.2">
      <c r="A55" s="219" t="s">
        <v>656</v>
      </c>
      <c r="B55" s="219"/>
      <c r="C55" s="219"/>
      <c r="D55" s="219"/>
      <c r="E55" s="219"/>
      <c r="F55" s="219"/>
      <c r="G55" s="219"/>
      <c r="H55" s="219"/>
      <c r="I55" s="219"/>
      <c r="J55" s="39"/>
      <c r="Y55" s="219"/>
      <c r="Z55" s="219"/>
      <c r="AA55" s="219"/>
      <c r="AB55" s="219"/>
      <c r="AC55" s="219"/>
      <c r="AD55" s="219"/>
      <c r="AE55" s="219"/>
      <c r="AF55" s="219"/>
      <c r="AG55" s="219"/>
    </row>
    <row r="56" spans="1:33" x14ac:dyDescent="0.2">
      <c r="Y56" s="39"/>
      <c r="Z56" s="39"/>
      <c r="AA56" s="39"/>
      <c r="AB56" s="39"/>
      <c r="AC56" s="39"/>
      <c r="AD56" s="39"/>
      <c r="AE56" s="39"/>
      <c r="AF56" s="39"/>
      <c r="AG56" s="39"/>
    </row>
    <row r="57" spans="1:33" x14ac:dyDescent="0.2">
      <c r="Y57" s="39"/>
      <c r="Z57" s="39"/>
      <c r="AA57" s="39"/>
      <c r="AB57" s="39"/>
      <c r="AC57" s="39"/>
      <c r="AD57" s="39"/>
      <c r="AE57" s="39"/>
      <c r="AF57" s="39"/>
      <c r="AG57" s="39"/>
    </row>
    <row r="58" spans="1:33" x14ac:dyDescent="0.2">
      <c r="Y58" s="39"/>
      <c r="Z58" s="39"/>
      <c r="AA58" s="39"/>
      <c r="AB58" s="39"/>
      <c r="AC58" s="39"/>
      <c r="AD58" s="39"/>
      <c r="AE58" s="39"/>
      <c r="AF58" s="39"/>
      <c r="AG58" s="39"/>
    </row>
    <row r="59" spans="1:33" ht="18" x14ac:dyDescent="0.2">
      <c r="A59" s="220" t="s">
        <v>281</v>
      </c>
      <c r="B59" s="220"/>
      <c r="C59" s="220"/>
      <c r="D59" s="220"/>
      <c r="E59" s="220"/>
      <c r="F59" s="220"/>
      <c r="G59" s="220"/>
      <c r="H59" s="220"/>
      <c r="I59" s="34"/>
      <c r="J59" s="34"/>
    </row>
    <row r="60" spans="1:33" ht="18" x14ac:dyDescent="0.2">
      <c r="A60" s="220"/>
      <c r="B60" s="220"/>
      <c r="C60" s="220"/>
      <c r="D60" s="220"/>
      <c r="E60" s="220"/>
      <c r="F60" s="220"/>
      <c r="G60" s="220"/>
      <c r="H60" s="220"/>
      <c r="I60" s="34"/>
      <c r="J60" s="34"/>
    </row>
    <row r="61" spans="1:33" ht="30" x14ac:dyDescent="0.25">
      <c r="A61" s="37" t="s">
        <v>282</v>
      </c>
      <c r="B61" s="38" t="s">
        <v>1058</v>
      </c>
      <c r="C61" s="38" t="s">
        <v>1059</v>
      </c>
      <c r="D61" s="38">
        <v>2015</v>
      </c>
      <c r="E61" s="38">
        <v>2020</v>
      </c>
      <c r="F61" s="38">
        <v>2025</v>
      </c>
      <c r="G61" s="38">
        <v>2030</v>
      </c>
      <c r="H61" s="38">
        <v>2035</v>
      </c>
      <c r="I61" s="38">
        <v>2040</v>
      </c>
      <c r="J61" s="38"/>
    </row>
    <row r="62" spans="1:33" x14ac:dyDescent="0.2">
      <c r="A62" s="39"/>
    </row>
    <row r="63" spans="1:33" ht="15" x14ac:dyDescent="0.25">
      <c r="A63" s="37" t="s">
        <v>283</v>
      </c>
    </row>
    <row r="64" spans="1:33" x14ac:dyDescent="0.2">
      <c r="A64" s="39" t="s">
        <v>284</v>
      </c>
      <c r="B64" s="39">
        <v>0.45</v>
      </c>
      <c r="C64" s="39">
        <v>0.36</v>
      </c>
      <c r="D64" s="35">
        <v>0.29981600000000003</v>
      </c>
      <c r="E64" s="35">
        <v>0.27736100000000002</v>
      </c>
      <c r="F64" s="35">
        <v>0.25562499999999999</v>
      </c>
      <c r="G64" s="35">
        <v>1.1858</v>
      </c>
      <c r="H64" s="35">
        <v>1.1743980000000001</v>
      </c>
      <c r="I64" s="35">
        <v>1.1671530000000001</v>
      </c>
      <c r="J64" s="35"/>
    </row>
    <row r="65" spans="1:10" x14ac:dyDescent="0.2">
      <c r="A65" s="39"/>
    </row>
    <row r="66" spans="1:10" x14ac:dyDescent="0.2">
      <c r="A66" s="39"/>
    </row>
    <row r="67" spans="1:10" ht="15" customHeight="1" x14ac:dyDescent="0.2">
      <c r="A67" s="219"/>
      <c r="B67" s="219"/>
      <c r="C67" s="219"/>
      <c r="D67" s="219"/>
      <c r="E67" s="219"/>
      <c r="F67" s="219"/>
      <c r="G67" s="219"/>
      <c r="H67" s="219"/>
      <c r="I67" s="39"/>
      <c r="J67" s="39"/>
    </row>
    <row r="68" spans="1:10" ht="15" customHeight="1" x14ac:dyDescent="0.2">
      <c r="A68" s="219"/>
      <c r="B68" s="219"/>
      <c r="C68" s="219"/>
      <c r="D68" s="219"/>
      <c r="E68" s="219"/>
      <c r="F68" s="219"/>
      <c r="G68" s="219"/>
      <c r="H68" s="219"/>
      <c r="I68" s="39"/>
      <c r="J68" s="39"/>
    </row>
    <row r="69" spans="1:10" ht="15" customHeight="1" x14ac:dyDescent="0.2">
      <c r="A69" s="219"/>
      <c r="B69" s="219"/>
      <c r="C69" s="219"/>
      <c r="D69" s="219"/>
      <c r="E69" s="219"/>
      <c r="F69" s="219"/>
      <c r="G69" s="219"/>
      <c r="H69" s="219"/>
      <c r="I69" s="39"/>
      <c r="J69" s="39"/>
    </row>
    <row r="70" spans="1:10" ht="15" customHeight="1" x14ac:dyDescent="0.2">
      <c r="A70" s="219"/>
      <c r="B70" s="219"/>
      <c r="C70" s="219"/>
      <c r="D70" s="219"/>
      <c r="E70" s="219"/>
      <c r="F70" s="219"/>
      <c r="G70" s="219"/>
      <c r="H70" s="219"/>
      <c r="I70" s="39"/>
      <c r="J70" s="39"/>
    </row>
    <row r="71" spans="1:10" ht="15" customHeight="1" x14ac:dyDescent="0.2">
      <c r="A71" s="219"/>
      <c r="B71" s="219"/>
      <c r="C71" s="219"/>
      <c r="D71" s="219"/>
      <c r="E71" s="219"/>
      <c r="F71" s="219"/>
      <c r="G71" s="219"/>
      <c r="H71" s="219"/>
      <c r="I71" s="39"/>
      <c r="J71" s="39"/>
    </row>
    <row r="72" spans="1:10" ht="15" customHeight="1" x14ac:dyDescent="0.2">
      <c r="A72" s="219"/>
      <c r="B72" s="219"/>
      <c r="C72" s="219"/>
      <c r="D72" s="219"/>
      <c r="E72" s="219"/>
      <c r="F72" s="219"/>
      <c r="G72" s="219"/>
      <c r="H72" s="219"/>
      <c r="I72" s="39"/>
      <c r="J72" s="39"/>
    </row>
    <row r="73" spans="1:10" ht="15" customHeight="1" x14ac:dyDescent="0.2">
      <c r="A73" s="219"/>
      <c r="B73" s="219"/>
      <c r="C73" s="219"/>
      <c r="D73" s="219"/>
      <c r="E73" s="219"/>
      <c r="F73" s="219"/>
      <c r="G73" s="219"/>
      <c r="H73" s="219"/>
      <c r="I73" s="39"/>
      <c r="J73" s="39"/>
    </row>
    <row r="74" spans="1:10" ht="15" customHeight="1" x14ac:dyDescent="0.2">
      <c r="A74" s="219"/>
      <c r="B74" s="219"/>
      <c r="C74" s="219"/>
      <c r="D74" s="219"/>
      <c r="E74" s="219"/>
      <c r="F74" s="219"/>
      <c r="G74" s="219"/>
      <c r="H74" s="219"/>
      <c r="I74" s="39"/>
      <c r="J74" s="39"/>
    </row>
    <row r="75" spans="1:10" ht="15" customHeight="1" x14ac:dyDescent="0.2">
      <c r="A75" s="219"/>
      <c r="B75" s="219"/>
      <c r="C75" s="219"/>
      <c r="D75" s="219"/>
      <c r="E75" s="219"/>
      <c r="F75" s="219"/>
      <c r="G75" s="219"/>
      <c r="H75" s="219"/>
      <c r="I75" s="39"/>
      <c r="J75" s="39"/>
    </row>
    <row r="76" spans="1:10" ht="15" customHeight="1" x14ac:dyDescent="0.2">
      <c r="A76" s="219"/>
      <c r="B76" s="219"/>
      <c r="C76" s="219"/>
      <c r="D76" s="219"/>
      <c r="E76" s="219"/>
      <c r="F76" s="219"/>
      <c r="G76" s="219"/>
      <c r="H76" s="219"/>
      <c r="I76" s="39"/>
      <c r="J76" s="39"/>
    </row>
    <row r="77" spans="1:10" ht="15" customHeight="1" x14ac:dyDescent="0.2">
      <c r="A77" s="219"/>
      <c r="B77" s="219"/>
      <c r="C77" s="219"/>
      <c r="D77" s="219"/>
      <c r="E77" s="219"/>
      <c r="F77" s="219"/>
      <c r="G77" s="219"/>
      <c r="H77" s="219"/>
      <c r="I77" s="39"/>
      <c r="J77" s="39"/>
    </row>
    <row r="78" spans="1:10" ht="15" customHeight="1" x14ac:dyDescent="0.2">
      <c r="A78" s="219"/>
      <c r="B78" s="219"/>
      <c r="C78" s="219"/>
      <c r="D78" s="219"/>
      <c r="E78" s="219"/>
      <c r="F78" s="219"/>
      <c r="G78" s="219"/>
      <c r="H78" s="219"/>
      <c r="I78" s="39"/>
      <c r="J78" s="39"/>
    </row>
    <row r="79" spans="1:10" ht="15" customHeight="1" x14ac:dyDescent="0.2">
      <c r="A79" s="219"/>
      <c r="B79" s="219"/>
      <c r="C79" s="219"/>
      <c r="D79" s="219"/>
      <c r="E79" s="219"/>
      <c r="F79" s="219"/>
      <c r="G79" s="219"/>
      <c r="H79" s="219"/>
      <c r="I79" s="39"/>
      <c r="J79" s="39"/>
    </row>
    <row r="80" spans="1:10" ht="15" customHeight="1" x14ac:dyDescent="0.2">
      <c r="A80" s="219"/>
      <c r="B80" s="219"/>
      <c r="C80" s="219"/>
      <c r="D80" s="219"/>
      <c r="E80" s="219"/>
      <c r="F80" s="219"/>
      <c r="G80" s="219"/>
      <c r="H80" s="219"/>
      <c r="I80" s="39"/>
      <c r="J80" s="39"/>
    </row>
    <row r="81" spans="1:10" ht="15" customHeight="1" x14ac:dyDescent="0.2">
      <c r="A81" s="219"/>
      <c r="B81" s="219"/>
      <c r="C81" s="219"/>
      <c r="D81" s="219"/>
      <c r="E81" s="219"/>
      <c r="F81" s="219"/>
      <c r="G81" s="219"/>
      <c r="H81" s="219"/>
      <c r="I81" s="39"/>
      <c r="J81" s="39"/>
    </row>
    <row r="82" spans="1:10" ht="15" customHeight="1" x14ac:dyDescent="0.2">
      <c r="A82" s="219"/>
      <c r="B82" s="219"/>
      <c r="C82" s="219"/>
      <c r="D82" s="219"/>
      <c r="E82" s="219"/>
      <c r="F82" s="219"/>
      <c r="G82" s="219"/>
      <c r="H82" s="219"/>
      <c r="I82" s="39"/>
      <c r="J82" s="39"/>
    </row>
    <row r="83" spans="1:10" ht="15" customHeight="1" x14ac:dyDescent="0.2">
      <c r="A83" s="219"/>
      <c r="B83" s="219"/>
      <c r="C83" s="219"/>
      <c r="D83" s="219"/>
      <c r="E83" s="219"/>
      <c r="F83" s="219"/>
      <c r="G83" s="219"/>
      <c r="H83" s="219"/>
      <c r="I83" s="39"/>
      <c r="J83" s="39"/>
    </row>
    <row r="84" spans="1:10" ht="15" customHeight="1" x14ac:dyDescent="0.2">
      <c r="A84" s="219"/>
      <c r="B84" s="219"/>
      <c r="C84" s="219"/>
      <c r="D84" s="219"/>
      <c r="E84" s="219"/>
      <c r="F84" s="219"/>
      <c r="G84" s="219"/>
      <c r="H84" s="219"/>
      <c r="I84" s="39"/>
      <c r="J84" s="39"/>
    </row>
    <row r="85" spans="1:10" ht="15" customHeight="1" x14ac:dyDescent="0.2">
      <c r="A85" s="219"/>
      <c r="B85" s="219"/>
      <c r="C85" s="219"/>
      <c r="D85" s="219"/>
      <c r="E85" s="219"/>
      <c r="F85" s="219"/>
      <c r="G85" s="219"/>
      <c r="H85" s="219"/>
      <c r="I85" s="39"/>
      <c r="J85" s="39"/>
    </row>
    <row r="86" spans="1:10" ht="30" customHeight="1" x14ac:dyDescent="0.2">
      <c r="A86" s="219"/>
      <c r="B86" s="219"/>
      <c r="C86" s="219"/>
      <c r="D86" s="219"/>
      <c r="E86" s="219"/>
      <c r="F86" s="219"/>
      <c r="G86" s="219"/>
      <c r="H86" s="219"/>
      <c r="I86" s="39"/>
      <c r="J86" s="39"/>
    </row>
    <row r="87" spans="1:10" ht="15" customHeight="1" x14ac:dyDescent="0.2">
      <c r="A87" s="219"/>
      <c r="B87" s="219"/>
      <c r="C87" s="219"/>
      <c r="D87" s="219"/>
      <c r="E87" s="219"/>
      <c r="F87" s="219"/>
      <c r="G87" s="219"/>
      <c r="H87" s="219"/>
      <c r="I87" s="39"/>
      <c r="J87" s="39"/>
    </row>
    <row r="88" spans="1:10" ht="15" customHeight="1" x14ac:dyDescent="0.2">
      <c r="A88" s="219"/>
      <c r="B88" s="219"/>
      <c r="C88" s="219"/>
      <c r="D88" s="219"/>
      <c r="E88" s="219"/>
      <c r="F88" s="219"/>
      <c r="G88" s="219"/>
      <c r="H88" s="219"/>
      <c r="I88" s="39"/>
      <c r="J88" s="39"/>
    </row>
    <row r="89" spans="1:10" ht="15" customHeight="1" x14ac:dyDescent="0.2">
      <c r="A89" s="219"/>
      <c r="B89" s="219"/>
      <c r="C89" s="219"/>
      <c r="D89" s="219"/>
      <c r="E89" s="219"/>
      <c r="F89" s="219"/>
      <c r="G89" s="219"/>
      <c r="H89" s="219"/>
      <c r="I89" s="39"/>
      <c r="J89" s="39"/>
    </row>
    <row r="90" spans="1:10" ht="15" customHeight="1" x14ac:dyDescent="0.2">
      <c r="A90" s="219"/>
      <c r="B90" s="219"/>
      <c r="C90" s="219"/>
      <c r="D90" s="219"/>
      <c r="E90" s="219"/>
      <c r="F90" s="219"/>
      <c r="G90" s="219"/>
      <c r="H90" s="219"/>
      <c r="I90" s="39"/>
      <c r="J90" s="39"/>
    </row>
    <row r="91" spans="1:10" ht="15" customHeight="1" x14ac:dyDescent="0.2">
      <c r="A91" s="219"/>
      <c r="B91" s="219"/>
      <c r="C91" s="219"/>
      <c r="D91" s="219"/>
      <c r="E91" s="219"/>
      <c r="F91" s="219"/>
      <c r="G91" s="219"/>
      <c r="H91" s="219"/>
      <c r="I91" s="39"/>
      <c r="J91" s="39"/>
    </row>
  </sheetData>
  <mergeCells count="53">
    <mergeCell ref="Y53:AG53"/>
    <mergeCell ref="Y54:AG54"/>
    <mergeCell ref="Y55:AG55"/>
    <mergeCell ref="A44:I44"/>
    <mergeCell ref="A45:I45"/>
    <mergeCell ref="A46:I46"/>
    <mergeCell ref="A47:I47"/>
    <mergeCell ref="A48:I48"/>
    <mergeCell ref="A49:I49"/>
    <mergeCell ref="A50:I50"/>
    <mergeCell ref="A51:I51"/>
    <mergeCell ref="A52:I52"/>
    <mergeCell ref="A53:I53"/>
    <mergeCell ref="A54:I54"/>
    <mergeCell ref="A55:I55"/>
    <mergeCell ref="Y48:AG48"/>
    <mergeCell ref="Y49:AG49"/>
    <mergeCell ref="Y50:AG50"/>
    <mergeCell ref="Y51:AG51"/>
    <mergeCell ref="Y52:AG52"/>
    <mergeCell ref="Y1:AG2"/>
    <mergeCell ref="Y44:AG44"/>
    <mergeCell ref="Y45:AG45"/>
    <mergeCell ref="Y46:AG46"/>
    <mergeCell ref="Y47:AG47"/>
    <mergeCell ref="A1:H2"/>
    <mergeCell ref="A73:H73"/>
    <mergeCell ref="A59:H60"/>
    <mergeCell ref="A67:H67"/>
    <mergeCell ref="A90:H90"/>
    <mergeCell ref="A91:H91"/>
    <mergeCell ref="A80:H80"/>
    <mergeCell ref="A81:H81"/>
    <mergeCell ref="A82:H82"/>
    <mergeCell ref="A83:H83"/>
    <mergeCell ref="A84:H84"/>
    <mergeCell ref="A85:H85"/>
    <mergeCell ref="N17:O17"/>
    <mergeCell ref="A86:H86"/>
    <mergeCell ref="A87:H87"/>
    <mergeCell ref="A88:H88"/>
    <mergeCell ref="A89:H89"/>
    <mergeCell ref="A74:H74"/>
    <mergeCell ref="A75:H75"/>
    <mergeCell ref="A76:H76"/>
    <mergeCell ref="A77:H77"/>
    <mergeCell ref="A78:H78"/>
    <mergeCell ref="A79:H79"/>
    <mergeCell ref="A68:H68"/>
    <mergeCell ref="A69:H69"/>
    <mergeCell ref="A70:H70"/>
    <mergeCell ref="A71:H71"/>
    <mergeCell ref="A72:H72"/>
  </mergeCells>
  <pageMargins left="0.7" right="0.7" top="0.75" bottom="0.75" header="0.3" footer="0.3"/>
  <pageSetup orientation="portrait" r:id="rId1"/>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6"/>
  <dimension ref="A1:AC40"/>
  <sheetViews>
    <sheetView showFormulas="1" workbookViewId="0">
      <selection activeCell="Y16" sqref="Y16"/>
    </sheetView>
  </sheetViews>
  <sheetFormatPr defaultColWidth="9.140625" defaultRowHeight="12.75" x14ac:dyDescent="0.2"/>
  <cols>
    <col min="1" max="1" width="36.5703125" style="20" customWidth="1"/>
    <col min="2" max="2" width="8.85546875" style="20" customWidth="1"/>
    <col min="3" max="3" width="7.85546875" style="20" customWidth="1"/>
    <col min="4" max="9" width="8.85546875" style="20" customWidth="1"/>
    <col min="10" max="10" width="9.140625" style="20"/>
    <col min="11" max="11" width="9.5703125" style="20" bestFit="1" customWidth="1"/>
    <col min="12" max="16384" width="9.140625" style="20"/>
  </cols>
  <sheetData>
    <row r="1" spans="1:29" x14ac:dyDescent="0.2">
      <c r="A1" s="221" t="s">
        <v>255</v>
      </c>
      <c r="B1" s="221"/>
      <c r="C1" s="221"/>
      <c r="D1" s="221"/>
      <c r="E1" s="221"/>
      <c r="F1" s="221"/>
      <c r="G1" s="221"/>
      <c r="H1" s="221"/>
      <c r="I1" s="43"/>
    </row>
    <row r="2" spans="1:29" x14ac:dyDescent="0.2">
      <c r="A2" s="221"/>
      <c r="B2" s="221"/>
      <c r="C2" s="221"/>
      <c r="D2" s="221"/>
      <c r="E2" s="221"/>
      <c r="F2" s="221"/>
      <c r="G2" s="221"/>
      <c r="H2" s="221"/>
      <c r="I2" s="43"/>
    </row>
    <row r="3" spans="1:29" x14ac:dyDescent="0.2">
      <c r="A3" s="44" t="s">
        <v>256</v>
      </c>
      <c r="B3" s="45">
        <v>2005</v>
      </c>
      <c r="C3" s="45">
        <v>2010</v>
      </c>
      <c r="D3" s="45">
        <v>2015</v>
      </c>
      <c r="E3" s="45">
        <v>2020</v>
      </c>
      <c r="F3" s="45">
        <v>2025</v>
      </c>
      <c r="G3" s="45">
        <v>2030</v>
      </c>
      <c r="H3" s="45">
        <v>2035</v>
      </c>
      <c r="I3" s="45">
        <v>2040</v>
      </c>
    </row>
    <row r="4" spans="1:29" x14ac:dyDescent="0.2">
      <c r="A4" s="39"/>
    </row>
    <row r="5" spans="1:29" x14ac:dyDescent="0.2">
      <c r="A5" s="44" t="s">
        <v>257</v>
      </c>
    </row>
    <row r="6" spans="1:29" x14ac:dyDescent="0.2">
      <c r="A6" s="39" t="s">
        <v>258</v>
      </c>
      <c r="B6" s="41">
        <v>3.5729236602783199</v>
      </c>
      <c r="C6" s="39">
        <v>2.58</v>
      </c>
      <c r="D6" s="35">
        <v>1.0843290000000001</v>
      </c>
      <c r="E6" s="35">
        <v>-1.926104</v>
      </c>
      <c r="F6" s="35">
        <v>-3.4101520000000001</v>
      </c>
      <c r="G6" s="35">
        <v>-4.9370260000000004</v>
      </c>
      <c r="H6" s="35">
        <v>-5.5311029999999999</v>
      </c>
      <c r="I6" s="35">
        <v>-5.7980029999999996</v>
      </c>
    </row>
    <row r="7" spans="1:29" x14ac:dyDescent="0.2">
      <c r="A7" s="39" t="s">
        <v>259</v>
      </c>
      <c r="B7" s="41">
        <v>4.3210434913635298</v>
      </c>
      <c r="C7" s="39">
        <v>3.71</v>
      </c>
      <c r="D7" s="35">
        <v>3.1080169999999998</v>
      </c>
      <c r="E7" s="35">
        <v>2.3354409999999999</v>
      </c>
      <c r="F7" s="35">
        <v>1.9885790000000001</v>
      </c>
      <c r="G7" s="35">
        <v>1.964056</v>
      </c>
      <c r="H7" s="35">
        <v>2.0049630000000001</v>
      </c>
      <c r="I7" s="35">
        <v>2.2216800000000001</v>
      </c>
    </row>
    <row r="8" spans="1:29" x14ac:dyDescent="0.2">
      <c r="A8" s="39" t="s">
        <v>260</v>
      </c>
      <c r="B8" s="41">
        <v>3.68046355247498</v>
      </c>
      <c r="C8" s="39">
        <v>3.25</v>
      </c>
      <c r="D8" s="35">
        <v>2.9582510000000002</v>
      </c>
      <c r="E8" s="35">
        <v>2.187141</v>
      </c>
      <c r="F8" s="35">
        <v>1.840279</v>
      </c>
      <c r="G8" s="35">
        <v>1.8157559999999999</v>
      </c>
      <c r="H8" s="35">
        <v>1.856663</v>
      </c>
      <c r="I8" s="35">
        <v>2.0733799999999998</v>
      </c>
      <c r="W8" s="20">
        <v>2005</v>
      </c>
      <c r="X8" s="20">
        <v>2010</v>
      </c>
      <c r="Y8" s="20">
        <v>2015</v>
      </c>
      <c r="AA8" s="20">
        <v>2005</v>
      </c>
      <c r="AB8" s="20">
        <v>2010</v>
      </c>
      <c r="AC8" s="20">
        <v>2015</v>
      </c>
    </row>
    <row r="9" spans="1:29" x14ac:dyDescent="0.2">
      <c r="A9" s="39" t="s">
        <v>261</v>
      </c>
      <c r="B9" s="41">
        <v>9.3200001865625399E-3</v>
      </c>
      <c r="C9" s="39">
        <v>0.03</v>
      </c>
      <c r="D9" s="35">
        <v>2.8159999999999999E-3</v>
      </c>
      <c r="E9" s="35">
        <v>2.9999999999999997E-4</v>
      </c>
      <c r="F9" s="35">
        <v>2.9999999999999997E-4</v>
      </c>
      <c r="G9" s="35">
        <v>2.9999999999999997E-4</v>
      </c>
      <c r="H9" s="35">
        <v>2.9999999999999997E-4</v>
      </c>
      <c r="I9" s="35">
        <v>2.9999999999999997E-4</v>
      </c>
      <c r="U9" s="20" t="s">
        <v>7</v>
      </c>
      <c r="V9" s="20" t="s">
        <v>425</v>
      </c>
      <c r="W9" s="33">
        <f>W11*'Domestic NG Prices'!$O$19</f>
        <v>1424.2786483800028</v>
      </c>
      <c r="X9" s="33">
        <f>X11*'Domestic NG Prices'!$O$19</f>
        <v>1082.5803009279998</v>
      </c>
      <c r="AA9" s="33">
        <f>W9</f>
        <v>1424.2786483800028</v>
      </c>
      <c r="AB9" s="33">
        <f>X9</f>
        <v>1082.5803009279998</v>
      </c>
    </row>
    <row r="10" spans="1:29" x14ac:dyDescent="0.2">
      <c r="A10" s="39" t="s">
        <v>262</v>
      </c>
      <c r="B10" s="41">
        <v>0</v>
      </c>
      <c r="C10" s="39">
        <v>0</v>
      </c>
      <c r="D10" s="35">
        <v>0</v>
      </c>
      <c r="E10" s="35">
        <v>0</v>
      </c>
      <c r="F10" s="35">
        <v>0</v>
      </c>
      <c r="G10" s="35">
        <v>0</v>
      </c>
      <c r="H10" s="35">
        <v>0</v>
      </c>
      <c r="I10" s="35">
        <v>0</v>
      </c>
      <c r="V10" s="20" t="s">
        <v>426</v>
      </c>
      <c r="W10" s="33">
        <f>W11*'Domestic NG Prices'!$O$20</f>
        <v>2492.4876346650044</v>
      </c>
      <c r="X10" s="33">
        <f>X11*'Domestic NG Prices'!$O$20</f>
        <v>1894.5155266239994</v>
      </c>
      <c r="AA10" s="33">
        <f>W10-W9</f>
        <v>1068.2089862850016</v>
      </c>
      <c r="AB10" s="33">
        <f>X10-X9</f>
        <v>811.93522569599963</v>
      </c>
    </row>
    <row r="11" spans="1:29" x14ac:dyDescent="0.2">
      <c r="A11" s="39" t="s">
        <v>263</v>
      </c>
      <c r="B11" s="41">
        <v>0.63126003742217995</v>
      </c>
      <c r="C11" s="39">
        <v>0.43</v>
      </c>
      <c r="D11" s="35">
        <v>0.14695</v>
      </c>
      <c r="E11" s="35">
        <v>0.14799999999999999</v>
      </c>
      <c r="F11" s="35">
        <v>0.14799999999999999</v>
      </c>
      <c r="G11" s="35">
        <v>0.14799999999999999</v>
      </c>
      <c r="H11" s="35">
        <v>0.14799999999999999</v>
      </c>
      <c r="I11" s="35">
        <v>0.14799999999999999</v>
      </c>
      <c r="V11" s="20" t="s">
        <v>427</v>
      </c>
      <c r="W11" s="33">
        <f>K17</f>
        <v>3560.6966209500065</v>
      </c>
      <c r="X11" s="33">
        <f>L17</f>
        <v>2706.4507523199995</v>
      </c>
      <c r="AA11" s="33">
        <f t="shared" ref="AA11:AB14" si="0">W11-W10</f>
        <v>1068.2089862850021</v>
      </c>
      <c r="AB11" s="33">
        <f t="shared" si="0"/>
        <v>811.93522569600009</v>
      </c>
    </row>
    <row r="12" spans="1:29" x14ac:dyDescent="0.2">
      <c r="A12" s="39" t="s">
        <v>264</v>
      </c>
      <c r="B12" s="41">
        <v>0.74812006950378396</v>
      </c>
      <c r="C12" s="39">
        <v>1.1399999999999999</v>
      </c>
      <c r="D12" s="35">
        <v>2.0236890000000001</v>
      </c>
      <c r="E12" s="35">
        <v>4.2615449999999999</v>
      </c>
      <c r="F12" s="35">
        <v>5.3987319999999999</v>
      </c>
      <c r="G12" s="35">
        <v>6.9010819999999997</v>
      </c>
      <c r="H12" s="35">
        <v>7.5360670000000001</v>
      </c>
      <c r="I12" s="35">
        <v>8.0196830000000006</v>
      </c>
      <c r="V12" s="20" t="s">
        <v>428</v>
      </c>
      <c r="W12" s="33">
        <f>W11*'Domestic NG Prices'!$O$22</f>
        <v>3738.7314519975071</v>
      </c>
      <c r="X12" s="33">
        <f>X11*'Domestic NG Prices'!$O$22</f>
        <v>2841.7732899359999</v>
      </c>
      <c r="AA12" s="33">
        <f t="shared" si="0"/>
        <v>178.03483104750057</v>
      </c>
      <c r="AB12" s="33">
        <f t="shared" si="0"/>
        <v>135.32253761600032</v>
      </c>
    </row>
    <row r="13" spans="1:29" x14ac:dyDescent="0.2">
      <c r="A13" s="39" t="s">
        <v>265</v>
      </c>
      <c r="B13" s="41">
        <v>0.37822407484054599</v>
      </c>
      <c r="C13" s="39">
        <v>0.74</v>
      </c>
      <c r="D13" s="35">
        <v>1.0143070000000001</v>
      </c>
      <c r="E13" s="35">
        <v>1.080964</v>
      </c>
      <c r="F13" s="35">
        <v>1.18302</v>
      </c>
      <c r="G13" s="35">
        <v>1.3727419999999999</v>
      </c>
      <c r="H13" s="35">
        <v>1.449109</v>
      </c>
      <c r="I13" s="35">
        <v>1.3680909999999999</v>
      </c>
      <c r="V13" s="20" t="s">
        <v>429</v>
      </c>
      <c r="W13" s="33">
        <f>W11*'Domestic NG Prices'!$O$23</f>
        <v>3916.7662830450076</v>
      </c>
      <c r="X13" s="33">
        <f>X11*'Domestic NG Prices'!$O$23</f>
        <v>2977.0958275519997</v>
      </c>
      <c r="AA13" s="33">
        <f t="shared" si="0"/>
        <v>178.03483104750057</v>
      </c>
      <c r="AB13" s="33">
        <f t="shared" si="0"/>
        <v>135.32253761599986</v>
      </c>
    </row>
    <row r="14" spans="1:29" x14ac:dyDescent="0.2">
      <c r="A14" s="39" t="s">
        <v>266</v>
      </c>
      <c r="B14" s="41">
        <v>0.30519601702690102</v>
      </c>
      <c r="C14" s="39">
        <v>0.33</v>
      </c>
      <c r="D14" s="35">
        <v>0.90138200000000002</v>
      </c>
      <c r="E14" s="35">
        <v>1.102581</v>
      </c>
      <c r="F14" s="35">
        <v>1.4977119999999999</v>
      </c>
      <c r="G14" s="35">
        <v>2.0103399999999998</v>
      </c>
      <c r="H14" s="35">
        <v>2.5689579999999999</v>
      </c>
      <c r="I14" s="35">
        <v>3.133591</v>
      </c>
      <c r="V14" s="20" t="s">
        <v>430</v>
      </c>
      <c r="W14" s="33">
        <f>W11*'Domestic NG Prices'!$O$24</f>
        <v>4272.8359451400074</v>
      </c>
      <c r="X14" s="33">
        <f>X11*'Domestic NG Prices'!$O$24</f>
        <v>3247.7409027839994</v>
      </c>
      <c r="AA14" s="33">
        <f t="shared" si="0"/>
        <v>356.06966209499979</v>
      </c>
      <c r="AB14" s="33">
        <f t="shared" si="0"/>
        <v>270.64507523199973</v>
      </c>
    </row>
    <row r="15" spans="1:29" x14ac:dyDescent="0.2">
      <c r="A15" s="39" t="s">
        <v>267</v>
      </c>
      <c r="B15" s="41">
        <v>6.4699999988079099E-2</v>
      </c>
      <c r="C15" s="39">
        <v>0.06</v>
      </c>
      <c r="D15" s="35">
        <v>0.108</v>
      </c>
      <c r="E15" s="35">
        <v>2.0779999999999998</v>
      </c>
      <c r="F15" s="35">
        <v>2.718</v>
      </c>
      <c r="G15" s="35">
        <v>3.5179999999999998</v>
      </c>
      <c r="H15" s="35">
        <v>3.5179999999999998</v>
      </c>
      <c r="I15" s="35">
        <v>3.5179999999999998</v>
      </c>
    </row>
    <row r="16" spans="1:29" x14ac:dyDescent="0.2">
      <c r="A16" s="39" t="s">
        <v>258</v>
      </c>
      <c r="B16" s="46">
        <f>B7-B12</f>
        <v>3.5729234218597457</v>
      </c>
      <c r="C16" s="39">
        <v>2.58</v>
      </c>
      <c r="D16" s="35">
        <v>1.0843290000000001</v>
      </c>
      <c r="E16" s="35">
        <v>-1.926104</v>
      </c>
      <c r="F16" s="35">
        <v>-3.4101530000000002</v>
      </c>
      <c r="G16" s="35">
        <v>-4.9370260000000004</v>
      </c>
      <c r="H16" s="35">
        <v>-5.5311029999999999</v>
      </c>
      <c r="I16" s="35">
        <v>-5.7980029999999996</v>
      </c>
      <c r="K16" s="45">
        <v>2005</v>
      </c>
      <c r="L16" s="45">
        <v>2010</v>
      </c>
      <c r="M16" s="45">
        <v>2015</v>
      </c>
      <c r="N16" s="45">
        <v>2020</v>
      </c>
      <c r="O16" s="45">
        <v>2025</v>
      </c>
      <c r="P16" s="45">
        <v>2030</v>
      </c>
      <c r="Q16" s="45">
        <v>2035</v>
      </c>
      <c r="R16" s="45">
        <v>2040</v>
      </c>
      <c r="U16" s="20" t="s">
        <v>431</v>
      </c>
      <c r="V16" s="20" t="s">
        <v>425</v>
      </c>
      <c r="W16" s="33">
        <f>W18*'Domestic NG Prices'!$O$19</f>
        <v>244.36124933035367</v>
      </c>
      <c r="X16" s="33">
        <f>X18*'Domestic NG Prices'!$O$19</f>
        <v>159.583550336</v>
      </c>
      <c r="Y16" s="33">
        <f>Y18*'Domestic NG Prices'!$O$19</f>
        <v>16.799403474559998</v>
      </c>
      <c r="Z16" s="33"/>
      <c r="AA16" s="33">
        <f>W16</f>
        <v>244.36124933035367</v>
      </c>
      <c r="AB16" s="33">
        <f>X16</f>
        <v>159.583550336</v>
      </c>
      <c r="AC16" s="33">
        <f>Y16</f>
        <v>16.799403474559998</v>
      </c>
    </row>
    <row r="17" spans="1:29" x14ac:dyDescent="0.2">
      <c r="A17" s="39" t="s">
        <v>268</v>
      </c>
      <c r="B17" s="46">
        <f>B8-B13</f>
        <v>3.3022394776344339</v>
      </c>
      <c r="C17" s="39">
        <v>2.5099999999999998</v>
      </c>
      <c r="D17" s="35">
        <v>1.9439439999999999</v>
      </c>
      <c r="E17" s="35">
        <v>1.106177</v>
      </c>
      <c r="F17" s="35">
        <v>0.65725900000000004</v>
      </c>
      <c r="G17" s="35">
        <v>0.44301400000000002</v>
      </c>
      <c r="H17" s="35">
        <v>0.407555</v>
      </c>
      <c r="I17" s="35">
        <v>0.70528900000000005</v>
      </c>
      <c r="K17" s="33">
        <f>B17*1000000*Conv!$D$6*Conv!$J$5*1000000</f>
        <v>3560.6966209500065</v>
      </c>
      <c r="L17" s="33">
        <f>C17*1000000*Conv!$D$6*Conv!$J$5*1000000</f>
        <v>2706.4507523199995</v>
      </c>
      <c r="M17" s="33">
        <f>D17*1000000*Conv!$D$6*Conv!$J$5*1000000</f>
        <v>2096.0911160430078</v>
      </c>
      <c r="N17" s="33">
        <f>E17*1000000*Conv!$D$6*Conv!$J$5*1000000</f>
        <v>1192.7544118920639</v>
      </c>
      <c r="O17" s="33">
        <f>F17*1000000*Conv!$D$6*Conv!$J$5*1000000</f>
        <v>708.70084263708782</v>
      </c>
      <c r="P17" s="33">
        <f>G17*1000000*Conv!$D$6*Conv!$J$5*1000000</f>
        <v>477.68747951724794</v>
      </c>
      <c r="Q17" s="33">
        <f>H17*1000000*Conv!$D$6*Conv!$J$5*1000000</f>
        <v>439.45320173775985</v>
      </c>
      <c r="R17" s="33">
        <f>I17*1000000*Conv!$D$6*Conv!$J$5*1000000</f>
        <v>760.49001779004789</v>
      </c>
      <c r="V17" s="20" t="s">
        <v>426</v>
      </c>
      <c r="W17" s="33">
        <f>W18*'Domestic NG Prices'!$O$20</f>
        <v>427.63218632811891</v>
      </c>
      <c r="X17" s="33">
        <f>X18*'Domestic NG Prices'!$O$20</f>
        <v>279.27121308799997</v>
      </c>
      <c r="Y17" s="33">
        <f>Y18*'Domestic NG Prices'!$O$20</f>
        <v>29.398956080479994</v>
      </c>
      <c r="Z17" s="33"/>
      <c r="AA17" s="33">
        <f t="shared" ref="AA17:AC18" si="1">W17-W16</f>
        <v>183.27093699776523</v>
      </c>
      <c r="AB17" s="33">
        <f t="shared" si="1"/>
        <v>119.68766275199997</v>
      </c>
      <c r="AC17" s="33">
        <f t="shared" si="1"/>
        <v>12.599552605919996</v>
      </c>
    </row>
    <row r="18" spans="1:29" x14ac:dyDescent="0.2">
      <c r="A18" s="39" t="s">
        <v>269</v>
      </c>
      <c r="B18" s="46">
        <f>B9-B14</f>
        <v>-0.29587601684033848</v>
      </c>
      <c r="C18" s="39">
        <v>-0.3</v>
      </c>
      <c r="D18" s="35">
        <v>-0.89856599999999998</v>
      </c>
      <c r="E18" s="35">
        <v>-1.1022810000000001</v>
      </c>
      <c r="F18" s="35">
        <v>-1.497411</v>
      </c>
      <c r="G18" s="35">
        <v>-2.01004</v>
      </c>
      <c r="H18" s="35">
        <v>-2.5686580000000001</v>
      </c>
      <c r="I18" s="35">
        <v>-3.1332909999999998</v>
      </c>
      <c r="K18" s="33">
        <f>B18*1000000*Conv!$D$6*Conv!$J$5*1000000</f>
        <v>-319.03341369361709</v>
      </c>
      <c r="L18" s="33">
        <f>C18*1000000*Conv!$D$6*Conv!$J$5*1000000</f>
        <v>-323.48016959999995</v>
      </c>
      <c r="M18" s="33">
        <f>D18*1000000*Conv!$D$6*Conv!$J$5*1000000</f>
        <v>-968.89427358931187</v>
      </c>
      <c r="N18" s="33">
        <f>E18*1000000*Conv!$D$6*Conv!$J$5*1000000</f>
        <v>-1188.5534827561917</v>
      </c>
      <c r="O18" s="33">
        <f>F18*1000000*Conv!$D$6*Conv!$J$5*1000000</f>
        <v>-1614.6092141363517</v>
      </c>
      <c r="P18" s="33">
        <f>G18*1000000*Conv!$D$6*Conv!$J$5*1000000</f>
        <v>-2167.3602670092796</v>
      </c>
      <c r="Q18" s="33">
        <f>H18*1000000*Conv!$D$6*Conv!$J$5*1000000</f>
        <v>-2769.6997516146557</v>
      </c>
      <c r="R18" s="33">
        <f>I18*1000000*Conv!$D$6*Conv!$J$5*1000000</f>
        <v>-3378.5250136205113</v>
      </c>
      <c r="S18" s="42">
        <f>1+T18</f>
        <v>1.219816339894217</v>
      </c>
      <c r="T18" s="20">
        <f>AVERAGE((R18-Q18)/Q18)</f>
        <v>0.21981633989421703</v>
      </c>
      <c r="V18" s="20" t="s">
        <v>427</v>
      </c>
      <c r="W18" s="33">
        <f>K20</f>
        <v>610.90312332588417</v>
      </c>
      <c r="X18" s="33">
        <f>L20</f>
        <v>398.95887583999996</v>
      </c>
      <c r="Y18" s="33">
        <f>M20</f>
        <v>41.998508686399994</v>
      </c>
      <c r="Z18" s="33"/>
      <c r="AA18" s="30">
        <f t="shared" si="1"/>
        <v>183.27093699776526</v>
      </c>
      <c r="AB18" s="30">
        <f t="shared" si="1"/>
        <v>119.68766275199999</v>
      </c>
      <c r="AC18" s="33">
        <f t="shared" si="1"/>
        <v>12.59955260592</v>
      </c>
    </row>
    <row r="19" spans="1:29" x14ac:dyDescent="0.2">
      <c r="A19" s="39" t="s">
        <v>270</v>
      </c>
      <c r="B19" s="39">
        <v>0</v>
      </c>
      <c r="C19" s="39">
        <v>0</v>
      </c>
      <c r="D19" s="35">
        <v>0</v>
      </c>
      <c r="E19" s="35">
        <v>0</v>
      </c>
      <c r="F19" s="35">
        <v>0</v>
      </c>
      <c r="G19" s="35">
        <v>0</v>
      </c>
      <c r="H19" s="35">
        <v>0</v>
      </c>
      <c r="I19" s="35">
        <v>0</v>
      </c>
    </row>
    <row r="20" spans="1:29" x14ac:dyDescent="0.2">
      <c r="A20" s="39" t="s">
        <v>271</v>
      </c>
      <c r="B20" s="46">
        <f>B11-B15</f>
        <v>0.56656003743410088</v>
      </c>
      <c r="C20" s="39">
        <v>0.37</v>
      </c>
      <c r="D20" s="35">
        <v>3.8949999999999999E-2</v>
      </c>
      <c r="E20" s="47">
        <v>-1.93</v>
      </c>
      <c r="F20" s="47">
        <v>-2.57</v>
      </c>
      <c r="G20" s="47">
        <v>-3.37</v>
      </c>
      <c r="H20" s="47">
        <v>-3.37</v>
      </c>
      <c r="I20" s="47">
        <v>-3.37</v>
      </c>
      <c r="K20" s="33">
        <f>B20*1000000*Conv!$D$6*Conv!$J$5*1000000</f>
        <v>610.90312332588417</v>
      </c>
      <c r="L20" s="33">
        <f>C20*1000000*Conv!$D$6*Conv!$J$5*1000000</f>
        <v>398.95887583999996</v>
      </c>
      <c r="M20" s="33">
        <f>D20*1000000*Conv!$D$6*Conv!$J$5*1000000</f>
        <v>41.998508686399994</v>
      </c>
      <c r="N20" s="33">
        <f>E20*1000000*Conv!$D$6*Conv!$J$5*1000000</f>
        <v>-2081.0557577599998</v>
      </c>
      <c r="O20" s="33">
        <f>F20*1000000*Conv!$D$6*Conv!$J$5*1000000</f>
        <v>-2771.1467862399995</v>
      </c>
      <c r="P20" s="33">
        <f>G20*1000000*Conv!$D$6*Conv!$J$5*1000000</f>
        <v>-3633.7605718399996</v>
      </c>
      <c r="Q20" s="33">
        <f>H20*1000000*Conv!$D$6*Conv!$J$5*1000000</f>
        <v>-3633.7605718399996</v>
      </c>
      <c r="R20" s="33">
        <f>I20*1000000*Conv!$D$6*Conv!$J$5*1000000</f>
        <v>-3633.7605718399996</v>
      </c>
      <c r="S20" s="42">
        <f>1+T20</f>
        <v>1</v>
      </c>
      <c r="T20" s="33">
        <f>AVERAGE((R20-Q20)/Q20)</f>
        <v>0</v>
      </c>
    </row>
    <row r="21" spans="1:29" x14ac:dyDescent="0.2">
      <c r="A21" s="39"/>
      <c r="D21" s="33"/>
      <c r="E21" s="33"/>
      <c r="F21" s="33"/>
      <c r="G21" s="33"/>
      <c r="H21" s="33"/>
      <c r="I21" s="33"/>
    </row>
    <row r="22" spans="1:29" x14ac:dyDescent="0.2">
      <c r="A22" s="44" t="s">
        <v>272</v>
      </c>
      <c r="D22" s="33"/>
      <c r="E22" s="33"/>
      <c r="F22" s="33"/>
      <c r="G22" s="33"/>
      <c r="H22" s="33"/>
      <c r="I22" s="33"/>
    </row>
    <row r="23" spans="1:29" x14ac:dyDescent="0.2">
      <c r="A23" s="44" t="s">
        <v>686</v>
      </c>
      <c r="D23" s="33"/>
      <c r="E23" s="33"/>
      <c r="F23" s="33"/>
      <c r="G23" s="33"/>
      <c r="H23" s="33"/>
      <c r="I23" s="33"/>
    </row>
    <row r="24" spans="1:29" x14ac:dyDescent="0.2">
      <c r="A24" s="39" t="s">
        <v>273</v>
      </c>
      <c r="B24" s="41">
        <v>7.7595982551574698</v>
      </c>
      <c r="C24" s="39">
        <v>4.53</v>
      </c>
      <c r="D24" s="35">
        <v>4.0230569999999997</v>
      </c>
      <c r="E24" s="35">
        <v>5.4047790000000004</v>
      </c>
      <c r="F24" s="35">
        <v>5.8946350000000001</v>
      </c>
      <c r="G24" s="35">
        <v>6.6254910000000002</v>
      </c>
      <c r="H24" s="35">
        <v>7.3276880000000002</v>
      </c>
      <c r="I24" s="35">
        <v>7.9480380000000004</v>
      </c>
    </row>
    <row r="25" spans="1:29" x14ac:dyDescent="0.2">
      <c r="A25" s="44" t="s">
        <v>274</v>
      </c>
      <c r="D25" s="33"/>
      <c r="E25" s="33"/>
      <c r="F25" s="33"/>
      <c r="G25" s="33"/>
      <c r="H25" s="33"/>
      <c r="I25" s="33"/>
      <c r="K25" s="45">
        <v>2005</v>
      </c>
      <c r="L25" s="45">
        <v>2010</v>
      </c>
      <c r="M25" s="45">
        <v>2015</v>
      </c>
      <c r="N25" s="45">
        <v>2020</v>
      </c>
      <c r="O25" s="45">
        <v>2025</v>
      </c>
      <c r="P25" s="45">
        <v>2030</v>
      </c>
      <c r="Q25" s="45">
        <v>2035</v>
      </c>
      <c r="R25" s="45">
        <v>2040</v>
      </c>
      <c r="S25" s="32" t="s">
        <v>250</v>
      </c>
    </row>
    <row r="26" spans="1:29" x14ac:dyDescent="0.2">
      <c r="A26" s="39" t="s">
        <v>275</v>
      </c>
      <c r="B26" s="41">
        <v>7.7216897010803196</v>
      </c>
      <c r="C26" s="39">
        <v>4.4800000000000004</v>
      </c>
      <c r="D26" s="35">
        <v>3.9811290000000001</v>
      </c>
      <c r="E26" s="35">
        <v>5.384144</v>
      </c>
      <c r="F26" s="35">
        <v>5.8647369999999999</v>
      </c>
      <c r="G26" s="35">
        <v>6.6033049999999998</v>
      </c>
      <c r="H26" s="35">
        <v>7.2935460000000001</v>
      </c>
      <c r="I26" s="35">
        <v>7.904185</v>
      </c>
      <c r="K26" s="33">
        <f>B26/Conv!$D$6/1000/Conv!$J$5/1000000*Conv!$D$38</f>
        <v>7.1612022251273615</v>
      </c>
      <c r="L26" s="33">
        <f>C26/Conv!$D$6/1000/Conv!$J$5/1000000*Conv!$D$43</f>
        <v>3.776323843088476</v>
      </c>
      <c r="M26" s="33">
        <f>D26/Conv!$D$6/1000/Conv!$J$5/1000000*Conv!$D$45</f>
        <v>3.2346523537843486</v>
      </c>
      <c r="N26" s="33">
        <f>E26/Conv!$D$6/1000/Conv!$J$5/1000000*Conv!$D$45</f>
        <v>4.3745967695881927</v>
      </c>
      <c r="O26" s="33">
        <f>F26/Conv!$D$6/1000/Conv!$J$5/1000000*Conv!$D$45</f>
        <v>4.7650767763054533</v>
      </c>
      <c r="P26" s="33">
        <f>G26/Conv!$D$6/1000/Conv!$J$5/1000000*Conv!$D$45</f>
        <v>5.3651605012060539</v>
      </c>
      <c r="Q26" s="33">
        <f>H26/Conv!$D$6/1000/Conv!$J$5/1000000*Conv!$D$45</f>
        <v>5.925978720190785</v>
      </c>
      <c r="R26" s="33">
        <f>I26/Conv!$D$6/1000/Conv!$J$5/1000000*Conv!$D$45</f>
        <v>6.4221206132725008</v>
      </c>
      <c r="S26" s="42">
        <f>1+T26</f>
        <v>1.1047288397184403</v>
      </c>
      <c r="T26" s="20">
        <f>AVERAGE((R26-Q26)/Q26,(Q26-P26)/P26,(P26-O26)/O26)</f>
        <v>0.10472883971844017</v>
      </c>
    </row>
    <row r="27" spans="1:29" x14ac:dyDescent="0.2">
      <c r="A27" s="39" t="s">
        <v>276</v>
      </c>
      <c r="B27" s="41">
        <v>8.2281751632690394</v>
      </c>
      <c r="C27" s="39">
        <v>4.63</v>
      </c>
      <c r="D27" s="35">
        <v>3.8085830000000001</v>
      </c>
      <c r="E27" s="35">
        <v>4.1257979999999996</v>
      </c>
      <c r="F27" s="35">
        <v>4.7141799999999998</v>
      </c>
      <c r="G27" s="35">
        <v>5.4741660000000003</v>
      </c>
      <c r="H27" s="35">
        <v>6.3853989999999996</v>
      </c>
      <c r="I27" s="35">
        <v>7.0502799999999999</v>
      </c>
    </row>
    <row r="28" spans="1:29" x14ac:dyDescent="0.2">
      <c r="A28" s="39" t="s">
        <v>277</v>
      </c>
      <c r="B28" s="41">
        <v>2.31019115447998</v>
      </c>
      <c r="C28" s="39">
        <v>0</v>
      </c>
      <c r="D28" s="35">
        <v>0</v>
      </c>
      <c r="E28" s="35">
        <v>0</v>
      </c>
      <c r="F28" s="35">
        <v>0</v>
      </c>
      <c r="G28" s="35">
        <v>0</v>
      </c>
      <c r="H28" s="35">
        <v>0</v>
      </c>
      <c r="I28" s="35">
        <v>0</v>
      </c>
    </row>
    <row r="29" spans="1:29" x14ac:dyDescent="0.2">
      <c r="A29" s="39" t="s">
        <v>278</v>
      </c>
      <c r="B29" s="41">
        <v>7.9806232452392596</v>
      </c>
      <c r="C29" s="39">
        <v>4.9400000000000004</v>
      </c>
      <c r="D29" s="35">
        <v>4.8712400000000002</v>
      </c>
      <c r="E29" s="35">
        <v>5.7123220000000003</v>
      </c>
      <c r="F29" s="35">
        <v>6.268783</v>
      </c>
      <c r="G29" s="35">
        <v>6.9000250000000003</v>
      </c>
      <c r="H29" s="35">
        <v>7.7579050000000001</v>
      </c>
      <c r="I29" s="35">
        <v>8.5642010000000006</v>
      </c>
      <c r="K29" s="33">
        <f>B29/Conv!$D$6/1000/Conv!$J$5/1000000*Conv!$D$38</f>
        <v>7.4013407886248928</v>
      </c>
      <c r="L29" s="33">
        <f>C29/Conv!$D$6/1000/Conv!$J$5/1000000*Conv!$D$43</f>
        <v>4.164071380548453</v>
      </c>
      <c r="M29" s="33">
        <f>D29/Conv!$D$6/1000/Conv!$J$5/1000000*Conv!$D$45</f>
        <v>3.9578641967764594</v>
      </c>
      <c r="N29" s="33">
        <f>E29/Conv!$D$6/1000/Conv!$J$5/1000000*Conv!$D$45</f>
        <v>4.6412401614904013</v>
      </c>
      <c r="O29" s="33">
        <f>F29/Conv!$D$6/1000/Conv!$J$5/1000000*Conv!$D$45</f>
        <v>5.0933626331408277</v>
      </c>
      <c r="P29" s="33">
        <f>G29/Conv!$D$6/1000/Conv!$J$5/1000000*Conv!$D$45</f>
        <v>5.6062443863087204</v>
      </c>
      <c r="Q29" s="33">
        <f>H29/Conv!$D$6/1000/Conv!$J$5/1000000*Conv!$D$45</f>
        <v>6.303268662905765</v>
      </c>
      <c r="R29" s="33">
        <f>I29/Conv!$D$6/1000/Conv!$J$5/1000000*Conv!$D$45</f>
        <v>6.9583811333248109</v>
      </c>
      <c r="S29" s="42">
        <f>1+T29</f>
        <v>1.10965275568606</v>
      </c>
      <c r="T29" s="20">
        <f>AVERAGE((R29-Q29)/Q29,(Q29-P29)/P29,(P29-O29)/O29)</f>
        <v>0.10965275568605999</v>
      </c>
    </row>
    <row r="30" spans="1:29" x14ac:dyDescent="0.2">
      <c r="A30" s="39"/>
    </row>
    <row r="31" spans="1:29" ht="15" customHeight="1" x14ac:dyDescent="0.2">
      <c r="A31" s="219" t="s">
        <v>687</v>
      </c>
      <c r="B31" s="219"/>
      <c r="C31" s="219"/>
      <c r="D31" s="219"/>
      <c r="E31" s="219"/>
      <c r="F31" s="219"/>
      <c r="G31" s="219"/>
    </row>
    <row r="32" spans="1:29" ht="15" customHeight="1" x14ac:dyDescent="0.2">
      <c r="A32" s="219" t="s">
        <v>688</v>
      </c>
      <c r="B32" s="219"/>
      <c r="C32" s="219"/>
      <c r="D32" s="219"/>
      <c r="E32" s="219"/>
      <c r="F32" s="219"/>
      <c r="G32" s="219"/>
    </row>
    <row r="33" spans="1:9" ht="15" customHeight="1" x14ac:dyDescent="0.2">
      <c r="A33" s="219" t="s">
        <v>279</v>
      </c>
      <c r="B33" s="219"/>
      <c r="C33" s="219"/>
      <c r="D33" s="219"/>
      <c r="E33" s="219"/>
      <c r="F33" s="219"/>
      <c r="G33" s="219"/>
    </row>
    <row r="34" spans="1:9" ht="15" customHeight="1" x14ac:dyDescent="0.2">
      <c r="A34" s="219" t="s">
        <v>247</v>
      </c>
      <c r="B34" s="219"/>
      <c r="C34" s="219"/>
      <c r="D34" s="219"/>
      <c r="E34" s="219"/>
      <c r="F34" s="219"/>
      <c r="G34" s="219"/>
    </row>
    <row r="35" spans="1:9" ht="15" customHeight="1" x14ac:dyDescent="0.2">
      <c r="A35" s="219" t="s">
        <v>689</v>
      </c>
      <c r="B35" s="219"/>
      <c r="C35" s="219"/>
      <c r="D35" s="219"/>
      <c r="E35" s="219"/>
      <c r="F35" s="219"/>
      <c r="G35" s="219"/>
    </row>
    <row r="36" spans="1:9" ht="15" customHeight="1" x14ac:dyDescent="0.2">
      <c r="A36" s="219" t="s">
        <v>690</v>
      </c>
      <c r="B36" s="219"/>
      <c r="C36" s="219"/>
      <c r="D36" s="219"/>
      <c r="E36" s="219"/>
      <c r="F36" s="219"/>
      <c r="G36" s="219"/>
    </row>
    <row r="37" spans="1:9" ht="15" customHeight="1" x14ac:dyDescent="0.2">
      <c r="A37" s="219" t="s">
        <v>691</v>
      </c>
      <c r="B37" s="219"/>
      <c r="C37" s="219"/>
      <c r="D37" s="219"/>
      <c r="E37" s="219"/>
      <c r="F37" s="219"/>
      <c r="G37" s="219"/>
    </row>
    <row r="38" spans="1:9" ht="15" customHeight="1" x14ac:dyDescent="0.2">
      <c r="A38" s="219" t="s">
        <v>692</v>
      </c>
      <c r="B38" s="219"/>
      <c r="C38" s="219"/>
      <c r="D38" s="219"/>
      <c r="E38" s="219"/>
      <c r="F38" s="219"/>
      <c r="G38" s="219"/>
    </row>
    <row r="40" spans="1:9" ht="15" customHeight="1" x14ac:dyDescent="0.2">
      <c r="A40" s="219" t="s">
        <v>280</v>
      </c>
      <c r="B40" s="219"/>
      <c r="C40" s="219"/>
      <c r="D40" s="219"/>
      <c r="E40" s="219"/>
      <c r="F40" s="219"/>
      <c r="G40" s="219"/>
      <c r="H40" s="219"/>
      <c r="I40" s="39"/>
    </row>
  </sheetData>
  <mergeCells count="10">
    <mergeCell ref="A1:H2"/>
    <mergeCell ref="A31:G31"/>
    <mergeCell ref="A32:G32"/>
    <mergeCell ref="A33:G33"/>
    <mergeCell ref="A34:G34"/>
    <mergeCell ref="A35:G35"/>
    <mergeCell ref="A40:H40"/>
    <mergeCell ref="A36:G36"/>
    <mergeCell ref="A37:G37"/>
    <mergeCell ref="A38:G38"/>
  </mergeCells>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8"/>
  <dimension ref="A1:T65"/>
  <sheetViews>
    <sheetView showFormulas="1" zoomScale="84" zoomScaleNormal="84" workbookViewId="0">
      <pane xSplit="1" ySplit="3" topLeftCell="B19" activePane="bottomRight" state="frozen"/>
      <selection pane="topRight"/>
      <selection pane="bottomLeft"/>
      <selection pane="bottomRight" activeCell="F18" sqref="F18"/>
    </sheetView>
  </sheetViews>
  <sheetFormatPr defaultColWidth="9.140625" defaultRowHeight="12.75" x14ac:dyDescent="0.2"/>
  <cols>
    <col min="1" max="1" width="15.140625" style="16" customWidth="1"/>
    <col min="2" max="17" width="19" style="16" customWidth="1"/>
    <col min="18" max="16384" width="9.140625" style="16"/>
  </cols>
  <sheetData>
    <row r="1" spans="1:17" ht="15.75" x14ac:dyDescent="0.25">
      <c r="A1" s="48" t="s">
        <v>693</v>
      </c>
      <c r="B1" s="52" t="s">
        <v>783</v>
      </c>
    </row>
    <row r="2" spans="1:17" ht="24" x14ac:dyDescent="0.2">
      <c r="A2" s="53" t="s">
        <v>694</v>
      </c>
      <c r="B2" s="54" t="s">
        <v>782</v>
      </c>
      <c r="C2" s="54" t="s">
        <v>781</v>
      </c>
      <c r="D2" s="54" t="s">
        <v>780</v>
      </c>
      <c r="E2" s="54" t="s">
        <v>779</v>
      </c>
      <c r="F2" s="54" t="s">
        <v>778</v>
      </c>
      <c r="G2" s="54" t="s">
        <v>777</v>
      </c>
      <c r="H2" s="54" t="s">
        <v>776</v>
      </c>
      <c r="I2" s="54" t="s">
        <v>775</v>
      </c>
      <c r="J2" s="54" t="s">
        <v>774</v>
      </c>
      <c r="K2" s="54" t="s">
        <v>773</v>
      </c>
      <c r="L2" s="54" t="s">
        <v>772</v>
      </c>
      <c r="M2" s="54" t="s">
        <v>771</v>
      </c>
      <c r="N2" s="54" t="s">
        <v>770</v>
      </c>
      <c r="O2" s="54" t="s">
        <v>769</v>
      </c>
      <c r="P2" s="54" t="s">
        <v>768</v>
      </c>
      <c r="Q2" s="54"/>
    </row>
    <row r="3" spans="1:17" ht="63.75" x14ac:dyDescent="0.2">
      <c r="A3" s="55" t="s">
        <v>285</v>
      </c>
      <c r="B3" s="56" t="s">
        <v>767</v>
      </c>
      <c r="C3" s="56" t="s">
        <v>766</v>
      </c>
      <c r="D3" s="56" t="s">
        <v>765</v>
      </c>
      <c r="E3" s="56" t="s">
        <v>764</v>
      </c>
      <c r="F3" s="56" t="s">
        <v>763</v>
      </c>
      <c r="G3" s="56" t="s">
        <v>762</v>
      </c>
      <c r="H3" s="56" t="s">
        <v>761</v>
      </c>
      <c r="I3" s="56" t="s">
        <v>760</v>
      </c>
      <c r="J3" s="56" t="s">
        <v>759</v>
      </c>
      <c r="K3" s="56" t="s">
        <v>758</v>
      </c>
      <c r="L3" s="56" t="s">
        <v>757</v>
      </c>
      <c r="M3" s="56" t="s">
        <v>756</v>
      </c>
      <c r="N3" s="56" t="s">
        <v>755</v>
      </c>
      <c r="O3" s="56" t="s">
        <v>754</v>
      </c>
      <c r="P3" s="56" t="s">
        <v>753</v>
      </c>
      <c r="Q3" s="56"/>
    </row>
    <row r="4" spans="1:17" x14ac:dyDescent="0.2">
      <c r="A4" s="57">
        <v>37802</v>
      </c>
      <c r="B4" s="16">
        <v>679922</v>
      </c>
      <c r="C4" s="16">
        <v>65698</v>
      </c>
      <c r="D4" s="16">
        <v>10840</v>
      </c>
      <c r="E4" s="16">
        <v>53720</v>
      </c>
      <c r="F4" s="16">
        <v>15</v>
      </c>
      <c r="I4" s="16">
        <v>259597</v>
      </c>
      <c r="J4" s="16">
        <v>172</v>
      </c>
      <c r="K4" s="16">
        <v>8889</v>
      </c>
      <c r="M4" s="16">
        <v>2215</v>
      </c>
      <c r="N4" s="16">
        <v>66</v>
      </c>
      <c r="O4" s="16">
        <v>278676</v>
      </c>
      <c r="P4" s="16">
        <v>33</v>
      </c>
    </row>
    <row r="5" spans="1:17" x14ac:dyDescent="0.2">
      <c r="A5" s="57">
        <v>38168</v>
      </c>
      <c r="B5" s="16">
        <v>854138</v>
      </c>
      <c r="C5" s="16">
        <v>62099</v>
      </c>
      <c r="D5" s="16">
        <v>7544</v>
      </c>
      <c r="E5" s="16">
        <v>80019</v>
      </c>
      <c r="F5" s="16">
        <v>48</v>
      </c>
      <c r="I5" s="16">
        <v>368947</v>
      </c>
      <c r="J5" s="16">
        <v>2193</v>
      </c>
      <c r="K5" s="16">
        <v>23379</v>
      </c>
      <c r="M5" s="16">
        <v>3</v>
      </c>
      <c r="N5" s="16">
        <v>0</v>
      </c>
      <c r="O5" s="16">
        <v>309891</v>
      </c>
      <c r="P5" s="16">
        <v>15</v>
      </c>
    </row>
    <row r="6" spans="1:17" x14ac:dyDescent="0.2">
      <c r="A6" s="57">
        <v>38533</v>
      </c>
      <c r="B6" s="16">
        <v>728601</v>
      </c>
      <c r="C6" s="16">
        <v>65124</v>
      </c>
      <c r="D6" s="16">
        <v>7376</v>
      </c>
      <c r="E6" s="16">
        <v>89987</v>
      </c>
      <c r="F6" s="16">
        <v>0</v>
      </c>
      <c r="I6" s="16">
        <v>337818</v>
      </c>
      <c r="J6" s="16">
        <v>0</v>
      </c>
      <c r="K6" s="16">
        <v>19159</v>
      </c>
      <c r="M6" s="16">
        <v>0</v>
      </c>
      <c r="N6" s="16">
        <v>0</v>
      </c>
      <c r="O6" s="16">
        <v>207833</v>
      </c>
      <c r="P6" s="16">
        <v>1304</v>
      </c>
    </row>
    <row r="7" spans="1:17" x14ac:dyDescent="0.2">
      <c r="A7" s="57">
        <v>38898</v>
      </c>
      <c r="B7" s="16">
        <v>723958</v>
      </c>
      <c r="C7" s="16">
        <v>60765</v>
      </c>
      <c r="D7" s="16">
        <v>15720</v>
      </c>
      <c r="E7" s="16">
        <v>101101</v>
      </c>
      <c r="F7" s="16">
        <v>0</v>
      </c>
      <c r="I7" s="16">
        <v>317291</v>
      </c>
      <c r="J7" s="16">
        <v>0</v>
      </c>
      <c r="K7" s="16">
        <v>21245</v>
      </c>
      <c r="M7" s="16">
        <v>0</v>
      </c>
      <c r="N7" s="16">
        <v>0</v>
      </c>
      <c r="O7" s="16">
        <v>205307</v>
      </c>
      <c r="P7" s="16">
        <v>2529</v>
      </c>
    </row>
    <row r="8" spans="1:17" x14ac:dyDescent="0.2">
      <c r="A8" s="57">
        <v>39263</v>
      </c>
      <c r="B8" s="16">
        <v>822454</v>
      </c>
      <c r="C8" s="16">
        <v>48396</v>
      </c>
      <c r="D8" s="16">
        <v>16207</v>
      </c>
      <c r="E8" s="16">
        <v>96757</v>
      </c>
      <c r="F8" s="16">
        <v>0</v>
      </c>
      <c r="G8" s="16">
        <v>0</v>
      </c>
      <c r="H8" s="16">
        <v>0</v>
      </c>
      <c r="I8" s="16">
        <v>455216</v>
      </c>
      <c r="J8" s="16">
        <v>0</v>
      </c>
      <c r="K8" s="16">
        <v>20420</v>
      </c>
      <c r="L8" s="16">
        <v>0</v>
      </c>
      <c r="M8" s="16">
        <v>2</v>
      </c>
      <c r="N8" s="16">
        <v>0</v>
      </c>
      <c r="O8" s="16">
        <v>178897</v>
      </c>
      <c r="P8" s="16">
        <v>6560</v>
      </c>
    </row>
    <row r="9" spans="1:17" x14ac:dyDescent="0.2">
      <c r="A9" s="57">
        <v>39629</v>
      </c>
      <c r="B9" s="16">
        <v>963263</v>
      </c>
      <c r="C9" s="16">
        <v>39164</v>
      </c>
      <c r="D9" s="16">
        <v>46581</v>
      </c>
      <c r="E9" s="16">
        <v>109127</v>
      </c>
      <c r="F9" s="16">
        <v>252</v>
      </c>
      <c r="G9" s="16">
        <v>0</v>
      </c>
      <c r="H9" s="16">
        <v>0</v>
      </c>
      <c r="I9" s="16">
        <v>531333</v>
      </c>
      <c r="J9" s="16">
        <v>0</v>
      </c>
      <c r="K9" s="16">
        <v>16399</v>
      </c>
      <c r="L9" s="16">
        <v>64</v>
      </c>
      <c r="M9" s="16">
        <v>0</v>
      </c>
      <c r="N9" s="16">
        <v>0</v>
      </c>
      <c r="O9" s="16">
        <v>209741</v>
      </c>
      <c r="P9" s="16">
        <v>10603</v>
      </c>
    </row>
    <row r="10" spans="1:17" x14ac:dyDescent="0.2">
      <c r="A10" s="57">
        <v>39994</v>
      </c>
      <c r="B10" s="16">
        <v>1072357</v>
      </c>
      <c r="C10" s="16">
        <v>30536</v>
      </c>
      <c r="D10" s="16">
        <v>44152</v>
      </c>
      <c r="E10" s="16">
        <v>101422</v>
      </c>
      <c r="F10" s="16">
        <v>113</v>
      </c>
      <c r="G10" s="16">
        <v>0</v>
      </c>
      <c r="H10" s="16">
        <v>2131</v>
      </c>
      <c r="I10" s="16">
        <v>673318</v>
      </c>
      <c r="J10" s="16">
        <v>0</v>
      </c>
      <c r="K10" s="16">
        <v>12504</v>
      </c>
      <c r="L10" s="16">
        <v>0</v>
      </c>
      <c r="M10" s="16">
        <v>0</v>
      </c>
      <c r="N10" s="16">
        <v>0</v>
      </c>
      <c r="O10" s="16">
        <v>195651</v>
      </c>
      <c r="P10" s="16">
        <v>12530</v>
      </c>
    </row>
    <row r="11" spans="1:17" x14ac:dyDescent="0.2">
      <c r="A11" s="57">
        <v>40359</v>
      </c>
      <c r="B11" s="16">
        <v>1136789</v>
      </c>
      <c r="C11" s="16">
        <v>30100</v>
      </c>
      <c r="D11" s="16">
        <v>44693</v>
      </c>
      <c r="E11" s="16">
        <v>43278</v>
      </c>
      <c r="F11" s="16">
        <v>12</v>
      </c>
      <c r="G11" s="16">
        <v>22814</v>
      </c>
      <c r="H11" s="16">
        <v>452</v>
      </c>
      <c r="I11" s="16">
        <v>721075</v>
      </c>
      <c r="J11" s="16">
        <v>0</v>
      </c>
      <c r="K11" s="16">
        <v>9437</v>
      </c>
      <c r="L11" s="16">
        <v>0</v>
      </c>
      <c r="M11" s="16">
        <v>0</v>
      </c>
      <c r="N11" s="16">
        <v>0</v>
      </c>
      <c r="O11" s="16">
        <v>257158</v>
      </c>
      <c r="P11" s="16">
        <v>7769</v>
      </c>
    </row>
    <row r="12" spans="1:17" x14ac:dyDescent="0.2">
      <c r="A12" s="58">
        <v>40724</v>
      </c>
      <c r="B12" s="59">
        <v>1505650</v>
      </c>
      <c r="C12" s="59">
        <v>16398</v>
      </c>
      <c r="D12" s="59">
        <v>45086</v>
      </c>
      <c r="E12" s="59">
        <v>94433</v>
      </c>
      <c r="F12" s="59">
        <v>10</v>
      </c>
      <c r="G12" s="59">
        <v>38552</v>
      </c>
      <c r="H12" s="59">
        <v>1028</v>
      </c>
      <c r="I12" s="59">
        <v>876267</v>
      </c>
      <c r="J12" s="59">
        <v>3975</v>
      </c>
      <c r="K12" s="59">
        <v>6826</v>
      </c>
      <c r="L12" s="59">
        <v>336</v>
      </c>
      <c r="M12" s="59">
        <v>38783</v>
      </c>
      <c r="N12" s="59">
        <v>0</v>
      </c>
      <c r="O12" s="59">
        <v>374188</v>
      </c>
      <c r="P12" s="59">
        <v>9768</v>
      </c>
    </row>
    <row r="13" spans="1:17" x14ac:dyDescent="0.2">
      <c r="A13" s="57">
        <v>41090</v>
      </c>
      <c r="B13" s="16">
        <v>1618828</v>
      </c>
      <c r="C13" s="16">
        <v>9342</v>
      </c>
      <c r="D13" s="16">
        <v>46385</v>
      </c>
      <c r="E13" s="16">
        <v>110656</v>
      </c>
      <c r="F13" s="16">
        <v>0</v>
      </c>
      <c r="G13" s="16">
        <v>7655</v>
      </c>
      <c r="H13" s="16">
        <v>6952</v>
      </c>
      <c r="I13" s="16">
        <v>872620</v>
      </c>
      <c r="J13" s="16">
        <v>11768</v>
      </c>
      <c r="K13" s="16">
        <v>4332</v>
      </c>
      <c r="L13" s="16">
        <v>199</v>
      </c>
      <c r="M13" s="16">
        <v>68843</v>
      </c>
      <c r="N13" s="16">
        <v>0</v>
      </c>
      <c r="O13" s="16">
        <v>474060</v>
      </c>
      <c r="P13" s="16">
        <v>6016</v>
      </c>
    </row>
    <row r="14" spans="1:17" x14ac:dyDescent="0.2">
      <c r="A14" s="57">
        <v>41455</v>
      </c>
      <c r="B14" s="16">
        <v>1572413</v>
      </c>
    </row>
    <row r="15" spans="1:17" x14ac:dyDescent="0.2">
      <c r="A15" s="57"/>
    </row>
    <row r="16" spans="1:17" x14ac:dyDescent="0.2">
      <c r="C16" s="16" t="s">
        <v>97</v>
      </c>
      <c r="D16" s="16" t="s">
        <v>96</v>
      </c>
      <c r="E16" s="16" t="s">
        <v>97</v>
      </c>
      <c r="F16" s="16" t="s">
        <v>96</v>
      </c>
      <c r="G16" s="16" t="s">
        <v>95</v>
      </c>
      <c r="H16" s="16" t="s">
        <v>57</v>
      </c>
      <c r="I16" s="16" t="s">
        <v>62</v>
      </c>
      <c r="J16" s="16" t="s">
        <v>93</v>
      </c>
      <c r="K16" s="16" t="s">
        <v>96</v>
      </c>
      <c r="L16" s="16" t="s">
        <v>57</v>
      </c>
      <c r="M16" s="16" t="s">
        <v>65</v>
      </c>
      <c r="N16" s="16" t="s">
        <v>93</v>
      </c>
      <c r="O16" s="16" t="s">
        <v>95</v>
      </c>
      <c r="P16" s="16" t="s">
        <v>97</v>
      </c>
    </row>
    <row r="17" spans="1:20" x14ac:dyDescent="0.2">
      <c r="C17" s="16" t="s">
        <v>431</v>
      </c>
      <c r="D17" s="16" t="s">
        <v>751</v>
      </c>
      <c r="E17" s="16" t="s">
        <v>751</v>
      </c>
      <c r="F17" s="16" t="s">
        <v>7</v>
      </c>
      <c r="G17" s="16" t="s">
        <v>431</v>
      </c>
      <c r="H17" s="16" t="s">
        <v>431</v>
      </c>
      <c r="I17" s="16" t="s">
        <v>7</v>
      </c>
      <c r="J17" s="16" t="s">
        <v>7</v>
      </c>
      <c r="K17" s="16" t="s">
        <v>7</v>
      </c>
      <c r="L17" s="16" t="s">
        <v>7</v>
      </c>
      <c r="M17" s="16" t="s">
        <v>7</v>
      </c>
      <c r="N17" s="16" t="s">
        <v>7</v>
      </c>
      <c r="O17" s="16" t="s">
        <v>752</v>
      </c>
      <c r="P17" s="16" t="s">
        <v>7</v>
      </c>
    </row>
    <row r="18" spans="1:20" x14ac:dyDescent="0.2">
      <c r="O18" s="16" t="s">
        <v>821</v>
      </c>
    </row>
    <row r="20" spans="1:20" x14ac:dyDescent="0.2">
      <c r="C20" s="16" t="s">
        <v>7</v>
      </c>
      <c r="D20" s="16" t="s">
        <v>751</v>
      </c>
      <c r="E20" s="16" t="s">
        <v>431</v>
      </c>
      <c r="O20" s="16">
        <v>2011</v>
      </c>
      <c r="P20" s="16">
        <v>2012</v>
      </c>
    </row>
    <row r="21" spans="1:20" x14ac:dyDescent="0.2">
      <c r="B21" s="16">
        <v>2011</v>
      </c>
      <c r="C21" s="16">
        <f>F12+I12+J12+K12+L12+M12+N12+P12</f>
        <v>935965</v>
      </c>
      <c r="D21" s="16">
        <f>D12+E12+O12*0.965</f>
        <v>500610.42</v>
      </c>
      <c r="E21" s="16">
        <f>C12+G12+H12+O12*0.035</f>
        <v>69074.58</v>
      </c>
      <c r="F21" s="16">
        <f>SUM(C21:E21)</f>
        <v>1505650</v>
      </c>
      <c r="N21" s="16" t="s">
        <v>95</v>
      </c>
      <c r="O21" s="60">
        <f>O12*0.965</f>
        <v>361091.42</v>
      </c>
      <c r="P21" s="16">
        <f>O13*0.965</f>
        <v>457467.89999999997</v>
      </c>
    </row>
    <row r="22" spans="1:20" x14ac:dyDescent="0.2">
      <c r="B22" s="16">
        <v>2012</v>
      </c>
      <c r="C22" s="16">
        <f>F13+I13+J13+K13+L13+M13+N13+P13</f>
        <v>963778</v>
      </c>
      <c r="D22" s="16">
        <f>D13+E13+O13*0.965</f>
        <v>614508.89999999991</v>
      </c>
      <c r="E22" s="16">
        <f>C13+G13+H13+O12*0.035</f>
        <v>37045.58</v>
      </c>
      <c r="F22" s="16">
        <f>SUM(C22:E22)</f>
        <v>1615332.48</v>
      </c>
      <c r="N22" s="16" t="s">
        <v>96</v>
      </c>
      <c r="O22" s="16">
        <f>D12</f>
        <v>45086</v>
      </c>
      <c r="P22" s="16">
        <f>D13</f>
        <v>46385</v>
      </c>
    </row>
    <row r="23" spans="1:20" x14ac:dyDescent="0.2">
      <c r="N23" s="16" t="s">
        <v>97</v>
      </c>
      <c r="O23" s="16">
        <f>E12</f>
        <v>94433</v>
      </c>
      <c r="P23" s="16">
        <f>E13</f>
        <v>110656</v>
      </c>
    </row>
    <row r="24" spans="1:20" x14ac:dyDescent="0.2">
      <c r="O24" s="60">
        <f>SUM(O21:O23)</f>
        <v>500610.42</v>
      </c>
      <c r="P24" s="60">
        <f>SUM(P21:P23)</f>
        <v>614508.89999999991</v>
      </c>
    </row>
    <row r="26" spans="1:20" x14ac:dyDescent="0.2">
      <c r="D26" s="61"/>
      <c r="E26" s="61"/>
      <c r="N26" s="15" t="s">
        <v>95</v>
      </c>
      <c r="O26" s="62">
        <f>O21/O24</f>
        <v>0.72130224536676646</v>
      </c>
      <c r="P26" s="62">
        <f>P21/P24</f>
        <v>0.74444471023934733</v>
      </c>
      <c r="Q26" s="63">
        <f>AVERAGE(O26:P26)</f>
        <v>0.73287347780305689</v>
      </c>
    </row>
    <row r="27" spans="1:20" x14ac:dyDescent="0.2">
      <c r="N27" s="15" t="s">
        <v>96</v>
      </c>
      <c r="O27" s="62">
        <f>O22/O24</f>
        <v>9.0062048648527931E-2</v>
      </c>
      <c r="P27" s="62">
        <f>P22/P24</f>
        <v>7.548304019681408E-2</v>
      </c>
      <c r="Q27" s="63">
        <f>AVERAGE(O27:P27)</f>
        <v>8.2772544422671013E-2</v>
      </c>
    </row>
    <row r="28" spans="1:20" x14ac:dyDescent="0.2">
      <c r="N28" s="15" t="s">
        <v>97</v>
      </c>
      <c r="O28" s="62">
        <f>O23/O24</f>
        <v>0.18863570598470564</v>
      </c>
      <c r="P28" s="62">
        <f>P23/P24</f>
        <v>0.18007224956383872</v>
      </c>
      <c r="Q28" s="63">
        <f>AVERAGE(O28:P28)</f>
        <v>0.18435397777427218</v>
      </c>
    </row>
    <row r="31" spans="1:20" s="14" customFormat="1" ht="15.75" x14ac:dyDescent="0.25">
      <c r="A31" s="48" t="s">
        <v>693</v>
      </c>
      <c r="B31" s="49" t="s">
        <v>784</v>
      </c>
    </row>
    <row r="32" spans="1:20" s="14" customFormat="1" ht="24" x14ac:dyDescent="0.2">
      <c r="A32" s="50" t="s">
        <v>694</v>
      </c>
      <c r="B32" s="51" t="s">
        <v>785</v>
      </c>
      <c r="C32" s="51" t="s">
        <v>786</v>
      </c>
      <c r="D32" s="51" t="s">
        <v>787</v>
      </c>
      <c r="E32" s="51" t="s">
        <v>788</v>
      </c>
      <c r="F32" s="51" t="s">
        <v>789</v>
      </c>
      <c r="G32" s="51" t="s">
        <v>790</v>
      </c>
      <c r="H32" s="51" t="s">
        <v>791</v>
      </c>
      <c r="I32" s="51" t="s">
        <v>792</v>
      </c>
      <c r="J32" s="51" t="s">
        <v>793</v>
      </c>
      <c r="K32" s="51" t="s">
        <v>794</v>
      </c>
      <c r="L32" s="51" t="s">
        <v>795</v>
      </c>
      <c r="M32" s="51" t="s">
        <v>796</v>
      </c>
      <c r="N32" s="51" t="s">
        <v>797</v>
      </c>
      <c r="O32" s="51" t="s">
        <v>798</v>
      </c>
      <c r="P32" s="51" t="s">
        <v>799</v>
      </c>
      <c r="Q32" s="51" t="s">
        <v>800</v>
      </c>
      <c r="R32" s="51" t="s">
        <v>801</v>
      </c>
      <c r="S32" s="51" t="s">
        <v>802</v>
      </c>
      <c r="T32" s="51"/>
    </row>
    <row r="33" spans="1:20" s="14" customFormat="1" ht="114.75" x14ac:dyDescent="0.2">
      <c r="A33" s="24" t="s">
        <v>285</v>
      </c>
      <c r="B33" s="28" t="s">
        <v>803</v>
      </c>
      <c r="C33" s="28" t="s">
        <v>804</v>
      </c>
      <c r="D33" s="28" t="s">
        <v>805</v>
      </c>
      <c r="E33" s="28" t="s">
        <v>806</v>
      </c>
      <c r="F33" s="28" t="s">
        <v>807</v>
      </c>
      <c r="G33" s="28" t="s">
        <v>808</v>
      </c>
      <c r="H33" s="28" t="s">
        <v>809</v>
      </c>
      <c r="I33" s="28" t="s">
        <v>810</v>
      </c>
      <c r="J33" s="28" t="s">
        <v>811</v>
      </c>
      <c r="K33" s="28" t="s">
        <v>812</v>
      </c>
      <c r="L33" s="28" t="s">
        <v>813</v>
      </c>
      <c r="M33" s="28" t="s">
        <v>814</v>
      </c>
      <c r="N33" s="28" t="s">
        <v>815</v>
      </c>
      <c r="O33" s="28" t="s">
        <v>816</v>
      </c>
      <c r="P33" s="28" t="s">
        <v>817</v>
      </c>
      <c r="Q33" s="28" t="s">
        <v>818</v>
      </c>
      <c r="R33" s="28" t="s">
        <v>819</v>
      </c>
      <c r="S33" s="28" t="s">
        <v>820</v>
      </c>
      <c r="T33" s="28"/>
    </row>
    <row r="34" spans="1:20" s="14" customFormat="1" x14ac:dyDescent="0.2">
      <c r="A34" s="29">
        <v>37802</v>
      </c>
      <c r="B34" s="14">
        <v>3943749</v>
      </c>
      <c r="D34" s="14">
        <v>43927</v>
      </c>
      <c r="E34" s="14">
        <v>623652</v>
      </c>
      <c r="F34" s="14">
        <v>238237</v>
      </c>
      <c r="G34" s="14">
        <v>115301</v>
      </c>
      <c r="H34" s="14">
        <v>66078</v>
      </c>
      <c r="I34" s="14">
        <v>158277</v>
      </c>
      <c r="J34" s="14">
        <v>7716</v>
      </c>
      <c r="K34" s="14">
        <v>364725</v>
      </c>
      <c r="M34" s="14">
        <v>719011</v>
      </c>
      <c r="N34" s="14">
        <v>34983</v>
      </c>
      <c r="O34" s="14">
        <v>761859</v>
      </c>
      <c r="P34" s="14">
        <v>435453</v>
      </c>
      <c r="R34" s="14">
        <v>8272</v>
      </c>
      <c r="S34" s="14">
        <v>366257</v>
      </c>
    </row>
    <row r="35" spans="1:20" s="14" customFormat="1" x14ac:dyDescent="0.2">
      <c r="A35" s="29">
        <v>38168</v>
      </c>
      <c r="B35" s="14">
        <v>4258558</v>
      </c>
      <c r="D35" s="14">
        <v>105203</v>
      </c>
      <c r="E35" s="14">
        <v>707885</v>
      </c>
      <c r="F35" s="14">
        <v>163738</v>
      </c>
      <c r="G35" s="14">
        <v>102292</v>
      </c>
      <c r="H35" s="14">
        <v>209294</v>
      </c>
      <c r="I35" s="14">
        <v>173780</v>
      </c>
      <c r="J35" s="14">
        <v>24272</v>
      </c>
      <c r="K35" s="14">
        <v>404091</v>
      </c>
      <c r="M35" s="14">
        <v>757642</v>
      </c>
      <c r="N35" s="14">
        <v>17257</v>
      </c>
      <c r="O35" s="14">
        <v>785055</v>
      </c>
      <c r="P35" s="14">
        <v>460237</v>
      </c>
      <c r="Q35" s="14">
        <v>0</v>
      </c>
      <c r="R35" s="14">
        <v>8761</v>
      </c>
      <c r="S35" s="14">
        <v>339051</v>
      </c>
    </row>
    <row r="36" spans="1:20" s="14" customFormat="1" x14ac:dyDescent="0.2">
      <c r="A36" s="29">
        <v>38533</v>
      </c>
      <c r="B36" s="14">
        <v>4341034</v>
      </c>
      <c r="D36" s="14">
        <v>132062</v>
      </c>
      <c r="E36" s="14">
        <v>624468</v>
      </c>
      <c r="F36" s="14">
        <v>108967</v>
      </c>
      <c r="G36" s="14">
        <v>135162</v>
      </c>
      <c r="H36" s="14">
        <v>221689</v>
      </c>
      <c r="I36" s="14">
        <v>168542</v>
      </c>
      <c r="J36" s="14">
        <v>18281</v>
      </c>
      <c r="K36" s="14">
        <v>472600</v>
      </c>
      <c r="M36" s="14">
        <v>728851</v>
      </c>
      <c r="N36" s="14">
        <v>28041</v>
      </c>
      <c r="O36" s="14">
        <v>856107</v>
      </c>
      <c r="P36" s="14">
        <v>491867</v>
      </c>
      <c r="Q36" s="14">
        <v>9320</v>
      </c>
      <c r="R36" s="14">
        <v>8392</v>
      </c>
      <c r="S36" s="14">
        <v>336684</v>
      </c>
    </row>
    <row r="37" spans="1:20" s="14" customFormat="1" x14ac:dyDescent="0.2">
      <c r="A37" s="29">
        <v>38898</v>
      </c>
      <c r="B37" s="14">
        <v>4186281</v>
      </c>
      <c r="D37" s="14">
        <v>146766</v>
      </c>
      <c r="E37" s="14">
        <v>690781</v>
      </c>
      <c r="F37" s="14">
        <v>144060</v>
      </c>
      <c r="G37" s="14">
        <v>105650</v>
      </c>
      <c r="H37" s="14">
        <v>116613</v>
      </c>
      <c r="I37" s="14">
        <v>176097</v>
      </c>
      <c r="J37" s="14">
        <v>10434</v>
      </c>
      <c r="K37" s="14">
        <v>422847</v>
      </c>
      <c r="M37" s="14">
        <v>684278</v>
      </c>
      <c r="N37" s="14">
        <v>31853</v>
      </c>
      <c r="O37" s="14">
        <v>865952</v>
      </c>
      <c r="P37" s="14">
        <v>514052</v>
      </c>
      <c r="Q37" s="14">
        <v>12749</v>
      </c>
      <c r="R37" s="14">
        <v>8404</v>
      </c>
      <c r="S37" s="14">
        <v>255743</v>
      </c>
    </row>
    <row r="38" spans="1:20" s="14" customFormat="1" x14ac:dyDescent="0.2">
      <c r="A38" s="29">
        <v>39263</v>
      </c>
      <c r="B38" s="14">
        <v>4607582</v>
      </c>
      <c r="C38" s="14">
        <v>0</v>
      </c>
      <c r="D38" s="14">
        <v>170243</v>
      </c>
      <c r="E38" s="14">
        <v>704429</v>
      </c>
      <c r="F38" s="14">
        <v>268714</v>
      </c>
      <c r="G38" s="14">
        <v>106643</v>
      </c>
      <c r="H38" s="14">
        <v>148231</v>
      </c>
      <c r="I38" s="14">
        <v>183624</v>
      </c>
      <c r="J38" s="14">
        <v>10590</v>
      </c>
      <c r="K38" s="14">
        <v>504676</v>
      </c>
      <c r="L38" s="14">
        <v>0</v>
      </c>
      <c r="M38" s="14">
        <v>779129</v>
      </c>
      <c r="N38" s="14">
        <v>56879</v>
      </c>
      <c r="O38" s="14">
        <v>892283</v>
      </c>
      <c r="P38" s="14">
        <v>465973</v>
      </c>
      <c r="Q38" s="14">
        <v>54062</v>
      </c>
      <c r="R38" s="14">
        <v>8021</v>
      </c>
      <c r="S38" s="14">
        <v>254086</v>
      </c>
    </row>
    <row r="39" spans="1:20" s="14" customFormat="1" x14ac:dyDescent="0.2">
      <c r="A39" s="29">
        <v>39629</v>
      </c>
      <c r="B39" s="14">
        <v>3984101</v>
      </c>
      <c r="C39" s="14">
        <v>1345</v>
      </c>
      <c r="D39" s="14">
        <v>135711</v>
      </c>
      <c r="E39" s="14">
        <v>688782</v>
      </c>
      <c r="F39" s="14">
        <v>18110</v>
      </c>
      <c r="G39" s="14">
        <v>121295</v>
      </c>
      <c r="H39" s="14">
        <v>25894</v>
      </c>
      <c r="I39" s="14">
        <v>166247</v>
      </c>
      <c r="J39" s="14">
        <v>12109</v>
      </c>
      <c r="K39" s="14">
        <v>481748</v>
      </c>
      <c r="L39" s="14">
        <v>0</v>
      </c>
      <c r="M39" s="14">
        <v>666251</v>
      </c>
      <c r="N39" s="14">
        <v>39438</v>
      </c>
      <c r="O39" s="14">
        <v>780862</v>
      </c>
      <c r="P39" s="14">
        <v>490045</v>
      </c>
      <c r="Q39" s="14">
        <v>47704</v>
      </c>
      <c r="R39" s="14">
        <v>8106</v>
      </c>
      <c r="S39" s="14">
        <v>300453</v>
      </c>
    </row>
    <row r="40" spans="1:20" s="14" customFormat="1" x14ac:dyDescent="0.2">
      <c r="A40" s="29">
        <v>39994</v>
      </c>
      <c r="B40" s="14">
        <v>3751360</v>
      </c>
      <c r="C40" s="14">
        <v>1953</v>
      </c>
      <c r="D40" s="14">
        <v>142244</v>
      </c>
      <c r="E40" s="14">
        <v>693892</v>
      </c>
      <c r="F40" s="14">
        <v>70099</v>
      </c>
      <c r="G40" s="14">
        <v>114081</v>
      </c>
      <c r="H40" s="14">
        <v>72339</v>
      </c>
      <c r="I40" s="14">
        <v>161486</v>
      </c>
      <c r="J40" s="14">
        <v>12216</v>
      </c>
      <c r="K40" s="14">
        <v>482749</v>
      </c>
      <c r="L40" s="14">
        <v>0</v>
      </c>
      <c r="M40" s="14">
        <v>502435</v>
      </c>
      <c r="N40" s="14">
        <v>26767</v>
      </c>
      <c r="O40" s="14">
        <v>640119</v>
      </c>
      <c r="P40" s="14">
        <v>480013</v>
      </c>
      <c r="Q40" s="14">
        <v>32131</v>
      </c>
      <c r="R40" s="14">
        <v>9319</v>
      </c>
      <c r="S40" s="14">
        <v>309516</v>
      </c>
    </row>
    <row r="41" spans="1:20" s="14" customFormat="1" x14ac:dyDescent="0.2">
      <c r="A41" s="29">
        <v>40359</v>
      </c>
      <c r="B41" s="14">
        <v>3740757</v>
      </c>
      <c r="C41" s="14">
        <v>22503</v>
      </c>
      <c r="D41" s="14">
        <v>106454</v>
      </c>
      <c r="E41" s="14">
        <v>708806</v>
      </c>
      <c r="F41" s="14">
        <v>90867</v>
      </c>
      <c r="G41" s="14">
        <v>131035</v>
      </c>
      <c r="H41" s="14">
        <v>43431</v>
      </c>
      <c r="I41" s="14">
        <v>164984</v>
      </c>
      <c r="J41" s="14">
        <v>11365</v>
      </c>
      <c r="K41" s="14">
        <v>451405</v>
      </c>
      <c r="L41" s="14">
        <v>0</v>
      </c>
      <c r="M41" s="14">
        <v>706201</v>
      </c>
      <c r="N41" s="14">
        <v>18297</v>
      </c>
      <c r="O41" s="14">
        <v>434526</v>
      </c>
      <c r="P41" s="14">
        <v>476864</v>
      </c>
      <c r="Q41" s="14">
        <v>32765</v>
      </c>
      <c r="R41" s="14">
        <v>8895</v>
      </c>
      <c r="S41" s="14">
        <v>332358</v>
      </c>
    </row>
    <row r="42" spans="1:20" s="14" customFormat="1" x14ac:dyDescent="0.2">
      <c r="A42" s="29">
        <v>40724</v>
      </c>
      <c r="B42" s="14">
        <v>3468693</v>
      </c>
      <c r="C42" s="14">
        <v>2171</v>
      </c>
      <c r="D42" s="14">
        <v>75641</v>
      </c>
      <c r="E42" s="14">
        <v>606099</v>
      </c>
      <c r="F42" s="14">
        <v>60554</v>
      </c>
      <c r="G42" s="14">
        <v>149736</v>
      </c>
      <c r="H42" s="14">
        <v>13981</v>
      </c>
      <c r="I42" s="14">
        <v>135278</v>
      </c>
      <c r="J42" s="14">
        <v>15193</v>
      </c>
      <c r="K42" s="14">
        <v>548686</v>
      </c>
      <c r="L42" s="14">
        <v>5774</v>
      </c>
      <c r="M42" s="14">
        <v>679848</v>
      </c>
      <c r="N42" s="14">
        <v>19826</v>
      </c>
      <c r="O42" s="14">
        <v>324474</v>
      </c>
      <c r="P42" s="14">
        <v>448977</v>
      </c>
      <c r="Q42" s="14">
        <v>58212</v>
      </c>
      <c r="R42" s="14">
        <v>10319</v>
      </c>
      <c r="S42" s="14">
        <v>313922</v>
      </c>
    </row>
    <row r="43" spans="1:20" s="14" customFormat="1" x14ac:dyDescent="0.2">
      <c r="A43" s="29">
        <v>41090</v>
      </c>
      <c r="B43" s="14">
        <v>3137789</v>
      </c>
      <c r="C43" s="14">
        <v>0</v>
      </c>
      <c r="D43" s="14">
        <v>59266</v>
      </c>
      <c r="E43" s="14">
        <v>634194</v>
      </c>
      <c r="F43" s="14">
        <v>20132</v>
      </c>
      <c r="G43" s="14">
        <v>76540</v>
      </c>
      <c r="H43" s="14">
        <v>2790</v>
      </c>
      <c r="I43" s="14">
        <v>86609</v>
      </c>
      <c r="J43" s="14">
        <v>11630</v>
      </c>
      <c r="K43" s="14">
        <v>406327</v>
      </c>
      <c r="L43" s="14">
        <v>0</v>
      </c>
      <c r="M43" s="14">
        <v>754058</v>
      </c>
      <c r="N43" s="14">
        <v>47451</v>
      </c>
      <c r="O43" s="14">
        <v>278422</v>
      </c>
      <c r="P43" s="14">
        <v>433721</v>
      </c>
      <c r="Q43" s="14">
        <v>6165</v>
      </c>
      <c r="R43" s="14">
        <v>8247</v>
      </c>
      <c r="S43" s="14">
        <v>312236</v>
      </c>
    </row>
    <row r="45" spans="1:20" x14ac:dyDescent="0.2">
      <c r="C45" s="16" t="s">
        <v>97</v>
      </c>
      <c r="D45" s="16" t="s">
        <v>92</v>
      </c>
      <c r="E45" s="16" t="s">
        <v>96</v>
      </c>
      <c r="F45" s="16" t="s">
        <v>95</v>
      </c>
      <c r="G45" s="16" t="s">
        <v>57</v>
      </c>
      <c r="H45" s="16" t="s">
        <v>92</v>
      </c>
      <c r="I45" s="16" t="s">
        <v>57</v>
      </c>
      <c r="J45" s="16" t="s">
        <v>62</v>
      </c>
      <c r="K45" s="16" t="s">
        <v>93</v>
      </c>
      <c r="L45" s="16" t="s">
        <v>94</v>
      </c>
      <c r="M45" s="16" t="s">
        <v>96</v>
      </c>
      <c r="N45" s="16" t="s">
        <v>57</v>
      </c>
      <c r="O45" s="16" t="s">
        <v>65</v>
      </c>
      <c r="P45" s="16" t="s">
        <v>93</v>
      </c>
      <c r="Q45" s="16" t="s">
        <v>95</v>
      </c>
      <c r="R45" s="16" t="s">
        <v>57</v>
      </c>
      <c r="S45" s="16" t="s">
        <v>97</v>
      </c>
    </row>
    <row r="46" spans="1:20" x14ac:dyDescent="0.2">
      <c r="C46" s="16" t="s">
        <v>431</v>
      </c>
      <c r="D46" s="16" t="s">
        <v>431</v>
      </c>
      <c r="E46" s="16" t="s">
        <v>7</v>
      </c>
      <c r="F46" s="16" t="s">
        <v>431</v>
      </c>
      <c r="G46" s="16" t="s">
        <v>7</v>
      </c>
      <c r="H46" s="16" t="s">
        <v>431</v>
      </c>
      <c r="I46" s="16" t="s">
        <v>431</v>
      </c>
      <c r="J46" s="16" t="s">
        <v>7</v>
      </c>
      <c r="K46" s="16" t="s">
        <v>7</v>
      </c>
      <c r="L46" s="16" t="s">
        <v>431</v>
      </c>
      <c r="M46" s="16" t="s">
        <v>7</v>
      </c>
      <c r="N46" s="16" t="s">
        <v>7</v>
      </c>
      <c r="O46" s="16" t="s">
        <v>7</v>
      </c>
      <c r="P46" s="16" t="s">
        <v>7</v>
      </c>
      <c r="Q46" s="16" t="s">
        <v>751</v>
      </c>
      <c r="R46" s="16" t="s">
        <v>7</v>
      </c>
      <c r="S46" s="16" t="s">
        <v>7</v>
      </c>
    </row>
    <row r="47" spans="1:20" x14ac:dyDescent="0.2">
      <c r="Q47" s="16" t="s">
        <v>431</v>
      </c>
    </row>
    <row r="49" spans="1:7" x14ac:dyDescent="0.2">
      <c r="C49" s="16" t="s">
        <v>7</v>
      </c>
      <c r="D49" s="16" t="s">
        <v>751</v>
      </c>
      <c r="E49" s="16" t="s">
        <v>431</v>
      </c>
    </row>
    <row r="50" spans="1:7" x14ac:dyDescent="0.2">
      <c r="B50" s="16">
        <v>2011</v>
      </c>
      <c r="C50" s="16">
        <f>E42+G42+J42+K42+M42+N42+O42+P42+R42+S42</f>
        <v>3117080</v>
      </c>
      <c r="D50" s="16">
        <f>0</f>
        <v>0</v>
      </c>
      <c r="E50" s="16">
        <f>D42+F42+H42+I42+L42+Q42</f>
        <v>349440</v>
      </c>
      <c r="F50" s="16">
        <f>SUM(C50:E50)</f>
        <v>3466520</v>
      </c>
    </row>
    <row r="51" spans="1:7" x14ac:dyDescent="0.2">
      <c r="B51" s="16">
        <v>2012</v>
      </c>
      <c r="C51" s="16">
        <f>C43+E43+G43+J43+K43+M43+N43+O43+P43+R43+S43</f>
        <v>2962826</v>
      </c>
      <c r="D51" s="16">
        <f>0</f>
        <v>0</v>
      </c>
      <c r="E51" s="16">
        <f>D43+F43+H43+I43+L43+Q43</f>
        <v>174962</v>
      </c>
      <c r="F51" s="16">
        <f>SUM(C51:E51)</f>
        <v>3137788</v>
      </c>
    </row>
    <row r="53" spans="1:7" x14ac:dyDescent="0.2">
      <c r="A53" s="16" t="s">
        <v>822</v>
      </c>
      <c r="B53" s="64"/>
      <c r="C53" s="64">
        <v>2011</v>
      </c>
      <c r="D53" s="64">
        <v>2011</v>
      </c>
      <c r="E53" s="64">
        <v>2011</v>
      </c>
      <c r="F53" s="64">
        <v>2012</v>
      </c>
      <c r="G53" s="64" t="s">
        <v>823</v>
      </c>
    </row>
    <row r="54" spans="1:7" x14ac:dyDescent="0.2">
      <c r="B54" s="64" t="s">
        <v>57</v>
      </c>
      <c r="C54" s="64">
        <f>(G42+N42+R42-L12)/1000000</f>
        <v>0.17954500000000001</v>
      </c>
      <c r="D54" s="64">
        <f>(G43+N43+R43-L13)/1000000</f>
        <v>0.13203899999999999</v>
      </c>
      <c r="E54" s="65">
        <f>C54/C$65</f>
        <v>5.9018358162494178E-2</v>
      </c>
      <c r="F54" s="65">
        <f>D54/D$65</f>
        <v>4.6166869111529285E-2</v>
      </c>
      <c r="G54" s="65">
        <f>AVERAGE(E54:F54)</f>
        <v>5.2592613637011731E-2</v>
      </c>
    </row>
    <row r="55" spans="1:7" x14ac:dyDescent="0.2">
      <c r="B55" s="64" t="s">
        <v>65</v>
      </c>
      <c r="C55" s="64">
        <f>(O42-M12)/1000000</f>
        <v>0.28569099999999997</v>
      </c>
      <c r="D55" s="64">
        <f>(O43-M13)/1000000</f>
        <v>0.20957899999999999</v>
      </c>
      <c r="E55" s="65">
        <f t="shared" ref="E55:E62" si="0">C55/C$65</f>
        <v>9.390968148264292E-2</v>
      </c>
      <c r="F55" s="65">
        <f t="shared" ref="F55:F62" si="1">D55/D$65</f>
        <v>7.3278397000319573E-2</v>
      </c>
      <c r="G55" s="65">
        <f t="shared" ref="G55:G62" si="2">AVERAGE(E55:F55)</f>
        <v>8.3594039241481247E-2</v>
      </c>
    </row>
    <row r="56" spans="1:7" x14ac:dyDescent="0.2">
      <c r="B56" s="64" t="s">
        <v>62</v>
      </c>
      <c r="C56" s="64">
        <f>(J42-I12)/1000000</f>
        <v>-0.86107400000000001</v>
      </c>
      <c r="D56" s="64">
        <f>(J43-I13)/1000000</f>
        <v>-0.86099000000000003</v>
      </c>
      <c r="E56" s="65"/>
      <c r="F56" s="65"/>
      <c r="G56" s="65"/>
    </row>
    <row r="57" spans="1:7" x14ac:dyDescent="0.2">
      <c r="B57" s="64" t="s">
        <v>93</v>
      </c>
      <c r="C57" s="64">
        <f>(K42+P42-N12-J12)/1000000</f>
        <v>0.99368800000000002</v>
      </c>
      <c r="D57" s="64">
        <f>(K43+P43-N13-J13)/1000000</f>
        <v>0.82828000000000002</v>
      </c>
      <c r="E57" s="65">
        <f t="shared" si="0"/>
        <v>0.32663585332798195</v>
      </c>
      <c r="F57" s="65">
        <f t="shared" si="1"/>
        <v>0.28960454371585276</v>
      </c>
      <c r="G57" s="65">
        <f t="shared" si="2"/>
        <v>0.30812019852191735</v>
      </c>
    </row>
    <row r="58" spans="1:7" x14ac:dyDescent="0.2">
      <c r="B58" s="64" t="s">
        <v>92</v>
      </c>
      <c r="C58" s="64">
        <v>0</v>
      </c>
      <c r="D58" s="64">
        <f>0</f>
        <v>0</v>
      </c>
      <c r="E58" s="65">
        <f t="shared" si="0"/>
        <v>0</v>
      </c>
      <c r="F58" s="65">
        <f t="shared" si="1"/>
        <v>0</v>
      </c>
      <c r="G58" s="65">
        <f t="shared" si="2"/>
        <v>0</v>
      </c>
    </row>
    <row r="59" spans="1:7" x14ac:dyDescent="0.2">
      <c r="B59" s="64" t="s">
        <v>94</v>
      </c>
      <c r="C59" s="64">
        <f>0</f>
        <v>0</v>
      </c>
      <c r="D59" s="64">
        <f>0</f>
        <v>0</v>
      </c>
      <c r="E59" s="65">
        <f t="shared" si="0"/>
        <v>0</v>
      </c>
      <c r="F59" s="65">
        <f t="shared" si="1"/>
        <v>0</v>
      </c>
      <c r="G59" s="65">
        <f t="shared" si="2"/>
        <v>0</v>
      </c>
    </row>
    <row r="60" spans="1:7" x14ac:dyDescent="0.2">
      <c r="B60" s="64" t="s">
        <v>95</v>
      </c>
      <c r="C60" s="64">
        <f>0</f>
        <v>0</v>
      </c>
      <c r="D60" s="64">
        <f>0</f>
        <v>0</v>
      </c>
      <c r="E60" s="65">
        <f t="shared" si="0"/>
        <v>0</v>
      </c>
      <c r="F60" s="65">
        <f t="shared" si="1"/>
        <v>0</v>
      </c>
      <c r="G60" s="65">
        <f t="shared" si="2"/>
        <v>0</v>
      </c>
    </row>
    <row r="61" spans="1:7" x14ac:dyDescent="0.2">
      <c r="B61" s="64" t="s">
        <v>96</v>
      </c>
      <c r="C61" s="64">
        <f>(E42+M42-F12-K12)/1000000</f>
        <v>1.2791110000000001</v>
      </c>
      <c r="D61" s="64">
        <f>(E43+M43-F13-K13)/1000000</f>
        <v>1.38392</v>
      </c>
      <c r="E61" s="65">
        <f t="shared" si="0"/>
        <v>0.42045744034969562</v>
      </c>
      <c r="F61" s="65">
        <f t="shared" si="1"/>
        <v>0.48388168269092929</v>
      </c>
      <c r="G61" s="65">
        <f t="shared" si="2"/>
        <v>0.45216956152031246</v>
      </c>
    </row>
    <row r="62" spans="1:7" x14ac:dyDescent="0.2">
      <c r="B62" s="64" t="s">
        <v>97</v>
      </c>
      <c r="C62" s="64">
        <f>(S42-P12)/1000000</f>
        <v>0.30415399999999998</v>
      </c>
      <c r="D62" s="64">
        <f>(S43-P13)/1000000</f>
        <v>0.30621999999999999</v>
      </c>
      <c r="E62" s="65">
        <f t="shared" si="0"/>
        <v>9.9978666677185399E-2</v>
      </c>
      <c r="F62" s="65">
        <f t="shared" si="1"/>
        <v>0.10706850748136913</v>
      </c>
      <c r="G62" s="65">
        <f t="shared" si="2"/>
        <v>0.10352358707927727</v>
      </c>
    </row>
    <row r="63" spans="1:7" x14ac:dyDescent="0.2">
      <c r="B63" s="64"/>
      <c r="C63" s="66">
        <f>SUM(C54:C62)</f>
        <v>2.1811150000000001</v>
      </c>
      <c r="D63" s="66">
        <f>SUM(D54:D62)</f>
        <v>1.9990479999999999</v>
      </c>
      <c r="E63" s="65">
        <f>C63/C$63</f>
        <v>1</v>
      </c>
      <c r="F63" s="65">
        <f>D63/D$63</f>
        <v>1</v>
      </c>
      <c r="G63" s="65"/>
    </row>
    <row r="64" spans="1:7" x14ac:dyDescent="0.2">
      <c r="B64" s="64"/>
      <c r="C64" s="64">
        <f>(C50-C21)/1000000</f>
        <v>2.1811150000000001</v>
      </c>
      <c r="D64" s="64">
        <f>(C51-C22)/1000000</f>
        <v>1.9990479999999999</v>
      </c>
      <c r="E64" s="65">
        <f>C64/C$63</f>
        <v>1</v>
      </c>
      <c r="F64" s="65">
        <f>D64/D$63</f>
        <v>1</v>
      </c>
      <c r="G64" s="65"/>
    </row>
    <row r="65" spans="2:7" x14ac:dyDescent="0.2">
      <c r="B65" s="64"/>
      <c r="C65" s="64">
        <f>SUM(C54:C55,C57:C62)</f>
        <v>3.042189</v>
      </c>
      <c r="D65" s="64">
        <f>SUM(D54:D55,D57:D62)</f>
        <v>2.8600379999999999</v>
      </c>
      <c r="E65" s="65"/>
      <c r="F65" s="65"/>
      <c r="G65" s="65"/>
    </row>
  </sheetData>
  <hyperlinks>
    <hyperlink ref="A1" location="Contents!A1" display="Back to Contents" xr:uid="{00000000-0004-0000-1700-000000000000}"/>
    <hyperlink ref="A31" location="Contents!A1" display="Back to Contents" xr:uid="{00000000-0004-0000-1700-000001000000}"/>
  </hyperlinks>
  <pageMargins left="0.75" right="0.75" top="1" bottom="1" header="0.5" footer="0.5"/>
  <pageSetup orientation="portrait" r:id="rId1"/>
  <headerFooter alignWithMargins="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1"/>
  <dimension ref="A1:E18"/>
  <sheetViews>
    <sheetView workbookViewId="0">
      <pane xSplit="5" ySplit="7" topLeftCell="F8" activePane="bottomRight" state="frozen"/>
      <selection pane="topRight" activeCell="G1" sqref="G1"/>
      <selection pane="bottomLeft" activeCell="A8" sqref="A8"/>
      <selection pane="bottomRight" activeCell="A2" sqref="A2"/>
    </sheetView>
  </sheetViews>
  <sheetFormatPr defaultRowHeight="12.75" x14ac:dyDescent="0.2"/>
  <cols>
    <col min="1" max="1" width="10.42578125" customWidth="1"/>
    <col min="2" max="2" width="11.5703125" customWidth="1"/>
    <col min="3" max="3" width="17.5703125" customWidth="1"/>
    <col min="4" max="4" width="5.85546875" customWidth="1"/>
    <col min="5" max="5" width="10.140625" customWidth="1"/>
  </cols>
  <sheetData>
    <row r="1" spans="1:5" x14ac:dyDescent="0.2">
      <c r="A1" s="1" t="s">
        <v>39</v>
      </c>
      <c r="B1" s="2"/>
    </row>
    <row r="4" spans="1:5" ht="17.25" customHeight="1" x14ac:dyDescent="0.2"/>
    <row r="5" spans="1:5" ht="18" customHeight="1" x14ac:dyDescent="0.2"/>
    <row r="6" spans="1:5" ht="17.25" customHeight="1" x14ac:dyDescent="0.2"/>
    <row r="7" spans="1:5" ht="15.75" customHeight="1" x14ac:dyDescent="0.2">
      <c r="B7" s="1" t="s">
        <v>32</v>
      </c>
      <c r="C7" s="1" t="s">
        <v>33</v>
      </c>
      <c r="D7" s="1" t="s">
        <v>29</v>
      </c>
      <c r="E7" s="1" t="s">
        <v>27</v>
      </c>
    </row>
    <row r="8" spans="1:5" x14ac:dyDescent="0.2">
      <c r="B8" s="3"/>
      <c r="E8" s="3"/>
    </row>
    <row r="9" spans="1:5" x14ac:dyDescent="0.2">
      <c r="B9" s="8"/>
      <c r="E9" s="3"/>
    </row>
    <row r="10" spans="1:5" x14ac:dyDescent="0.2">
      <c r="B10" s="8"/>
      <c r="E10" s="3"/>
    </row>
    <row r="11" spans="1:5" x14ac:dyDescent="0.2">
      <c r="B11" s="8"/>
      <c r="E11" s="3"/>
    </row>
    <row r="14" spans="1:5" x14ac:dyDescent="0.2">
      <c r="A14" s="1"/>
    </row>
    <row r="18" spans="1:5" x14ac:dyDescent="0.2">
      <c r="A18" s="1"/>
      <c r="B18" s="1"/>
      <c r="C18" s="1"/>
      <c r="D18" s="1"/>
      <c r="E18" s="1"/>
    </row>
  </sheetData>
  <phoneticPr fontId="0" type="noConversion"/>
  <pageMargins left="0.75" right="0.75" top="1" bottom="1" header="0.5" footer="0.5"/>
  <pageSetup paperSize="9" orientation="landscape" horizontalDpi="1200" verticalDpi="0" r:id="rId1"/>
  <headerFooter alignWithMargins="0"/>
  <drawing r:id="rId2"/>
  <legacyDrawing r:id="rId3"/>
  <controls>
    <mc:AlternateContent xmlns:mc="http://schemas.openxmlformats.org/markup-compatibility/2006">
      <mc:Choice Requires="x14">
        <control shapeId="71686" r:id="rId4" name="cmdRefreshUnits">
          <controlPr defaultSize="0" autoLine="0" r:id="rId5">
            <anchor moveWithCells="1">
              <from>
                <xdr:col>2</xdr:col>
                <xdr:colOff>1009650</xdr:colOff>
                <xdr:row>2</xdr:row>
                <xdr:rowOff>28575</xdr:rowOff>
              </from>
              <to>
                <xdr:col>4</xdr:col>
                <xdr:colOff>0</xdr:colOff>
                <xdr:row>4</xdr:row>
                <xdr:rowOff>19050</xdr:rowOff>
              </to>
            </anchor>
          </controlPr>
        </control>
      </mc:Choice>
      <mc:Fallback>
        <control shapeId="71686" r:id="rId4" name="cmdRefreshUnits"/>
      </mc:Fallback>
    </mc:AlternateContent>
    <mc:AlternateContent xmlns:mc="http://schemas.openxmlformats.org/markup-compatibility/2006">
      <mc:Choice Requires="x14">
        <control shapeId="71685" r:id="rId6" name="cmdAddParamQualifier">
          <controlPr defaultSize="0" autoLine="0" r:id="rId7">
            <anchor moveWithCells="1">
              <from>
                <xdr:col>0</xdr:col>
                <xdr:colOff>9525</xdr:colOff>
                <xdr:row>5</xdr:row>
                <xdr:rowOff>0</xdr:rowOff>
              </from>
              <to>
                <xdr:col>1</xdr:col>
                <xdr:colOff>0</xdr:colOff>
                <xdr:row>6</xdr:row>
                <xdr:rowOff>19050</xdr:rowOff>
              </to>
            </anchor>
          </controlPr>
        </control>
      </mc:Choice>
      <mc:Fallback>
        <control shapeId="71685" r:id="rId6" name="cmdAddParamQualifier"/>
      </mc:Fallback>
    </mc:AlternateContent>
    <mc:AlternateContent xmlns:mc="http://schemas.openxmlformats.org/markup-compatibility/2006">
      <mc:Choice Requires="x14">
        <control shapeId="71684" r:id="rId8" name="cmdCheckConstrDataSheet">
          <controlPr defaultSize="0" autoLine="0" autoPict="0" r:id="rId9">
            <anchor moveWithCells="1">
              <from>
                <xdr:col>0</xdr:col>
                <xdr:colOff>9525</xdr:colOff>
                <xdr:row>2</xdr:row>
                <xdr:rowOff>152400</xdr:rowOff>
              </from>
              <to>
                <xdr:col>1</xdr:col>
                <xdr:colOff>0</xdr:colOff>
                <xdr:row>4</xdr:row>
                <xdr:rowOff>9525</xdr:rowOff>
              </to>
            </anchor>
          </controlPr>
        </control>
      </mc:Choice>
      <mc:Fallback>
        <control shapeId="71684" r:id="rId8" name="cmdCheckConstrDataSheet"/>
      </mc:Fallback>
    </mc:AlternateContent>
    <mc:AlternateContent xmlns:mc="http://schemas.openxmlformats.org/markup-compatibility/2006">
      <mc:Choice Requires="x14">
        <control shapeId="71683" r:id="rId10" name="cmdAddParameter">
          <controlPr defaultSize="0" autoLine="0" r:id="rId11">
            <anchor moveWithCells="1">
              <from>
                <xdr:col>0</xdr:col>
                <xdr:colOff>9525</xdr:colOff>
                <xdr:row>4</xdr:row>
                <xdr:rowOff>0</xdr:rowOff>
              </from>
              <to>
                <xdr:col>1</xdr:col>
                <xdr:colOff>0</xdr:colOff>
                <xdr:row>5</xdr:row>
                <xdr:rowOff>9525</xdr:rowOff>
              </to>
            </anchor>
          </controlPr>
        </control>
      </mc:Choice>
      <mc:Fallback>
        <control shapeId="71683" r:id="rId10" name="cmdAddParameter"/>
      </mc:Fallback>
    </mc:AlternateContent>
    <mc:AlternateContent xmlns:mc="http://schemas.openxmlformats.org/markup-compatibility/2006">
      <mc:Choice Requires="x14">
        <control shapeId="71682" r:id="rId12" name="cmdTechName">
          <controlPr defaultSize="0" autoLine="0" r:id="rId13">
            <anchor moveWithCells="1">
              <from>
                <xdr:col>4</xdr:col>
                <xdr:colOff>0</xdr:colOff>
                <xdr:row>3</xdr:row>
                <xdr:rowOff>0</xdr:rowOff>
              </from>
              <to>
                <xdr:col>4</xdr:col>
                <xdr:colOff>657225</xdr:colOff>
                <xdr:row>4</xdr:row>
                <xdr:rowOff>19050</xdr:rowOff>
              </to>
            </anchor>
          </controlPr>
        </control>
      </mc:Choice>
      <mc:Fallback>
        <control shapeId="71682" r:id="rId12" name="cmdTechName"/>
      </mc:Fallback>
    </mc:AlternateContent>
    <mc:AlternateContent xmlns:mc="http://schemas.openxmlformats.org/markup-compatibility/2006">
      <mc:Choice Requires="x14">
        <control shapeId="71681" r:id="rId14" name="cmdConstrNameAndDesc">
          <controlPr defaultSize="0" autoLine="0" autoPict="0" r:id="rId15">
            <anchor moveWithCells="1">
              <from>
                <xdr:col>1</xdr:col>
                <xdr:colOff>19050</xdr:colOff>
                <xdr:row>3</xdr:row>
                <xdr:rowOff>0</xdr:rowOff>
              </from>
              <to>
                <xdr:col>2</xdr:col>
                <xdr:colOff>1000125</xdr:colOff>
                <xdr:row>4</xdr:row>
                <xdr:rowOff>19050</xdr:rowOff>
              </to>
            </anchor>
          </controlPr>
        </control>
      </mc:Choice>
      <mc:Fallback>
        <control shapeId="71681" r:id="rId14" name="cmdConstrNameAndDesc"/>
      </mc:Fallback>
    </mc:AlternateContent>
  </control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0"/>
  <dimension ref="A1:P7"/>
  <sheetViews>
    <sheetView workbookViewId="0">
      <pane xSplit="6" ySplit="7" topLeftCell="G8" activePane="bottomRight" state="frozen"/>
      <selection pane="topRight" activeCell="G1" sqref="G1"/>
      <selection pane="bottomLeft" activeCell="A8" sqref="A8"/>
      <selection pane="bottomRight"/>
    </sheetView>
  </sheetViews>
  <sheetFormatPr defaultRowHeight="12.75" x14ac:dyDescent="0.2"/>
  <cols>
    <col min="1" max="2" width="10.28515625" customWidth="1"/>
    <col min="3" max="3" width="24.28515625" customWidth="1"/>
    <col min="4" max="4" width="7.85546875" customWidth="1"/>
    <col min="6" max="6" width="10.5703125" customWidth="1"/>
    <col min="7" max="7" width="9.85546875" customWidth="1"/>
    <col min="8" max="8" width="8.140625" customWidth="1"/>
    <col min="9" max="11" width="9.28515625" customWidth="1"/>
    <col min="12" max="12" width="12.5703125" customWidth="1"/>
    <col min="13" max="13" width="12.42578125" customWidth="1"/>
  </cols>
  <sheetData>
    <row r="1" spans="1:16" x14ac:dyDescent="0.2">
      <c r="A1" s="1" t="s">
        <v>38</v>
      </c>
      <c r="B1" s="2"/>
    </row>
    <row r="4" spans="1:16" ht="17.25" customHeight="1" x14ac:dyDescent="0.2"/>
    <row r="5" spans="1:16" ht="18" customHeight="1" x14ac:dyDescent="0.2">
      <c r="G5" s="3"/>
      <c r="H5" s="3"/>
      <c r="I5" s="3"/>
      <c r="J5" s="12"/>
      <c r="K5" s="12"/>
      <c r="L5" s="3"/>
      <c r="M5" s="10"/>
      <c r="N5" s="3"/>
      <c r="O5" s="10"/>
      <c r="P5" s="10"/>
    </row>
    <row r="6" spans="1:16" ht="17.25" customHeight="1" x14ac:dyDescent="0.2">
      <c r="G6" s="3"/>
      <c r="H6" s="3"/>
      <c r="I6" s="3"/>
      <c r="J6" s="3"/>
      <c r="K6" s="3"/>
      <c r="L6" s="3"/>
      <c r="M6" s="9"/>
      <c r="N6" s="3"/>
      <c r="O6" s="9"/>
    </row>
    <row r="7" spans="1:16" ht="15.75" customHeight="1" x14ac:dyDescent="0.2">
      <c r="B7" s="1" t="s">
        <v>27</v>
      </c>
      <c r="C7" s="1" t="s">
        <v>28</v>
      </c>
      <c r="D7" s="1" t="s">
        <v>29</v>
      </c>
      <c r="E7" s="1" t="s">
        <v>30</v>
      </c>
      <c r="F7" s="1" t="s">
        <v>31</v>
      </c>
      <c r="G7" s="3"/>
      <c r="H7" s="3"/>
      <c r="I7" s="3"/>
      <c r="J7" s="12"/>
      <c r="K7" s="3"/>
      <c r="L7" s="3"/>
      <c r="M7" s="9"/>
      <c r="N7" s="3"/>
      <c r="P7" s="9"/>
    </row>
  </sheetData>
  <phoneticPr fontId="0" type="noConversion"/>
  <pageMargins left="0.75" right="0.75" top="1" bottom="1" header="0.5" footer="0.5"/>
  <pageSetup paperSize="9" orientation="landscape" horizontalDpi="1200" verticalDpi="0" r:id="rId1"/>
  <headerFooter alignWithMargins="0"/>
  <drawing r:id="rId2"/>
  <legacyDrawing r:id="rId3"/>
  <controls>
    <mc:AlternateContent xmlns:mc="http://schemas.openxmlformats.org/markup-compatibility/2006">
      <mc:Choice Requires="x14">
        <control shapeId="70663" r:id="rId4" name="cmdRefreshUnits">
          <controlPr defaultSize="0" autoLine="0" r:id="rId5">
            <anchor moveWithCells="1">
              <from>
                <xdr:col>3</xdr:col>
                <xdr:colOff>0</xdr:colOff>
                <xdr:row>2</xdr:row>
                <xdr:rowOff>19050</xdr:rowOff>
              </from>
              <to>
                <xdr:col>4</xdr:col>
                <xdr:colOff>28575</xdr:colOff>
                <xdr:row>4</xdr:row>
                <xdr:rowOff>9525</xdr:rowOff>
              </to>
            </anchor>
          </controlPr>
        </control>
      </mc:Choice>
      <mc:Fallback>
        <control shapeId="70663" r:id="rId4" name="cmdRefreshUnits"/>
      </mc:Fallback>
    </mc:AlternateContent>
    <mc:AlternateContent xmlns:mc="http://schemas.openxmlformats.org/markup-compatibility/2006">
      <mc:Choice Requires="x14">
        <control shapeId="70662" r:id="rId6" name="cmdCheckTechDataSheet">
          <controlPr defaultSize="0" autoLine="0" autoPict="0" r:id="rId7">
            <anchor moveWithCells="1">
              <from>
                <xdr:col>0</xdr:col>
                <xdr:colOff>9525</xdr:colOff>
                <xdr:row>2</xdr:row>
                <xdr:rowOff>152400</xdr:rowOff>
              </from>
              <to>
                <xdr:col>1</xdr:col>
                <xdr:colOff>9525</xdr:colOff>
                <xdr:row>4</xdr:row>
                <xdr:rowOff>9525</xdr:rowOff>
              </to>
            </anchor>
          </controlPr>
        </control>
      </mc:Choice>
      <mc:Fallback>
        <control shapeId="70662" r:id="rId6" name="cmdCheckTechDataSheet"/>
      </mc:Fallback>
    </mc:AlternateContent>
    <mc:AlternateContent xmlns:mc="http://schemas.openxmlformats.org/markup-compatibility/2006">
      <mc:Choice Requires="x14">
        <control shapeId="70661" r:id="rId8" name="cmdAddParamQualifier">
          <controlPr defaultSize="0" autoLine="0" autoPict="0" r:id="rId9">
            <anchor moveWithCells="1">
              <from>
                <xdr:col>0</xdr:col>
                <xdr:colOff>9525</xdr:colOff>
                <xdr:row>5</xdr:row>
                <xdr:rowOff>9525</xdr:rowOff>
              </from>
              <to>
                <xdr:col>1</xdr:col>
                <xdr:colOff>9525</xdr:colOff>
                <xdr:row>6</xdr:row>
                <xdr:rowOff>28575</xdr:rowOff>
              </to>
            </anchor>
          </controlPr>
        </control>
      </mc:Choice>
      <mc:Fallback>
        <control shapeId="70661" r:id="rId8" name="cmdAddParamQualifier"/>
      </mc:Fallback>
    </mc:AlternateContent>
    <mc:AlternateContent xmlns:mc="http://schemas.openxmlformats.org/markup-compatibility/2006">
      <mc:Choice Requires="x14">
        <control shapeId="70660" r:id="rId10" name="cmdAddParameter">
          <controlPr defaultSize="0" autoLine="0" r:id="rId11">
            <anchor moveWithCells="1">
              <from>
                <xdr:col>0</xdr:col>
                <xdr:colOff>9525</xdr:colOff>
                <xdr:row>3</xdr:row>
                <xdr:rowOff>200025</xdr:rowOff>
              </from>
              <to>
                <xdr:col>1</xdr:col>
                <xdr:colOff>9525</xdr:colOff>
                <xdr:row>4</xdr:row>
                <xdr:rowOff>219075</xdr:rowOff>
              </to>
            </anchor>
          </controlPr>
        </control>
      </mc:Choice>
      <mc:Fallback>
        <control shapeId="70660" r:id="rId10" name="cmdAddParameter"/>
      </mc:Fallback>
    </mc:AlternateContent>
    <mc:AlternateContent xmlns:mc="http://schemas.openxmlformats.org/markup-compatibility/2006">
      <mc:Choice Requires="x14">
        <control shapeId="70659" r:id="rId12" name="cmdCommOUT">
          <controlPr defaultSize="0" autoLine="0" r:id="rId13">
            <anchor moveWithCells="1">
              <from>
                <xdr:col>5</xdr:col>
                <xdr:colOff>9525</xdr:colOff>
                <xdr:row>2</xdr:row>
                <xdr:rowOff>142875</xdr:rowOff>
              </from>
              <to>
                <xdr:col>6</xdr:col>
                <xdr:colOff>0</xdr:colOff>
                <xdr:row>4</xdr:row>
                <xdr:rowOff>0</xdr:rowOff>
              </to>
            </anchor>
          </controlPr>
        </control>
      </mc:Choice>
      <mc:Fallback>
        <control shapeId="70659" r:id="rId12" name="cmdCommOUT"/>
      </mc:Fallback>
    </mc:AlternateContent>
    <mc:AlternateContent xmlns:mc="http://schemas.openxmlformats.org/markup-compatibility/2006">
      <mc:Choice Requires="x14">
        <control shapeId="70658" r:id="rId14" name="cmdCommIN">
          <controlPr defaultSize="0" autoLine="0" r:id="rId15">
            <anchor moveWithCells="1">
              <from>
                <xdr:col>4</xdr:col>
                <xdr:colOff>9525</xdr:colOff>
                <xdr:row>2</xdr:row>
                <xdr:rowOff>142875</xdr:rowOff>
              </from>
              <to>
                <xdr:col>4</xdr:col>
                <xdr:colOff>600075</xdr:colOff>
                <xdr:row>4</xdr:row>
                <xdr:rowOff>0</xdr:rowOff>
              </to>
            </anchor>
          </controlPr>
        </control>
      </mc:Choice>
      <mc:Fallback>
        <control shapeId="70658" r:id="rId14" name="cmdCommIN"/>
      </mc:Fallback>
    </mc:AlternateContent>
    <mc:AlternateContent xmlns:mc="http://schemas.openxmlformats.org/markup-compatibility/2006">
      <mc:Choice Requires="x14">
        <control shapeId="70657" r:id="rId16" name="cmdTechNameAndDesc">
          <controlPr defaultSize="0" autoLine="0" r:id="rId17">
            <anchor moveWithCells="1">
              <from>
                <xdr:col>1</xdr:col>
                <xdr:colOff>38100</xdr:colOff>
                <xdr:row>2</xdr:row>
                <xdr:rowOff>152400</xdr:rowOff>
              </from>
              <to>
                <xdr:col>2</xdr:col>
                <xdr:colOff>1581150</xdr:colOff>
                <xdr:row>4</xdr:row>
                <xdr:rowOff>9525</xdr:rowOff>
              </to>
            </anchor>
          </controlPr>
        </control>
      </mc:Choice>
      <mc:Fallback>
        <control shapeId="70657" r:id="rId16" name="cmdTechNameAndDesc"/>
      </mc:Fallback>
    </mc:AlternateContent>
  </controls>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19"/>
  <dimension ref="A1:H23"/>
  <sheetViews>
    <sheetView workbookViewId="0">
      <pane xSplit="4" ySplit="7" topLeftCell="E8" activePane="bottomRight" state="frozen"/>
      <selection pane="topRight" activeCell="E1" sqref="E1"/>
      <selection pane="bottomLeft" activeCell="A8" sqref="A8"/>
      <selection pane="bottomRight"/>
    </sheetView>
  </sheetViews>
  <sheetFormatPr defaultRowHeight="12.75" x14ac:dyDescent="0.2"/>
  <cols>
    <col min="1" max="1" width="10.5703125" customWidth="1"/>
    <col min="2" max="2" width="11.7109375" customWidth="1"/>
    <col min="3" max="3" width="24" customWidth="1"/>
    <col min="4" max="4" width="5.42578125" customWidth="1"/>
    <col min="6" max="6" width="10.140625" bestFit="1" customWidth="1"/>
  </cols>
  <sheetData>
    <row r="1" spans="1:8" x14ac:dyDescent="0.2">
      <c r="A1" s="1" t="s">
        <v>37</v>
      </c>
      <c r="B1" s="2"/>
    </row>
    <row r="3" spans="1:8" ht="15" customHeight="1" x14ac:dyDescent="0.2"/>
    <row r="4" spans="1:8" ht="20.25" customHeight="1" x14ac:dyDescent="0.2"/>
    <row r="5" spans="1:8" ht="19.5" customHeight="1" x14ac:dyDescent="0.2">
      <c r="E5" s="3"/>
      <c r="F5" s="3"/>
      <c r="G5" s="12"/>
      <c r="H5" s="12"/>
    </row>
    <row r="6" spans="1:8" ht="19.5" customHeight="1" x14ac:dyDescent="0.2">
      <c r="E6" s="9"/>
      <c r="F6" s="9"/>
      <c r="G6" s="12"/>
      <c r="H6" s="12"/>
    </row>
    <row r="7" spans="1:8" x14ac:dyDescent="0.2">
      <c r="B7" s="1" t="s">
        <v>25</v>
      </c>
      <c r="C7" s="1" t="s">
        <v>26</v>
      </c>
      <c r="D7" s="1" t="s">
        <v>29</v>
      </c>
      <c r="E7" s="11"/>
      <c r="F7" s="7"/>
      <c r="G7" s="7"/>
      <c r="H7" s="12"/>
    </row>
    <row r="9" spans="1:8" x14ac:dyDescent="0.2">
      <c r="B9" s="9"/>
      <c r="C9" s="9"/>
      <c r="D9" s="9"/>
    </row>
    <row r="10" spans="1:8" x14ac:dyDescent="0.2">
      <c r="B10" s="9"/>
      <c r="C10" s="9"/>
      <c r="D10" s="9"/>
    </row>
    <row r="13" spans="1:8" x14ac:dyDescent="0.2">
      <c r="B13" s="9"/>
      <c r="C13" s="9"/>
      <c r="D13" s="9"/>
    </row>
    <row r="15" spans="1:8" x14ac:dyDescent="0.2">
      <c r="B15" s="9"/>
      <c r="C15" s="9"/>
      <c r="D15" s="9"/>
    </row>
    <row r="17" spans="2:4" x14ac:dyDescent="0.2">
      <c r="B17" s="9"/>
      <c r="C17" s="9"/>
      <c r="D17" s="9"/>
    </row>
    <row r="19" spans="2:4" x14ac:dyDescent="0.2">
      <c r="B19" s="9"/>
      <c r="C19" s="9"/>
      <c r="D19" s="9"/>
    </row>
    <row r="21" spans="2:4" x14ac:dyDescent="0.2">
      <c r="B21" s="9"/>
      <c r="C21" s="9"/>
      <c r="D21" s="9"/>
    </row>
    <row r="23" spans="2:4" x14ac:dyDescent="0.2">
      <c r="B23" s="9"/>
      <c r="C23" s="9"/>
      <c r="D23" s="9"/>
    </row>
  </sheetData>
  <phoneticPr fontId="0" type="noConversion"/>
  <conditionalFormatting sqref="B13">
    <cfRule type="cellIs" dxfId="0" priority="1" stopIfTrue="1" operator="equal">
      <formula>"REF"</formula>
    </cfRule>
  </conditionalFormatting>
  <pageMargins left="0.75" right="0.75" top="1" bottom="1" header="0.5" footer="0.5"/>
  <pageSetup paperSize="9" orientation="landscape" horizontalDpi="1200" verticalDpi="0" r:id="rId1"/>
  <headerFooter alignWithMargins="0"/>
  <drawing r:id="rId2"/>
  <legacyDrawing r:id="rId3"/>
  <controls>
    <mc:AlternateContent xmlns:mc="http://schemas.openxmlformats.org/markup-compatibility/2006">
      <mc:Choice Requires="x14">
        <control shapeId="69637" r:id="rId4" name="cmdRefreshUnits">
          <controlPr defaultSize="0" autoLine="0" r:id="rId5">
            <anchor moveWithCells="1">
              <from>
                <xdr:col>2</xdr:col>
                <xdr:colOff>1409700</xdr:colOff>
                <xdr:row>2</xdr:row>
                <xdr:rowOff>76200</xdr:rowOff>
              </from>
              <to>
                <xdr:col>4</xdr:col>
                <xdr:colOff>0</xdr:colOff>
                <xdr:row>4</xdr:row>
                <xdr:rowOff>0</xdr:rowOff>
              </to>
            </anchor>
          </controlPr>
        </control>
      </mc:Choice>
      <mc:Fallback>
        <control shapeId="69637" r:id="rId4" name="cmdRefreshUnits"/>
      </mc:Fallback>
    </mc:AlternateContent>
    <mc:AlternateContent xmlns:mc="http://schemas.openxmlformats.org/markup-compatibility/2006">
      <mc:Choice Requires="x14">
        <control shapeId="69636" r:id="rId6" name="cmdCheckCommDataSheet">
          <controlPr defaultSize="0" autoLine="0" r:id="rId7">
            <anchor moveWithCells="1">
              <from>
                <xdr:col>0</xdr:col>
                <xdr:colOff>9525</xdr:colOff>
                <xdr:row>3</xdr:row>
                <xdr:rowOff>19050</xdr:rowOff>
              </from>
              <to>
                <xdr:col>0</xdr:col>
                <xdr:colOff>695325</xdr:colOff>
                <xdr:row>4</xdr:row>
                <xdr:rowOff>0</xdr:rowOff>
              </to>
            </anchor>
          </controlPr>
        </control>
      </mc:Choice>
      <mc:Fallback>
        <control shapeId="69636" r:id="rId6" name="cmdCheckCommDataSheet"/>
      </mc:Fallback>
    </mc:AlternateContent>
    <mc:AlternateContent xmlns:mc="http://schemas.openxmlformats.org/markup-compatibility/2006">
      <mc:Choice Requires="x14">
        <control shapeId="69635" r:id="rId8" name="cmdAddParamQualifier">
          <controlPr defaultSize="0" autoLine="0" r:id="rId9">
            <anchor moveWithCells="1">
              <from>
                <xdr:col>0</xdr:col>
                <xdr:colOff>9525</xdr:colOff>
                <xdr:row>5</xdr:row>
                <xdr:rowOff>0</xdr:rowOff>
              </from>
              <to>
                <xdr:col>0</xdr:col>
                <xdr:colOff>695325</xdr:colOff>
                <xdr:row>5</xdr:row>
                <xdr:rowOff>238125</xdr:rowOff>
              </to>
            </anchor>
          </controlPr>
        </control>
      </mc:Choice>
      <mc:Fallback>
        <control shapeId="69635" r:id="rId8" name="cmdAddParamQualifier"/>
      </mc:Fallback>
    </mc:AlternateContent>
    <mc:AlternateContent xmlns:mc="http://schemas.openxmlformats.org/markup-compatibility/2006">
      <mc:Choice Requires="x14">
        <control shapeId="69634" r:id="rId10" name="cmdCommNameAndDesc">
          <controlPr defaultSize="0" autoLine="0" autoPict="0" r:id="rId11">
            <anchor moveWithCells="1">
              <from>
                <xdr:col>1</xdr:col>
                <xdr:colOff>0</xdr:colOff>
                <xdr:row>3</xdr:row>
                <xdr:rowOff>19050</xdr:rowOff>
              </from>
              <to>
                <xdr:col>2</xdr:col>
                <xdr:colOff>1390650</xdr:colOff>
                <xdr:row>4</xdr:row>
                <xdr:rowOff>0</xdr:rowOff>
              </to>
            </anchor>
          </controlPr>
        </control>
      </mc:Choice>
      <mc:Fallback>
        <control shapeId="69634" r:id="rId10" name="cmdCommNameAndDesc"/>
      </mc:Fallback>
    </mc:AlternateContent>
    <mc:AlternateContent xmlns:mc="http://schemas.openxmlformats.org/markup-compatibility/2006">
      <mc:Choice Requires="x14">
        <control shapeId="69633" r:id="rId12" name="cmdAddParameter">
          <controlPr defaultSize="0" autoLine="0" r:id="rId13">
            <anchor moveWithCells="1">
              <from>
                <xdr:col>0</xdr:col>
                <xdr:colOff>9525</xdr:colOff>
                <xdr:row>4</xdr:row>
                <xdr:rowOff>9525</xdr:rowOff>
              </from>
              <to>
                <xdr:col>0</xdr:col>
                <xdr:colOff>695325</xdr:colOff>
                <xdr:row>5</xdr:row>
                <xdr:rowOff>0</xdr:rowOff>
              </to>
            </anchor>
          </controlPr>
        </control>
      </mc:Choice>
      <mc:Fallback>
        <control shapeId="69633" r:id="rId12" name="cmdAddParameter"/>
      </mc:Fallback>
    </mc:AlternateContent>
  </controls>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18"/>
  <dimension ref="A1:F24"/>
  <sheetViews>
    <sheetView workbookViewId="0">
      <pane xSplit="3" ySplit="7" topLeftCell="D8" activePane="bottomRight" state="frozen"/>
      <selection pane="topRight" activeCell="D1" sqref="D1"/>
      <selection pane="bottomLeft" activeCell="A8" sqref="A8"/>
      <selection pane="bottomRight"/>
    </sheetView>
  </sheetViews>
  <sheetFormatPr defaultRowHeight="12.75" x14ac:dyDescent="0.2"/>
  <cols>
    <col min="1" max="1" width="12" customWidth="1"/>
    <col min="2" max="2" width="11.7109375" customWidth="1"/>
    <col min="3" max="3" width="21.42578125" customWidth="1"/>
    <col min="4" max="4" width="8.7109375" customWidth="1"/>
    <col min="5" max="5" width="18.140625" customWidth="1"/>
    <col min="6" max="6" width="10.28515625" customWidth="1"/>
  </cols>
  <sheetData>
    <row r="1" spans="1:6" x14ac:dyDescent="0.2">
      <c r="A1" s="1" t="s">
        <v>36</v>
      </c>
      <c r="B1" s="2"/>
    </row>
    <row r="4" spans="1:6" ht="18.75" customHeight="1" x14ac:dyDescent="0.2"/>
    <row r="5" spans="1:6" ht="17.25" customHeight="1" x14ac:dyDescent="0.2">
      <c r="C5" s="3"/>
    </row>
    <row r="6" spans="1:6" ht="15.75" customHeight="1" x14ac:dyDescent="0.2"/>
    <row r="7" spans="1:6" x14ac:dyDescent="0.2">
      <c r="B7" s="4" t="s">
        <v>32</v>
      </c>
      <c r="C7" s="1" t="s">
        <v>33</v>
      </c>
      <c r="D7" s="1" t="s">
        <v>29</v>
      </c>
      <c r="E7" s="1" t="s">
        <v>24</v>
      </c>
      <c r="F7" s="1" t="s">
        <v>21</v>
      </c>
    </row>
    <row r="8" spans="1:6" x14ac:dyDescent="0.2">
      <c r="B8" s="1"/>
      <c r="C8" s="1"/>
      <c r="D8" s="1"/>
      <c r="E8" s="3"/>
      <c r="F8" s="1"/>
    </row>
    <row r="10" spans="1:6" x14ac:dyDescent="0.2">
      <c r="B10" s="3"/>
      <c r="C10" s="3"/>
      <c r="D10" s="12"/>
      <c r="E10" s="12"/>
    </row>
    <row r="11" spans="1:6" x14ac:dyDescent="0.2">
      <c r="B11" s="3"/>
      <c r="C11" s="3"/>
    </row>
    <row r="12" spans="1:6" x14ac:dyDescent="0.2">
      <c r="B12" s="3"/>
      <c r="C12" s="3"/>
      <c r="D12" s="3"/>
      <c r="E12" s="3"/>
    </row>
    <row r="13" spans="1:6" x14ac:dyDescent="0.2">
      <c r="B13" s="3"/>
      <c r="C13" s="3"/>
      <c r="D13" s="6"/>
      <c r="E13" s="3"/>
    </row>
    <row r="14" spans="1:6" x14ac:dyDescent="0.2">
      <c r="B14" s="3"/>
      <c r="C14" s="3"/>
      <c r="D14" s="3"/>
      <c r="E14" s="3"/>
    </row>
    <row r="15" spans="1:6" x14ac:dyDescent="0.2">
      <c r="B15" s="3"/>
      <c r="C15" s="3"/>
      <c r="E15" s="3"/>
    </row>
    <row r="16" spans="1:6" x14ac:dyDescent="0.2">
      <c r="B16" s="3"/>
      <c r="C16" s="3"/>
    </row>
    <row r="17" spans="2:5" x14ac:dyDescent="0.2">
      <c r="B17" s="3"/>
      <c r="C17" s="3"/>
      <c r="D17" s="6"/>
      <c r="E17" s="3"/>
    </row>
    <row r="18" spans="2:5" x14ac:dyDescent="0.2">
      <c r="B18" s="4"/>
      <c r="C18" s="3"/>
      <c r="E18" s="3"/>
    </row>
    <row r="19" spans="2:5" x14ac:dyDescent="0.2">
      <c r="E19" s="3"/>
    </row>
    <row r="21" spans="2:5" x14ac:dyDescent="0.2">
      <c r="B21" s="3"/>
      <c r="C21" s="3"/>
      <c r="D21" s="3"/>
      <c r="E21" s="3"/>
    </row>
    <row r="22" spans="2:5" x14ac:dyDescent="0.2">
      <c r="B22" s="3"/>
      <c r="C22" s="3"/>
    </row>
    <row r="23" spans="2:5" x14ac:dyDescent="0.2">
      <c r="B23" s="3"/>
      <c r="C23" s="3"/>
      <c r="E23" s="3"/>
    </row>
    <row r="24" spans="2:5" x14ac:dyDescent="0.2">
      <c r="D24" s="3"/>
      <c r="E24" s="3"/>
    </row>
  </sheetData>
  <phoneticPr fontId="0" type="noConversion"/>
  <pageMargins left="0.75" right="0.75" top="1" bottom="1" header="0.5" footer="0.5"/>
  <pageSetup paperSize="9" orientation="portrait" horizontalDpi="1200" verticalDpi="0" r:id="rId1"/>
  <headerFooter alignWithMargins="0"/>
  <drawing r:id="rId2"/>
  <legacyDrawing r:id="rId3"/>
  <controls>
    <mc:AlternateContent xmlns:mc="http://schemas.openxmlformats.org/markup-compatibility/2006">
      <mc:Choice Requires="x14">
        <control shapeId="68612" r:id="rId4" name="cmdRefreshUnits">
          <controlPr defaultSize="0" autoLine="0" r:id="rId5">
            <anchor moveWithCells="1">
              <from>
                <xdr:col>3</xdr:col>
                <xdr:colOff>19050</xdr:colOff>
                <xdr:row>2</xdr:row>
                <xdr:rowOff>47625</xdr:rowOff>
              </from>
              <to>
                <xdr:col>3</xdr:col>
                <xdr:colOff>571500</xdr:colOff>
                <xdr:row>4</xdr:row>
                <xdr:rowOff>19050</xdr:rowOff>
              </to>
            </anchor>
          </controlPr>
        </control>
      </mc:Choice>
      <mc:Fallback>
        <control shapeId="68612" r:id="rId4" name="cmdRefreshUnits"/>
      </mc:Fallback>
    </mc:AlternateContent>
    <mc:AlternateContent xmlns:mc="http://schemas.openxmlformats.org/markup-compatibility/2006">
      <mc:Choice Requires="x14">
        <control shapeId="68611" r:id="rId6" name="cmdConstraintUnit">
          <controlPr defaultSize="0" autoLine="0" r:id="rId7">
            <anchor moveWithCells="1">
              <from>
                <xdr:col>3</xdr:col>
                <xdr:colOff>19050</xdr:colOff>
                <xdr:row>4</xdr:row>
                <xdr:rowOff>9525</xdr:rowOff>
              </from>
              <to>
                <xdr:col>3</xdr:col>
                <xdr:colOff>571500</xdr:colOff>
                <xdr:row>5</xdr:row>
                <xdr:rowOff>28575</xdr:rowOff>
              </to>
            </anchor>
          </controlPr>
        </control>
      </mc:Choice>
      <mc:Fallback>
        <control shapeId="68611" r:id="rId6" name="cmdConstraintUnit"/>
      </mc:Fallback>
    </mc:AlternateContent>
    <mc:AlternateContent xmlns:mc="http://schemas.openxmlformats.org/markup-compatibility/2006">
      <mc:Choice Requires="x14">
        <control shapeId="68610" r:id="rId8" name="cmdCheckConstraintsSheet">
          <controlPr defaultSize="0" autoLine="0" r:id="rId9">
            <anchor moveWithCells="1">
              <from>
                <xdr:col>0</xdr:col>
                <xdr:colOff>9525</xdr:colOff>
                <xdr:row>3</xdr:row>
                <xdr:rowOff>0</xdr:rowOff>
              </from>
              <to>
                <xdr:col>0</xdr:col>
                <xdr:colOff>790575</xdr:colOff>
                <xdr:row>4</xdr:row>
                <xdr:rowOff>0</xdr:rowOff>
              </to>
            </anchor>
          </controlPr>
        </control>
      </mc:Choice>
      <mc:Fallback>
        <control shapeId="68610" r:id="rId8" name="cmdCheckConstraintsSheet"/>
      </mc:Fallback>
    </mc:AlternateContent>
    <mc:AlternateContent xmlns:mc="http://schemas.openxmlformats.org/markup-compatibility/2006">
      <mc:Choice Requires="x14">
        <control shapeId="68609" r:id="rId10" name="cmdConstraintSets">
          <controlPr defaultSize="0" autoLine="0" r:id="rId11">
            <anchor moveWithCells="1">
              <from>
                <xdr:col>4</xdr:col>
                <xdr:colOff>19050</xdr:colOff>
                <xdr:row>4</xdr:row>
                <xdr:rowOff>19050</xdr:rowOff>
              </from>
              <to>
                <xdr:col>4</xdr:col>
                <xdr:colOff>990600</xdr:colOff>
                <xdr:row>5</xdr:row>
                <xdr:rowOff>38100</xdr:rowOff>
              </to>
            </anchor>
          </controlPr>
        </control>
      </mc:Choice>
      <mc:Fallback>
        <control shapeId="68609" r:id="rId10" name="cmdConstraintSets"/>
      </mc:Fallback>
    </mc:AlternateContent>
  </controls>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Sheet17"/>
  <dimension ref="A1:L38"/>
  <sheetViews>
    <sheetView workbookViewId="0">
      <pane xSplit="3" ySplit="7" topLeftCell="D8" activePane="bottomRight" state="frozen"/>
      <selection pane="topRight" activeCell="D1" sqref="D1"/>
      <selection pane="bottomLeft" activeCell="A8" sqref="A8"/>
      <selection pane="bottomRight"/>
    </sheetView>
  </sheetViews>
  <sheetFormatPr defaultRowHeight="12.75" x14ac:dyDescent="0.2"/>
  <cols>
    <col min="1" max="1" width="12.42578125" customWidth="1"/>
    <col min="2" max="2" width="11.140625" customWidth="1"/>
    <col min="3" max="3" width="27.28515625" customWidth="1"/>
    <col min="4" max="4" width="9.7109375" customWidth="1"/>
    <col min="5" max="5" width="9.85546875" customWidth="1"/>
    <col min="6" max="6" width="30.42578125" customWidth="1"/>
    <col min="7" max="7" width="10.42578125" customWidth="1"/>
  </cols>
  <sheetData>
    <row r="1" spans="1:12" x14ac:dyDescent="0.2">
      <c r="A1" s="1" t="s">
        <v>35</v>
      </c>
      <c r="B1" s="2"/>
    </row>
    <row r="4" spans="1:12" ht="18" customHeight="1" x14ac:dyDescent="0.2"/>
    <row r="7" spans="1:12" x14ac:dyDescent="0.2">
      <c r="B7" s="1" t="s">
        <v>27</v>
      </c>
      <c r="C7" s="1" t="s">
        <v>28</v>
      </c>
      <c r="D7" s="1" t="s">
        <v>22</v>
      </c>
      <c r="E7" s="1" t="s">
        <v>23</v>
      </c>
      <c r="F7" s="1" t="s">
        <v>24</v>
      </c>
      <c r="G7" s="1" t="s">
        <v>21</v>
      </c>
    </row>
    <row r="8" spans="1:12" x14ac:dyDescent="0.2">
      <c r="B8" s="1"/>
      <c r="C8" s="1"/>
      <c r="D8" s="1"/>
      <c r="E8" s="1"/>
      <c r="F8" s="1"/>
      <c r="G8" s="1"/>
    </row>
    <row r="9" spans="1:12" x14ac:dyDescent="0.2">
      <c r="D9" s="3"/>
      <c r="E9" s="3"/>
      <c r="F9" s="3"/>
    </row>
    <row r="10" spans="1:12" x14ac:dyDescent="0.2">
      <c r="F10" s="3"/>
    </row>
    <row r="11" spans="1:12" x14ac:dyDescent="0.2">
      <c r="B11" s="1"/>
      <c r="C11" s="1"/>
      <c r="D11" s="12"/>
      <c r="E11" s="12"/>
    </row>
    <row r="12" spans="1:12" x14ac:dyDescent="0.2">
      <c r="B12" s="8"/>
      <c r="C12" s="3"/>
      <c r="F12" s="12"/>
    </row>
    <row r="13" spans="1:12" x14ac:dyDescent="0.2">
      <c r="B13" s="3"/>
      <c r="C13" s="3"/>
    </row>
    <row r="14" spans="1:12" x14ac:dyDescent="0.2">
      <c r="B14" s="3"/>
      <c r="C14" s="3"/>
      <c r="D14" s="6"/>
      <c r="F14" s="3"/>
      <c r="L14" s="5"/>
    </row>
    <row r="15" spans="1:12" x14ac:dyDescent="0.2">
      <c r="B15" s="3"/>
      <c r="C15" s="3"/>
      <c r="E15" s="6"/>
      <c r="F15" s="3"/>
    </row>
    <row r="16" spans="1:12" x14ac:dyDescent="0.2">
      <c r="B16" s="3"/>
      <c r="C16" s="3"/>
      <c r="F16" s="3"/>
    </row>
    <row r="17" spans="2:6" x14ac:dyDescent="0.2">
      <c r="D17" s="6"/>
    </row>
    <row r="18" spans="2:6" x14ac:dyDescent="0.2">
      <c r="E18" s="6"/>
    </row>
    <row r="20" spans="2:6" x14ac:dyDescent="0.2">
      <c r="B20" s="3"/>
      <c r="C20" s="3"/>
      <c r="F20" s="9"/>
    </row>
    <row r="21" spans="2:6" x14ac:dyDescent="0.2">
      <c r="B21" s="3"/>
      <c r="C21" s="3"/>
    </row>
    <row r="22" spans="2:6" x14ac:dyDescent="0.2">
      <c r="B22" s="3"/>
      <c r="C22" s="3"/>
      <c r="D22" s="3"/>
      <c r="E22" s="3"/>
      <c r="F22" s="3"/>
    </row>
    <row r="23" spans="2:6" x14ac:dyDescent="0.2">
      <c r="B23" s="3"/>
      <c r="C23" s="3"/>
    </row>
    <row r="24" spans="2:6" x14ac:dyDescent="0.2">
      <c r="B24" s="3"/>
      <c r="C24" s="3"/>
    </row>
    <row r="25" spans="2:6" x14ac:dyDescent="0.2">
      <c r="D25" s="6"/>
      <c r="E25" s="6"/>
    </row>
    <row r="26" spans="2:6" x14ac:dyDescent="0.2">
      <c r="F26" s="3"/>
    </row>
    <row r="27" spans="2:6" x14ac:dyDescent="0.2">
      <c r="B27" s="4"/>
      <c r="C27" s="3"/>
      <c r="D27" s="6"/>
      <c r="E27" s="6"/>
    </row>
    <row r="28" spans="2:6" x14ac:dyDescent="0.2">
      <c r="B28" s="3"/>
      <c r="C28" s="3"/>
      <c r="D28" s="9"/>
      <c r="E28" s="3"/>
      <c r="F28" s="3"/>
    </row>
    <row r="29" spans="2:6" x14ac:dyDescent="0.2">
      <c r="B29" s="3"/>
      <c r="C29" s="3"/>
    </row>
    <row r="30" spans="2:6" x14ac:dyDescent="0.2">
      <c r="B30" s="3"/>
      <c r="C30" s="3"/>
    </row>
    <row r="31" spans="2:6" x14ac:dyDescent="0.2">
      <c r="B31" s="3"/>
      <c r="C31" s="3"/>
    </row>
    <row r="32" spans="2:6" x14ac:dyDescent="0.2">
      <c r="B32" s="3"/>
      <c r="C32" s="3"/>
    </row>
    <row r="33" spans="2:6" x14ac:dyDescent="0.2">
      <c r="B33" s="3"/>
      <c r="C33" s="3"/>
    </row>
    <row r="37" spans="2:6" x14ac:dyDescent="0.2">
      <c r="B37" s="3"/>
      <c r="C37" s="3"/>
      <c r="F37" s="3"/>
    </row>
    <row r="38" spans="2:6" x14ac:dyDescent="0.2">
      <c r="B38" s="4"/>
      <c r="C38" s="3"/>
    </row>
  </sheetData>
  <phoneticPr fontId="0" type="noConversion"/>
  <pageMargins left="0.75" right="0.75" top="1" bottom="1" header="0.5" footer="0.5"/>
  <pageSetup paperSize="9" orientation="portrait" horizontalDpi="1200" verticalDpi="0" r:id="rId1"/>
  <headerFooter alignWithMargins="0"/>
  <drawing r:id="rId2"/>
  <legacyDrawing r:id="rId3"/>
  <controls>
    <mc:AlternateContent xmlns:mc="http://schemas.openxmlformats.org/markup-compatibility/2006">
      <mc:Choice Requires="x14">
        <control shapeId="67589" r:id="rId4" name="cmdRefreshUnits">
          <controlPr defaultSize="0" autoLine="0" r:id="rId5">
            <anchor moveWithCells="1">
              <from>
                <xdr:col>3</xdr:col>
                <xdr:colOff>381000</xdr:colOff>
                <xdr:row>1</xdr:row>
                <xdr:rowOff>152400</xdr:rowOff>
              </from>
              <to>
                <xdr:col>4</xdr:col>
                <xdr:colOff>285750</xdr:colOff>
                <xdr:row>3</xdr:row>
                <xdr:rowOff>200025</xdr:rowOff>
              </to>
            </anchor>
          </controlPr>
        </control>
      </mc:Choice>
      <mc:Fallback>
        <control shapeId="67589" r:id="rId4" name="cmdRefreshUnits"/>
      </mc:Fallback>
    </mc:AlternateContent>
    <mc:AlternateContent xmlns:mc="http://schemas.openxmlformats.org/markup-compatibility/2006">
      <mc:Choice Requires="x14">
        <control shapeId="67588" r:id="rId6" name="cmdTCAPUnit">
          <controlPr defaultSize="0" autoLine="0" r:id="rId7">
            <anchor moveWithCells="1">
              <from>
                <xdr:col>4</xdr:col>
                <xdr:colOff>9525</xdr:colOff>
                <xdr:row>4</xdr:row>
                <xdr:rowOff>19050</xdr:rowOff>
              </from>
              <to>
                <xdr:col>4</xdr:col>
                <xdr:colOff>647700</xdr:colOff>
                <xdr:row>5</xdr:row>
                <xdr:rowOff>95250</xdr:rowOff>
              </to>
            </anchor>
          </controlPr>
        </control>
      </mc:Choice>
      <mc:Fallback>
        <control shapeId="67588" r:id="rId6" name="cmdTCAPUnit"/>
      </mc:Fallback>
    </mc:AlternateContent>
    <mc:AlternateContent xmlns:mc="http://schemas.openxmlformats.org/markup-compatibility/2006">
      <mc:Choice Requires="x14">
        <control shapeId="67587" r:id="rId8" name="cmdTACTUnit">
          <controlPr defaultSize="0" autoLine="0" r:id="rId9">
            <anchor moveWithCells="1">
              <from>
                <xdr:col>3</xdr:col>
                <xdr:colOff>9525</xdr:colOff>
                <xdr:row>4</xdr:row>
                <xdr:rowOff>19050</xdr:rowOff>
              </from>
              <to>
                <xdr:col>4</xdr:col>
                <xdr:colOff>0</xdr:colOff>
                <xdr:row>5</xdr:row>
                <xdr:rowOff>95250</xdr:rowOff>
              </to>
            </anchor>
          </controlPr>
        </control>
      </mc:Choice>
      <mc:Fallback>
        <control shapeId="67587" r:id="rId8" name="cmdTACTUnit"/>
      </mc:Fallback>
    </mc:AlternateContent>
    <mc:AlternateContent xmlns:mc="http://schemas.openxmlformats.org/markup-compatibility/2006">
      <mc:Choice Requires="x14">
        <control shapeId="67586" r:id="rId10" name="cmdCheckTechnologiesSheet">
          <controlPr defaultSize="0" autoLine="0" autoPict="0" r:id="rId11">
            <anchor moveWithCells="1">
              <from>
                <xdr:col>0</xdr:col>
                <xdr:colOff>9525</xdr:colOff>
                <xdr:row>2</xdr:row>
                <xdr:rowOff>152400</xdr:rowOff>
              </from>
              <to>
                <xdr:col>1</xdr:col>
                <xdr:colOff>0</xdr:colOff>
                <xdr:row>4</xdr:row>
                <xdr:rowOff>0</xdr:rowOff>
              </to>
            </anchor>
          </controlPr>
        </control>
      </mc:Choice>
      <mc:Fallback>
        <control shapeId="67586" r:id="rId10" name="cmdCheckTechnologiesSheet"/>
      </mc:Fallback>
    </mc:AlternateContent>
    <mc:AlternateContent xmlns:mc="http://schemas.openxmlformats.org/markup-compatibility/2006">
      <mc:Choice Requires="x14">
        <control shapeId="67585" r:id="rId12" name="cmdTechnologySets">
          <controlPr defaultSize="0" autoLine="0" r:id="rId13">
            <anchor moveWithCells="1">
              <from>
                <xdr:col>5</xdr:col>
                <xdr:colOff>19050</xdr:colOff>
                <xdr:row>4</xdr:row>
                <xdr:rowOff>19050</xdr:rowOff>
              </from>
              <to>
                <xdr:col>5</xdr:col>
                <xdr:colOff>1819275</xdr:colOff>
                <xdr:row>5</xdr:row>
                <xdr:rowOff>95250</xdr:rowOff>
              </to>
            </anchor>
          </controlPr>
        </control>
      </mc:Choice>
      <mc:Fallback>
        <control shapeId="67585" r:id="rId12" name="cmdTechnologySets"/>
      </mc:Fallback>
    </mc:AlternateContent>
  </controls>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16"/>
  <dimension ref="A1:F32"/>
  <sheetViews>
    <sheetView workbookViewId="0">
      <pane xSplit="3" ySplit="7" topLeftCell="D8" activePane="bottomRight" state="frozen"/>
      <selection pane="topRight" activeCell="D1" sqref="D1"/>
      <selection pane="bottomLeft" activeCell="A8" sqref="A8"/>
      <selection pane="bottomRight" sqref="A1:A65536"/>
    </sheetView>
  </sheetViews>
  <sheetFormatPr defaultRowHeight="12.75" x14ac:dyDescent="0.2"/>
  <cols>
    <col min="1" max="1" width="12.5703125" customWidth="1"/>
    <col min="2" max="2" width="12.28515625" customWidth="1"/>
    <col min="3" max="3" width="29.7109375" customWidth="1"/>
    <col min="4" max="4" width="10.28515625" customWidth="1"/>
    <col min="5" max="5" width="29.7109375" customWidth="1"/>
    <col min="6" max="6" width="10.28515625" customWidth="1"/>
  </cols>
  <sheetData>
    <row r="1" spans="1:6" x14ac:dyDescent="0.2">
      <c r="A1" s="1" t="s">
        <v>34</v>
      </c>
      <c r="B1" s="2"/>
    </row>
    <row r="4" spans="1:6" ht="17.25" customHeight="1" x14ac:dyDescent="0.2"/>
    <row r="5" spans="1:6" ht="17.25" customHeight="1" x14ac:dyDescent="0.2">
      <c r="C5" s="3"/>
    </row>
    <row r="6" spans="1:6" ht="15.75" customHeight="1" x14ac:dyDescent="0.2"/>
    <row r="7" spans="1:6" x14ac:dyDescent="0.2">
      <c r="B7" s="4" t="s">
        <v>25</v>
      </c>
      <c r="C7" s="1" t="s">
        <v>26</v>
      </c>
      <c r="D7" s="1" t="s">
        <v>20</v>
      </c>
      <c r="E7" s="1" t="s">
        <v>24</v>
      </c>
      <c r="F7" s="1" t="s">
        <v>21</v>
      </c>
    </row>
    <row r="8" spans="1:6" x14ac:dyDescent="0.2">
      <c r="B8" s="1"/>
      <c r="C8" s="1"/>
      <c r="D8" s="1"/>
      <c r="E8" s="3"/>
      <c r="F8" s="1"/>
    </row>
    <row r="9" spans="1:6" x14ac:dyDescent="0.2">
      <c r="D9" s="3"/>
      <c r="E9" s="3"/>
    </row>
    <row r="11" spans="1:6" x14ac:dyDescent="0.2">
      <c r="B11" s="3"/>
      <c r="C11" s="3"/>
      <c r="D11" s="12"/>
      <c r="E11" s="12"/>
    </row>
    <row r="12" spans="1:6" x14ac:dyDescent="0.2">
      <c r="B12" s="3"/>
      <c r="C12" s="3"/>
      <c r="E12" s="3"/>
    </row>
    <row r="13" spans="1:6" x14ac:dyDescent="0.2">
      <c r="B13" s="3"/>
      <c r="C13" s="3"/>
    </row>
    <row r="14" spans="1:6" x14ac:dyDescent="0.2">
      <c r="B14" s="3"/>
      <c r="C14" s="3"/>
      <c r="D14" s="6"/>
    </row>
    <row r="15" spans="1:6" x14ac:dyDescent="0.2">
      <c r="B15" s="3"/>
      <c r="C15" s="3"/>
      <c r="E15" s="3"/>
    </row>
    <row r="16" spans="1:6" x14ac:dyDescent="0.2">
      <c r="B16" s="3"/>
      <c r="C16" s="3"/>
      <c r="E16" s="3"/>
    </row>
    <row r="17" spans="2:5" x14ac:dyDescent="0.2">
      <c r="B17" s="3"/>
      <c r="C17" s="3"/>
      <c r="E17" s="3"/>
    </row>
    <row r="18" spans="2:5" x14ac:dyDescent="0.2">
      <c r="B18" s="3"/>
      <c r="C18" s="3"/>
      <c r="E18" s="3"/>
    </row>
    <row r="19" spans="2:5" x14ac:dyDescent="0.2">
      <c r="B19" s="3"/>
      <c r="C19" s="3"/>
      <c r="E19" s="3"/>
    </row>
    <row r="20" spans="2:5" x14ac:dyDescent="0.2">
      <c r="D20" s="6"/>
    </row>
    <row r="21" spans="2:5" x14ac:dyDescent="0.2">
      <c r="E21" s="3"/>
    </row>
    <row r="23" spans="2:5" x14ac:dyDescent="0.2">
      <c r="B23" s="3"/>
      <c r="C23" s="3"/>
      <c r="D23" s="3"/>
      <c r="E23" s="3"/>
    </row>
    <row r="24" spans="2:5" x14ac:dyDescent="0.2">
      <c r="B24" s="3"/>
      <c r="C24" s="3"/>
    </row>
    <row r="25" spans="2:5" x14ac:dyDescent="0.2">
      <c r="B25" s="3"/>
      <c r="C25" s="3"/>
      <c r="D25" s="6"/>
      <c r="E25" s="3"/>
    </row>
    <row r="26" spans="2:5" x14ac:dyDescent="0.2">
      <c r="B26" s="4"/>
      <c r="C26" s="3"/>
      <c r="E26" s="3"/>
    </row>
    <row r="27" spans="2:5" x14ac:dyDescent="0.2">
      <c r="E27" s="3"/>
    </row>
    <row r="29" spans="2:5" x14ac:dyDescent="0.2">
      <c r="B29" s="3"/>
      <c r="C29" s="3"/>
      <c r="D29" s="3"/>
      <c r="E29" s="3"/>
    </row>
    <row r="30" spans="2:5" x14ac:dyDescent="0.2">
      <c r="B30" s="3"/>
      <c r="C30" s="3"/>
    </row>
    <row r="31" spans="2:5" x14ac:dyDescent="0.2">
      <c r="B31" s="3"/>
      <c r="C31" s="3"/>
      <c r="E31" s="3"/>
    </row>
    <row r="32" spans="2:5" x14ac:dyDescent="0.2">
      <c r="B32" s="3"/>
      <c r="C32" s="3"/>
      <c r="E32" s="3"/>
    </row>
  </sheetData>
  <phoneticPr fontId="0" type="noConversion"/>
  <pageMargins left="0.75" right="0.75" top="1" bottom="1" header="0.5" footer="0.5"/>
  <pageSetup paperSize="9" orientation="portrait" horizontalDpi="1200" verticalDpi="0" r:id="rId1"/>
  <headerFooter alignWithMargins="0"/>
  <drawing r:id="rId2"/>
  <legacyDrawing r:id="rId3"/>
  <controls>
    <mc:AlternateContent xmlns:mc="http://schemas.openxmlformats.org/markup-compatibility/2006">
      <mc:Choice Requires="x14">
        <control shapeId="66567" r:id="rId4" name="cmdRefreshUnits">
          <controlPr defaultSize="0" autoLine="0" r:id="rId5">
            <anchor moveWithCells="1">
              <from>
                <xdr:col>3</xdr:col>
                <xdr:colOff>66675</xdr:colOff>
                <xdr:row>2</xdr:row>
                <xdr:rowOff>114300</xdr:rowOff>
              </from>
              <to>
                <xdr:col>3</xdr:col>
                <xdr:colOff>619125</xdr:colOff>
                <xdr:row>4</xdr:row>
                <xdr:rowOff>104775</xdr:rowOff>
              </to>
            </anchor>
          </controlPr>
        </control>
      </mc:Choice>
      <mc:Fallback>
        <control shapeId="66567" r:id="rId4" name="cmdRefreshUnits"/>
      </mc:Fallback>
    </mc:AlternateContent>
    <mc:AlternateContent xmlns:mc="http://schemas.openxmlformats.org/markup-compatibility/2006">
      <mc:Choice Requires="x14">
        <control shapeId="66566" r:id="rId6" name="cmdCommUnit">
          <controlPr defaultSize="0" autoLine="0" r:id="rId7">
            <anchor moveWithCells="1">
              <from>
                <xdr:col>3</xdr:col>
                <xdr:colOff>9525</xdr:colOff>
                <xdr:row>4</xdr:row>
                <xdr:rowOff>171450</xdr:rowOff>
              </from>
              <to>
                <xdr:col>3</xdr:col>
                <xdr:colOff>676275</xdr:colOff>
                <xdr:row>5</xdr:row>
                <xdr:rowOff>190500</xdr:rowOff>
              </to>
            </anchor>
          </controlPr>
        </control>
      </mc:Choice>
      <mc:Fallback>
        <control shapeId="66566" r:id="rId6" name="cmdCommUnit"/>
      </mc:Fallback>
    </mc:AlternateContent>
    <mc:AlternateContent xmlns:mc="http://schemas.openxmlformats.org/markup-compatibility/2006">
      <mc:Choice Requires="x14">
        <control shapeId="66565" r:id="rId8" name="cmdCheckCommoditiesSheet">
          <controlPr defaultSize="0" autoLine="0" autoPict="0" r:id="rId9">
            <anchor moveWithCells="1">
              <from>
                <xdr:col>0</xdr:col>
                <xdr:colOff>9525</xdr:colOff>
                <xdr:row>2</xdr:row>
                <xdr:rowOff>142875</xdr:rowOff>
              </from>
              <to>
                <xdr:col>0</xdr:col>
                <xdr:colOff>828675</xdr:colOff>
                <xdr:row>4</xdr:row>
                <xdr:rowOff>0</xdr:rowOff>
              </to>
            </anchor>
          </controlPr>
        </control>
      </mc:Choice>
      <mc:Fallback>
        <control shapeId="66565" r:id="rId8" name="cmdCheckCommoditiesSheet"/>
      </mc:Fallback>
    </mc:AlternateContent>
    <mc:AlternateContent xmlns:mc="http://schemas.openxmlformats.org/markup-compatibility/2006">
      <mc:Choice Requires="x14">
        <control shapeId="66564" r:id="rId10" name="cmdMaterialSets">
          <controlPr defaultSize="0" autoLine="0" r:id="rId11">
            <anchor moveWithCells="1">
              <from>
                <xdr:col>4</xdr:col>
                <xdr:colOff>1000125</xdr:colOff>
                <xdr:row>3</xdr:row>
                <xdr:rowOff>95250</xdr:rowOff>
              </from>
              <to>
                <xdr:col>4</xdr:col>
                <xdr:colOff>1971675</xdr:colOff>
                <xdr:row>4</xdr:row>
                <xdr:rowOff>114300</xdr:rowOff>
              </to>
            </anchor>
          </controlPr>
        </control>
      </mc:Choice>
      <mc:Fallback>
        <control shapeId="66564" r:id="rId10" name="cmdMaterialSets"/>
      </mc:Fallback>
    </mc:AlternateContent>
    <mc:AlternateContent xmlns:mc="http://schemas.openxmlformats.org/markup-compatibility/2006">
      <mc:Choice Requires="x14">
        <control shapeId="66563" r:id="rId12" name="cmdEmissionSets">
          <controlPr defaultSize="0" autoLine="0" r:id="rId13">
            <anchor moveWithCells="1">
              <from>
                <xdr:col>4</xdr:col>
                <xdr:colOff>1000125</xdr:colOff>
                <xdr:row>4</xdr:row>
                <xdr:rowOff>171450</xdr:rowOff>
              </from>
              <to>
                <xdr:col>4</xdr:col>
                <xdr:colOff>1971675</xdr:colOff>
                <xdr:row>5</xdr:row>
                <xdr:rowOff>190500</xdr:rowOff>
              </to>
            </anchor>
          </controlPr>
        </control>
      </mc:Choice>
      <mc:Fallback>
        <control shapeId="66563" r:id="rId12" name="cmdEmissionSets"/>
      </mc:Fallback>
    </mc:AlternateContent>
    <mc:AlternateContent xmlns:mc="http://schemas.openxmlformats.org/markup-compatibility/2006">
      <mc:Choice Requires="x14">
        <control shapeId="66562" r:id="rId14" name="cmdDemandSets">
          <controlPr defaultSize="0" autoLine="0" r:id="rId15">
            <anchor moveWithCells="1">
              <from>
                <xdr:col>4</xdr:col>
                <xdr:colOff>9525</xdr:colOff>
                <xdr:row>4</xdr:row>
                <xdr:rowOff>171450</xdr:rowOff>
              </from>
              <to>
                <xdr:col>4</xdr:col>
                <xdr:colOff>981075</xdr:colOff>
                <xdr:row>5</xdr:row>
                <xdr:rowOff>190500</xdr:rowOff>
              </to>
            </anchor>
          </controlPr>
        </control>
      </mc:Choice>
      <mc:Fallback>
        <control shapeId="66562" r:id="rId14" name="cmdDemandSets"/>
      </mc:Fallback>
    </mc:AlternateContent>
    <mc:AlternateContent xmlns:mc="http://schemas.openxmlformats.org/markup-compatibility/2006">
      <mc:Choice Requires="x14">
        <control shapeId="66561" r:id="rId16" name="cmdEnergySets">
          <controlPr defaultSize="0" autoLine="0" r:id="rId17">
            <anchor moveWithCells="1">
              <from>
                <xdr:col>4</xdr:col>
                <xdr:colOff>9525</xdr:colOff>
                <xdr:row>3</xdr:row>
                <xdr:rowOff>95250</xdr:rowOff>
              </from>
              <to>
                <xdr:col>4</xdr:col>
                <xdr:colOff>981075</xdr:colOff>
                <xdr:row>4</xdr:row>
                <xdr:rowOff>114300</xdr:rowOff>
              </to>
            </anchor>
          </controlPr>
        </control>
      </mc:Choice>
      <mc:Fallback>
        <control shapeId="66561" r:id="rId16" name="cmdEnergySets"/>
      </mc:Fallback>
    </mc:AlternateContent>
  </controls>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Sheet31"/>
  <dimension ref="A1:P133"/>
  <sheetViews>
    <sheetView workbookViewId="0">
      <selection activeCell="D165" sqref="D165"/>
    </sheetView>
  </sheetViews>
  <sheetFormatPr defaultColWidth="9.140625" defaultRowHeight="12.75" x14ac:dyDescent="0.2"/>
  <cols>
    <col min="1" max="1" width="29.85546875" style="72" customWidth="1"/>
    <col min="2" max="2" width="19" style="72" customWidth="1"/>
    <col min="3" max="3" width="17.85546875" style="72" bestFit="1" customWidth="1"/>
    <col min="4" max="15" width="15.42578125" style="72" customWidth="1"/>
    <col min="16" max="16384" width="9.140625" style="72"/>
  </cols>
  <sheetData>
    <row r="1" spans="1:15" x14ac:dyDescent="0.2">
      <c r="A1" s="73" t="s">
        <v>742</v>
      </c>
    </row>
    <row r="3" spans="1:15" x14ac:dyDescent="0.2">
      <c r="A3" s="73" t="s">
        <v>151</v>
      </c>
    </row>
    <row r="4" spans="1:15" x14ac:dyDescent="0.2">
      <c r="A4" s="77" t="s">
        <v>741</v>
      </c>
    </row>
    <row r="5" spans="1:15" ht="14.25" x14ac:dyDescent="0.2">
      <c r="A5" s="78" t="s">
        <v>152</v>
      </c>
      <c r="B5" s="78" t="s">
        <v>153</v>
      </c>
      <c r="C5" s="78" t="s">
        <v>29</v>
      </c>
      <c r="D5" s="79" t="s">
        <v>154</v>
      </c>
      <c r="E5" s="79" t="s">
        <v>155</v>
      </c>
      <c r="F5" s="79" t="s">
        <v>1064</v>
      </c>
      <c r="G5" s="79" t="s">
        <v>1065</v>
      </c>
      <c r="H5" s="79" t="s">
        <v>1066</v>
      </c>
      <c r="I5" s="79" t="s">
        <v>1067</v>
      </c>
      <c r="J5" s="79" t="s">
        <v>1068</v>
      </c>
      <c r="K5" s="79" t="s">
        <v>1069</v>
      </c>
      <c r="L5" s="79" t="s">
        <v>1070</v>
      </c>
      <c r="M5" s="80" t="s">
        <v>156</v>
      </c>
      <c r="N5" s="80" t="s">
        <v>1071</v>
      </c>
      <c r="O5" s="80" t="s">
        <v>1072</v>
      </c>
    </row>
    <row r="6" spans="1:15" ht="38.25" x14ac:dyDescent="0.2">
      <c r="A6" s="81" t="s">
        <v>6</v>
      </c>
      <c r="B6" s="82" t="s">
        <v>157</v>
      </c>
      <c r="C6" s="83" t="s">
        <v>158</v>
      </c>
      <c r="D6" s="84">
        <v>1.0994635376187136E-3</v>
      </c>
      <c r="E6" s="84">
        <v>2.9382215229465623E-3</v>
      </c>
      <c r="F6" s="84">
        <v>9.2506587303091761E-3</v>
      </c>
      <c r="G6" s="84">
        <v>1.1184198055086913E-3</v>
      </c>
      <c r="H6" s="84">
        <v>3.8860349174454526E-4</v>
      </c>
      <c r="I6" s="84">
        <v>1.9524955926677155E-3</v>
      </c>
      <c r="J6" s="84">
        <v>1.8861486550527932E-2</v>
      </c>
      <c r="K6" s="84">
        <v>4.3599416146948987E-5</v>
      </c>
      <c r="L6" s="85">
        <v>2.4880101605595888</v>
      </c>
      <c r="M6" s="86">
        <v>3.1277842018463403E-5</v>
      </c>
      <c r="N6" s="86">
        <v>1.2321574128485582E-5</v>
      </c>
      <c r="O6" s="87">
        <v>0</v>
      </c>
    </row>
    <row r="7" spans="1:15" x14ac:dyDescent="0.2">
      <c r="A7" s="81" t="s">
        <v>159</v>
      </c>
      <c r="B7" s="82" t="s">
        <v>160</v>
      </c>
      <c r="C7" s="83" t="s">
        <v>158</v>
      </c>
      <c r="D7" s="84">
        <v>6.501999886262393E-3</v>
      </c>
      <c r="E7" s="84">
        <v>1.5165014311982258E-4</v>
      </c>
      <c r="F7" s="84">
        <v>5.4973176880935681E-4</v>
      </c>
      <c r="G7" s="84">
        <v>0.1602468106079275</v>
      </c>
      <c r="H7" s="84">
        <v>3.9609121756108652E-2</v>
      </c>
      <c r="I7" s="84">
        <v>6.2650465376376694E-3</v>
      </c>
      <c r="J7" s="84">
        <v>0.11174719921141925</v>
      </c>
      <c r="K7" s="84">
        <v>4.7390669724944556E-6</v>
      </c>
      <c r="L7" s="85">
        <v>0.43978541504748542</v>
      </c>
      <c r="M7" s="84">
        <v>2.0595985062460899E-3</v>
      </c>
      <c r="N7" s="84">
        <v>5.5447083578185122E-4</v>
      </c>
      <c r="O7" s="88">
        <v>0</v>
      </c>
    </row>
    <row r="8" spans="1:15" ht="14.25" x14ac:dyDescent="0.2">
      <c r="A8" s="223" t="s">
        <v>45</v>
      </c>
      <c r="B8" s="82" t="s">
        <v>161</v>
      </c>
      <c r="C8" s="83" t="s">
        <v>158</v>
      </c>
      <c r="D8" s="84">
        <v>5.6868803669933468E-4</v>
      </c>
      <c r="E8" s="84">
        <v>4.0471631945102641E-3</v>
      </c>
      <c r="F8" s="84">
        <v>1.3364168862434363E-2</v>
      </c>
      <c r="G8" s="84">
        <v>1.8008454495478928E-4</v>
      </c>
      <c r="H8" s="84">
        <v>1.2321574128485585E-4</v>
      </c>
      <c r="I8" s="84">
        <v>4.0755975963452314E-4</v>
      </c>
      <c r="J8" s="84">
        <v>7.4592914147062719E-2</v>
      </c>
      <c r="K8" s="84">
        <v>2.9382215229465622E-5</v>
      </c>
      <c r="L8" s="85">
        <v>1.3980247568858644</v>
      </c>
      <c r="M8" s="89" t="s">
        <v>1073</v>
      </c>
      <c r="N8" s="89" t="s">
        <v>162</v>
      </c>
      <c r="O8" s="87">
        <v>0</v>
      </c>
    </row>
    <row r="9" spans="1:15" ht="25.5" x14ac:dyDescent="0.2">
      <c r="A9" s="223"/>
      <c r="B9" s="82" t="s">
        <v>163</v>
      </c>
      <c r="C9" s="83" t="s">
        <v>158</v>
      </c>
      <c r="D9" s="84">
        <v>1.8008454495478928E-4</v>
      </c>
      <c r="E9" s="84">
        <v>7.0138191192917936E-4</v>
      </c>
      <c r="F9" s="84">
        <v>2.7581369779917731E-3</v>
      </c>
      <c r="G9" s="84">
        <v>3.0330028623964516E-4</v>
      </c>
      <c r="H9" s="84">
        <v>1.4217200917483367E-4</v>
      </c>
      <c r="I9" s="84">
        <v>6.4451310825924585E-4</v>
      </c>
      <c r="J9" s="84">
        <v>3.1941311394612634E-2</v>
      </c>
      <c r="K9" s="84">
        <v>3.6016908990957858E-5</v>
      </c>
      <c r="L9" s="85">
        <v>1.7544025932174472</v>
      </c>
      <c r="M9" s="89" t="s">
        <v>162</v>
      </c>
      <c r="N9" s="89" t="s">
        <v>162</v>
      </c>
      <c r="O9" s="88">
        <v>0</v>
      </c>
    </row>
    <row r="10" spans="1:15" ht="25.5" x14ac:dyDescent="0.2">
      <c r="A10" s="223"/>
      <c r="B10" s="82" t="s">
        <v>164</v>
      </c>
      <c r="C10" s="83" t="s">
        <v>158</v>
      </c>
      <c r="D10" s="84">
        <v>4.1893352036850981E-3</v>
      </c>
      <c r="E10" s="84">
        <v>1.1373760733986694E-3</v>
      </c>
      <c r="F10" s="84">
        <v>1.4691107614732812E-3</v>
      </c>
      <c r="G10" s="84">
        <v>1.8956267889977822E-5</v>
      </c>
      <c r="H10" s="84">
        <v>9.4781339449889112E-6</v>
      </c>
      <c r="I10" s="84">
        <v>9.6013496862737656E-3</v>
      </c>
      <c r="J10" s="84">
        <v>0</v>
      </c>
      <c r="K10" s="84">
        <v>0</v>
      </c>
      <c r="L10" s="85">
        <v>1.1771842359676226</v>
      </c>
      <c r="M10" s="89" t="s">
        <v>162</v>
      </c>
      <c r="N10" s="89" t="s">
        <v>162</v>
      </c>
      <c r="O10" s="87">
        <v>0</v>
      </c>
    </row>
    <row r="11" spans="1:15" x14ac:dyDescent="0.2">
      <c r="A11" s="223"/>
      <c r="B11" s="82" t="s">
        <v>165</v>
      </c>
      <c r="C11" s="83" t="s">
        <v>158</v>
      </c>
      <c r="D11" s="84">
        <v>4.9381077853392222E-3</v>
      </c>
      <c r="E11" s="84">
        <v>5.8859211798381128E-3</v>
      </c>
      <c r="F11" s="84">
        <v>1.7591416601899418E-2</v>
      </c>
      <c r="G11" s="84">
        <v>5.0234109908441234E-4</v>
      </c>
      <c r="H11" s="84">
        <v>2.748658844046784E-4</v>
      </c>
      <c r="I11" s="84">
        <v>1.0653422554167534E-2</v>
      </c>
      <c r="J11" s="84">
        <v>0.10653422554167534</v>
      </c>
      <c r="K11" s="84">
        <v>6.5399124220423487E-5</v>
      </c>
      <c r="L11" s="85">
        <v>4.3296115860709348</v>
      </c>
      <c r="M11" s="90">
        <v>1.8008454495478929E-5</v>
      </c>
      <c r="N11" s="90">
        <v>4.7390669724944556E-6</v>
      </c>
      <c r="O11" s="88">
        <v>0</v>
      </c>
    </row>
    <row r="12" spans="1:15" x14ac:dyDescent="0.2">
      <c r="A12" s="223" t="s">
        <v>166</v>
      </c>
      <c r="B12" s="82" t="s">
        <v>167</v>
      </c>
      <c r="C12" s="83" t="s">
        <v>158</v>
      </c>
      <c r="D12" s="84">
        <v>2.8434401834966729E-5</v>
      </c>
      <c r="E12" s="84">
        <v>1.8008454495478928E-4</v>
      </c>
      <c r="F12" s="84">
        <v>6.2555684036926808E-4</v>
      </c>
      <c r="G12" s="84">
        <v>1.4217200917483367E-4</v>
      </c>
      <c r="H12" s="84">
        <v>3.7912535779955645E-5</v>
      </c>
      <c r="I12" s="84">
        <v>2.464314825697117E-4</v>
      </c>
      <c r="J12" s="84">
        <v>4.7390669724944548E-4</v>
      </c>
      <c r="K12" s="84">
        <v>2.8434401834966729E-6</v>
      </c>
      <c r="L12" s="85">
        <v>0.15638921009231702</v>
      </c>
      <c r="M12" s="89" t="s">
        <v>162</v>
      </c>
      <c r="N12" s="89" t="s">
        <v>162</v>
      </c>
      <c r="O12" s="88">
        <v>0</v>
      </c>
    </row>
    <row r="13" spans="1:15" x14ac:dyDescent="0.2">
      <c r="A13" s="223"/>
      <c r="B13" s="82" t="s">
        <v>168</v>
      </c>
      <c r="C13" s="83" t="s">
        <v>158</v>
      </c>
      <c r="D13" s="84">
        <v>0</v>
      </c>
      <c r="E13" s="84">
        <v>0</v>
      </c>
      <c r="F13" s="84">
        <v>0</v>
      </c>
      <c r="G13" s="84">
        <v>0</v>
      </c>
      <c r="H13" s="84">
        <v>0</v>
      </c>
      <c r="I13" s="84">
        <v>0</v>
      </c>
      <c r="J13" s="84">
        <v>0</v>
      </c>
      <c r="K13" s="84">
        <v>0</v>
      </c>
      <c r="L13" s="85">
        <v>9.4781339449889095E-4</v>
      </c>
      <c r="M13" s="89" t="s">
        <v>162</v>
      </c>
      <c r="N13" s="89" t="s">
        <v>162</v>
      </c>
      <c r="O13" s="88">
        <v>0</v>
      </c>
    </row>
    <row r="14" spans="1:15" x14ac:dyDescent="0.2">
      <c r="A14" s="223"/>
      <c r="B14" s="82" t="s">
        <v>169</v>
      </c>
      <c r="C14" s="83" t="s">
        <v>158</v>
      </c>
      <c r="D14" s="84">
        <v>7.582507155991129E-5</v>
      </c>
      <c r="E14" s="84">
        <v>2.1799708073474492E-4</v>
      </c>
      <c r="F14" s="84">
        <v>8.5303205504900191E-4</v>
      </c>
      <c r="G14" s="84">
        <v>1.0899854036737246E-3</v>
      </c>
      <c r="H14" s="84">
        <v>2.8434401834966734E-4</v>
      </c>
      <c r="I14" s="84">
        <v>1.8861486550527931E-3</v>
      </c>
      <c r="J14" s="84">
        <v>1.1373760733986694E-3</v>
      </c>
      <c r="K14" s="84">
        <v>1.04259473394878E-5</v>
      </c>
      <c r="L14" s="85">
        <v>0.8340757871590242</v>
      </c>
      <c r="M14" s="89" t="s">
        <v>162</v>
      </c>
      <c r="N14" s="89" t="s">
        <v>162</v>
      </c>
      <c r="O14" s="88">
        <v>0</v>
      </c>
    </row>
    <row r="15" spans="1:15" ht="38.25" x14ac:dyDescent="0.2">
      <c r="A15" s="223"/>
      <c r="B15" s="82" t="s">
        <v>170</v>
      </c>
      <c r="C15" s="83" t="s">
        <v>158</v>
      </c>
      <c r="D15" s="84">
        <v>1.8956267889977822E-5</v>
      </c>
      <c r="E15" s="84">
        <v>1.04259473394878E-4</v>
      </c>
      <c r="F15" s="84">
        <v>3.6016908990957856E-4</v>
      </c>
      <c r="G15" s="84">
        <v>6.634693761492238E-5</v>
      </c>
      <c r="H15" s="84">
        <v>1.8956267889977822E-5</v>
      </c>
      <c r="I15" s="84">
        <v>1.2321574128485585E-4</v>
      </c>
      <c r="J15" s="84">
        <v>2.8434401834966734E-4</v>
      </c>
      <c r="K15" s="84">
        <v>9.4781339449889091E-7</v>
      </c>
      <c r="L15" s="85">
        <v>8.3407578715902403E-2</v>
      </c>
      <c r="M15" s="89" t="s">
        <v>162</v>
      </c>
      <c r="N15" s="89" t="s">
        <v>162</v>
      </c>
      <c r="O15" s="88">
        <v>0</v>
      </c>
    </row>
    <row r="16" spans="1:15" x14ac:dyDescent="0.2">
      <c r="A16" s="223"/>
      <c r="B16" s="82" t="s">
        <v>171</v>
      </c>
      <c r="C16" s="83" t="s">
        <v>158</v>
      </c>
      <c r="D16" s="84">
        <v>1.2321574128485585E-4</v>
      </c>
      <c r="E16" s="84">
        <v>5.1181923302940117E-4</v>
      </c>
      <c r="F16" s="84">
        <v>1.8482361192728375E-3</v>
      </c>
      <c r="G16" s="84">
        <v>1.3079824844084696E-3</v>
      </c>
      <c r="H16" s="84">
        <v>3.5069095596458968E-4</v>
      </c>
      <c r="I16" s="84">
        <v>2.2557958789073606E-3</v>
      </c>
      <c r="J16" s="84">
        <v>1.8956267889977819E-3</v>
      </c>
      <c r="K16" s="84">
        <v>1.4217200917483364E-5</v>
      </c>
      <c r="L16" s="85">
        <v>1.0738725759672434</v>
      </c>
      <c r="M16" s="89" t="s">
        <v>162</v>
      </c>
      <c r="N16" s="89" t="s">
        <v>162</v>
      </c>
      <c r="O16" s="88">
        <v>0</v>
      </c>
    </row>
    <row r="17" spans="1:8" ht="14.25" x14ac:dyDescent="0.2">
      <c r="A17" s="91" t="s">
        <v>1061</v>
      </c>
    </row>
    <row r="18" spans="1:8" ht="14.25" x14ac:dyDescent="0.2">
      <c r="A18" s="91" t="s">
        <v>1062</v>
      </c>
    </row>
    <row r="19" spans="1:8" ht="14.25" x14ac:dyDescent="0.2">
      <c r="A19" s="91" t="s">
        <v>1063</v>
      </c>
    </row>
    <row r="22" spans="1:8" x14ac:dyDescent="0.2">
      <c r="A22" s="73" t="s">
        <v>1074</v>
      </c>
    </row>
    <row r="23" spans="1:8" x14ac:dyDescent="0.2">
      <c r="A23" s="92" t="s">
        <v>172</v>
      </c>
      <c r="B23" s="93"/>
      <c r="C23" s="93"/>
      <c r="D23" s="93"/>
      <c r="E23" s="93"/>
    </row>
    <row r="24" spans="1:8" x14ac:dyDescent="0.2">
      <c r="A24" s="93"/>
      <c r="B24" s="93"/>
      <c r="C24" s="93"/>
      <c r="D24" s="93"/>
      <c r="E24" s="93"/>
    </row>
    <row r="25" spans="1:8" x14ac:dyDescent="0.2">
      <c r="A25" s="32"/>
      <c r="B25" s="224" t="s">
        <v>173</v>
      </c>
      <c r="C25" s="224"/>
      <c r="D25" s="224"/>
      <c r="E25" s="224"/>
    </row>
    <row r="26" spans="1:8" ht="75" x14ac:dyDescent="0.2">
      <c r="A26" s="20"/>
      <c r="B26" s="94" t="s">
        <v>174</v>
      </c>
      <c r="C26" s="94" t="s">
        <v>175</v>
      </c>
      <c r="D26" s="95" t="s">
        <v>176</v>
      </c>
      <c r="E26" s="95" t="s">
        <v>177</v>
      </c>
    </row>
    <row r="27" spans="1:8" x14ac:dyDescent="0.2">
      <c r="A27" s="19" t="s">
        <v>178</v>
      </c>
      <c r="B27" s="68">
        <v>0.97200000286102295</v>
      </c>
      <c r="C27" s="68">
        <v>0.97200000286102295</v>
      </c>
      <c r="D27" s="19"/>
      <c r="E27" s="19"/>
    </row>
    <row r="28" spans="1:8" x14ac:dyDescent="0.2">
      <c r="A28" s="19" t="s">
        <v>179</v>
      </c>
      <c r="B28" s="68">
        <v>0.01</v>
      </c>
      <c r="C28" s="68">
        <v>0.01</v>
      </c>
      <c r="D28" s="30"/>
      <c r="E28" s="68"/>
    </row>
    <row r="29" spans="1:8" x14ac:dyDescent="0.2">
      <c r="A29" s="19" t="s">
        <v>180</v>
      </c>
      <c r="B29" s="30"/>
      <c r="C29" s="30">
        <v>1.0014791206912925</v>
      </c>
      <c r="D29" s="30"/>
      <c r="E29" s="30">
        <v>1.0036720572878408</v>
      </c>
    </row>
    <row r="30" spans="1:8" x14ac:dyDescent="0.2">
      <c r="A30" s="19" t="s">
        <v>181</v>
      </c>
      <c r="B30" s="20"/>
      <c r="C30" s="20"/>
      <c r="D30" s="20"/>
      <c r="E30" s="20"/>
      <c r="F30" s="72" t="s">
        <v>182</v>
      </c>
    </row>
    <row r="31" spans="1:8" x14ac:dyDescent="0.2">
      <c r="A31" s="20" t="s">
        <v>183</v>
      </c>
      <c r="B31" s="30">
        <v>0.75722497274563683</v>
      </c>
      <c r="C31" s="30">
        <v>0.19822358339043974</v>
      </c>
      <c r="D31" s="69">
        <v>4.4000000000000004</v>
      </c>
      <c r="E31" s="30">
        <v>0.45055160781865566</v>
      </c>
      <c r="F31" s="72">
        <f>E31*0.00094778</f>
        <v>4.2702380285836546E-4</v>
      </c>
      <c r="H31" s="20"/>
    </row>
    <row r="32" spans="1:8" x14ac:dyDescent="0.2">
      <c r="A32" s="20" t="s">
        <v>184</v>
      </c>
      <c r="B32" s="30">
        <v>4.9469324351571391</v>
      </c>
      <c r="C32" s="30">
        <v>0.79524213962209245</v>
      </c>
      <c r="D32" s="69">
        <v>1.2</v>
      </c>
      <c r="E32" s="30">
        <v>1.0349976862880079</v>
      </c>
      <c r="F32" s="72">
        <f t="shared" ref="F32:F40" si="0">E32*0.00094778</f>
        <v>9.8095010711004801E-4</v>
      </c>
      <c r="H32" s="20"/>
    </row>
    <row r="33" spans="1:10" x14ac:dyDescent="0.2">
      <c r="A33" s="20" t="s">
        <v>185</v>
      </c>
      <c r="B33" s="30">
        <v>15.387618023949463</v>
      </c>
      <c r="C33" s="30">
        <v>3.0383871208239928</v>
      </c>
      <c r="D33" s="69">
        <v>1.546</v>
      </c>
      <c r="E33" s="30">
        <v>2.7566019369022152</v>
      </c>
      <c r="F33" s="72">
        <f t="shared" si="0"/>
        <v>2.6126521837571814E-3</v>
      </c>
      <c r="H33" s="20"/>
    </row>
    <row r="34" spans="1:10" x14ac:dyDescent="0.2">
      <c r="A34" s="20" t="s">
        <v>186</v>
      </c>
      <c r="B34" s="30">
        <v>0.35918494592284961</v>
      </c>
      <c r="C34" s="30">
        <v>0.35059469005841842</v>
      </c>
      <c r="D34" s="69">
        <v>0.02</v>
      </c>
      <c r="E34" s="30">
        <v>0.14467215639954981</v>
      </c>
      <c r="F34" s="72">
        <f t="shared" si="0"/>
        <v>1.371173763923653E-4</v>
      </c>
      <c r="H34" s="20"/>
    </row>
    <row r="35" spans="1:10" x14ac:dyDescent="0.2">
      <c r="A35" s="20" t="s">
        <v>187</v>
      </c>
      <c r="B35" s="30">
        <v>0.26284647979019315</v>
      </c>
      <c r="C35" s="30">
        <v>0.16672718492795827</v>
      </c>
      <c r="D35" s="30">
        <v>0.01</v>
      </c>
      <c r="E35" s="30">
        <v>7.9537845875789423E-2</v>
      </c>
      <c r="F35" s="72">
        <f t="shared" si="0"/>
        <v>7.5384379564155695E-5</v>
      </c>
      <c r="H35" s="20"/>
    </row>
    <row r="36" spans="1:10" x14ac:dyDescent="0.2">
      <c r="A36" s="20" t="s">
        <v>188</v>
      </c>
      <c r="B36" s="30">
        <v>0.52121423316205873</v>
      </c>
      <c r="C36" s="30">
        <v>0.71670427707221296</v>
      </c>
      <c r="D36" s="69">
        <v>10.089</v>
      </c>
      <c r="E36" s="30">
        <v>0.20353485949310335</v>
      </c>
      <c r="F36" s="72">
        <f t="shared" si="0"/>
        <v>1.9290626913037349E-4</v>
      </c>
      <c r="H36" s="20"/>
    </row>
    <row r="37" spans="1:10" x14ac:dyDescent="0.2">
      <c r="A37" s="20" t="s">
        <v>189</v>
      </c>
      <c r="B37" s="30">
        <v>4.5946922578539748</v>
      </c>
      <c r="C37" s="30">
        <v>0.46728869945644053</v>
      </c>
      <c r="D37" s="30"/>
      <c r="E37" s="30">
        <v>1.7443943718210111</v>
      </c>
      <c r="F37" s="72">
        <f t="shared" si="0"/>
        <v>1.6533020977245179E-3</v>
      </c>
      <c r="H37" s="20"/>
    </row>
    <row r="38" spans="1:10" x14ac:dyDescent="0.2">
      <c r="A38" s="20" t="s">
        <v>190</v>
      </c>
      <c r="B38" s="30">
        <v>3.6854129030807911E-2</v>
      </c>
      <c r="C38" s="30">
        <v>3.8858000103391542E-2</v>
      </c>
      <c r="D38" s="30"/>
      <c r="E38" s="30">
        <v>1.0635234459735958E-2</v>
      </c>
      <c r="F38" s="72">
        <f t="shared" si="0"/>
        <v>1.0079862516248546E-5</v>
      </c>
      <c r="H38" s="20"/>
    </row>
    <row r="39" spans="1:10" x14ac:dyDescent="0.2">
      <c r="A39" s="20" t="s">
        <v>191</v>
      </c>
      <c r="B39" s="70">
        <v>1752.5699141333712</v>
      </c>
      <c r="C39" s="70">
        <v>1885.2003251692577</v>
      </c>
      <c r="D39" s="70">
        <v>1237</v>
      </c>
      <c r="E39" s="22">
        <v>362.4550235796338</v>
      </c>
      <c r="F39" s="72">
        <f t="shared" si="0"/>
        <v>0.3435276222483053</v>
      </c>
      <c r="H39" s="20"/>
    </row>
    <row r="40" spans="1:10" x14ac:dyDescent="0.2">
      <c r="A40" s="20" t="s">
        <v>192</v>
      </c>
      <c r="B40" s="30">
        <v>73.736945585482744</v>
      </c>
      <c r="C40" s="30">
        <v>33.103413233402158</v>
      </c>
      <c r="D40" s="22"/>
      <c r="E40" s="30">
        <v>82.182360460325498</v>
      </c>
      <c r="F40" s="72">
        <f t="shared" si="0"/>
        <v>7.7890797597087294E-2</v>
      </c>
      <c r="H40" s="20"/>
    </row>
    <row r="41" spans="1:10" x14ac:dyDescent="0.2">
      <c r="A41" s="20" t="s">
        <v>193</v>
      </c>
      <c r="B41" s="20"/>
      <c r="C41" s="20"/>
      <c r="D41" s="20"/>
      <c r="E41" s="20"/>
    </row>
    <row r="42" spans="1:10" x14ac:dyDescent="0.2">
      <c r="A42" s="20" t="s">
        <v>194</v>
      </c>
      <c r="B42" s="20"/>
      <c r="C42" s="20"/>
      <c r="D42" s="20"/>
      <c r="E42" s="20"/>
    </row>
    <row r="44" spans="1:10" x14ac:dyDescent="0.2">
      <c r="A44" s="72" t="s">
        <v>195</v>
      </c>
      <c r="J44" s="20"/>
    </row>
    <row r="45" spans="1:10" x14ac:dyDescent="0.2">
      <c r="A45" s="20" t="s">
        <v>183</v>
      </c>
      <c r="B45" s="20" t="s">
        <v>184</v>
      </c>
      <c r="C45" s="20" t="s">
        <v>185</v>
      </c>
      <c r="D45" s="20" t="s">
        <v>186</v>
      </c>
      <c r="E45" s="20" t="s">
        <v>187</v>
      </c>
      <c r="F45" s="20" t="s">
        <v>188</v>
      </c>
      <c r="G45" s="20" t="s">
        <v>189</v>
      </c>
      <c r="H45" s="20" t="s">
        <v>190</v>
      </c>
      <c r="I45" s="20" t="s">
        <v>191</v>
      </c>
    </row>
    <row r="46" spans="1:10" x14ac:dyDescent="0.2">
      <c r="A46" s="72">
        <v>4.2702380285836546E-4</v>
      </c>
      <c r="B46" s="72">
        <v>9.8095010711004801E-4</v>
      </c>
      <c r="C46" s="72">
        <v>2.6126521837571814E-3</v>
      </c>
      <c r="D46" s="72">
        <v>1.371173763923653E-4</v>
      </c>
      <c r="E46" s="72">
        <v>7.5384379564155695E-5</v>
      </c>
      <c r="F46" s="72">
        <v>1.9290626913037349E-4</v>
      </c>
      <c r="G46" s="72">
        <f>F40+F37</f>
        <v>7.9544099694811812E-2</v>
      </c>
      <c r="H46" s="72">
        <v>1.0079862516248546E-5</v>
      </c>
      <c r="I46" s="72">
        <v>0.3435276222483053</v>
      </c>
    </row>
    <row r="50" spans="1:4" x14ac:dyDescent="0.2">
      <c r="A50" s="72" t="s">
        <v>204</v>
      </c>
    </row>
    <row r="52" spans="1:4" x14ac:dyDescent="0.2">
      <c r="A52" s="72" t="s">
        <v>205</v>
      </c>
    </row>
    <row r="53" spans="1:4" x14ac:dyDescent="0.2">
      <c r="C53" s="72">
        <v>2006</v>
      </c>
      <c r="D53" s="72" t="s">
        <v>206</v>
      </c>
    </row>
    <row r="54" spans="1:4" x14ac:dyDescent="0.2">
      <c r="A54" s="72" t="s">
        <v>207</v>
      </c>
      <c r="C54" s="72">
        <v>5624</v>
      </c>
      <c r="D54" s="72">
        <f>C54/C62</f>
        <v>0.2795645473977233</v>
      </c>
    </row>
    <row r="55" spans="1:4" x14ac:dyDescent="0.2">
      <c r="A55" s="72" t="s">
        <v>208</v>
      </c>
      <c r="C55" s="72">
        <v>704</v>
      </c>
      <c r="D55" s="72">
        <f>C55/C62</f>
        <v>3.4995277625888555E-2</v>
      </c>
    </row>
    <row r="56" spans="1:4" x14ac:dyDescent="0.2">
      <c r="A56" s="72" t="s">
        <v>209</v>
      </c>
      <c r="C56" s="72">
        <v>1949</v>
      </c>
    </row>
    <row r="57" spans="1:4" x14ac:dyDescent="0.2">
      <c r="A57" s="72" t="s">
        <v>210</v>
      </c>
      <c r="C57" s="72">
        <v>1346</v>
      </c>
    </row>
    <row r="58" spans="1:4" x14ac:dyDescent="0.2">
      <c r="A58" s="72" t="s">
        <v>18</v>
      </c>
      <c r="C58" s="72">
        <v>9499</v>
      </c>
    </row>
    <row r="60" spans="1:4" x14ac:dyDescent="0.2">
      <c r="A60" s="72" t="s">
        <v>211</v>
      </c>
    </row>
    <row r="61" spans="1:4" x14ac:dyDescent="0.2">
      <c r="A61" s="72" t="s">
        <v>212</v>
      </c>
      <c r="C61" s="96">
        <v>18503605</v>
      </c>
      <c r="D61" s="72" t="s">
        <v>213</v>
      </c>
    </row>
    <row r="62" spans="1:4" x14ac:dyDescent="0.2">
      <c r="A62" s="72" t="s">
        <v>214</v>
      </c>
      <c r="C62" s="97">
        <v>20117</v>
      </c>
      <c r="D62" s="72" t="s">
        <v>41</v>
      </c>
    </row>
    <row r="65" spans="1:7" x14ac:dyDescent="0.2">
      <c r="A65" s="73" t="s">
        <v>1075</v>
      </c>
    </row>
    <row r="66" spans="1:7" x14ac:dyDescent="0.2">
      <c r="B66" s="19" t="s">
        <v>460</v>
      </c>
      <c r="C66" s="20"/>
      <c r="D66" s="20"/>
      <c r="E66" s="20"/>
      <c r="F66" s="20"/>
    </row>
    <row r="67" spans="1:7" x14ac:dyDescent="0.2">
      <c r="B67" s="20"/>
      <c r="C67" s="20"/>
      <c r="D67" s="20"/>
      <c r="E67" s="20"/>
      <c r="F67" s="20"/>
    </row>
    <row r="68" spans="1:7" x14ac:dyDescent="0.2">
      <c r="B68" s="20" t="s">
        <v>461</v>
      </c>
      <c r="C68" s="20"/>
      <c r="D68" s="20"/>
      <c r="E68" s="20"/>
      <c r="F68" s="20"/>
    </row>
    <row r="69" spans="1:7" x14ac:dyDescent="0.2">
      <c r="B69" s="20"/>
      <c r="C69" s="20"/>
      <c r="D69" s="20"/>
      <c r="E69" s="20"/>
      <c r="F69" s="20"/>
    </row>
    <row r="70" spans="1:7" x14ac:dyDescent="0.2">
      <c r="B70" s="20"/>
      <c r="C70" s="20">
        <v>2005</v>
      </c>
      <c r="D70" s="20">
        <v>2010</v>
      </c>
      <c r="E70" s="20">
        <v>2015</v>
      </c>
      <c r="F70" s="20" t="s">
        <v>432</v>
      </c>
    </row>
    <row r="71" spans="1:7" x14ac:dyDescent="0.2">
      <c r="B71" s="20" t="s">
        <v>154</v>
      </c>
      <c r="C71" s="71">
        <v>8.4612000000000001E-4</v>
      </c>
      <c r="D71" s="71">
        <v>7.3165000000000003E-4</v>
      </c>
      <c r="E71" s="71">
        <v>6.9187000000000003E-4</v>
      </c>
      <c r="F71" s="71">
        <v>6.6925999999999997E-4</v>
      </c>
    </row>
    <row r="72" spans="1:7" x14ac:dyDescent="0.2">
      <c r="B72" s="20" t="s">
        <v>155</v>
      </c>
      <c r="C72" s="71">
        <v>8.7169900000000008E-3</v>
      </c>
      <c r="D72" s="71">
        <v>4.8229299999999996E-3</v>
      </c>
      <c r="E72" s="71">
        <v>4.5913300000000002E-3</v>
      </c>
      <c r="F72" s="71">
        <v>4.4275499999999997E-3</v>
      </c>
    </row>
    <row r="73" spans="1:7" x14ac:dyDescent="0.2">
      <c r="B73" s="20" t="s">
        <v>462</v>
      </c>
      <c r="C73" s="71">
        <v>1.8813300000000002E-2</v>
      </c>
      <c r="D73" s="71">
        <v>1.509156E-2</v>
      </c>
      <c r="E73" s="71">
        <v>1.298537E-2</v>
      </c>
      <c r="F73" s="71">
        <v>1.214993E-2</v>
      </c>
    </row>
    <row r="74" spans="1:7" x14ac:dyDescent="0.2">
      <c r="B74" s="20" t="s">
        <v>197</v>
      </c>
      <c r="C74" s="71">
        <v>4.1800000000000002E-4</v>
      </c>
      <c r="D74" s="71">
        <v>3.5759000000000002E-4</v>
      </c>
      <c r="E74" s="71">
        <v>3.2223000000000001E-4</v>
      </c>
      <c r="F74" s="71">
        <v>2.9514E-4</v>
      </c>
    </row>
    <row r="75" spans="1:7" x14ac:dyDescent="0.2">
      <c r="B75" s="20" t="s">
        <v>198</v>
      </c>
      <c r="C75" s="71">
        <v>3.2840000000000001E-4</v>
      </c>
      <c r="D75" s="71">
        <v>2.7726999999999998E-4</v>
      </c>
      <c r="E75" s="71">
        <v>2.4601000000000001E-4</v>
      </c>
      <c r="F75" s="71">
        <v>2.2243999999999999E-4</v>
      </c>
    </row>
    <row r="76" spans="1:7" x14ac:dyDescent="0.2">
      <c r="B76" s="20" t="s">
        <v>199</v>
      </c>
      <c r="C76" s="71">
        <v>8.2742000000000004E-4</v>
      </c>
      <c r="D76" s="71">
        <v>5.4062999999999995E-4</v>
      </c>
      <c r="E76" s="71">
        <v>4.8401E-4</v>
      </c>
      <c r="F76" s="71">
        <v>4.8117E-4</v>
      </c>
    </row>
    <row r="77" spans="1:7" x14ac:dyDescent="0.2">
      <c r="B77" s="20" t="s">
        <v>200</v>
      </c>
      <c r="C77" s="71">
        <v>0.39119804000000002</v>
      </c>
      <c r="D77" s="71">
        <v>0.39120453999999999</v>
      </c>
      <c r="E77" s="71">
        <v>0.39119350000000003</v>
      </c>
      <c r="F77" s="71">
        <v>0.39118678000000001</v>
      </c>
      <c r="G77" s="72" t="s">
        <v>743</v>
      </c>
    </row>
    <row r="78" spans="1:7" x14ac:dyDescent="0.2">
      <c r="B78" s="20" t="s">
        <v>201</v>
      </c>
      <c r="C78" s="71">
        <v>4.3049000000000001E-5</v>
      </c>
      <c r="D78" s="71">
        <v>4.3059000000000002E-5</v>
      </c>
      <c r="E78" s="71">
        <v>4.3050999999999998E-5</v>
      </c>
      <c r="F78" s="71">
        <v>4.3032999999999999E-5</v>
      </c>
    </row>
    <row r="79" spans="1:7" x14ac:dyDescent="0.2">
      <c r="B79" s="20" t="s">
        <v>202</v>
      </c>
      <c r="C79" s="71">
        <v>1.93517228</v>
      </c>
      <c r="D79" s="71">
        <v>1.9422011100000001</v>
      </c>
      <c r="E79" s="71">
        <v>1.9412332000000001</v>
      </c>
      <c r="F79" s="71">
        <v>1.9404608800000001</v>
      </c>
      <c r="G79" s="72" t="s">
        <v>743</v>
      </c>
    </row>
    <row r="82" spans="1:11" x14ac:dyDescent="0.2">
      <c r="A82" s="73" t="s">
        <v>1076</v>
      </c>
    </row>
    <row r="83" spans="1:11" x14ac:dyDescent="0.2">
      <c r="A83" s="73" t="s">
        <v>463</v>
      </c>
    </row>
    <row r="84" spans="1:11" x14ac:dyDescent="0.2">
      <c r="A84" s="72" t="s">
        <v>464</v>
      </c>
      <c r="C84" s="222" t="s">
        <v>465</v>
      </c>
      <c r="D84" s="222"/>
      <c r="E84" s="222"/>
      <c r="F84" s="222" t="s">
        <v>466</v>
      </c>
      <c r="G84" s="222"/>
      <c r="H84" s="222"/>
      <c r="I84" s="222" t="s">
        <v>467</v>
      </c>
      <c r="J84" s="222"/>
      <c r="K84" s="222"/>
    </row>
    <row r="85" spans="1:11" x14ac:dyDescent="0.2">
      <c r="A85" s="72" t="s">
        <v>468</v>
      </c>
      <c r="C85" s="72" t="s">
        <v>469</v>
      </c>
      <c r="D85" s="72" t="s">
        <v>202</v>
      </c>
      <c r="E85" s="72" t="s">
        <v>200</v>
      </c>
      <c r="F85" s="72" t="s">
        <v>469</v>
      </c>
      <c r="G85" s="72" t="s">
        <v>202</v>
      </c>
      <c r="H85" s="72" t="s">
        <v>200</v>
      </c>
      <c r="I85" s="72" t="s">
        <v>469</v>
      </c>
      <c r="J85" s="72" t="s">
        <v>202</v>
      </c>
      <c r="K85" s="72" t="s">
        <v>200</v>
      </c>
    </row>
    <row r="86" spans="1:11" x14ac:dyDescent="0.2">
      <c r="A86" s="72" t="s">
        <v>470</v>
      </c>
      <c r="B86" s="72" t="s">
        <v>471</v>
      </c>
      <c r="C86" s="72">
        <v>0.16</v>
      </c>
      <c r="D86" s="72">
        <f>C86</f>
        <v>0.16</v>
      </c>
      <c r="F86" s="72">
        <v>0.16</v>
      </c>
      <c r="G86" s="72">
        <f>F86</f>
        <v>0.16</v>
      </c>
      <c r="I86" s="72">
        <v>0.16</v>
      </c>
      <c r="J86" s="72">
        <f>I86</f>
        <v>0.16</v>
      </c>
    </row>
    <row r="87" spans="1:11" x14ac:dyDescent="0.2">
      <c r="B87" s="72" t="s">
        <v>472</v>
      </c>
      <c r="C87" s="72">
        <v>0.23</v>
      </c>
      <c r="D87" s="72">
        <f>C87</f>
        <v>0.23</v>
      </c>
      <c r="F87" s="72">
        <v>0.2</v>
      </c>
      <c r="G87" s="72">
        <f>F87</f>
        <v>0.2</v>
      </c>
      <c r="I87" s="72">
        <v>0.2</v>
      </c>
      <c r="J87" s="72">
        <f>I87</f>
        <v>0.2</v>
      </c>
    </row>
    <row r="88" spans="1:11" x14ac:dyDescent="0.2">
      <c r="B88" s="72" t="s">
        <v>473</v>
      </c>
      <c r="F88" s="72">
        <v>0.26</v>
      </c>
      <c r="G88" s="72">
        <f>F88</f>
        <v>0.26</v>
      </c>
      <c r="I88" s="72">
        <v>0.26</v>
      </c>
      <c r="J88" s="72">
        <f>I88</f>
        <v>0.26</v>
      </c>
    </row>
    <row r="89" spans="1:11" x14ac:dyDescent="0.2">
      <c r="B89" s="72" t="s">
        <v>474</v>
      </c>
      <c r="F89" s="72">
        <v>7.0000000000000007E-2</v>
      </c>
      <c r="G89" s="72">
        <f>F89</f>
        <v>7.0000000000000007E-2</v>
      </c>
      <c r="I89" s="72">
        <v>7.0000000000000007E-2</v>
      </c>
      <c r="J89" s="72">
        <f>I89</f>
        <v>7.0000000000000007E-2</v>
      </c>
    </row>
    <row r="90" spans="1:11" x14ac:dyDescent="0.2">
      <c r="B90" s="72" t="s">
        <v>475</v>
      </c>
      <c r="C90" s="72">
        <v>0.18</v>
      </c>
      <c r="E90" s="72">
        <f>C90/25</f>
        <v>7.1999999999999998E-3</v>
      </c>
      <c r="F90" s="72">
        <v>1.2</v>
      </c>
      <c r="H90" s="72">
        <f>F90/25</f>
        <v>4.8000000000000001E-2</v>
      </c>
      <c r="I90" s="72">
        <v>0.2</v>
      </c>
      <c r="K90" s="72">
        <f>I90/25</f>
        <v>8.0000000000000002E-3</v>
      </c>
    </row>
    <row r="91" spans="1:11" x14ac:dyDescent="0.2">
      <c r="A91" s="73"/>
      <c r="B91" s="73" t="s">
        <v>476</v>
      </c>
      <c r="C91" s="73">
        <f>SUM(C86:C90)</f>
        <v>0.57000000000000006</v>
      </c>
      <c r="D91" s="73">
        <f t="shared" ref="D91:K91" si="1">SUM(D86:D90)</f>
        <v>0.39</v>
      </c>
      <c r="E91" s="73">
        <f t="shared" si="1"/>
        <v>7.1999999999999998E-3</v>
      </c>
      <c r="F91" s="73">
        <f t="shared" si="1"/>
        <v>1.89</v>
      </c>
      <c r="G91" s="73">
        <f t="shared" si="1"/>
        <v>0.69</v>
      </c>
      <c r="H91" s="73">
        <f t="shared" si="1"/>
        <v>4.8000000000000001E-2</v>
      </c>
      <c r="I91" s="73">
        <f t="shared" si="1"/>
        <v>0.8899999999999999</v>
      </c>
      <c r="J91" s="73">
        <f t="shared" si="1"/>
        <v>0.69</v>
      </c>
      <c r="K91" s="73">
        <f t="shared" si="1"/>
        <v>8.0000000000000002E-3</v>
      </c>
    </row>
    <row r="92" spans="1:11" x14ac:dyDescent="0.2">
      <c r="A92" s="72" t="s">
        <v>477</v>
      </c>
      <c r="B92" s="72" t="s">
        <v>478</v>
      </c>
      <c r="C92" s="72">
        <v>0.6</v>
      </c>
      <c r="D92" s="72">
        <f>C92</f>
        <v>0.6</v>
      </c>
      <c r="F92" s="72">
        <v>0.6</v>
      </c>
      <c r="G92" s="72">
        <f>F92</f>
        <v>0.6</v>
      </c>
      <c r="I92" s="72">
        <v>0.6</v>
      </c>
      <c r="J92" s="72">
        <f>I92</f>
        <v>0.6</v>
      </c>
    </row>
    <row r="93" spans="1:11" x14ac:dyDescent="0.2">
      <c r="B93" s="72" t="s">
        <v>479</v>
      </c>
      <c r="C93" s="72">
        <v>3.2</v>
      </c>
      <c r="D93" s="72">
        <f>C93</f>
        <v>3.2</v>
      </c>
      <c r="F93" s="72">
        <v>3.2</v>
      </c>
      <c r="G93" s="72">
        <f>F93</f>
        <v>3.2</v>
      </c>
      <c r="I93" s="72">
        <v>3.2</v>
      </c>
      <c r="J93" s="72">
        <f>I93</f>
        <v>3.2</v>
      </c>
    </row>
    <row r="94" spans="1:11" x14ac:dyDescent="0.2">
      <c r="B94" s="72" t="s">
        <v>480</v>
      </c>
      <c r="C94" s="72">
        <v>1.2</v>
      </c>
      <c r="D94" s="72">
        <f>C94</f>
        <v>1.2</v>
      </c>
      <c r="F94" s="72">
        <v>1.2</v>
      </c>
      <c r="G94" s="72">
        <f>F94</f>
        <v>1.2</v>
      </c>
      <c r="I94" s="72">
        <v>1.2</v>
      </c>
      <c r="J94" s="72">
        <f>I94</f>
        <v>1.2</v>
      </c>
    </row>
    <row r="95" spans="1:11" x14ac:dyDescent="0.2">
      <c r="B95" s="72" t="s">
        <v>481</v>
      </c>
      <c r="C95" s="72">
        <v>2.7</v>
      </c>
      <c r="E95" s="72">
        <f>C95/25</f>
        <v>0.10800000000000001</v>
      </c>
      <c r="F95" s="72">
        <v>2.7</v>
      </c>
      <c r="H95" s="72">
        <f>F95/25</f>
        <v>0.10800000000000001</v>
      </c>
      <c r="I95" s="72">
        <v>2.7</v>
      </c>
      <c r="K95" s="72">
        <f>I95/25</f>
        <v>0.10800000000000001</v>
      </c>
    </row>
    <row r="96" spans="1:11" x14ac:dyDescent="0.2">
      <c r="B96" s="72" t="s">
        <v>482</v>
      </c>
      <c r="C96" s="72">
        <v>1.8</v>
      </c>
      <c r="E96" s="72">
        <f>C96/25</f>
        <v>7.2000000000000008E-2</v>
      </c>
      <c r="F96" s="72">
        <v>1.8</v>
      </c>
      <c r="H96" s="72">
        <f>F96/25</f>
        <v>7.2000000000000008E-2</v>
      </c>
      <c r="I96" s="72">
        <v>1.8</v>
      </c>
      <c r="K96" s="72">
        <f>I96/25</f>
        <v>7.2000000000000008E-2</v>
      </c>
    </row>
    <row r="97" spans="1:13" x14ac:dyDescent="0.2">
      <c r="B97" s="72" t="s">
        <v>483</v>
      </c>
      <c r="C97" s="72">
        <v>0</v>
      </c>
      <c r="F97" s="72">
        <v>1.2</v>
      </c>
      <c r="H97" s="72">
        <f>F97/25</f>
        <v>4.8000000000000001E-2</v>
      </c>
      <c r="I97" s="72">
        <v>0.2</v>
      </c>
      <c r="K97" s="72">
        <f>I97/25</f>
        <v>8.0000000000000002E-3</v>
      </c>
    </row>
    <row r="98" spans="1:13" x14ac:dyDescent="0.2">
      <c r="B98" s="72" t="s">
        <v>484</v>
      </c>
      <c r="C98" s="72">
        <v>3.8</v>
      </c>
      <c r="E98" s="72">
        <f>C98/25</f>
        <v>0.152</v>
      </c>
      <c r="H98" s="72">
        <f>F98/25</f>
        <v>0</v>
      </c>
      <c r="K98" s="72">
        <f>I98/25</f>
        <v>0</v>
      </c>
    </row>
    <row r="99" spans="1:13" x14ac:dyDescent="0.2">
      <c r="A99" s="73"/>
      <c r="B99" s="73" t="s">
        <v>476</v>
      </c>
      <c r="C99" s="73">
        <f t="shared" ref="C99:K99" si="2">SUM(C92:C98)</f>
        <v>13.3</v>
      </c>
      <c r="D99" s="73">
        <f t="shared" si="2"/>
        <v>5</v>
      </c>
      <c r="E99" s="73">
        <f t="shared" si="2"/>
        <v>0.33200000000000002</v>
      </c>
      <c r="F99" s="73">
        <f t="shared" si="2"/>
        <v>10.7</v>
      </c>
      <c r="G99" s="73">
        <f t="shared" si="2"/>
        <v>5</v>
      </c>
      <c r="H99" s="73">
        <f t="shared" si="2"/>
        <v>0.22800000000000004</v>
      </c>
      <c r="I99" s="73">
        <f t="shared" si="2"/>
        <v>9.6999999999999993</v>
      </c>
      <c r="J99" s="73">
        <f t="shared" si="2"/>
        <v>5</v>
      </c>
      <c r="K99" s="73">
        <f t="shared" si="2"/>
        <v>0.18800000000000003</v>
      </c>
    </row>
    <row r="100" spans="1:13" x14ac:dyDescent="0.2">
      <c r="A100" s="72" t="s">
        <v>485</v>
      </c>
      <c r="B100" s="72" t="s">
        <v>486</v>
      </c>
      <c r="C100" s="72">
        <v>0.4</v>
      </c>
      <c r="D100" s="72">
        <f>C100</f>
        <v>0.4</v>
      </c>
      <c r="F100" s="72">
        <v>0.4</v>
      </c>
      <c r="G100" s="72">
        <f>F100</f>
        <v>0.4</v>
      </c>
      <c r="I100" s="72">
        <v>0.4</v>
      </c>
      <c r="J100" s="72">
        <f>I100</f>
        <v>0.4</v>
      </c>
    </row>
    <row r="101" spans="1:13" x14ac:dyDescent="0.2">
      <c r="B101" s="72" t="s">
        <v>487</v>
      </c>
      <c r="C101" s="72">
        <v>1.9</v>
      </c>
      <c r="E101" s="72">
        <f>C101/25</f>
        <v>7.5999999999999998E-2</v>
      </c>
      <c r="F101" s="72">
        <v>1.9</v>
      </c>
      <c r="H101" s="72">
        <f>F101/25</f>
        <v>7.5999999999999998E-2</v>
      </c>
      <c r="I101" s="72">
        <v>1.9</v>
      </c>
      <c r="K101" s="72">
        <f>I101/25</f>
        <v>7.5999999999999998E-2</v>
      </c>
    </row>
    <row r="102" spans="1:13" x14ac:dyDescent="0.2">
      <c r="A102" s="73"/>
      <c r="B102" s="73" t="s">
        <v>476</v>
      </c>
      <c r="C102" s="73">
        <f>SUM(C100:C101)</f>
        <v>2.2999999999999998</v>
      </c>
      <c r="D102" s="73">
        <f t="shared" ref="D102:K102" si="3">SUM(D100:D101)</f>
        <v>0.4</v>
      </c>
      <c r="E102" s="73">
        <f t="shared" si="3"/>
        <v>7.5999999999999998E-2</v>
      </c>
      <c r="F102" s="73">
        <f t="shared" si="3"/>
        <v>2.2999999999999998</v>
      </c>
      <c r="G102" s="73">
        <f t="shared" si="3"/>
        <v>0.4</v>
      </c>
      <c r="H102" s="73">
        <f t="shared" si="3"/>
        <v>7.5999999999999998E-2</v>
      </c>
      <c r="I102" s="73">
        <f t="shared" si="3"/>
        <v>2.2999999999999998</v>
      </c>
      <c r="J102" s="73">
        <f t="shared" si="3"/>
        <v>0.4</v>
      </c>
      <c r="K102" s="73">
        <f t="shared" si="3"/>
        <v>7.5999999999999998E-2</v>
      </c>
    </row>
    <row r="103" spans="1:13" x14ac:dyDescent="0.2">
      <c r="A103" s="73"/>
      <c r="B103" s="73" t="s">
        <v>488</v>
      </c>
      <c r="C103" s="73">
        <f>C91+C99+C102</f>
        <v>16.170000000000002</v>
      </c>
      <c r="D103" s="73">
        <f t="shared" ref="D103:K103" si="4">D91+D99+D102</f>
        <v>5.79</v>
      </c>
      <c r="E103" s="73">
        <f t="shared" si="4"/>
        <v>0.41520000000000001</v>
      </c>
      <c r="F103" s="73">
        <f t="shared" si="4"/>
        <v>14.89</v>
      </c>
      <c r="G103" s="73">
        <f t="shared" si="4"/>
        <v>6.09</v>
      </c>
      <c r="H103" s="73">
        <f t="shared" si="4"/>
        <v>0.35200000000000004</v>
      </c>
      <c r="I103" s="73">
        <f t="shared" si="4"/>
        <v>12.89</v>
      </c>
      <c r="J103" s="73">
        <f t="shared" si="4"/>
        <v>6.09</v>
      </c>
      <c r="K103" s="73">
        <f t="shared" si="4"/>
        <v>0.27200000000000002</v>
      </c>
    </row>
    <row r="104" spans="1:13" x14ac:dyDescent="0.2">
      <c r="A104" s="73"/>
      <c r="B104" s="73" t="s">
        <v>489</v>
      </c>
      <c r="C104" s="73">
        <f>C91+C99</f>
        <v>13.870000000000001</v>
      </c>
      <c r="D104" s="73">
        <f t="shared" ref="D104:K104" si="5">D91+D99</f>
        <v>5.39</v>
      </c>
      <c r="E104" s="73">
        <f t="shared" si="5"/>
        <v>0.3392</v>
      </c>
      <c r="F104" s="73">
        <f t="shared" si="5"/>
        <v>12.59</v>
      </c>
      <c r="G104" s="73">
        <f>G91+G99</f>
        <v>5.6899999999999995</v>
      </c>
      <c r="H104" s="73">
        <f t="shared" si="5"/>
        <v>0.27600000000000002</v>
      </c>
      <c r="I104" s="73">
        <f t="shared" si="5"/>
        <v>10.59</v>
      </c>
      <c r="J104" s="73">
        <f t="shared" si="5"/>
        <v>5.6899999999999995</v>
      </c>
      <c r="K104" s="73">
        <f t="shared" si="5"/>
        <v>0.19600000000000004</v>
      </c>
      <c r="L104" s="98">
        <f>K104/H104</f>
        <v>0.71014492753623193</v>
      </c>
      <c r="M104" s="72" t="s">
        <v>848</v>
      </c>
    </row>
    <row r="105" spans="1:13" x14ac:dyDescent="0.2">
      <c r="B105" s="73" t="s">
        <v>490</v>
      </c>
      <c r="C105" s="73">
        <f>C102</f>
        <v>2.2999999999999998</v>
      </c>
      <c r="D105" s="73">
        <f t="shared" ref="D105:K105" si="6">D102</f>
        <v>0.4</v>
      </c>
      <c r="E105" s="73">
        <f t="shared" si="6"/>
        <v>7.5999999999999998E-2</v>
      </c>
      <c r="F105" s="73">
        <f t="shared" si="6"/>
        <v>2.2999999999999998</v>
      </c>
      <c r="G105" s="73">
        <f t="shared" si="6"/>
        <v>0.4</v>
      </c>
      <c r="H105" s="73">
        <f t="shared" si="6"/>
        <v>7.5999999999999998E-2</v>
      </c>
      <c r="I105" s="73">
        <f t="shared" si="6"/>
        <v>2.2999999999999998</v>
      </c>
      <c r="J105" s="73">
        <f t="shared" si="6"/>
        <v>0.4</v>
      </c>
      <c r="K105" s="73">
        <f t="shared" si="6"/>
        <v>7.5999999999999998E-2</v>
      </c>
      <c r="L105" s="99">
        <f>1+P126</f>
        <v>0.93889220452249045</v>
      </c>
      <c r="M105" s="72" t="s">
        <v>853</v>
      </c>
    </row>
    <row r="107" spans="1:13" x14ac:dyDescent="0.2">
      <c r="F107" s="72" t="s">
        <v>491</v>
      </c>
      <c r="I107" s="72" t="s">
        <v>492</v>
      </c>
      <c r="L107" s="72" t="s">
        <v>850</v>
      </c>
    </row>
    <row r="108" spans="1:13" x14ac:dyDescent="0.2">
      <c r="A108" s="67"/>
      <c r="C108" s="74">
        <v>2005</v>
      </c>
      <c r="D108" s="74" t="s">
        <v>845</v>
      </c>
      <c r="E108" s="74" t="s">
        <v>432</v>
      </c>
      <c r="F108" s="74">
        <v>2005</v>
      </c>
      <c r="G108" s="74" t="s">
        <v>845</v>
      </c>
      <c r="H108" s="74" t="s">
        <v>432</v>
      </c>
      <c r="I108" s="74">
        <v>2005</v>
      </c>
      <c r="J108" s="74" t="s">
        <v>845</v>
      </c>
      <c r="K108" s="74" t="s">
        <v>432</v>
      </c>
      <c r="L108" s="73" t="b">
        <v>1</v>
      </c>
      <c r="M108" s="72" t="s">
        <v>851</v>
      </c>
    </row>
    <row r="109" spans="1:13" x14ac:dyDescent="0.2">
      <c r="B109" s="72" t="s">
        <v>65</v>
      </c>
      <c r="C109" s="72">
        <v>0</v>
      </c>
      <c r="D109" s="75">
        <f>'Conv vs Shale'!D3</f>
        <v>0.79621022630720661</v>
      </c>
      <c r="E109" s="75">
        <f>D109</f>
        <v>0.79621022630720661</v>
      </c>
      <c r="F109" s="76">
        <f>D$104*(1-$C109)+G$104*$C109</f>
        <v>5.39</v>
      </c>
      <c r="G109" s="76">
        <f>D$104*(1-$D109)+G$104*$D109</f>
        <v>5.6288630678921621</v>
      </c>
      <c r="H109" s="76">
        <f>D$104*(1-$E109)+J$104*$E109</f>
        <v>5.6288630678921621</v>
      </c>
      <c r="I109" s="76">
        <f>E$104*(1-$C109)+H$104*$C109</f>
        <v>0.3392</v>
      </c>
      <c r="J109" s="76">
        <f t="shared" ref="J109:J116" si="7">IF($L$108=TRUE, E$104*(1-$D109)+H$104*$D109, IF($L$111="High", $D$133, IF($L$111="Avg", $E$133,$C$133)))</f>
        <v>0.28887951369738457</v>
      </c>
      <c r="K109" s="76">
        <f t="shared" ref="K109:K116" si="8">IF($L$108=TRUE, $E$104*(1-$E109)+$K$104*$E109, IF($L$111="High", $D$133*$L$104, IF($L$111="Avg", $E$133*$L$104,$C$133*$L$104)))</f>
        <v>0.22518269559280807</v>
      </c>
      <c r="M109" s="72" t="s">
        <v>852</v>
      </c>
    </row>
    <row r="110" spans="1:13" x14ac:dyDescent="0.2">
      <c r="B110" s="72" t="s">
        <v>62</v>
      </c>
      <c r="C110" s="72">
        <v>0</v>
      </c>
      <c r="D110" s="75">
        <f>'Conv vs Shale'!D4</f>
        <v>0.49716093723276894</v>
      </c>
      <c r="E110" s="75">
        <f t="shared" ref="E110:E116" si="9">D110</f>
        <v>0.49716093723276894</v>
      </c>
      <c r="F110" s="76">
        <f t="shared" ref="F110:F116" si="10">D$104*(1-$C110)+G$104*$C110</f>
        <v>5.39</v>
      </c>
      <c r="G110" s="76">
        <f t="shared" ref="G110:G116" si="11">D$104*(1-$D110)+G$104*$D110</f>
        <v>5.5391482811698296</v>
      </c>
      <c r="H110" s="76">
        <f t="shared" ref="H110:H116" si="12">D$104*(1-$E110)+J$104*$E110</f>
        <v>5.5391482811698296</v>
      </c>
      <c r="I110" s="76">
        <f t="shared" ref="I110:I116" si="13">E$104*(1-$C110)+H$104*$C110</f>
        <v>0.3392</v>
      </c>
      <c r="J110" s="76">
        <f t="shared" si="7"/>
        <v>0.30777942876688902</v>
      </c>
      <c r="K110" s="76">
        <f t="shared" si="8"/>
        <v>0.26800655378826749</v>
      </c>
      <c r="L110" s="72" t="s">
        <v>847</v>
      </c>
    </row>
    <row r="111" spans="1:13" x14ac:dyDescent="0.2">
      <c r="B111" s="72" t="s">
        <v>93</v>
      </c>
      <c r="C111" s="72">
        <v>0</v>
      </c>
      <c r="D111" s="75">
        <f>'Conv vs Shale'!D5</f>
        <v>0.23887944894745808</v>
      </c>
      <c r="E111" s="75">
        <f t="shared" si="9"/>
        <v>0.23887944894745808</v>
      </c>
      <c r="F111" s="76">
        <f t="shared" si="10"/>
        <v>5.39</v>
      </c>
      <c r="G111" s="76">
        <f t="shared" si="11"/>
        <v>5.4616638346842379</v>
      </c>
      <c r="H111" s="76">
        <f t="shared" si="12"/>
        <v>5.4616638346842379</v>
      </c>
      <c r="I111" s="76">
        <f t="shared" si="13"/>
        <v>0.3392</v>
      </c>
      <c r="J111" s="76">
        <f t="shared" si="7"/>
        <v>0.3241028188265207</v>
      </c>
      <c r="K111" s="76">
        <f t="shared" si="8"/>
        <v>0.30499246291072407</v>
      </c>
      <c r="L111" s="100" t="s">
        <v>849</v>
      </c>
    </row>
    <row r="112" spans="1:13" x14ac:dyDescent="0.2">
      <c r="B112" s="72" t="s">
        <v>92</v>
      </c>
      <c r="C112" s="72">
        <v>0</v>
      </c>
      <c r="D112" s="75">
        <f>'Conv vs Shale'!D6</f>
        <v>0.43655913596096602</v>
      </c>
      <c r="E112" s="75">
        <f t="shared" si="9"/>
        <v>0.43655913596096602</v>
      </c>
      <c r="F112" s="76">
        <f t="shared" si="10"/>
        <v>5.39</v>
      </c>
      <c r="G112" s="76">
        <f t="shared" si="11"/>
        <v>5.52096774078829</v>
      </c>
      <c r="H112" s="76">
        <f t="shared" si="12"/>
        <v>5.52096774078829</v>
      </c>
      <c r="I112" s="76">
        <f t="shared" si="13"/>
        <v>0.3392</v>
      </c>
      <c r="J112" s="76">
        <f t="shared" si="7"/>
        <v>0.31160946260726696</v>
      </c>
      <c r="K112" s="76">
        <f t="shared" si="8"/>
        <v>0.27668473173038971</v>
      </c>
    </row>
    <row r="113" spans="1:16" x14ac:dyDescent="0.2">
      <c r="B113" s="72" t="s">
        <v>94</v>
      </c>
      <c r="C113" s="72">
        <v>0</v>
      </c>
      <c r="D113" s="75">
        <f>'Conv vs Shale'!D7</f>
        <v>0</v>
      </c>
      <c r="E113" s="75">
        <f t="shared" si="9"/>
        <v>0</v>
      </c>
      <c r="F113" s="76">
        <f t="shared" si="10"/>
        <v>5.39</v>
      </c>
      <c r="G113" s="76">
        <f t="shared" si="11"/>
        <v>5.39</v>
      </c>
      <c r="H113" s="76">
        <f t="shared" si="12"/>
        <v>5.39</v>
      </c>
      <c r="I113" s="76">
        <f t="shared" si="13"/>
        <v>0.3392</v>
      </c>
      <c r="J113" s="76">
        <f t="shared" si="7"/>
        <v>0.3392</v>
      </c>
      <c r="K113" s="76">
        <f t="shared" si="8"/>
        <v>0.3392</v>
      </c>
    </row>
    <row r="114" spans="1:16" x14ac:dyDescent="0.2">
      <c r="B114" s="72" t="s">
        <v>95</v>
      </c>
      <c r="C114" s="72">
        <v>0</v>
      </c>
      <c r="D114" s="75">
        <f>'Conv vs Shale'!D8</f>
        <v>0.40893952369451503</v>
      </c>
      <c r="E114" s="75">
        <f t="shared" si="9"/>
        <v>0.40893952369451503</v>
      </c>
      <c r="F114" s="76">
        <f t="shared" si="10"/>
        <v>5.39</v>
      </c>
      <c r="G114" s="76">
        <f t="shared" si="11"/>
        <v>5.5126818571083547</v>
      </c>
      <c r="H114" s="76">
        <f t="shared" si="12"/>
        <v>5.5126818571083547</v>
      </c>
      <c r="I114" s="76">
        <f t="shared" si="13"/>
        <v>0.3392</v>
      </c>
      <c r="J114" s="76">
        <f t="shared" si="7"/>
        <v>0.31335502210250665</v>
      </c>
      <c r="K114" s="76">
        <f t="shared" si="8"/>
        <v>0.28063986020694542</v>
      </c>
    </row>
    <row r="115" spans="1:16" x14ac:dyDescent="0.2">
      <c r="B115" s="72" t="s">
        <v>96</v>
      </c>
      <c r="C115" s="72">
        <v>0</v>
      </c>
      <c r="D115" s="75">
        <f>'Conv vs Shale'!D9</f>
        <v>5.5082555923533796E-2</v>
      </c>
      <c r="E115" s="75">
        <f t="shared" si="9"/>
        <v>5.5082555923533796E-2</v>
      </c>
      <c r="F115" s="76">
        <f t="shared" si="10"/>
        <v>5.39</v>
      </c>
      <c r="G115" s="76">
        <f t="shared" si="11"/>
        <v>5.4065247667770597</v>
      </c>
      <c r="H115" s="76">
        <f t="shared" si="12"/>
        <v>5.4065247667770597</v>
      </c>
      <c r="I115" s="76">
        <f t="shared" si="13"/>
        <v>0.3392</v>
      </c>
      <c r="J115" s="76">
        <f t="shared" si="7"/>
        <v>0.33571878246563264</v>
      </c>
      <c r="K115" s="76">
        <f t="shared" si="8"/>
        <v>0.33131217799174995</v>
      </c>
    </row>
    <row r="116" spans="1:16" x14ac:dyDescent="0.2">
      <c r="B116" s="72" t="s">
        <v>97</v>
      </c>
      <c r="C116" s="72">
        <v>0</v>
      </c>
      <c r="D116" s="75">
        <f>'Conv vs Shale'!D10</f>
        <v>2.7399985363286708E-2</v>
      </c>
      <c r="E116" s="75">
        <f t="shared" si="9"/>
        <v>2.7399985363286708E-2</v>
      </c>
      <c r="F116" s="76">
        <f t="shared" si="10"/>
        <v>5.39</v>
      </c>
      <c r="G116" s="76">
        <f t="shared" si="11"/>
        <v>5.3982199956089856</v>
      </c>
      <c r="H116" s="76">
        <f t="shared" si="12"/>
        <v>5.3982199956089856</v>
      </c>
      <c r="I116" s="76">
        <f t="shared" si="13"/>
        <v>0.3392</v>
      </c>
      <c r="J116" s="76">
        <f t="shared" si="7"/>
        <v>0.33746832092504031</v>
      </c>
      <c r="K116" s="76">
        <f t="shared" si="8"/>
        <v>0.33527632209597735</v>
      </c>
    </row>
    <row r="117" spans="1:16" ht="102" x14ac:dyDescent="0.2">
      <c r="A117" s="72" t="s">
        <v>640</v>
      </c>
      <c r="M117" s="101"/>
      <c r="N117" s="102" t="s">
        <v>854</v>
      </c>
      <c r="O117" s="102" t="s">
        <v>855</v>
      </c>
      <c r="P117" s="102" t="s">
        <v>856</v>
      </c>
    </row>
    <row r="118" spans="1:16" x14ac:dyDescent="0.2">
      <c r="A118" s="103" t="s">
        <v>641</v>
      </c>
      <c r="M118" s="101" t="s">
        <v>65</v>
      </c>
      <c r="N118" s="104">
        <v>-0.22049614141659776</v>
      </c>
      <c r="O118" s="104">
        <f>0.055</f>
        <v>5.5E-2</v>
      </c>
      <c r="P118" s="105">
        <f t="shared" ref="P118:P125" si="14">N118*O118</f>
        <v>-1.2127287777912877E-2</v>
      </c>
    </row>
    <row r="119" spans="1:16" x14ac:dyDescent="0.2">
      <c r="A119" s="72" t="s">
        <v>642</v>
      </c>
      <c r="M119" s="101" t="s">
        <v>62</v>
      </c>
      <c r="N119" s="104">
        <v>-0.12922525439068691</v>
      </c>
      <c r="O119" s="104">
        <v>1.6E-2</v>
      </c>
      <c r="P119" s="105">
        <f t="shared" si="14"/>
        <v>-2.0676040702509906E-3</v>
      </c>
    </row>
    <row r="120" spans="1:16" x14ac:dyDescent="0.2">
      <c r="M120" s="101" t="s">
        <v>93</v>
      </c>
      <c r="N120" s="104">
        <v>-5.8963868271770997E-2</v>
      </c>
      <c r="O120" s="104">
        <v>8.2000000000000003E-2</v>
      </c>
      <c r="P120" s="105">
        <f t="shared" si="14"/>
        <v>-4.8350371982852219E-3</v>
      </c>
    </row>
    <row r="121" spans="1:16" x14ac:dyDescent="0.2">
      <c r="A121" s="72" t="s">
        <v>846</v>
      </c>
      <c r="M121" s="101" t="s">
        <v>92</v>
      </c>
      <c r="N121" s="104">
        <v>-0.11207853119946551</v>
      </c>
      <c r="O121" s="104">
        <v>6.8000000000000005E-2</v>
      </c>
      <c r="P121" s="105">
        <f t="shared" si="14"/>
        <v>-7.6213401215636549E-3</v>
      </c>
    </row>
    <row r="122" spans="1:16" x14ac:dyDescent="0.2">
      <c r="A122" s="72" t="s">
        <v>842</v>
      </c>
      <c r="M122" s="101" t="s">
        <v>94</v>
      </c>
      <c r="N122" s="104">
        <v>0</v>
      </c>
      <c r="O122" s="104">
        <v>5.8999999999999997E-2</v>
      </c>
      <c r="P122" s="105">
        <f t="shared" si="14"/>
        <v>0</v>
      </c>
    </row>
    <row r="123" spans="1:16" x14ac:dyDescent="0.2">
      <c r="A123" s="72" t="s">
        <v>843</v>
      </c>
      <c r="M123" s="101" t="s">
        <v>95</v>
      </c>
      <c r="N123" s="104">
        <v>-0.10440286444446785</v>
      </c>
      <c r="O123" s="104">
        <v>0.52500000000000002</v>
      </c>
      <c r="P123" s="105">
        <f t="shared" si="14"/>
        <v>-5.4811503833345626E-2</v>
      </c>
    </row>
    <row r="124" spans="1:16" ht="38.25" x14ac:dyDescent="0.2">
      <c r="A124" s="44" t="s">
        <v>827</v>
      </c>
      <c r="B124" s="39" t="s">
        <v>19</v>
      </c>
      <c r="C124" s="106">
        <v>2.3E-2</v>
      </c>
      <c r="D124" s="106">
        <v>0.11700000000000001</v>
      </c>
      <c r="E124" s="106">
        <f>AVERAGE(C124:D124)</f>
        <v>7.0000000000000007E-2</v>
      </c>
      <c r="F124" s="20"/>
      <c r="G124" s="20"/>
      <c r="M124" s="101" t="s">
        <v>96</v>
      </c>
      <c r="N124" s="104">
        <v>-1.3125880064019931E-2</v>
      </c>
      <c r="O124" s="104">
        <v>0.14899999999999999</v>
      </c>
      <c r="P124" s="105">
        <f t="shared" si="14"/>
        <v>-1.9557561295389697E-3</v>
      </c>
    </row>
    <row r="125" spans="1:16" x14ac:dyDescent="0.2">
      <c r="A125" s="106" t="s">
        <v>828</v>
      </c>
      <c r="B125" s="106" t="s">
        <v>19</v>
      </c>
      <c r="C125" s="106">
        <v>0.79</v>
      </c>
      <c r="D125" s="106">
        <v>0.79</v>
      </c>
      <c r="E125" s="106">
        <v>0.79</v>
      </c>
      <c r="F125" s="107">
        <v>1.0549999999999999</v>
      </c>
      <c r="G125" s="106" t="s">
        <v>841</v>
      </c>
      <c r="H125" s="106"/>
      <c r="I125" s="106"/>
      <c r="J125" s="106"/>
      <c r="M125" s="101" t="s">
        <v>97</v>
      </c>
      <c r="N125" s="104">
        <v>-6.4954210310894708E-3</v>
      </c>
      <c r="O125" s="104">
        <v>0.46</v>
      </c>
      <c r="P125" s="105">
        <f t="shared" si="14"/>
        <v>-2.9878936743011567E-3</v>
      </c>
    </row>
    <row r="126" spans="1:16" x14ac:dyDescent="0.2">
      <c r="A126" s="106" t="s">
        <v>45</v>
      </c>
      <c r="B126" s="106" t="s">
        <v>829</v>
      </c>
      <c r="C126" s="107">
        <v>100</v>
      </c>
      <c r="D126" s="107">
        <v>100</v>
      </c>
      <c r="E126" s="107">
        <v>100</v>
      </c>
      <c r="F126" s="107"/>
      <c r="G126" s="107"/>
      <c r="H126" s="107"/>
      <c r="M126" s="101"/>
      <c r="N126" s="101"/>
      <c r="O126" s="104">
        <f>SUM(O118:O125)</f>
        <v>1.4140000000000001</v>
      </c>
      <c r="P126" s="108">
        <f>SUM(P118:P125)/O126</f>
        <v>-6.1107795477509545E-2</v>
      </c>
    </row>
    <row r="127" spans="1:16" x14ac:dyDescent="0.2">
      <c r="A127" s="106" t="s">
        <v>830</v>
      </c>
      <c r="B127" s="106" t="s">
        <v>831</v>
      </c>
      <c r="C127" s="107">
        <v>1027</v>
      </c>
      <c r="D127" s="107">
        <v>1027</v>
      </c>
      <c r="E127" s="107">
        <v>1027</v>
      </c>
      <c r="F127" s="107"/>
      <c r="G127" s="107"/>
      <c r="H127" s="107"/>
      <c r="I127" s="107"/>
      <c r="J127" s="106"/>
    </row>
    <row r="128" spans="1:16" x14ac:dyDescent="0.2">
      <c r="A128" s="106" t="s">
        <v>832</v>
      </c>
      <c r="B128" s="106" t="s">
        <v>833</v>
      </c>
      <c r="C128" s="107">
        <f>C127*C126/1000000</f>
        <v>0.1027</v>
      </c>
      <c r="D128" s="107">
        <f>D127*D126/1000000</f>
        <v>0.1027</v>
      </c>
      <c r="E128" s="107">
        <f>E127*E126/1000000</f>
        <v>0.1027</v>
      </c>
      <c r="F128" s="107"/>
      <c r="G128" s="107"/>
      <c r="H128" s="107"/>
      <c r="I128" s="107"/>
      <c r="J128" s="106"/>
    </row>
    <row r="129" spans="1:10" x14ac:dyDescent="0.2">
      <c r="A129" s="106" t="s">
        <v>834</v>
      </c>
      <c r="B129" s="106" t="s">
        <v>829</v>
      </c>
      <c r="C129" s="107">
        <f>C126*C124*C125</f>
        <v>1.8169999999999999</v>
      </c>
      <c r="D129" s="107">
        <f>D126*D124*D125</f>
        <v>9.2430000000000021</v>
      </c>
      <c r="E129" s="107">
        <f>E126*E124*E125</f>
        <v>5.5300000000000011</v>
      </c>
      <c r="F129" s="107"/>
      <c r="G129" s="107"/>
      <c r="H129" s="107"/>
      <c r="I129" s="107"/>
      <c r="J129" s="106"/>
    </row>
    <row r="130" spans="1:10" x14ac:dyDescent="0.2">
      <c r="A130" s="106" t="s">
        <v>835</v>
      </c>
      <c r="B130" s="106" t="s">
        <v>836</v>
      </c>
      <c r="C130" s="107">
        <v>4.4699999999999997E-2</v>
      </c>
      <c r="D130" s="107">
        <v>4.4699999999999997E-2</v>
      </c>
      <c r="E130" s="107">
        <v>4.4699999999999997E-2</v>
      </c>
      <c r="F130" s="107"/>
      <c r="G130" s="107"/>
      <c r="H130" s="107"/>
      <c r="I130" s="107"/>
      <c r="J130" s="106"/>
    </row>
    <row r="131" spans="1:10" x14ac:dyDescent="0.2">
      <c r="A131" s="106" t="s">
        <v>837</v>
      </c>
      <c r="B131" s="106" t="s">
        <v>838</v>
      </c>
      <c r="C131" s="109">
        <f>C129*C130</f>
        <v>8.1219899999999998E-2</v>
      </c>
      <c r="D131" s="109">
        <f>D129*D130</f>
        <v>0.41316210000000009</v>
      </c>
      <c r="E131" s="109">
        <f>E129*E130</f>
        <v>0.24719100000000002</v>
      </c>
      <c r="F131" s="107"/>
      <c r="G131" s="107"/>
      <c r="H131" s="107"/>
      <c r="I131" s="107"/>
      <c r="J131" s="106"/>
    </row>
    <row r="132" spans="1:10" x14ac:dyDescent="0.2">
      <c r="A132" s="106" t="s">
        <v>839</v>
      </c>
      <c r="B132" s="106" t="s">
        <v>840</v>
      </c>
      <c r="C132" s="109">
        <f>C131/C128</f>
        <v>0.79084615384615387</v>
      </c>
      <c r="D132" s="107">
        <f>D131/D128</f>
        <v>4.0230000000000006</v>
      </c>
      <c r="E132" s="109">
        <f>E131/E128</f>
        <v>2.4069230769230772</v>
      </c>
      <c r="F132" s="107"/>
      <c r="G132" s="107"/>
      <c r="H132" s="107"/>
      <c r="I132" s="107"/>
      <c r="J132" s="106"/>
    </row>
    <row r="133" spans="1:10" x14ac:dyDescent="0.2">
      <c r="B133" s="72" t="s">
        <v>844</v>
      </c>
      <c r="C133" s="110">
        <f>C132*453/1000/1.055</f>
        <v>0.3395765949690121</v>
      </c>
      <c r="D133" s="110">
        <f>D132*453/1000/1.055</f>
        <v>1.7274113744075832</v>
      </c>
      <c r="E133" s="110">
        <f>AVERAGE(C133:D133)</f>
        <v>1.0334939846882976</v>
      </c>
    </row>
  </sheetData>
  <mergeCells count="6">
    <mergeCell ref="I84:K84"/>
    <mergeCell ref="A8:A11"/>
    <mergeCell ref="A12:A16"/>
    <mergeCell ref="B25:E25"/>
    <mergeCell ref="C84:E84"/>
    <mergeCell ref="F84:H84"/>
  </mergeCells>
  <pageMargins left="0.7" right="0.7" top="0.75" bottom="0.75" header="0.3" footer="0.3"/>
  <pageSetup orientation="portrait"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2"/>
  <dimension ref="A1:H93"/>
  <sheetViews>
    <sheetView showFormulas="1" workbookViewId="0">
      <selection activeCell="A3" sqref="A1:XFD1048576"/>
    </sheetView>
  </sheetViews>
  <sheetFormatPr defaultRowHeight="12.75" x14ac:dyDescent="0.2"/>
  <cols>
    <col min="1" max="1" width="27.42578125" style="111" customWidth="1"/>
    <col min="2" max="2" width="16.42578125" style="111" customWidth="1"/>
    <col min="3" max="3" width="23.28515625" style="111" customWidth="1"/>
    <col min="4" max="4" width="9.42578125" style="111" customWidth="1"/>
    <col min="5" max="5" width="8.85546875" style="111"/>
    <col min="6" max="6" width="19.5703125" style="111" bestFit="1" customWidth="1"/>
    <col min="7" max="7" width="9.7109375" style="111" bestFit="1" customWidth="1"/>
    <col min="8" max="256" width="8.85546875" style="111"/>
    <col min="257" max="257" width="27.42578125" style="111" customWidth="1"/>
    <col min="258" max="258" width="16.42578125" style="111" customWidth="1"/>
    <col min="259" max="259" width="14.28515625" style="111" customWidth="1"/>
    <col min="260" max="512" width="8.85546875" style="111"/>
    <col min="513" max="513" width="27.42578125" style="111" customWidth="1"/>
    <col min="514" max="514" width="16.42578125" style="111" customWidth="1"/>
    <col min="515" max="515" width="14.28515625" style="111" customWidth="1"/>
    <col min="516" max="768" width="8.85546875" style="111"/>
    <col min="769" max="769" width="27.42578125" style="111" customWidth="1"/>
    <col min="770" max="770" width="16.42578125" style="111" customWidth="1"/>
    <col min="771" max="771" width="14.28515625" style="111" customWidth="1"/>
    <col min="772" max="1024" width="8.85546875" style="111"/>
    <col min="1025" max="1025" width="27.42578125" style="111" customWidth="1"/>
    <col min="1026" max="1026" width="16.42578125" style="111" customWidth="1"/>
    <col min="1027" max="1027" width="14.28515625" style="111" customWidth="1"/>
    <col min="1028" max="1280" width="8.85546875" style="111"/>
    <col min="1281" max="1281" width="27.42578125" style="111" customWidth="1"/>
    <col min="1282" max="1282" width="16.42578125" style="111" customWidth="1"/>
    <col min="1283" max="1283" width="14.28515625" style="111" customWidth="1"/>
    <col min="1284" max="1536" width="8.85546875" style="111"/>
    <col min="1537" max="1537" width="27.42578125" style="111" customWidth="1"/>
    <col min="1538" max="1538" width="16.42578125" style="111" customWidth="1"/>
    <col min="1539" max="1539" width="14.28515625" style="111" customWidth="1"/>
    <col min="1540" max="1792" width="8.85546875" style="111"/>
    <col min="1793" max="1793" width="27.42578125" style="111" customWidth="1"/>
    <col min="1794" max="1794" width="16.42578125" style="111" customWidth="1"/>
    <col min="1795" max="1795" width="14.28515625" style="111" customWidth="1"/>
    <col min="1796" max="2048" width="8.85546875" style="111"/>
    <col min="2049" max="2049" width="27.42578125" style="111" customWidth="1"/>
    <col min="2050" max="2050" width="16.42578125" style="111" customWidth="1"/>
    <col min="2051" max="2051" width="14.28515625" style="111" customWidth="1"/>
    <col min="2052" max="2304" width="8.85546875" style="111"/>
    <col min="2305" max="2305" width="27.42578125" style="111" customWidth="1"/>
    <col min="2306" max="2306" width="16.42578125" style="111" customWidth="1"/>
    <col min="2307" max="2307" width="14.28515625" style="111" customWidth="1"/>
    <col min="2308" max="2560" width="8.85546875" style="111"/>
    <col min="2561" max="2561" width="27.42578125" style="111" customWidth="1"/>
    <col min="2562" max="2562" width="16.42578125" style="111" customWidth="1"/>
    <col min="2563" max="2563" width="14.28515625" style="111" customWidth="1"/>
    <col min="2564" max="2816" width="8.85546875" style="111"/>
    <col min="2817" max="2817" width="27.42578125" style="111" customWidth="1"/>
    <col min="2818" max="2818" width="16.42578125" style="111" customWidth="1"/>
    <col min="2819" max="2819" width="14.28515625" style="111" customWidth="1"/>
    <col min="2820" max="3072" width="8.85546875" style="111"/>
    <col min="3073" max="3073" width="27.42578125" style="111" customWidth="1"/>
    <col min="3074" max="3074" width="16.42578125" style="111" customWidth="1"/>
    <col min="3075" max="3075" width="14.28515625" style="111" customWidth="1"/>
    <col min="3076" max="3328" width="8.85546875" style="111"/>
    <col min="3329" max="3329" width="27.42578125" style="111" customWidth="1"/>
    <col min="3330" max="3330" width="16.42578125" style="111" customWidth="1"/>
    <col min="3331" max="3331" width="14.28515625" style="111" customWidth="1"/>
    <col min="3332" max="3584" width="8.85546875" style="111"/>
    <col min="3585" max="3585" width="27.42578125" style="111" customWidth="1"/>
    <col min="3586" max="3586" width="16.42578125" style="111" customWidth="1"/>
    <col min="3587" max="3587" width="14.28515625" style="111" customWidth="1"/>
    <col min="3588" max="3840" width="8.85546875" style="111"/>
    <col min="3841" max="3841" width="27.42578125" style="111" customWidth="1"/>
    <col min="3842" max="3842" width="16.42578125" style="111" customWidth="1"/>
    <col min="3843" max="3843" width="14.28515625" style="111" customWidth="1"/>
    <col min="3844" max="4096" width="8.85546875" style="111"/>
    <col min="4097" max="4097" width="27.42578125" style="111" customWidth="1"/>
    <col min="4098" max="4098" width="16.42578125" style="111" customWidth="1"/>
    <col min="4099" max="4099" width="14.28515625" style="111" customWidth="1"/>
    <col min="4100" max="4352" width="8.85546875" style="111"/>
    <col min="4353" max="4353" width="27.42578125" style="111" customWidth="1"/>
    <col min="4354" max="4354" width="16.42578125" style="111" customWidth="1"/>
    <col min="4355" max="4355" width="14.28515625" style="111" customWidth="1"/>
    <col min="4356" max="4608" width="8.85546875" style="111"/>
    <col min="4609" max="4609" width="27.42578125" style="111" customWidth="1"/>
    <col min="4610" max="4610" width="16.42578125" style="111" customWidth="1"/>
    <col min="4611" max="4611" width="14.28515625" style="111" customWidth="1"/>
    <col min="4612" max="4864" width="8.85546875" style="111"/>
    <col min="4865" max="4865" width="27.42578125" style="111" customWidth="1"/>
    <col min="4866" max="4866" width="16.42578125" style="111" customWidth="1"/>
    <col min="4867" max="4867" width="14.28515625" style="111" customWidth="1"/>
    <col min="4868" max="5120" width="8.85546875" style="111"/>
    <col min="5121" max="5121" width="27.42578125" style="111" customWidth="1"/>
    <col min="5122" max="5122" width="16.42578125" style="111" customWidth="1"/>
    <col min="5123" max="5123" width="14.28515625" style="111" customWidth="1"/>
    <col min="5124" max="5376" width="8.85546875" style="111"/>
    <col min="5377" max="5377" width="27.42578125" style="111" customWidth="1"/>
    <col min="5378" max="5378" width="16.42578125" style="111" customWidth="1"/>
    <col min="5379" max="5379" width="14.28515625" style="111" customWidth="1"/>
    <col min="5380" max="5632" width="8.85546875" style="111"/>
    <col min="5633" max="5633" width="27.42578125" style="111" customWidth="1"/>
    <col min="5634" max="5634" width="16.42578125" style="111" customWidth="1"/>
    <col min="5635" max="5635" width="14.28515625" style="111" customWidth="1"/>
    <col min="5636" max="5888" width="8.85546875" style="111"/>
    <col min="5889" max="5889" width="27.42578125" style="111" customWidth="1"/>
    <col min="5890" max="5890" width="16.42578125" style="111" customWidth="1"/>
    <col min="5891" max="5891" width="14.28515625" style="111" customWidth="1"/>
    <col min="5892" max="6144" width="8.85546875" style="111"/>
    <col min="6145" max="6145" width="27.42578125" style="111" customWidth="1"/>
    <col min="6146" max="6146" width="16.42578125" style="111" customWidth="1"/>
    <col min="6147" max="6147" width="14.28515625" style="111" customWidth="1"/>
    <col min="6148" max="6400" width="8.85546875" style="111"/>
    <col min="6401" max="6401" width="27.42578125" style="111" customWidth="1"/>
    <col min="6402" max="6402" width="16.42578125" style="111" customWidth="1"/>
    <col min="6403" max="6403" width="14.28515625" style="111" customWidth="1"/>
    <col min="6404" max="6656" width="8.85546875" style="111"/>
    <col min="6657" max="6657" width="27.42578125" style="111" customWidth="1"/>
    <col min="6658" max="6658" width="16.42578125" style="111" customWidth="1"/>
    <col min="6659" max="6659" width="14.28515625" style="111" customWidth="1"/>
    <col min="6660" max="6912" width="8.85546875" style="111"/>
    <col min="6913" max="6913" width="27.42578125" style="111" customWidth="1"/>
    <col min="6914" max="6914" width="16.42578125" style="111" customWidth="1"/>
    <col min="6915" max="6915" width="14.28515625" style="111" customWidth="1"/>
    <col min="6916" max="7168" width="8.85546875" style="111"/>
    <col min="7169" max="7169" width="27.42578125" style="111" customWidth="1"/>
    <col min="7170" max="7170" width="16.42578125" style="111" customWidth="1"/>
    <col min="7171" max="7171" width="14.28515625" style="111" customWidth="1"/>
    <col min="7172" max="7424" width="8.85546875" style="111"/>
    <col min="7425" max="7425" width="27.42578125" style="111" customWidth="1"/>
    <col min="7426" max="7426" width="16.42578125" style="111" customWidth="1"/>
    <col min="7427" max="7427" width="14.28515625" style="111" customWidth="1"/>
    <col min="7428" max="7680" width="8.85546875" style="111"/>
    <col min="7681" max="7681" width="27.42578125" style="111" customWidth="1"/>
    <col min="7682" max="7682" width="16.42578125" style="111" customWidth="1"/>
    <col min="7683" max="7683" width="14.28515625" style="111" customWidth="1"/>
    <col min="7684" max="7936" width="8.85546875" style="111"/>
    <col min="7937" max="7937" width="27.42578125" style="111" customWidth="1"/>
    <col min="7938" max="7938" width="16.42578125" style="111" customWidth="1"/>
    <col min="7939" max="7939" width="14.28515625" style="111" customWidth="1"/>
    <col min="7940" max="8192" width="8.85546875" style="111"/>
    <col min="8193" max="8193" width="27.42578125" style="111" customWidth="1"/>
    <col min="8194" max="8194" width="16.42578125" style="111" customWidth="1"/>
    <col min="8195" max="8195" width="14.28515625" style="111" customWidth="1"/>
    <col min="8196" max="8448" width="8.85546875" style="111"/>
    <col min="8449" max="8449" width="27.42578125" style="111" customWidth="1"/>
    <col min="8450" max="8450" width="16.42578125" style="111" customWidth="1"/>
    <col min="8451" max="8451" width="14.28515625" style="111" customWidth="1"/>
    <col min="8452" max="8704" width="8.85546875" style="111"/>
    <col min="8705" max="8705" width="27.42578125" style="111" customWidth="1"/>
    <col min="8706" max="8706" width="16.42578125" style="111" customWidth="1"/>
    <col min="8707" max="8707" width="14.28515625" style="111" customWidth="1"/>
    <col min="8708" max="8960" width="8.85546875" style="111"/>
    <col min="8961" max="8961" width="27.42578125" style="111" customWidth="1"/>
    <col min="8962" max="8962" width="16.42578125" style="111" customWidth="1"/>
    <col min="8963" max="8963" width="14.28515625" style="111" customWidth="1"/>
    <col min="8964" max="9216" width="8.85546875" style="111"/>
    <col min="9217" max="9217" width="27.42578125" style="111" customWidth="1"/>
    <col min="9218" max="9218" width="16.42578125" style="111" customWidth="1"/>
    <col min="9219" max="9219" width="14.28515625" style="111" customWidth="1"/>
    <col min="9220" max="9472" width="8.85546875" style="111"/>
    <col min="9473" max="9473" width="27.42578125" style="111" customWidth="1"/>
    <col min="9474" max="9474" width="16.42578125" style="111" customWidth="1"/>
    <col min="9475" max="9475" width="14.28515625" style="111" customWidth="1"/>
    <col min="9476" max="9728" width="8.85546875" style="111"/>
    <col min="9729" max="9729" width="27.42578125" style="111" customWidth="1"/>
    <col min="9730" max="9730" width="16.42578125" style="111" customWidth="1"/>
    <col min="9731" max="9731" width="14.28515625" style="111" customWidth="1"/>
    <col min="9732" max="9984" width="8.85546875" style="111"/>
    <col min="9985" max="9985" width="27.42578125" style="111" customWidth="1"/>
    <col min="9986" max="9986" width="16.42578125" style="111" customWidth="1"/>
    <col min="9987" max="9987" width="14.28515625" style="111" customWidth="1"/>
    <col min="9988" max="10240" width="8.85546875" style="111"/>
    <col min="10241" max="10241" width="27.42578125" style="111" customWidth="1"/>
    <col min="10242" max="10242" width="16.42578125" style="111" customWidth="1"/>
    <col min="10243" max="10243" width="14.28515625" style="111" customWidth="1"/>
    <col min="10244" max="10496" width="8.85546875" style="111"/>
    <col min="10497" max="10497" width="27.42578125" style="111" customWidth="1"/>
    <col min="10498" max="10498" width="16.42578125" style="111" customWidth="1"/>
    <col min="10499" max="10499" width="14.28515625" style="111" customWidth="1"/>
    <col min="10500" max="10752" width="8.85546875" style="111"/>
    <col min="10753" max="10753" width="27.42578125" style="111" customWidth="1"/>
    <col min="10754" max="10754" width="16.42578125" style="111" customWidth="1"/>
    <col min="10755" max="10755" width="14.28515625" style="111" customWidth="1"/>
    <col min="10756" max="11008" width="8.85546875" style="111"/>
    <col min="11009" max="11009" width="27.42578125" style="111" customWidth="1"/>
    <col min="11010" max="11010" width="16.42578125" style="111" customWidth="1"/>
    <col min="11011" max="11011" width="14.28515625" style="111" customWidth="1"/>
    <col min="11012" max="11264" width="8.85546875" style="111"/>
    <col min="11265" max="11265" width="27.42578125" style="111" customWidth="1"/>
    <col min="11266" max="11266" width="16.42578125" style="111" customWidth="1"/>
    <col min="11267" max="11267" width="14.28515625" style="111" customWidth="1"/>
    <col min="11268" max="11520" width="8.85546875" style="111"/>
    <col min="11521" max="11521" width="27.42578125" style="111" customWidth="1"/>
    <col min="11522" max="11522" width="16.42578125" style="111" customWidth="1"/>
    <col min="11523" max="11523" width="14.28515625" style="111" customWidth="1"/>
    <col min="11524" max="11776" width="8.85546875" style="111"/>
    <col min="11777" max="11777" width="27.42578125" style="111" customWidth="1"/>
    <col min="11778" max="11778" width="16.42578125" style="111" customWidth="1"/>
    <col min="11779" max="11779" width="14.28515625" style="111" customWidth="1"/>
    <col min="11780" max="12032" width="8.85546875" style="111"/>
    <col min="12033" max="12033" width="27.42578125" style="111" customWidth="1"/>
    <col min="12034" max="12034" width="16.42578125" style="111" customWidth="1"/>
    <col min="12035" max="12035" width="14.28515625" style="111" customWidth="1"/>
    <col min="12036" max="12288" width="8.85546875" style="111"/>
    <col min="12289" max="12289" width="27.42578125" style="111" customWidth="1"/>
    <col min="12290" max="12290" width="16.42578125" style="111" customWidth="1"/>
    <col min="12291" max="12291" width="14.28515625" style="111" customWidth="1"/>
    <col min="12292" max="12544" width="8.85546875" style="111"/>
    <col min="12545" max="12545" width="27.42578125" style="111" customWidth="1"/>
    <col min="12546" max="12546" width="16.42578125" style="111" customWidth="1"/>
    <col min="12547" max="12547" width="14.28515625" style="111" customWidth="1"/>
    <col min="12548" max="12800" width="8.85546875" style="111"/>
    <col min="12801" max="12801" width="27.42578125" style="111" customWidth="1"/>
    <col min="12802" max="12802" width="16.42578125" style="111" customWidth="1"/>
    <col min="12803" max="12803" width="14.28515625" style="111" customWidth="1"/>
    <col min="12804" max="13056" width="8.85546875" style="111"/>
    <col min="13057" max="13057" width="27.42578125" style="111" customWidth="1"/>
    <col min="13058" max="13058" width="16.42578125" style="111" customWidth="1"/>
    <col min="13059" max="13059" width="14.28515625" style="111" customWidth="1"/>
    <col min="13060" max="13312" width="8.85546875" style="111"/>
    <col min="13313" max="13313" width="27.42578125" style="111" customWidth="1"/>
    <col min="13314" max="13314" width="16.42578125" style="111" customWidth="1"/>
    <col min="13315" max="13315" width="14.28515625" style="111" customWidth="1"/>
    <col min="13316" max="13568" width="8.85546875" style="111"/>
    <col min="13569" max="13569" width="27.42578125" style="111" customWidth="1"/>
    <col min="13570" max="13570" width="16.42578125" style="111" customWidth="1"/>
    <col min="13571" max="13571" width="14.28515625" style="111" customWidth="1"/>
    <col min="13572" max="13824" width="8.85546875" style="111"/>
    <col min="13825" max="13825" width="27.42578125" style="111" customWidth="1"/>
    <col min="13826" max="13826" width="16.42578125" style="111" customWidth="1"/>
    <col min="13827" max="13827" width="14.28515625" style="111" customWidth="1"/>
    <col min="13828" max="14080" width="8.85546875" style="111"/>
    <col min="14081" max="14081" width="27.42578125" style="111" customWidth="1"/>
    <col min="14082" max="14082" width="16.42578125" style="111" customWidth="1"/>
    <col min="14083" max="14083" width="14.28515625" style="111" customWidth="1"/>
    <col min="14084" max="14336" width="8.85546875" style="111"/>
    <col min="14337" max="14337" width="27.42578125" style="111" customWidth="1"/>
    <col min="14338" max="14338" width="16.42578125" style="111" customWidth="1"/>
    <col min="14339" max="14339" width="14.28515625" style="111" customWidth="1"/>
    <col min="14340" max="14592" width="8.85546875" style="111"/>
    <col min="14593" max="14593" width="27.42578125" style="111" customWidth="1"/>
    <col min="14594" max="14594" width="16.42578125" style="111" customWidth="1"/>
    <col min="14595" max="14595" width="14.28515625" style="111" customWidth="1"/>
    <col min="14596" max="14848" width="8.85546875" style="111"/>
    <col min="14849" max="14849" width="27.42578125" style="111" customWidth="1"/>
    <col min="14850" max="14850" width="16.42578125" style="111" customWidth="1"/>
    <col min="14851" max="14851" width="14.28515625" style="111" customWidth="1"/>
    <col min="14852" max="15104" width="8.85546875" style="111"/>
    <col min="15105" max="15105" width="27.42578125" style="111" customWidth="1"/>
    <col min="15106" max="15106" width="16.42578125" style="111" customWidth="1"/>
    <col min="15107" max="15107" width="14.28515625" style="111" customWidth="1"/>
    <col min="15108" max="15360" width="8.85546875" style="111"/>
    <col min="15361" max="15361" width="27.42578125" style="111" customWidth="1"/>
    <col min="15362" max="15362" width="16.42578125" style="111" customWidth="1"/>
    <col min="15363" max="15363" width="14.28515625" style="111" customWidth="1"/>
    <col min="15364" max="15616" width="8.85546875" style="111"/>
    <col min="15617" max="15617" width="27.42578125" style="111" customWidth="1"/>
    <col min="15618" max="15618" width="16.42578125" style="111" customWidth="1"/>
    <col min="15619" max="15619" width="14.28515625" style="111" customWidth="1"/>
    <col min="15620" max="15872" width="8.85546875" style="111"/>
    <col min="15873" max="15873" width="27.42578125" style="111" customWidth="1"/>
    <col min="15874" max="15874" width="16.42578125" style="111" customWidth="1"/>
    <col min="15875" max="15875" width="14.28515625" style="111" customWidth="1"/>
    <col min="15876" max="16128" width="8.85546875" style="111"/>
    <col min="16129" max="16129" width="27.42578125" style="111" customWidth="1"/>
    <col min="16130" max="16130" width="16.42578125" style="111" customWidth="1"/>
    <col min="16131" max="16131" width="14.28515625" style="111" customWidth="1"/>
    <col min="16132" max="16384" width="8.85546875" style="111"/>
  </cols>
  <sheetData>
    <row r="1" spans="1:4" x14ac:dyDescent="0.2">
      <c r="A1" s="111" t="s">
        <v>493</v>
      </c>
      <c r="B1" s="111" t="s">
        <v>494</v>
      </c>
      <c r="C1" s="111" t="s">
        <v>495</v>
      </c>
      <c r="D1" s="111" t="s">
        <v>496</v>
      </c>
    </row>
    <row r="2" spans="1:4" x14ac:dyDescent="0.2">
      <c r="A2" s="111">
        <v>1</v>
      </c>
      <c r="B2" s="111">
        <f>SUMIFS($F$40:$F$93,$H$40:$H$93,$A$2:$A$10)</f>
        <v>0</v>
      </c>
      <c r="C2" s="111">
        <f>SUMIFS($G$40:$G$93,$H$40:$H$93,$A$2:$A$10)</f>
        <v>0</v>
      </c>
      <c r="D2" s="112">
        <v>0</v>
      </c>
    </row>
    <row r="3" spans="1:4" x14ac:dyDescent="0.2">
      <c r="A3" s="111">
        <v>2</v>
      </c>
      <c r="B3" s="111">
        <f>SUMIFS($F$40:$F$93,$H$40:$H$93,$A$2:$A$10)</f>
        <v>1341716</v>
      </c>
      <c r="C3" s="111">
        <f t="shared" ref="C3:C10" si="0">SUMIFS($G$40:$G$93,$H$40:$H$93,$A$2:$A$10)</f>
        <v>1068288</v>
      </c>
      <c r="D3" s="112">
        <f>C3/B3</f>
        <v>0.79621022630720661</v>
      </c>
    </row>
    <row r="4" spans="1:4" x14ac:dyDescent="0.2">
      <c r="A4" s="111">
        <v>3</v>
      </c>
      <c r="B4" s="111">
        <f t="shared" ref="B4:B10" si="1">SUMIFS($F$40:$F$93,$H$40:$H$93,$A$2:$A$10)</f>
        <v>233880</v>
      </c>
      <c r="C4" s="111">
        <f t="shared" si="0"/>
        <v>116276</v>
      </c>
      <c r="D4" s="112">
        <f t="shared" ref="D4:D10" si="2">C4/B4</f>
        <v>0.49716093723276894</v>
      </c>
    </row>
    <row r="5" spans="1:4" x14ac:dyDescent="0.2">
      <c r="A5" s="111">
        <v>4</v>
      </c>
      <c r="B5" s="111">
        <f t="shared" si="1"/>
        <v>481406</v>
      </c>
      <c r="C5" s="111">
        <f t="shared" si="0"/>
        <v>114998</v>
      </c>
      <c r="D5" s="112">
        <f t="shared" si="2"/>
        <v>0.23887944894745808</v>
      </c>
    </row>
    <row r="6" spans="1:4" x14ac:dyDescent="0.2">
      <c r="A6" s="111">
        <v>5</v>
      </c>
      <c r="B6" s="111">
        <f t="shared" si="1"/>
        <v>562382</v>
      </c>
      <c r="C6" s="111">
        <f t="shared" si="0"/>
        <v>245513</v>
      </c>
      <c r="D6" s="112">
        <f t="shared" si="2"/>
        <v>0.43655913596096602</v>
      </c>
    </row>
    <row r="7" spans="1:4" x14ac:dyDescent="0.2">
      <c r="A7" s="111">
        <v>6</v>
      </c>
      <c r="B7" s="111">
        <f t="shared" si="1"/>
        <v>572445</v>
      </c>
      <c r="C7" s="111">
        <f t="shared" si="0"/>
        <v>0</v>
      </c>
      <c r="D7" s="112">
        <f t="shared" si="2"/>
        <v>0</v>
      </c>
    </row>
    <row r="8" spans="1:4" x14ac:dyDescent="0.2">
      <c r="A8" s="111">
        <v>7</v>
      </c>
      <c r="B8" s="111">
        <f t="shared" si="1"/>
        <v>15990494</v>
      </c>
      <c r="C8" s="111">
        <f t="shared" si="0"/>
        <v>6539145</v>
      </c>
      <c r="D8" s="112">
        <f t="shared" si="2"/>
        <v>0.40893952369451503</v>
      </c>
    </row>
    <row r="9" spans="1:4" x14ac:dyDescent="0.2">
      <c r="A9" s="111">
        <v>8</v>
      </c>
      <c r="B9" s="111">
        <f t="shared" si="1"/>
        <v>5853305</v>
      </c>
      <c r="C9" s="111">
        <f t="shared" si="0"/>
        <v>322415</v>
      </c>
      <c r="D9" s="112">
        <f t="shared" si="2"/>
        <v>5.5082555923533796E-2</v>
      </c>
    </row>
    <row r="10" spans="1:4" x14ac:dyDescent="0.2">
      <c r="A10" s="111">
        <v>9</v>
      </c>
      <c r="B10" s="111">
        <f t="shared" si="1"/>
        <v>3443396</v>
      </c>
      <c r="C10" s="111">
        <f t="shared" si="0"/>
        <v>94349</v>
      </c>
      <c r="D10" s="112">
        <f t="shared" si="2"/>
        <v>2.7399985363286708E-2</v>
      </c>
    </row>
    <row r="12" spans="1:4" x14ac:dyDescent="0.2">
      <c r="A12" s="113" t="s">
        <v>497</v>
      </c>
    </row>
    <row r="13" spans="1:4" x14ac:dyDescent="0.2">
      <c r="A13" s="114" t="s">
        <v>498</v>
      </c>
    </row>
    <row r="15" spans="1:4" x14ac:dyDescent="0.2">
      <c r="A15" s="111" t="s">
        <v>286</v>
      </c>
      <c r="B15" s="111" t="s">
        <v>499</v>
      </c>
    </row>
    <row r="16" spans="1:4" x14ac:dyDescent="0.2">
      <c r="A16" s="111" t="s">
        <v>287</v>
      </c>
      <c r="B16" s="111" t="s">
        <v>500</v>
      </c>
    </row>
    <row r="18" spans="1:6" x14ac:dyDescent="0.2">
      <c r="A18" s="111" t="s">
        <v>288</v>
      </c>
      <c r="B18" s="115" t="s">
        <v>501</v>
      </c>
    </row>
    <row r="19" spans="1:6" x14ac:dyDescent="0.2">
      <c r="A19" s="111" t="s">
        <v>289</v>
      </c>
      <c r="B19" s="116" t="s">
        <v>502</v>
      </c>
    </row>
    <row r="20" spans="1:6" x14ac:dyDescent="0.2">
      <c r="A20" s="111" t="s">
        <v>290</v>
      </c>
      <c r="B20" s="116" t="s">
        <v>291</v>
      </c>
    </row>
    <row r="21" spans="1:6" x14ac:dyDescent="0.2">
      <c r="A21" s="111" t="s">
        <v>292</v>
      </c>
      <c r="B21" s="116" t="s">
        <v>293</v>
      </c>
    </row>
    <row r="22" spans="1:6" x14ac:dyDescent="0.2">
      <c r="B22" s="111" t="s">
        <v>294</v>
      </c>
      <c r="F22" s="117" t="s">
        <v>503</v>
      </c>
    </row>
    <row r="24" spans="1:6" x14ac:dyDescent="0.2">
      <c r="A24" s="114" t="s">
        <v>504</v>
      </c>
    </row>
    <row r="26" spans="1:6" x14ac:dyDescent="0.2">
      <c r="A26" s="111" t="s">
        <v>286</v>
      </c>
      <c r="B26" s="111" t="s">
        <v>499</v>
      </c>
    </row>
    <row r="27" spans="1:6" x14ac:dyDescent="0.2">
      <c r="A27" s="111" t="s">
        <v>287</v>
      </c>
      <c r="B27" s="111" t="s">
        <v>500</v>
      </c>
    </row>
    <row r="29" spans="1:6" x14ac:dyDescent="0.2">
      <c r="A29" s="111" t="s">
        <v>288</v>
      </c>
      <c r="B29" s="115" t="s">
        <v>505</v>
      </c>
    </row>
    <row r="30" spans="1:6" x14ac:dyDescent="0.2">
      <c r="A30" s="111" t="s">
        <v>289</v>
      </c>
      <c r="B30" s="116" t="s">
        <v>506</v>
      </c>
    </row>
    <row r="31" spans="1:6" x14ac:dyDescent="0.2">
      <c r="A31" s="111" t="s">
        <v>290</v>
      </c>
      <c r="B31" s="116" t="s">
        <v>291</v>
      </c>
    </row>
    <row r="32" spans="1:6" x14ac:dyDescent="0.2">
      <c r="A32" s="111" t="s">
        <v>292</v>
      </c>
      <c r="B32" s="116" t="s">
        <v>293</v>
      </c>
    </row>
    <row r="33" spans="1:8" x14ac:dyDescent="0.2">
      <c r="B33" s="111" t="s">
        <v>294</v>
      </c>
      <c r="F33" s="117" t="s">
        <v>507</v>
      </c>
    </row>
    <row r="35" spans="1:8" x14ac:dyDescent="0.2">
      <c r="A35" s="118" t="s">
        <v>285</v>
      </c>
      <c r="B35" s="119">
        <v>40724</v>
      </c>
      <c r="C35" s="119"/>
      <c r="D35" s="119">
        <f>B35</f>
        <v>40724</v>
      </c>
      <c r="E35" s="111" t="s">
        <v>508</v>
      </c>
      <c r="F35" s="111" t="s">
        <v>494</v>
      </c>
      <c r="G35" s="111" t="s">
        <v>495</v>
      </c>
      <c r="H35" s="111" t="s">
        <v>509</v>
      </c>
    </row>
    <row r="36" spans="1:8" ht="38.25" x14ac:dyDescent="0.2">
      <c r="A36" s="120" t="s">
        <v>510</v>
      </c>
      <c r="B36" s="111">
        <v>28479026</v>
      </c>
      <c r="C36" s="120" t="s">
        <v>511</v>
      </c>
      <c r="D36" s="111">
        <v>8500983</v>
      </c>
    </row>
    <row r="37" spans="1:8" ht="25.5" x14ac:dyDescent="0.2">
      <c r="A37" s="120" t="s">
        <v>512</v>
      </c>
      <c r="B37" s="111">
        <v>2416644</v>
      </c>
    </row>
    <row r="38" spans="1:8" ht="38.25" x14ac:dyDescent="0.2">
      <c r="A38" s="120" t="s">
        <v>513</v>
      </c>
      <c r="B38" s="111">
        <v>549151</v>
      </c>
    </row>
    <row r="39" spans="1:8" ht="63.75" x14ac:dyDescent="0.2">
      <c r="A39" s="120" t="s">
        <v>514</v>
      </c>
      <c r="B39" s="111">
        <v>1867492</v>
      </c>
      <c r="C39" s="120" t="s">
        <v>515</v>
      </c>
      <c r="D39" s="111">
        <v>0</v>
      </c>
    </row>
    <row r="40" spans="1:8" ht="25.5" x14ac:dyDescent="0.2">
      <c r="A40" s="120" t="s">
        <v>516</v>
      </c>
      <c r="B40" s="111">
        <v>3162922</v>
      </c>
      <c r="E40" s="111" t="s">
        <v>517</v>
      </c>
      <c r="F40" s="111">
        <f>B40</f>
        <v>3162922</v>
      </c>
      <c r="G40" s="111">
        <v>0</v>
      </c>
      <c r="H40" s="111">
        <v>9</v>
      </c>
    </row>
    <row r="41" spans="1:8" ht="25.5" x14ac:dyDescent="0.2">
      <c r="A41" s="120" t="s">
        <v>518</v>
      </c>
      <c r="B41" s="111">
        <v>2798220</v>
      </c>
    </row>
    <row r="42" spans="1:8" ht="38.25" x14ac:dyDescent="0.2">
      <c r="A42" s="120" t="s">
        <v>519</v>
      </c>
      <c r="B42" s="111">
        <v>364702</v>
      </c>
    </row>
    <row r="43" spans="1:8" ht="38.25" x14ac:dyDescent="0.2">
      <c r="A43" s="120" t="s">
        <v>520</v>
      </c>
      <c r="B43" s="111">
        <v>364702</v>
      </c>
    </row>
    <row r="44" spans="1:8" ht="38.25" x14ac:dyDescent="0.2">
      <c r="A44" s="120" t="s">
        <v>521</v>
      </c>
      <c r="B44" s="111">
        <v>1830913</v>
      </c>
      <c r="E44" s="111" t="s">
        <v>522</v>
      </c>
      <c r="F44" s="111">
        <f>B44</f>
        <v>1830913</v>
      </c>
      <c r="G44" s="111">
        <v>0</v>
      </c>
      <c r="H44" s="111">
        <v>7</v>
      </c>
    </row>
    <row r="45" spans="1:8" ht="38.25" x14ac:dyDescent="0.2">
      <c r="A45" s="120" t="s">
        <v>523</v>
      </c>
    </row>
    <row r="46" spans="1:8" ht="38.25" x14ac:dyDescent="0.2">
      <c r="A46" s="120" t="s">
        <v>524</v>
      </c>
    </row>
    <row r="47" spans="1:8" ht="38.25" x14ac:dyDescent="0.2">
      <c r="A47" s="120" t="s">
        <v>525</v>
      </c>
    </row>
    <row r="48" spans="1:8" ht="51" x14ac:dyDescent="0.2">
      <c r="A48" s="120" t="s">
        <v>526</v>
      </c>
      <c r="B48" s="111">
        <v>3040523</v>
      </c>
      <c r="C48" s="120" t="s">
        <v>527</v>
      </c>
      <c r="D48" s="111">
        <v>2088306</v>
      </c>
      <c r="E48" s="111" t="s">
        <v>528</v>
      </c>
      <c r="F48" s="111">
        <f>B48</f>
        <v>3040523</v>
      </c>
      <c r="G48" s="111">
        <f>D48</f>
        <v>2088306</v>
      </c>
      <c r="H48" s="111">
        <v>7</v>
      </c>
    </row>
    <row r="49" spans="1:8" ht="51" x14ac:dyDescent="0.2">
      <c r="A49" s="120" t="s">
        <v>529</v>
      </c>
      <c r="B49" s="111">
        <v>2969297</v>
      </c>
      <c r="C49" s="120" t="s">
        <v>530</v>
      </c>
      <c r="D49" s="111">
        <v>2088306</v>
      </c>
    </row>
    <row r="50" spans="1:8" ht="38.25" x14ac:dyDescent="0.2">
      <c r="A50" s="120" t="s">
        <v>531</v>
      </c>
      <c r="B50" s="111">
        <v>71226</v>
      </c>
    </row>
    <row r="51" spans="1:8" ht="38.25" x14ac:dyDescent="0.2">
      <c r="A51" s="120" t="s">
        <v>532</v>
      </c>
      <c r="B51" s="111">
        <v>71226</v>
      </c>
    </row>
    <row r="52" spans="1:8" ht="51" x14ac:dyDescent="0.2">
      <c r="A52" s="120" t="s">
        <v>533</v>
      </c>
      <c r="B52" s="111">
        <v>1287682</v>
      </c>
      <c r="C52" s="120" t="s">
        <v>534</v>
      </c>
      <c r="D52" s="111">
        <v>93071</v>
      </c>
      <c r="E52" s="111" t="s">
        <v>535</v>
      </c>
      <c r="F52" s="111">
        <f>B52</f>
        <v>1287682</v>
      </c>
      <c r="G52" s="111">
        <f>D52</f>
        <v>93071</v>
      </c>
      <c r="H52" s="111">
        <v>8</v>
      </c>
    </row>
    <row r="53" spans="1:8" ht="51" x14ac:dyDescent="0.2">
      <c r="A53" s="120" t="s">
        <v>536</v>
      </c>
      <c r="B53" s="111">
        <v>1888870</v>
      </c>
      <c r="C53" s="120" t="s">
        <v>537</v>
      </c>
      <c r="D53" s="111">
        <v>449167</v>
      </c>
      <c r="E53" s="111" t="s">
        <v>538</v>
      </c>
      <c r="F53" s="111">
        <f>B53</f>
        <v>1888870</v>
      </c>
      <c r="G53" s="111">
        <f>D53</f>
        <v>449167</v>
      </c>
      <c r="H53" s="111">
        <v>7</v>
      </c>
    </row>
    <row r="54" spans="1:8" ht="51" x14ac:dyDescent="0.2">
      <c r="A54" s="120" t="s">
        <v>539</v>
      </c>
      <c r="B54" s="111">
        <v>7934689</v>
      </c>
      <c r="C54" s="120" t="s">
        <v>540</v>
      </c>
      <c r="D54" s="111">
        <v>3066435</v>
      </c>
      <c r="E54" s="111" t="s">
        <v>522</v>
      </c>
      <c r="F54" s="111">
        <f>B54</f>
        <v>7934689</v>
      </c>
      <c r="G54" s="111">
        <f>D54</f>
        <v>3066435</v>
      </c>
      <c r="H54" s="111">
        <v>7</v>
      </c>
    </row>
    <row r="55" spans="1:8" ht="51" x14ac:dyDescent="0.2">
      <c r="A55" s="120" t="s">
        <v>541</v>
      </c>
      <c r="B55" s="111">
        <v>7910898</v>
      </c>
      <c r="C55" s="120" t="s">
        <v>542</v>
      </c>
      <c r="D55" s="111">
        <v>3066435</v>
      </c>
    </row>
    <row r="56" spans="1:8" ht="51" x14ac:dyDescent="0.2">
      <c r="A56" s="120" t="s">
        <v>543</v>
      </c>
      <c r="B56" s="111">
        <v>23791</v>
      </c>
      <c r="C56" s="120" t="s">
        <v>544</v>
      </c>
      <c r="D56" s="111">
        <v>0</v>
      </c>
    </row>
    <row r="57" spans="1:8" ht="38.25" x14ac:dyDescent="0.2">
      <c r="A57" s="120" t="s">
        <v>545</v>
      </c>
      <c r="B57" s="111">
        <v>23791</v>
      </c>
    </row>
    <row r="58" spans="1:8" ht="51" x14ac:dyDescent="0.2">
      <c r="A58" s="120" t="s">
        <v>546</v>
      </c>
      <c r="B58" s="111">
        <v>2375301</v>
      </c>
      <c r="C58" s="120" t="s">
        <v>547</v>
      </c>
      <c r="D58" s="111">
        <v>4755</v>
      </c>
      <c r="E58" s="111" t="s">
        <v>548</v>
      </c>
      <c r="F58" s="111">
        <f>B58</f>
        <v>2375301</v>
      </c>
      <c r="G58" s="111">
        <f>D58</f>
        <v>4755</v>
      </c>
      <c r="H58" s="111">
        <v>8</v>
      </c>
    </row>
    <row r="59" spans="1:8" ht="51" x14ac:dyDescent="0.2">
      <c r="A59" s="120" t="s">
        <v>549</v>
      </c>
      <c r="B59" s="111">
        <v>6958125</v>
      </c>
      <c r="C59" s="120" t="s">
        <v>550</v>
      </c>
      <c r="D59" s="111">
        <v>2799249</v>
      </c>
    </row>
    <row r="60" spans="1:8" ht="51" x14ac:dyDescent="0.2">
      <c r="A60" s="120" t="s">
        <v>551</v>
      </c>
      <c r="B60" s="111">
        <v>218574</v>
      </c>
      <c r="C60" s="120" t="s">
        <v>552</v>
      </c>
      <c r="D60" s="111">
        <v>0</v>
      </c>
      <c r="E60" s="111" t="s">
        <v>553</v>
      </c>
      <c r="F60" s="111">
        <f>B60</f>
        <v>218574</v>
      </c>
      <c r="G60" s="111">
        <f>D60</f>
        <v>0</v>
      </c>
      <c r="H60" s="111">
        <v>7</v>
      </c>
    </row>
    <row r="61" spans="1:8" ht="51" x14ac:dyDescent="0.2">
      <c r="A61" s="120" t="s">
        <v>554</v>
      </c>
      <c r="B61" s="111">
        <v>134305</v>
      </c>
      <c r="C61" s="120" t="s">
        <v>555</v>
      </c>
      <c r="D61" s="111">
        <v>0</v>
      </c>
    </row>
    <row r="62" spans="1:8" ht="51" x14ac:dyDescent="0.2">
      <c r="A62" s="120" t="s">
        <v>556</v>
      </c>
      <c r="B62" s="111">
        <v>84270</v>
      </c>
      <c r="C62" s="120" t="s">
        <v>557</v>
      </c>
      <c r="D62" s="111">
        <v>0</v>
      </c>
    </row>
    <row r="63" spans="1:8" ht="38.25" x14ac:dyDescent="0.2">
      <c r="A63" s="120" t="s">
        <v>558</v>
      </c>
      <c r="B63" s="111">
        <v>84270</v>
      </c>
      <c r="C63" s="120"/>
    </row>
    <row r="64" spans="1:8" ht="51" x14ac:dyDescent="0.2">
      <c r="A64" s="120" t="s">
        <v>559</v>
      </c>
      <c r="B64" s="111">
        <v>168</v>
      </c>
      <c r="C64" s="120" t="s">
        <v>560</v>
      </c>
      <c r="D64" s="111">
        <v>0</v>
      </c>
      <c r="E64" s="111" t="s">
        <v>561</v>
      </c>
      <c r="F64" s="111">
        <f>B64</f>
        <v>168</v>
      </c>
      <c r="G64" s="111">
        <f>D64</f>
        <v>0</v>
      </c>
      <c r="H64" s="111">
        <v>7</v>
      </c>
    </row>
    <row r="65" spans="1:8" ht="51" x14ac:dyDescent="0.2">
      <c r="A65" s="120" t="s">
        <v>562</v>
      </c>
      <c r="B65" s="111">
        <v>1076757</v>
      </c>
      <c r="C65" s="120" t="s">
        <v>563</v>
      </c>
      <c r="D65" s="111">
        <v>935237</v>
      </c>
      <c r="E65" s="111" t="s">
        <v>564</v>
      </c>
      <c r="F65" s="111">
        <f>B65</f>
        <v>1076757</v>
      </c>
      <c r="G65" s="111">
        <f>D65</f>
        <v>935237</v>
      </c>
      <c r="H65" s="111">
        <v>7</v>
      </c>
    </row>
    <row r="66" spans="1:8" ht="51" x14ac:dyDescent="0.2">
      <c r="A66" s="120" t="s">
        <v>565</v>
      </c>
      <c r="B66" s="111">
        <v>279130</v>
      </c>
      <c r="C66" s="120" t="s">
        <v>566</v>
      </c>
      <c r="D66" s="111">
        <v>94349</v>
      </c>
      <c r="E66" s="111" t="s">
        <v>567</v>
      </c>
      <c r="F66" s="111">
        <f>B66</f>
        <v>279130</v>
      </c>
      <c r="G66" s="111">
        <f>D66</f>
        <v>94349</v>
      </c>
      <c r="H66" s="111">
        <v>9</v>
      </c>
    </row>
    <row r="67" spans="1:8" ht="51" x14ac:dyDescent="0.2">
      <c r="A67" s="120" t="s">
        <v>568</v>
      </c>
      <c r="B67" s="111">
        <v>237388</v>
      </c>
      <c r="C67" s="120" t="s">
        <v>569</v>
      </c>
      <c r="D67" s="111">
        <v>94349</v>
      </c>
    </row>
    <row r="68" spans="1:8" ht="38.25" x14ac:dyDescent="0.2">
      <c r="A68" s="120" t="s">
        <v>570</v>
      </c>
      <c r="B68" s="111">
        <v>41742</v>
      </c>
      <c r="C68" s="120"/>
    </row>
    <row r="69" spans="1:8" ht="38.25" x14ac:dyDescent="0.2">
      <c r="A69" s="120" t="s">
        <v>571</v>
      </c>
      <c r="B69" s="111">
        <v>5163</v>
      </c>
      <c r="C69" s="120"/>
    </row>
    <row r="70" spans="1:8" ht="38.25" x14ac:dyDescent="0.2">
      <c r="A70" s="120" t="s">
        <v>572</v>
      </c>
      <c r="B70" s="111">
        <v>36579</v>
      </c>
      <c r="C70" s="120"/>
    </row>
    <row r="71" spans="1:8" ht="51" x14ac:dyDescent="0.2">
      <c r="A71" s="120" t="s">
        <v>573</v>
      </c>
      <c r="B71" s="111">
        <v>1649306</v>
      </c>
      <c r="C71" s="120" t="s">
        <v>574</v>
      </c>
      <c r="D71" s="111">
        <v>211488</v>
      </c>
      <c r="E71" s="111" t="s">
        <v>155</v>
      </c>
      <c r="F71" s="111">
        <f t="shared" ref="F71:F93" si="3">B71</f>
        <v>1649306</v>
      </c>
      <c r="G71" s="111">
        <f t="shared" ref="G71:G93" si="4">D71</f>
        <v>211488</v>
      </c>
      <c r="H71" s="111">
        <v>8</v>
      </c>
    </row>
    <row r="72" spans="1:8" ht="51" x14ac:dyDescent="0.2">
      <c r="A72" s="120" t="s">
        <v>575</v>
      </c>
      <c r="B72" s="111">
        <v>17129</v>
      </c>
      <c r="C72" s="120" t="s">
        <v>576</v>
      </c>
      <c r="D72" s="111">
        <v>0</v>
      </c>
      <c r="E72" s="111" t="s">
        <v>577</v>
      </c>
      <c r="F72" s="111">
        <f t="shared" si="3"/>
        <v>17129</v>
      </c>
      <c r="G72" s="111">
        <f t="shared" si="4"/>
        <v>0</v>
      </c>
      <c r="H72" s="111">
        <v>5</v>
      </c>
    </row>
    <row r="73" spans="1:8" ht="51" x14ac:dyDescent="0.2">
      <c r="A73" s="120" t="s">
        <v>578</v>
      </c>
      <c r="B73" s="111">
        <v>2121</v>
      </c>
      <c r="C73" s="120" t="s">
        <v>579</v>
      </c>
      <c r="D73" s="111">
        <v>0</v>
      </c>
      <c r="E73" s="111" t="s">
        <v>580</v>
      </c>
      <c r="F73" s="111">
        <f t="shared" si="3"/>
        <v>2121</v>
      </c>
      <c r="G73" s="111">
        <f t="shared" si="4"/>
        <v>0</v>
      </c>
      <c r="H73" s="111">
        <v>3</v>
      </c>
    </row>
    <row r="74" spans="1:8" ht="51" x14ac:dyDescent="0.2">
      <c r="A74" s="120" t="s">
        <v>581</v>
      </c>
      <c r="B74" s="111">
        <v>9075</v>
      </c>
      <c r="C74" s="120" t="s">
        <v>582</v>
      </c>
      <c r="D74" s="111">
        <v>0</v>
      </c>
      <c r="E74" s="111" t="s">
        <v>583</v>
      </c>
      <c r="F74" s="111">
        <f t="shared" si="3"/>
        <v>9075</v>
      </c>
      <c r="G74" s="111">
        <f t="shared" si="4"/>
        <v>0</v>
      </c>
      <c r="H74" s="111">
        <v>3</v>
      </c>
    </row>
    <row r="75" spans="1:8" ht="51" x14ac:dyDescent="0.2">
      <c r="A75" s="120" t="s">
        <v>584</v>
      </c>
      <c r="B75" s="111">
        <v>309952</v>
      </c>
      <c r="C75" s="120" t="s">
        <v>585</v>
      </c>
      <c r="D75" s="111">
        <v>0</v>
      </c>
      <c r="E75" s="111" t="s">
        <v>586</v>
      </c>
      <c r="F75" s="111">
        <f t="shared" si="3"/>
        <v>309952</v>
      </c>
      <c r="G75" s="111">
        <f t="shared" si="4"/>
        <v>0</v>
      </c>
      <c r="H75" s="111">
        <v>4</v>
      </c>
    </row>
    <row r="76" spans="1:8" ht="51" x14ac:dyDescent="0.2">
      <c r="A76" s="120" t="s">
        <v>587</v>
      </c>
      <c r="B76" s="111">
        <v>124243</v>
      </c>
      <c r="C76" s="120" t="s">
        <v>588</v>
      </c>
      <c r="D76" s="111">
        <v>0</v>
      </c>
      <c r="E76" s="111" t="s">
        <v>589</v>
      </c>
      <c r="F76" s="111">
        <f t="shared" si="3"/>
        <v>124243</v>
      </c>
      <c r="G76" s="111">
        <f t="shared" si="4"/>
        <v>0</v>
      </c>
      <c r="H76" s="111">
        <v>6</v>
      </c>
    </row>
    <row r="77" spans="1:8" ht="51" x14ac:dyDescent="0.2">
      <c r="A77" s="120" t="s">
        <v>590</v>
      </c>
      <c r="B77" s="111">
        <v>34</v>
      </c>
      <c r="C77" s="120" t="s">
        <v>591</v>
      </c>
      <c r="D77" s="111">
        <v>0</v>
      </c>
      <c r="E77" s="111" t="s">
        <v>592</v>
      </c>
      <c r="F77" s="111">
        <f t="shared" si="3"/>
        <v>34</v>
      </c>
      <c r="G77" s="111">
        <f t="shared" si="4"/>
        <v>0</v>
      </c>
      <c r="H77" s="111">
        <v>5</v>
      </c>
    </row>
    <row r="78" spans="1:8" ht="51" x14ac:dyDescent="0.2">
      <c r="A78" s="120" t="s">
        <v>593</v>
      </c>
      <c r="B78" s="111">
        <v>143826</v>
      </c>
      <c r="C78" s="120" t="s">
        <v>594</v>
      </c>
      <c r="D78" s="111">
        <v>113736</v>
      </c>
      <c r="E78" s="111" t="s">
        <v>595</v>
      </c>
      <c r="F78" s="111">
        <f t="shared" si="3"/>
        <v>143826</v>
      </c>
      <c r="G78" s="111">
        <f t="shared" si="4"/>
        <v>113736</v>
      </c>
      <c r="H78" s="111">
        <v>3</v>
      </c>
    </row>
    <row r="79" spans="1:8" ht="51" x14ac:dyDescent="0.2">
      <c r="A79" s="120" t="s">
        <v>596</v>
      </c>
      <c r="B79" s="111">
        <v>443351</v>
      </c>
      <c r="C79" s="120" t="s">
        <v>597</v>
      </c>
      <c r="D79" s="111">
        <v>0</v>
      </c>
      <c r="E79" s="111" t="s">
        <v>598</v>
      </c>
      <c r="F79" s="111">
        <f t="shared" si="3"/>
        <v>443351</v>
      </c>
      <c r="G79" s="111">
        <f t="shared" si="4"/>
        <v>0</v>
      </c>
      <c r="H79" s="111">
        <v>6</v>
      </c>
    </row>
    <row r="80" spans="1:8" ht="51" x14ac:dyDescent="0.2">
      <c r="A80" s="120" t="s">
        <v>599</v>
      </c>
      <c r="B80" s="111">
        <v>0</v>
      </c>
      <c r="C80" s="120" t="s">
        <v>600</v>
      </c>
      <c r="D80" s="111">
        <v>0</v>
      </c>
      <c r="E80" s="111" t="s">
        <v>601</v>
      </c>
      <c r="F80" s="111">
        <f t="shared" si="3"/>
        <v>0</v>
      </c>
      <c r="G80" s="111">
        <f t="shared" si="4"/>
        <v>0</v>
      </c>
      <c r="H80" s="111">
        <v>4</v>
      </c>
    </row>
    <row r="81" spans="1:8" ht="51" x14ac:dyDescent="0.2">
      <c r="A81" s="120" t="s">
        <v>602</v>
      </c>
      <c r="B81" s="111">
        <v>79506</v>
      </c>
      <c r="C81" s="120" t="s">
        <v>603</v>
      </c>
      <c r="D81" s="111">
        <v>13101</v>
      </c>
      <c r="E81" s="111" t="s">
        <v>604</v>
      </c>
      <c r="F81" s="111">
        <f t="shared" si="3"/>
        <v>79506</v>
      </c>
      <c r="G81" s="111">
        <f t="shared" si="4"/>
        <v>13101</v>
      </c>
      <c r="H81" s="111">
        <v>8</v>
      </c>
    </row>
    <row r="82" spans="1:8" ht="51" x14ac:dyDescent="0.2">
      <c r="A82" s="120" t="s">
        <v>605</v>
      </c>
      <c r="B82" s="111">
        <v>1980</v>
      </c>
      <c r="C82" s="120" t="s">
        <v>606</v>
      </c>
      <c r="D82" s="111">
        <v>0</v>
      </c>
      <c r="E82" s="111" t="s">
        <v>8</v>
      </c>
      <c r="F82" s="111">
        <f t="shared" si="3"/>
        <v>1980</v>
      </c>
      <c r="G82" s="111">
        <f t="shared" si="4"/>
        <v>0</v>
      </c>
      <c r="H82" s="111">
        <v>4</v>
      </c>
    </row>
    <row r="83" spans="1:8" ht="51" x14ac:dyDescent="0.2">
      <c r="A83" s="120" t="s">
        <v>607</v>
      </c>
      <c r="B83" s="111">
        <v>3</v>
      </c>
      <c r="C83" s="120" t="s">
        <v>608</v>
      </c>
      <c r="D83" s="111">
        <v>0</v>
      </c>
      <c r="E83" s="111" t="s">
        <v>609</v>
      </c>
      <c r="F83" s="111">
        <f t="shared" si="3"/>
        <v>3</v>
      </c>
      <c r="G83" s="111">
        <f t="shared" si="4"/>
        <v>0</v>
      </c>
      <c r="H83" s="111">
        <v>8</v>
      </c>
    </row>
    <row r="84" spans="1:8" ht="51" x14ac:dyDescent="0.2">
      <c r="A84" s="120" t="s">
        <v>610</v>
      </c>
      <c r="B84" s="111">
        <v>31124</v>
      </c>
      <c r="C84" s="120" t="s">
        <v>611</v>
      </c>
      <c r="D84" s="111">
        <v>0</v>
      </c>
      <c r="E84" s="111" t="s">
        <v>612</v>
      </c>
      <c r="F84" s="111">
        <f t="shared" si="3"/>
        <v>31124</v>
      </c>
      <c r="G84" s="111">
        <f t="shared" si="4"/>
        <v>0</v>
      </c>
      <c r="H84" s="111">
        <v>2</v>
      </c>
    </row>
    <row r="85" spans="1:8" ht="51" x14ac:dyDescent="0.2">
      <c r="A85" s="120" t="s">
        <v>613</v>
      </c>
      <c r="B85" s="111">
        <v>157025</v>
      </c>
      <c r="C85" s="120" t="s">
        <v>614</v>
      </c>
      <c r="D85" s="111">
        <v>114998</v>
      </c>
      <c r="E85" s="111" t="s">
        <v>615</v>
      </c>
      <c r="F85" s="111">
        <f t="shared" si="3"/>
        <v>157025</v>
      </c>
      <c r="G85" s="111">
        <f t="shared" si="4"/>
        <v>114998</v>
      </c>
      <c r="H85" s="111">
        <v>4</v>
      </c>
    </row>
    <row r="86" spans="1:8" ht="38.25" x14ac:dyDescent="0.2">
      <c r="A86" s="120" t="s">
        <v>616</v>
      </c>
      <c r="B86" s="111">
        <v>78858</v>
      </c>
      <c r="C86" s="120" t="s">
        <v>617</v>
      </c>
      <c r="D86" s="111">
        <v>2540</v>
      </c>
      <c r="E86" s="111" t="s">
        <v>618</v>
      </c>
      <c r="F86" s="111">
        <f t="shared" si="3"/>
        <v>78858</v>
      </c>
      <c r="G86" s="111">
        <f t="shared" si="4"/>
        <v>2540</v>
      </c>
      <c r="H86" s="111">
        <v>3</v>
      </c>
    </row>
    <row r="87" spans="1:8" ht="51" x14ac:dyDescent="0.2">
      <c r="A87" s="120" t="s">
        <v>619</v>
      </c>
      <c r="B87" s="111">
        <v>1344</v>
      </c>
      <c r="C87" s="120" t="s">
        <v>620</v>
      </c>
      <c r="D87" s="111">
        <v>0</v>
      </c>
      <c r="E87" s="111" t="s">
        <v>621</v>
      </c>
      <c r="F87" s="111">
        <f t="shared" si="3"/>
        <v>1344</v>
      </c>
      <c r="G87" s="111">
        <f t="shared" si="4"/>
        <v>0</v>
      </c>
      <c r="H87" s="111">
        <v>9</v>
      </c>
    </row>
    <row r="88" spans="1:8" ht="51" x14ac:dyDescent="0.2">
      <c r="A88" s="120" t="s">
        <v>622</v>
      </c>
      <c r="B88" s="111">
        <v>1310592</v>
      </c>
      <c r="C88" s="120" t="s">
        <v>623</v>
      </c>
      <c r="D88" s="111">
        <v>1068288</v>
      </c>
      <c r="E88" s="111" t="s">
        <v>624</v>
      </c>
      <c r="F88" s="111">
        <f t="shared" si="3"/>
        <v>1310592</v>
      </c>
      <c r="G88" s="111">
        <f t="shared" si="4"/>
        <v>1068288</v>
      </c>
      <c r="H88" s="111">
        <v>2</v>
      </c>
    </row>
    <row r="89" spans="1:8" ht="51" x14ac:dyDescent="0.2">
      <c r="A89" s="120" t="s">
        <v>625</v>
      </c>
      <c r="B89" s="111">
        <v>12449</v>
      </c>
      <c r="C89" s="120" t="s">
        <v>626</v>
      </c>
      <c r="D89" s="111">
        <v>0</v>
      </c>
      <c r="E89" s="111" t="s">
        <v>627</v>
      </c>
      <c r="F89" s="111">
        <f t="shared" si="3"/>
        <v>12449</v>
      </c>
      <c r="G89" s="111">
        <f t="shared" si="4"/>
        <v>0</v>
      </c>
      <c r="H89" s="111">
        <v>4</v>
      </c>
    </row>
    <row r="90" spans="1:8" ht="51" x14ac:dyDescent="0.2">
      <c r="A90" s="120" t="s">
        <v>628</v>
      </c>
      <c r="B90" s="111">
        <v>4851</v>
      </c>
      <c r="C90" s="120" t="s">
        <v>629</v>
      </c>
      <c r="D90" s="111">
        <v>0</v>
      </c>
      <c r="E90" s="111" t="s">
        <v>630</v>
      </c>
      <c r="F90" s="111">
        <f t="shared" si="3"/>
        <v>4851</v>
      </c>
      <c r="G90" s="111">
        <f t="shared" si="4"/>
        <v>0</v>
      </c>
      <c r="H90" s="111">
        <v>6</v>
      </c>
    </row>
    <row r="91" spans="1:8" ht="38.25" x14ac:dyDescent="0.2">
      <c r="A91" s="120" t="s">
        <v>631</v>
      </c>
      <c r="B91" s="111">
        <v>461507</v>
      </c>
      <c r="C91" s="120" t="s">
        <v>632</v>
      </c>
      <c r="D91" s="111">
        <v>0</v>
      </c>
      <c r="E91" s="111" t="s">
        <v>633</v>
      </c>
      <c r="F91" s="111">
        <f t="shared" si="3"/>
        <v>461507</v>
      </c>
      <c r="G91" s="111">
        <f t="shared" si="4"/>
        <v>0</v>
      </c>
      <c r="H91" s="111">
        <v>8</v>
      </c>
    </row>
    <row r="92" spans="1:8" ht="51" x14ac:dyDescent="0.2">
      <c r="A92" s="120" t="s">
        <v>634</v>
      </c>
      <c r="B92" s="111">
        <v>151094</v>
      </c>
      <c r="C92" s="120" t="s">
        <v>635</v>
      </c>
      <c r="D92" s="111">
        <v>18501</v>
      </c>
      <c r="E92" s="111" t="s">
        <v>636</v>
      </c>
      <c r="F92" s="111">
        <f t="shared" si="3"/>
        <v>151094</v>
      </c>
      <c r="G92" s="111">
        <f t="shared" si="4"/>
        <v>18501</v>
      </c>
      <c r="H92" s="111">
        <v>5</v>
      </c>
    </row>
    <row r="93" spans="1:8" ht="51" x14ac:dyDescent="0.2">
      <c r="A93" s="120" t="s">
        <v>637</v>
      </c>
      <c r="B93" s="111">
        <v>394125</v>
      </c>
      <c r="C93" s="120" t="s">
        <v>638</v>
      </c>
      <c r="D93" s="111">
        <v>227012</v>
      </c>
      <c r="E93" s="111" t="s">
        <v>639</v>
      </c>
      <c r="F93" s="111">
        <f t="shared" si="3"/>
        <v>394125</v>
      </c>
      <c r="G93" s="111">
        <f t="shared" si="4"/>
        <v>227012</v>
      </c>
      <c r="H93" s="111">
        <v>5</v>
      </c>
    </row>
  </sheetData>
  <hyperlinks>
    <hyperlink ref="B19" r:id="rId1" xr:uid="{00000000-0004-0000-2100-000000000000}"/>
    <hyperlink ref="B20" r:id="rId2" display="http://www.eia.gov/" xr:uid="{00000000-0004-0000-2100-000001000000}"/>
    <hyperlink ref="B21" r:id="rId3" display="mailto:infoctr@eia.gov_x0003_ຬ䭁暺" xr:uid="{00000000-0004-0000-2100-000002000000}"/>
    <hyperlink ref="B30" r:id="rId4" xr:uid="{00000000-0004-0000-2100-000003000000}"/>
    <hyperlink ref="B31" r:id="rId5" display="http://www.eia.gov/" xr:uid="{00000000-0004-0000-2100-000004000000}"/>
    <hyperlink ref="B32" r:id="rId6" display="mailto:infoctr@eia.gov_x0003_" xr:uid="{00000000-0004-0000-2100-000005000000}"/>
  </hyperlink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3"/>
  <dimension ref="B1:AE78"/>
  <sheetViews>
    <sheetView tabSelected="1" topLeftCell="A13" zoomScaleNormal="100" workbookViewId="0">
      <selection activeCell="B26" sqref="B26"/>
    </sheetView>
  </sheetViews>
  <sheetFormatPr defaultColWidth="9.140625" defaultRowHeight="12.75" x14ac:dyDescent="0.2"/>
  <cols>
    <col min="1" max="1" width="9.140625" style="20"/>
    <col min="2" max="2" width="17.7109375" style="20" customWidth="1"/>
    <col min="3" max="3" width="13.85546875" style="20" customWidth="1"/>
    <col min="4" max="4" width="12.5703125" style="20" customWidth="1"/>
    <col min="5" max="5" width="9.140625" style="20"/>
    <col min="6" max="6" width="18" style="20" customWidth="1"/>
    <col min="7" max="7" width="9.140625" style="20"/>
    <col min="8" max="8" width="10" style="20" bestFit="1" customWidth="1"/>
    <col min="9" max="9" width="10.5703125" style="20" bestFit="1" customWidth="1"/>
    <col min="10" max="10" width="11.42578125" style="20" bestFit="1" customWidth="1"/>
    <col min="11" max="21" width="9.140625" style="20"/>
    <col min="22" max="22" width="52.140625" style="20" bestFit="1" customWidth="1"/>
    <col min="23" max="27" width="9.140625" style="20"/>
    <col min="28" max="28" width="10" style="20" bestFit="1" customWidth="1"/>
    <col min="29" max="29" width="10.5703125" style="20" bestFit="1" customWidth="1"/>
    <col min="30" max="30" width="10.85546875" style="20" bestFit="1" customWidth="1"/>
    <col min="31" max="16384" width="9.140625" style="20"/>
  </cols>
  <sheetData>
    <row r="1" spans="2:31" x14ac:dyDescent="0.2">
      <c r="B1" s="19" t="s">
        <v>131</v>
      </c>
      <c r="C1" s="121"/>
      <c r="D1" s="121"/>
      <c r="E1" s="121"/>
      <c r="F1" s="121"/>
      <c r="G1" s="121"/>
      <c r="H1" s="121"/>
      <c r="I1" s="121"/>
      <c r="J1" s="121"/>
      <c r="V1" s="19"/>
      <c r="W1" s="121"/>
      <c r="X1" s="121"/>
      <c r="Y1" s="121"/>
      <c r="Z1" s="121"/>
      <c r="AA1" s="121"/>
      <c r="AB1" s="121"/>
      <c r="AC1" s="121"/>
      <c r="AD1" s="121"/>
    </row>
    <row r="2" spans="2:31" x14ac:dyDescent="0.2">
      <c r="B2" s="121"/>
      <c r="C2" s="121"/>
      <c r="D2" s="121"/>
      <c r="E2" s="121"/>
      <c r="F2" s="121"/>
      <c r="G2" s="121"/>
      <c r="H2" s="121"/>
      <c r="I2" s="121"/>
      <c r="J2" s="121"/>
      <c r="V2" s="121"/>
      <c r="W2" s="121"/>
      <c r="X2" s="121"/>
      <c r="Y2" s="121"/>
      <c r="Z2" s="121"/>
      <c r="AA2" s="121"/>
      <c r="AB2" s="121"/>
      <c r="AC2" s="121"/>
      <c r="AD2" s="121"/>
    </row>
    <row r="3" spans="2:31" ht="12" customHeight="1" x14ac:dyDescent="0.2">
      <c r="B3" s="121"/>
      <c r="D3" s="121"/>
      <c r="G3" s="121"/>
      <c r="H3" s="121"/>
      <c r="I3" s="121"/>
      <c r="J3" s="121"/>
      <c r="V3" s="19"/>
      <c r="X3" s="121"/>
      <c r="Y3" s="121"/>
      <c r="Z3" s="121"/>
      <c r="AA3" s="121"/>
      <c r="AB3" s="121"/>
      <c r="AC3" s="121"/>
      <c r="AD3" s="121"/>
    </row>
    <row r="4" spans="2:31" ht="12" customHeight="1" x14ac:dyDescent="0.2">
      <c r="B4" s="122" t="s">
        <v>739</v>
      </c>
      <c r="C4" s="21"/>
      <c r="D4" s="21"/>
      <c r="G4" s="121"/>
      <c r="H4" s="121"/>
      <c r="I4" s="121"/>
      <c r="J4" s="121"/>
      <c r="X4" s="121"/>
      <c r="Y4" s="121"/>
      <c r="Z4" s="121"/>
      <c r="AA4" s="121"/>
      <c r="AB4" s="121"/>
      <c r="AC4" s="121"/>
      <c r="AD4" s="121"/>
    </row>
    <row r="5" spans="2:31" ht="12" customHeight="1" x14ac:dyDescent="0.2">
      <c r="D5" s="27" t="s">
        <v>139</v>
      </c>
      <c r="E5" s="123"/>
      <c r="F5" s="27"/>
      <c r="H5" s="121"/>
      <c r="I5" s="124" t="s">
        <v>132</v>
      </c>
      <c r="J5" s="124">
        <v>1.0550559999999999E-6</v>
      </c>
      <c r="K5" s="20" t="s">
        <v>41</v>
      </c>
      <c r="Y5" s="121"/>
      <c r="Z5" s="121"/>
      <c r="AA5" s="121"/>
      <c r="AB5" s="121"/>
      <c r="AC5" s="124"/>
      <c r="AD5" s="124"/>
    </row>
    <row r="6" spans="2:31" ht="12" customHeight="1" x14ac:dyDescent="0.2">
      <c r="B6" s="125" t="s">
        <v>140</v>
      </c>
      <c r="C6" s="125" t="s">
        <v>295</v>
      </c>
      <c r="D6" s="27">
        <v>1.0219999999999999E-3</v>
      </c>
      <c r="E6" s="126"/>
      <c r="F6" s="27"/>
      <c r="H6" s="121"/>
      <c r="I6" s="121" t="s">
        <v>133</v>
      </c>
      <c r="J6" s="121">
        <v>1055</v>
      </c>
      <c r="K6" s="20" t="s">
        <v>41</v>
      </c>
      <c r="Z6" s="121"/>
      <c r="AA6" s="121"/>
      <c r="AB6" s="121"/>
      <c r="AC6" s="121"/>
      <c r="AD6" s="121"/>
    </row>
    <row r="7" spans="2:31" ht="12" customHeight="1" x14ac:dyDescent="0.2">
      <c r="C7" s="20" t="s">
        <v>740</v>
      </c>
      <c r="D7" s="27">
        <v>1.0250000000000001E-3</v>
      </c>
      <c r="E7" s="123"/>
      <c r="H7" s="121"/>
      <c r="I7" s="121" t="s">
        <v>134</v>
      </c>
      <c r="J7" s="121">
        <v>3412</v>
      </c>
      <c r="K7" s="121" t="s">
        <v>135</v>
      </c>
      <c r="W7" s="121"/>
      <c r="X7" s="121"/>
      <c r="Y7" s="127"/>
      <c r="Z7" s="121"/>
      <c r="AA7" s="121"/>
      <c r="AB7" s="121"/>
      <c r="AC7" s="121"/>
      <c r="AD7" s="121"/>
      <c r="AE7" s="121"/>
    </row>
    <row r="8" spans="2:31" ht="12" customHeight="1" x14ac:dyDescent="0.2">
      <c r="D8" s="27"/>
      <c r="E8" s="123"/>
      <c r="H8" s="121"/>
      <c r="J8" s="121"/>
      <c r="K8" s="121"/>
      <c r="W8" s="121"/>
      <c r="X8" s="121"/>
      <c r="Y8" s="127"/>
      <c r="Z8" s="121"/>
      <c r="AA8" s="121"/>
      <c r="AB8" s="121"/>
      <c r="AC8" s="121"/>
      <c r="AD8" s="121"/>
      <c r="AE8" s="121"/>
    </row>
    <row r="9" spans="2:31" ht="12" customHeight="1" x14ac:dyDescent="0.2">
      <c r="D9" s="121"/>
      <c r="G9" s="121"/>
      <c r="H9" s="121"/>
      <c r="I9" s="121"/>
      <c r="J9" s="121"/>
      <c r="V9" s="121"/>
      <c r="W9" s="121"/>
      <c r="X9" s="127"/>
      <c r="Y9" s="121"/>
      <c r="Z9" s="121"/>
      <c r="AA9" s="121"/>
      <c r="AB9" s="121"/>
      <c r="AC9" s="121"/>
      <c r="AD9" s="121"/>
    </row>
    <row r="10" spans="2:31" ht="12" customHeight="1" x14ac:dyDescent="0.2">
      <c r="B10" s="128" t="s">
        <v>136</v>
      </c>
      <c r="C10" s="129"/>
      <c r="D10" s="129"/>
      <c r="E10" s="130"/>
      <c r="F10" s="130"/>
      <c r="G10" s="130"/>
      <c r="P10" s="121"/>
      <c r="Q10" s="121"/>
      <c r="R10" s="127"/>
      <c r="S10" s="121"/>
      <c r="T10" s="121"/>
      <c r="U10" s="121"/>
      <c r="V10" s="128"/>
      <c r="W10" s="129"/>
      <c r="X10" s="129"/>
      <c r="Y10" s="130"/>
      <c r="Z10" s="130"/>
      <c r="AA10" s="130"/>
    </row>
    <row r="11" spans="2:31" ht="12" customHeight="1" x14ac:dyDescent="0.2">
      <c r="B11" s="129" t="s">
        <v>678</v>
      </c>
      <c r="C11" s="129"/>
      <c r="D11" s="129"/>
      <c r="E11" s="130"/>
      <c r="F11" s="130"/>
      <c r="G11" s="130"/>
      <c r="P11" s="121"/>
      <c r="Q11" s="121"/>
      <c r="R11" s="127"/>
      <c r="S11" s="121"/>
      <c r="T11" s="121"/>
      <c r="U11" s="121"/>
      <c r="V11" s="129"/>
      <c r="W11" s="129"/>
      <c r="X11" s="129"/>
      <c r="Y11" s="130"/>
      <c r="Z11" s="130"/>
      <c r="AA11" s="130"/>
    </row>
    <row r="12" spans="2:31" ht="12" customHeight="1" x14ac:dyDescent="0.2">
      <c r="B12" s="129" t="s">
        <v>251</v>
      </c>
      <c r="C12" s="129"/>
      <c r="D12" s="129"/>
      <c r="E12" s="130"/>
      <c r="F12" s="130"/>
      <c r="G12" s="130"/>
      <c r="P12" s="121"/>
      <c r="Q12" s="121"/>
      <c r="R12" s="127"/>
      <c r="S12" s="121"/>
      <c r="T12" s="121"/>
      <c r="U12" s="121"/>
      <c r="V12" s="129"/>
      <c r="W12" s="129"/>
      <c r="X12" s="129"/>
      <c r="Y12" s="130"/>
      <c r="Z12" s="130"/>
      <c r="AA12" s="130"/>
    </row>
    <row r="13" spans="2:31" ht="12" customHeight="1" x14ac:dyDescent="0.2">
      <c r="B13" s="23" t="s">
        <v>252</v>
      </c>
      <c r="C13" s="129"/>
      <c r="D13" s="129"/>
      <c r="E13" s="130"/>
      <c r="F13" s="130"/>
      <c r="G13" s="130"/>
      <c r="I13" s="131"/>
      <c r="J13" s="131"/>
      <c r="K13" s="131"/>
      <c r="P13" s="121"/>
      <c r="Q13" s="121"/>
      <c r="R13" s="127"/>
      <c r="S13" s="121"/>
      <c r="T13" s="121"/>
      <c r="U13" s="121"/>
      <c r="V13" s="23"/>
      <c r="W13" s="129"/>
      <c r="X13" s="129"/>
      <c r="Y13" s="130"/>
      <c r="Z13" s="130"/>
      <c r="AA13" s="130"/>
    </row>
    <row r="14" spans="2:31" ht="12" customHeight="1" x14ac:dyDescent="0.2">
      <c r="B14" s="20" t="s">
        <v>677</v>
      </c>
      <c r="C14" s="129"/>
      <c r="D14" s="129"/>
      <c r="E14" s="130"/>
      <c r="F14" s="130"/>
      <c r="G14" s="130"/>
      <c r="I14" s="132"/>
      <c r="J14" s="132"/>
      <c r="K14" s="132"/>
      <c r="P14" s="121"/>
      <c r="Q14" s="121"/>
      <c r="R14" s="127"/>
      <c r="S14" s="121"/>
      <c r="T14" s="121"/>
      <c r="U14" s="121"/>
      <c r="W14" s="129"/>
      <c r="X14" s="129"/>
      <c r="Y14" s="130"/>
      <c r="Z14" s="130"/>
      <c r="AA14" s="130"/>
    </row>
    <row r="15" spans="2:31" ht="12" customHeight="1" x14ac:dyDescent="0.2">
      <c r="B15" s="129" t="s">
        <v>137</v>
      </c>
      <c r="C15" s="129" t="s">
        <v>138</v>
      </c>
      <c r="D15" s="129" t="s">
        <v>679</v>
      </c>
      <c r="E15" s="130"/>
      <c r="F15" s="130"/>
      <c r="G15" s="130"/>
      <c r="I15" s="132"/>
      <c r="J15" s="132"/>
      <c r="K15" s="132"/>
      <c r="P15" s="121"/>
      <c r="Q15" s="121"/>
      <c r="R15" s="127"/>
      <c r="S15" s="121"/>
      <c r="T15" s="121"/>
      <c r="U15" s="121"/>
      <c r="V15" s="129"/>
      <c r="W15" s="129"/>
      <c r="X15" s="129"/>
      <c r="Y15" s="130"/>
      <c r="Z15" s="130"/>
      <c r="AA15" s="130"/>
    </row>
    <row r="16" spans="2:31" ht="12" customHeight="1" x14ac:dyDescent="0.2">
      <c r="B16" s="27" t="s">
        <v>657</v>
      </c>
      <c r="C16" s="27">
        <v>53.622999999999998</v>
      </c>
      <c r="D16" s="133">
        <f>$C$38/C16</f>
        <v>1.7155138653189863</v>
      </c>
      <c r="E16" s="130"/>
      <c r="F16" s="130"/>
      <c r="G16" s="130"/>
      <c r="I16" s="132"/>
      <c r="J16" s="132"/>
      <c r="K16" s="132"/>
      <c r="P16" s="121"/>
      <c r="Q16" s="121"/>
      <c r="R16" s="127"/>
      <c r="S16" s="121"/>
      <c r="T16" s="121"/>
      <c r="U16" s="121"/>
      <c r="X16" s="133"/>
      <c r="Y16" s="130"/>
      <c r="Z16" s="130"/>
      <c r="AA16" s="130"/>
    </row>
    <row r="17" spans="2:27" ht="12" customHeight="1" x14ac:dyDescent="0.2">
      <c r="B17" s="27" t="s">
        <v>658</v>
      </c>
      <c r="C17" s="27">
        <v>55.524999999999999</v>
      </c>
      <c r="D17" s="133">
        <f t="shared" ref="D17:D45" si="0">$C$38/C17</f>
        <v>1.6567492120666367</v>
      </c>
      <c r="E17" s="130"/>
      <c r="F17" s="130"/>
      <c r="G17" s="130"/>
      <c r="I17" s="132"/>
      <c r="J17" s="132"/>
      <c r="K17" s="132"/>
      <c r="P17" s="121"/>
      <c r="Q17" s="121"/>
      <c r="R17" s="127"/>
      <c r="S17" s="121"/>
      <c r="T17" s="121"/>
      <c r="U17" s="121"/>
      <c r="X17" s="133"/>
      <c r="Y17" s="130"/>
      <c r="Z17" s="130"/>
      <c r="AA17" s="130"/>
    </row>
    <row r="18" spans="2:27" ht="12" customHeight="1" x14ac:dyDescent="0.2">
      <c r="B18" s="27" t="s">
        <v>659</v>
      </c>
      <c r="C18" s="27">
        <v>57.302</v>
      </c>
      <c r="D18" s="133">
        <f t="shared" si="0"/>
        <v>1.6053715402603748</v>
      </c>
      <c r="E18" s="130"/>
      <c r="F18" s="130"/>
      <c r="G18" s="130"/>
      <c r="I18" s="132"/>
      <c r="J18" s="132"/>
      <c r="K18" s="132"/>
      <c r="P18" s="121"/>
      <c r="Q18" s="121"/>
      <c r="R18" s="127"/>
      <c r="S18" s="121"/>
      <c r="T18" s="121"/>
      <c r="U18" s="121"/>
      <c r="X18" s="133"/>
      <c r="Y18" s="130"/>
      <c r="Z18" s="130"/>
      <c r="AA18" s="130"/>
    </row>
    <row r="19" spans="2:27" ht="12" customHeight="1" x14ac:dyDescent="0.2">
      <c r="B19" s="27" t="s">
        <v>660</v>
      </c>
      <c r="C19" s="27">
        <v>58.457999999999998</v>
      </c>
      <c r="D19" s="133">
        <f t="shared" si="0"/>
        <v>1.5736255089123816</v>
      </c>
      <c r="E19" s="130"/>
      <c r="F19" s="130"/>
      <c r="G19" s="130"/>
      <c r="I19" s="132"/>
      <c r="J19" s="132"/>
      <c r="K19" s="132"/>
      <c r="P19" s="134"/>
      <c r="Q19" s="121"/>
      <c r="R19" s="127"/>
      <c r="S19" s="121"/>
      <c r="T19" s="121"/>
      <c r="U19" s="121"/>
      <c r="X19" s="133"/>
      <c r="Y19" s="130"/>
      <c r="Z19" s="130"/>
      <c r="AA19" s="130"/>
    </row>
    <row r="20" spans="2:27" ht="12" customHeight="1" x14ac:dyDescent="0.2">
      <c r="B20" s="27" t="s">
        <v>661</v>
      </c>
      <c r="C20" s="27">
        <v>59.948999999999998</v>
      </c>
      <c r="D20" s="133">
        <f t="shared" si="0"/>
        <v>1.5344876478339922</v>
      </c>
      <c r="E20" s="130"/>
      <c r="F20" s="130"/>
      <c r="G20" s="130"/>
      <c r="I20" s="132"/>
      <c r="J20" s="132"/>
      <c r="K20" s="132"/>
      <c r="P20" s="121"/>
      <c r="Q20" s="121"/>
      <c r="R20" s="127"/>
      <c r="S20" s="121"/>
      <c r="T20" s="121"/>
      <c r="U20" s="121"/>
      <c r="X20" s="133"/>
      <c r="Y20" s="130"/>
      <c r="Z20" s="130"/>
      <c r="AA20" s="130"/>
    </row>
    <row r="21" spans="2:27" ht="12" customHeight="1" x14ac:dyDescent="0.2">
      <c r="B21" s="27" t="s">
        <v>662</v>
      </c>
      <c r="C21" s="27">
        <v>62.048000000000002</v>
      </c>
      <c r="D21" s="133">
        <f t="shared" si="0"/>
        <v>1.4825780041258381</v>
      </c>
      <c r="E21" s="130"/>
      <c r="F21" s="130"/>
      <c r="G21" s="130"/>
      <c r="I21" s="132"/>
      <c r="J21" s="132"/>
      <c r="K21" s="132"/>
      <c r="P21" s="121"/>
      <c r="Q21" s="121"/>
      <c r="R21" s="127"/>
      <c r="S21" s="121"/>
      <c r="T21" s="121"/>
      <c r="U21" s="121"/>
      <c r="X21" s="133"/>
      <c r="Y21" s="130"/>
      <c r="Z21" s="130"/>
      <c r="AA21" s="130"/>
    </row>
    <row r="22" spans="2:27" ht="12" customHeight="1" x14ac:dyDescent="0.2">
      <c r="B22" s="27" t="s">
        <v>663</v>
      </c>
      <c r="C22" s="27">
        <v>64.459999999999994</v>
      </c>
      <c r="D22" s="133">
        <f t="shared" si="0"/>
        <v>1.4271020788085635</v>
      </c>
      <c r="E22" s="130"/>
      <c r="F22" s="130"/>
      <c r="G22" s="130"/>
      <c r="I22" s="132"/>
      <c r="J22" s="132"/>
      <c r="K22" s="132"/>
      <c r="P22" s="121"/>
      <c r="Q22" s="121"/>
      <c r="R22" s="127"/>
      <c r="S22" s="121"/>
      <c r="T22" s="121"/>
      <c r="U22" s="121"/>
      <c r="X22" s="133"/>
      <c r="Y22" s="130"/>
      <c r="Z22" s="130"/>
      <c r="AA22" s="130"/>
    </row>
    <row r="23" spans="2:27" ht="12" customHeight="1" x14ac:dyDescent="0.2">
      <c r="B23" s="27" t="s">
        <v>664</v>
      </c>
      <c r="C23" s="27">
        <v>66.844999999999999</v>
      </c>
      <c r="D23" s="133">
        <f t="shared" si="0"/>
        <v>1.3761837085795496</v>
      </c>
      <c r="E23" s="135"/>
      <c r="F23" s="135"/>
      <c r="G23" s="130"/>
      <c r="I23" s="132"/>
      <c r="J23" s="132"/>
      <c r="K23" s="132"/>
      <c r="P23" s="121"/>
      <c r="Q23" s="121"/>
      <c r="R23" s="127"/>
      <c r="S23" s="121"/>
      <c r="T23" s="121"/>
      <c r="U23" s="121"/>
      <c r="X23" s="133"/>
      <c r="Y23" s="135"/>
      <c r="Z23" s="135"/>
      <c r="AA23" s="130"/>
    </row>
    <row r="24" spans="2:27" ht="12" customHeight="1" x14ac:dyDescent="0.2">
      <c r="B24" s="27" t="s">
        <v>665</v>
      </c>
      <c r="C24" s="27">
        <v>69.069000000000003</v>
      </c>
      <c r="D24" s="133">
        <f t="shared" si="0"/>
        <v>1.3318710275232013</v>
      </c>
      <c r="E24" s="135"/>
      <c r="F24" s="135"/>
      <c r="G24" s="130"/>
      <c r="I24" s="132"/>
      <c r="J24" s="132"/>
      <c r="K24" s="132"/>
      <c r="P24" s="121"/>
      <c r="Q24" s="121"/>
      <c r="R24" s="127"/>
      <c r="S24" s="121"/>
      <c r="X24" s="133"/>
      <c r="Y24" s="135"/>
      <c r="Z24" s="135"/>
      <c r="AA24" s="130"/>
    </row>
    <row r="25" spans="2:27" ht="12" customHeight="1" x14ac:dyDescent="0.2">
      <c r="B25" s="27" t="s">
        <v>666</v>
      </c>
      <c r="C25" s="27">
        <v>70.644000000000005</v>
      </c>
      <c r="D25" s="133">
        <f t="shared" si="0"/>
        <v>1.3021771134137363</v>
      </c>
      <c r="E25" s="135"/>
      <c r="F25" s="135"/>
      <c r="G25" s="130"/>
      <c r="I25" s="132"/>
      <c r="J25" s="132"/>
      <c r="K25" s="132"/>
      <c r="P25" s="121"/>
      <c r="Q25" s="121"/>
      <c r="R25" s="127"/>
      <c r="S25" s="121"/>
      <c r="X25" s="133"/>
      <c r="Y25" s="135"/>
      <c r="Z25" s="135"/>
      <c r="AA25" s="130"/>
    </row>
    <row r="26" spans="2:27" ht="12" customHeight="1" x14ac:dyDescent="0.2">
      <c r="B26" s="27" t="s">
        <v>667</v>
      </c>
      <c r="C26" s="27">
        <v>72.325000000000003</v>
      </c>
      <c r="D26" s="133">
        <f t="shared" si="0"/>
        <v>1.2719115105426892</v>
      </c>
      <c r="E26" s="135"/>
      <c r="F26" s="135"/>
      <c r="G26" s="130"/>
      <c r="I26" s="132"/>
      <c r="J26" s="132"/>
      <c r="K26" s="132"/>
      <c r="P26" s="134"/>
      <c r="Q26" s="127"/>
      <c r="R26" s="127"/>
      <c r="X26" s="133"/>
      <c r="Y26" s="135"/>
      <c r="Z26" s="135"/>
      <c r="AA26" s="130"/>
    </row>
    <row r="27" spans="2:27" ht="12" customHeight="1" x14ac:dyDescent="0.2">
      <c r="B27" s="27" t="s">
        <v>668</v>
      </c>
      <c r="C27" s="27">
        <v>73.864999999999995</v>
      </c>
      <c r="D27" s="133">
        <f t="shared" si="0"/>
        <v>1.2453936235023355</v>
      </c>
      <c r="E27" s="135"/>
      <c r="F27" s="135"/>
      <c r="G27" s="130"/>
      <c r="I27" s="132"/>
      <c r="J27" s="132"/>
      <c r="K27" s="132"/>
      <c r="P27" s="121"/>
      <c r="Q27" s="121"/>
      <c r="R27" s="127"/>
      <c r="S27" s="121"/>
      <c r="X27" s="133"/>
      <c r="Y27" s="135"/>
      <c r="Z27" s="135"/>
      <c r="AA27" s="130"/>
    </row>
    <row r="28" spans="2:27" ht="12" customHeight="1" x14ac:dyDescent="0.2">
      <c r="B28" s="27" t="s">
        <v>669</v>
      </c>
      <c r="C28" s="27">
        <v>75.406000000000006</v>
      </c>
      <c r="D28" s="133">
        <f t="shared" si="0"/>
        <v>1.2199427101291673</v>
      </c>
      <c r="E28" s="135"/>
      <c r="F28" s="135"/>
      <c r="G28" s="130"/>
      <c r="I28" s="132"/>
      <c r="J28" s="132"/>
      <c r="K28" s="132"/>
      <c r="P28" s="121"/>
      <c r="Q28" s="121"/>
      <c r="R28" s="127"/>
      <c r="S28" s="121"/>
      <c r="X28" s="133"/>
      <c r="Y28" s="135"/>
      <c r="Z28" s="135"/>
      <c r="AA28" s="130"/>
    </row>
    <row r="29" spans="2:27" ht="12" customHeight="1" x14ac:dyDescent="0.2">
      <c r="B29" s="27" t="s">
        <v>670</v>
      </c>
      <c r="C29" s="27">
        <v>76.783000000000001</v>
      </c>
      <c r="D29" s="133">
        <f t="shared" si="0"/>
        <v>1.1980646757745854</v>
      </c>
      <c r="E29" s="135"/>
      <c r="F29" s="135"/>
      <c r="G29" s="130"/>
      <c r="I29" s="132"/>
      <c r="J29" s="132"/>
      <c r="K29" s="132"/>
      <c r="P29" s="121"/>
      <c r="Q29" s="121"/>
      <c r="R29" s="127"/>
      <c r="S29" s="121"/>
      <c r="X29" s="133"/>
      <c r="Y29" s="135"/>
      <c r="Z29" s="135"/>
      <c r="AA29" s="130"/>
    </row>
    <row r="30" spans="2:27" ht="12" customHeight="1" x14ac:dyDescent="0.2">
      <c r="B30" s="27" t="s">
        <v>671</v>
      </c>
      <c r="C30" s="27">
        <v>78.096000000000004</v>
      </c>
      <c r="D30" s="133">
        <f t="shared" si="0"/>
        <v>1.1779220446629788</v>
      </c>
      <c r="E30" s="135"/>
      <c r="F30" s="135"/>
      <c r="G30" s="130"/>
      <c r="I30" s="132"/>
      <c r="J30" s="132"/>
      <c r="K30" s="132"/>
      <c r="P30" s="121"/>
      <c r="Q30" s="121"/>
      <c r="R30" s="127"/>
      <c r="S30" s="121"/>
      <c r="X30" s="133"/>
      <c r="Y30" s="135"/>
      <c r="Z30" s="135"/>
      <c r="AA30" s="130"/>
    </row>
    <row r="31" spans="2:27" ht="12" customHeight="1" x14ac:dyDescent="0.2">
      <c r="B31" s="27" t="s">
        <v>672</v>
      </c>
      <c r="C31" s="27">
        <v>78.944000000000003</v>
      </c>
      <c r="D31" s="133">
        <f t="shared" si="0"/>
        <v>1.1652690514795299</v>
      </c>
      <c r="E31" s="135"/>
      <c r="F31" s="135"/>
      <c r="G31" s="130"/>
      <c r="I31" s="132"/>
      <c r="J31" s="132"/>
      <c r="K31" s="132"/>
      <c r="P31" s="121"/>
      <c r="Q31" s="121"/>
      <c r="R31" s="127"/>
      <c r="S31" s="121"/>
      <c r="X31" s="133"/>
      <c r="Y31" s="135"/>
      <c r="Z31" s="135"/>
      <c r="AA31" s="130"/>
    </row>
    <row r="32" spans="2:27" ht="12" customHeight="1" x14ac:dyDescent="0.2">
      <c r="B32" s="27" t="s">
        <v>673</v>
      </c>
      <c r="C32" s="27">
        <v>80.070999999999998</v>
      </c>
      <c r="D32" s="133">
        <f t="shared" si="0"/>
        <v>1.148867879756716</v>
      </c>
      <c r="E32" s="135"/>
      <c r="F32" s="135"/>
      <c r="G32" s="130"/>
      <c r="I32" s="132"/>
      <c r="J32" s="132"/>
      <c r="K32" s="132"/>
      <c r="P32" s="121"/>
      <c r="Q32" s="121"/>
      <c r="R32" s="127"/>
      <c r="S32" s="121"/>
      <c r="X32" s="133"/>
      <c r="Y32" s="135"/>
      <c r="Z32" s="135"/>
      <c r="AA32" s="130"/>
    </row>
    <row r="33" spans="2:27" ht="12" customHeight="1" x14ac:dyDescent="0.2">
      <c r="B33" s="27" t="s">
        <v>674</v>
      </c>
      <c r="C33" s="27">
        <v>81.891000000000005</v>
      </c>
      <c r="D33" s="133">
        <f t="shared" si="0"/>
        <v>1.123334676582286</v>
      </c>
      <c r="E33" s="135"/>
      <c r="F33" s="135"/>
      <c r="G33" s="130"/>
      <c r="P33" s="121"/>
      <c r="Q33" s="121"/>
      <c r="R33" s="127"/>
      <c r="S33" s="121"/>
      <c r="X33" s="133"/>
      <c r="Y33" s="135"/>
      <c r="Z33" s="135"/>
      <c r="AA33" s="130"/>
    </row>
    <row r="34" spans="2:27" ht="12" customHeight="1" x14ac:dyDescent="0.2">
      <c r="B34" s="27" t="s">
        <v>675</v>
      </c>
      <c r="C34" s="27">
        <v>83.766000000000005</v>
      </c>
      <c r="D34" s="133">
        <f t="shared" si="0"/>
        <v>1.0981901964997731</v>
      </c>
      <c r="E34" s="135"/>
      <c r="F34" s="135"/>
      <c r="G34" s="130"/>
      <c r="P34" s="121"/>
      <c r="Q34" s="121"/>
      <c r="R34" s="127"/>
      <c r="S34" s="121"/>
      <c r="X34" s="133"/>
      <c r="Y34" s="135"/>
      <c r="Z34" s="135"/>
      <c r="AA34" s="130"/>
    </row>
    <row r="35" spans="2:27" ht="12" customHeight="1" x14ac:dyDescent="0.2">
      <c r="B35" s="27" t="s">
        <v>676</v>
      </c>
      <c r="C35" s="27">
        <v>85.054000000000002</v>
      </c>
      <c r="D35" s="133">
        <f t="shared" si="0"/>
        <v>1.0815599501493169</v>
      </c>
      <c r="E35" s="135"/>
      <c r="F35" s="135"/>
      <c r="G35" s="130"/>
      <c r="P35" s="121"/>
      <c r="Q35" s="121"/>
      <c r="R35" s="127"/>
      <c r="X35" s="133"/>
      <c r="Y35" s="135"/>
      <c r="Z35" s="135"/>
      <c r="AA35" s="130"/>
    </row>
    <row r="36" spans="2:27" ht="12" customHeight="1" x14ac:dyDescent="0.2">
      <c r="B36" s="27" t="s">
        <v>16</v>
      </c>
      <c r="C36" s="27">
        <v>86.754000000000005</v>
      </c>
      <c r="D36" s="133">
        <f t="shared" si="0"/>
        <v>1.0603660926297347</v>
      </c>
      <c r="E36" s="135"/>
      <c r="F36" s="135"/>
      <c r="G36" s="130"/>
      <c r="P36" s="121"/>
      <c r="Q36" s="121"/>
      <c r="R36" s="127"/>
      <c r="X36" s="133"/>
      <c r="Y36" s="135"/>
      <c r="Z36" s="135"/>
      <c r="AA36" s="130"/>
    </row>
    <row r="37" spans="2:27" ht="12" customHeight="1" x14ac:dyDescent="0.2">
      <c r="B37" s="27" t="s">
        <v>17</v>
      </c>
      <c r="C37" s="27">
        <v>89.132000000000005</v>
      </c>
      <c r="D37" s="133">
        <f t="shared" si="0"/>
        <v>1.0320760220796121</v>
      </c>
      <c r="E37" s="135"/>
      <c r="F37" s="135"/>
      <c r="G37" s="130"/>
      <c r="P37" s="121"/>
      <c r="Q37" s="121"/>
      <c r="R37" s="127"/>
      <c r="X37" s="133"/>
      <c r="Y37" s="135"/>
      <c r="Z37" s="135"/>
      <c r="AA37" s="130"/>
    </row>
    <row r="38" spans="2:27" ht="12" customHeight="1" x14ac:dyDescent="0.2">
      <c r="B38" s="27" t="s">
        <v>129</v>
      </c>
      <c r="C38" s="27">
        <v>91.991</v>
      </c>
      <c r="D38" s="133">
        <f t="shared" si="0"/>
        <v>1</v>
      </c>
      <c r="E38" s="135"/>
      <c r="F38" s="135"/>
      <c r="G38" s="130"/>
      <c r="P38" s="121"/>
      <c r="Q38" s="121"/>
      <c r="R38" s="127"/>
      <c r="X38" s="133"/>
      <c r="Y38" s="135"/>
      <c r="Z38" s="135"/>
      <c r="AA38" s="130"/>
    </row>
    <row r="39" spans="2:27" ht="12" customHeight="1" x14ac:dyDescent="0.2">
      <c r="B39" s="27" t="s">
        <v>9</v>
      </c>
      <c r="C39" s="27">
        <v>94.817999999999998</v>
      </c>
      <c r="D39" s="133">
        <f t="shared" si="0"/>
        <v>0.97018498597312752</v>
      </c>
      <c r="E39" s="135"/>
      <c r="F39" s="135"/>
      <c r="G39" s="130"/>
      <c r="P39" s="121"/>
      <c r="Q39" s="121"/>
      <c r="R39" s="127"/>
      <c r="X39" s="133"/>
      <c r="Y39" s="135"/>
      <c r="Z39" s="135"/>
      <c r="AA39" s="130"/>
    </row>
    <row r="40" spans="2:27" ht="12" customHeight="1" x14ac:dyDescent="0.2">
      <c r="B40" s="27" t="s">
        <v>10</v>
      </c>
      <c r="C40" s="27">
        <v>97.334999999999994</v>
      </c>
      <c r="D40" s="133">
        <f t="shared" si="0"/>
        <v>0.94509683053372384</v>
      </c>
      <c r="E40" s="135"/>
      <c r="F40" s="135"/>
      <c r="G40" s="130"/>
      <c r="P40" s="121"/>
      <c r="Q40" s="121"/>
      <c r="R40" s="127"/>
      <c r="X40" s="133"/>
      <c r="Y40" s="135"/>
      <c r="Z40" s="135"/>
      <c r="AA40" s="130"/>
    </row>
    <row r="41" spans="2:27" ht="12" customHeight="1" x14ac:dyDescent="0.2">
      <c r="B41" s="27" t="s">
        <v>11</v>
      </c>
      <c r="C41" s="27">
        <v>99.236000000000004</v>
      </c>
      <c r="D41" s="133">
        <f t="shared" si="0"/>
        <v>0.92699222056511743</v>
      </c>
      <c r="E41" s="135"/>
      <c r="F41" s="135"/>
      <c r="G41" s="130"/>
      <c r="P41" s="121"/>
      <c r="Q41" s="121"/>
      <c r="R41" s="127"/>
      <c r="X41" s="133"/>
      <c r="Y41" s="135"/>
      <c r="Z41" s="135"/>
      <c r="AA41" s="130"/>
    </row>
    <row r="42" spans="2:27" ht="12" customHeight="1" x14ac:dyDescent="0.2">
      <c r="B42" s="27" t="s">
        <v>12</v>
      </c>
      <c r="C42" s="27">
        <v>100</v>
      </c>
      <c r="D42" s="133">
        <f t="shared" si="0"/>
        <v>0.91991000000000001</v>
      </c>
      <c r="E42" s="135"/>
      <c r="F42" s="135"/>
      <c r="G42" s="130"/>
      <c r="P42" s="121"/>
      <c r="R42" s="121"/>
      <c r="X42" s="133"/>
      <c r="Y42" s="135"/>
      <c r="Z42" s="135"/>
      <c r="AA42" s="130"/>
    </row>
    <row r="43" spans="2:27" ht="12" customHeight="1" x14ac:dyDescent="0.2">
      <c r="B43" s="27" t="s">
        <v>130</v>
      </c>
      <c r="C43" s="27">
        <v>101.211</v>
      </c>
      <c r="D43" s="133">
        <f t="shared" si="0"/>
        <v>0.90890318246040447</v>
      </c>
      <c r="P43" s="121"/>
      <c r="R43" s="121"/>
      <c r="X43" s="133"/>
    </row>
    <row r="44" spans="2:27" x14ac:dyDescent="0.2">
      <c r="B44" s="27" t="s">
        <v>13</v>
      </c>
      <c r="C44" s="27">
        <v>103.199</v>
      </c>
      <c r="D44" s="133">
        <f t="shared" si="0"/>
        <v>0.89139429645636103</v>
      </c>
      <c r="P44" s="134"/>
      <c r="Q44" s="21"/>
      <c r="R44" s="21"/>
    </row>
    <row r="45" spans="2:27" x14ac:dyDescent="0.2">
      <c r="B45" s="27" t="s">
        <v>14</v>
      </c>
      <c r="C45" s="27">
        <v>105.002</v>
      </c>
      <c r="D45" s="133">
        <f t="shared" si="0"/>
        <v>0.87608807451286641</v>
      </c>
      <c r="P45" s="121"/>
      <c r="Q45" s="121"/>
      <c r="R45" s="127"/>
    </row>
    <row r="46" spans="2:27" x14ac:dyDescent="0.2">
      <c r="P46" s="121"/>
      <c r="Q46" s="121"/>
      <c r="R46" s="127"/>
      <c r="V46" s="125"/>
    </row>
    <row r="47" spans="2:27" x14ac:dyDescent="0.2">
      <c r="P47" s="121"/>
      <c r="Q47" s="121"/>
      <c r="R47" s="127"/>
      <c r="V47" s="125"/>
    </row>
    <row r="48" spans="2:27" x14ac:dyDescent="0.2">
      <c r="P48" s="121"/>
      <c r="R48" s="127"/>
      <c r="V48" s="125"/>
    </row>
    <row r="49" spans="2:23" x14ac:dyDescent="0.2">
      <c r="V49" s="125"/>
    </row>
    <row r="50" spans="2:23" x14ac:dyDescent="0.2">
      <c r="P50" s="121"/>
      <c r="R50" s="121"/>
      <c r="V50" s="125"/>
    </row>
    <row r="51" spans="2:23" x14ac:dyDescent="0.2">
      <c r="R51" s="121"/>
      <c r="V51" s="136"/>
      <c r="W51" s="136"/>
    </row>
    <row r="52" spans="2:23" x14ac:dyDescent="0.2">
      <c r="P52" s="125"/>
      <c r="R52" s="137"/>
      <c r="V52" s="136"/>
      <c r="W52" s="136"/>
    </row>
    <row r="53" spans="2:23" x14ac:dyDescent="0.2">
      <c r="R53" s="121"/>
      <c r="V53" s="136"/>
      <c r="W53" s="136"/>
    </row>
    <row r="54" spans="2:23" x14ac:dyDescent="0.2">
      <c r="R54" s="121"/>
      <c r="V54" s="136"/>
      <c r="W54" s="136"/>
    </row>
    <row r="55" spans="2:23" x14ac:dyDescent="0.2">
      <c r="R55" s="121"/>
      <c r="V55" s="136"/>
      <c r="W55" s="136"/>
    </row>
    <row r="56" spans="2:23" x14ac:dyDescent="0.2">
      <c r="P56" s="27"/>
      <c r="R56" s="121"/>
      <c r="V56" s="136"/>
      <c r="W56" s="136"/>
    </row>
    <row r="57" spans="2:23" x14ac:dyDescent="0.2">
      <c r="B57" s="125"/>
      <c r="R57" s="121"/>
      <c r="V57" s="136"/>
      <c r="W57" s="136"/>
    </row>
    <row r="58" spans="2:23" x14ac:dyDescent="0.2">
      <c r="B58" s="125"/>
      <c r="P58" s="138"/>
      <c r="R58" s="121"/>
      <c r="V58" s="136"/>
      <c r="W58" s="136"/>
    </row>
    <row r="59" spans="2:23" x14ac:dyDescent="0.2">
      <c r="B59" s="125"/>
      <c r="R59" s="121"/>
      <c r="V59" s="136"/>
      <c r="W59" s="136"/>
    </row>
    <row r="60" spans="2:23" x14ac:dyDescent="0.2">
      <c r="B60" s="125"/>
      <c r="R60" s="121"/>
      <c r="V60" s="136"/>
      <c r="W60" s="136"/>
    </row>
    <row r="61" spans="2:23" x14ac:dyDescent="0.2">
      <c r="B61" s="125"/>
      <c r="R61" s="121"/>
      <c r="V61" s="136"/>
      <c r="W61" s="136"/>
    </row>
    <row r="62" spans="2:23" x14ac:dyDescent="0.2">
      <c r="B62" s="136"/>
      <c r="C62" s="136"/>
      <c r="R62" s="121"/>
      <c r="V62" s="136"/>
      <c r="W62" s="136"/>
    </row>
    <row r="63" spans="2:23" x14ac:dyDescent="0.2">
      <c r="B63" s="136"/>
      <c r="C63" s="136"/>
      <c r="R63" s="121"/>
      <c r="V63" s="136"/>
      <c r="W63" s="136"/>
    </row>
    <row r="64" spans="2:23" x14ac:dyDescent="0.2">
      <c r="B64" s="136"/>
      <c r="C64" s="136"/>
      <c r="R64" s="121"/>
      <c r="V64" s="125"/>
    </row>
    <row r="65" spans="2:22" x14ac:dyDescent="0.2">
      <c r="B65" s="136"/>
      <c r="C65" s="136"/>
      <c r="R65" s="121"/>
      <c r="V65" s="125"/>
    </row>
    <row r="66" spans="2:22" x14ac:dyDescent="0.2">
      <c r="B66" s="136"/>
      <c r="C66" s="136"/>
      <c r="R66" s="121"/>
      <c r="V66" s="125"/>
    </row>
    <row r="67" spans="2:22" x14ac:dyDescent="0.2">
      <c r="B67" s="136"/>
      <c r="C67" s="136"/>
      <c r="R67" s="121"/>
      <c r="V67" s="139"/>
    </row>
    <row r="68" spans="2:22" x14ac:dyDescent="0.2">
      <c r="B68" s="136"/>
      <c r="C68" s="136"/>
      <c r="R68" s="121"/>
    </row>
    <row r="69" spans="2:22" x14ac:dyDescent="0.2">
      <c r="B69" s="136"/>
      <c r="C69" s="136"/>
      <c r="R69" s="121"/>
    </row>
    <row r="70" spans="2:22" x14ac:dyDescent="0.2">
      <c r="B70" s="136"/>
      <c r="C70" s="136"/>
      <c r="R70" s="121"/>
    </row>
    <row r="71" spans="2:22" x14ac:dyDescent="0.2">
      <c r="B71" s="136"/>
      <c r="C71" s="136"/>
      <c r="R71" s="121"/>
    </row>
    <row r="72" spans="2:22" x14ac:dyDescent="0.2">
      <c r="B72" s="136"/>
      <c r="C72" s="136"/>
      <c r="R72" s="121"/>
    </row>
    <row r="73" spans="2:22" x14ac:dyDescent="0.2">
      <c r="B73" s="136"/>
      <c r="C73" s="136"/>
      <c r="R73" s="121"/>
    </row>
    <row r="74" spans="2:22" x14ac:dyDescent="0.2">
      <c r="B74" s="136"/>
      <c r="C74" s="136"/>
    </row>
    <row r="75" spans="2:22" x14ac:dyDescent="0.2">
      <c r="B75" s="125"/>
    </row>
    <row r="76" spans="2:22" x14ac:dyDescent="0.2">
      <c r="B76" s="125"/>
    </row>
    <row r="77" spans="2:22" x14ac:dyDescent="0.2">
      <c r="B77" s="125"/>
    </row>
    <row r="78" spans="2:22" x14ac:dyDescent="0.2">
      <c r="B78" s="139"/>
    </row>
  </sheetData>
  <phoneticPr fontId="20" type="noConversion"/>
  <hyperlinks>
    <hyperlink ref="B13" r:id="rId1" xr:uid="{00000000-0004-0000-2200-000000000000}"/>
  </hyperlinks>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961017AFA5F1746B691F13D8A7002D3" ma:contentTypeVersion="13" ma:contentTypeDescription="Create a new document." ma:contentTypeScope="" ma:versionID="def7294f1d2309f0bb896a14731e0ee6">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3a45b8d2-5363-42cf-81ee-b666af54687e" xmlns:ns6="100f1ce0-4af0-4d4f-96bb-1f04b8389ca2" targetNamespace="http://schemas.microsoft.com/office/2006/metadata/properties" ma:root="true" ma:fieldsID="041bcd49501e20998d0099c9940f8dab" ns1:_="" ns2:_="" ns3:_="" ns4:_="" ns5:_="" ns6:_="">
    <xsd:import namespace="http://schemas.microsoft.com/sharepoint/v3"/>
    <xsd:import namespace="4ffa91fb-a0ff-4ac5-b2db-65c790d184a4"/>
    <xsd:import namespace="http://schemas.microsoft.com/sharepoint.v3"/>
    <xsd:import namespace="http://schemas.microsoft.com/sharepoint/v3/fields"/>
    <xsd:import namespace="3a45b8d2-5363-42cf-81ee-b666af54687e"/>
    <xsd:import namespace="100f1ce0-4af0-4d4f-96bb-1f04b8389ca2"/>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ObjectDetectorVersions" minOccurs="0"/>
                <xsd:element ref="ns6:SharedWithUsers" minOccurs="0"/>
                <xsd:element ref="ns6:SharedWithDetails" minOccurs="0"/>
                <xsd:element ref="ns5:lcf76f155ced4ddcb4097134ff3c332f" minOccurs="0"/>
                <xsd:element ref="ns5:MediaServiceOCR" minOccurs="0"/>
                <xsd:element ref="ns5:MediaServiceGenerationTime" minOccurs="0"/>
                <xsd:element ref="ns5:MediaServiceEventHashCode"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ma:readOnly="false">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0eafa08c-da01-48e4-b4d7-151dfe2fdfac}" ma:internalName="TaxCatchAllLabel" ma:readOnly="true" ma:showField="CatchAllDataLabel" ma:web="100f1ce0-4af0-4d4f-96bb-1f04b8389ca2">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0eafa08c-da01-48e4-b4d7-151dfe2fdfac}" ma:internalName="TaxCatchAll" ma:showField="CatchAllData" ma:web="100f1ce0-4af0-4d4f-96bb-1f04b8389ca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a45b8d2-5363-42cf-81ee-b666af54687e"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ObjectDetectorVersions" ma:index="30" nillable="true" ma:displayName="MediaServiceObjectDetectorVersions" ma:hidden="true" ma:indexed="true" ma:internalName="MediaServiceObjectDetectorVersions" ma:readOnly="true">
      <xsd:simpleType>
        <xsd:restriction base="dms:Text"/>
      </xsd:simpleType>
    </xsd:element>
    <xsd:element name="lcf76f155ced4ddcb4097134ff3c332f" ma:index="34"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CR" ma:index="35" nillable="true" ma:displayName="Extracted Text" ma:internalName="MediaServiceOCR" ma:readOnly="true">
      <xsd:simpleType>
        <xsd:restriction base="dms:Note">
          <xsd:maxLength value="255"/>
        </xsd:restriction>
      </xsd:simpleType>
    </xsd:element>
    <xsd:element name="MediaServiceGenerationTime" ma:index="36" nillable="true" ma:displayName="MediaServiceGenerationTime" ma:hidden="true" ma:internalName="MediaServiceGenerationTime" ma:readOnly="true">
      <xsd:simpleType>
        <xsd:restriction base="dms:Text"/>
      </xsd:simpleType>
    </xsd:element>
    <xsd:element name="MediaServiceEventHashCode" ma:index="37" nillable="true" ma:displayName="MediaServiceEventHashCode" ma:hidden="true" ma:internalName="MediaServiceEventHashCode" ma:readOnly="true">
      <xsd:simpleType>
        <xsd:restriction base="dms:Text"/>
      </xsd:simpleType>
    </xsd:element>
    <xsd:element name="MediaServiceSearchProperties" ma:index="3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00f1ce0-4af0-4d4f-96bb-1f04b8389ca2" elementFormDefault="qualified">
    <xsd:import namespace="http://schemas.microsoft.com/office/2006/documentManagement/types"/>
    <xsd:import namespace="http://schemas.microsoft.com/office/infopath/2007/PartnerControls"/>
    <xsd:element name="SharedWithUsers" ma:index="3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a45b8d2-5363-42cf-81ee-b666af54687e">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2024-08-07T00:48:30+00:00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6CF3EB94-8154-4A30-872F-AAC01209592F}">
  <ds:schemaRefs>
    <ds:schemaRef ds:uri="http://schemas.microsoft.com/sharepoint/v3/contenttype/forms"/>
  </ds:schemaRefs>
</ds:datastoreItem>
</file>

<file path=customXml/itemProps2.xml><?xml version="1.0" encoding="utf-8"?>
<ds:datastoreItem xmlns:ds="http://schemas.openxmlformats.org/officeDocument/2006/customXml" ds:itemID="{9F07D607-764D-48E2-945B-D8AF2E62F8A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3a45b8d2-5363-42cf-81ee-b666af54687e"/>
    <ds:schemaRef ds:uri="100f1ce0-4af0-4d4f-96bb-1f04b8389ca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404F7DF-16C9-4CA5-A935-C30D89F43D51}">
  <ds:schemaRefs>
    <ds:schemaRef ds:uri="http://schemas.microsoft.com/office/2006/metadata/properties"/>
    <ds:schemaRef ds:uri="http://schemas.microsoft.com/office/infopath/2007/PartnerControls"/>
    <ds:schemaRef ds:uri="13d1ff91-c56c-48a5-881f-c0ec757c423c"/>
    <ds:schemaRef ds:uri="b61e3246-ffdd-47fd-afd5-fb211f629678"/>
    <ds:schemaRef ds:uri="3a45b8d2-5363-42cf-81ee-b666af54687e"/>
    <ds:schemaRef ds:uri="4ffa91fb-a0ff-4ac5-b2db-65c790d184a4"/>
    <ds:schemaRef ds:uri="http://schemas.microsoft.com/sharepoint/v3/fields"/>
    <ds:schemaRef ds:uri="http://schemas.microsoft.com/sharepoint/v3"/>
    <ds:schemaRef ds:uri="http://schemas.microsoft.com/sharepoint.v3"/>
  </ds:schemaRefs>
</ds:datastoreItem>
</file>

<file path=customXml/itemProps4.xml><?xml version="1.0" encoding="utf-8"?>
<ds:datastoreItem xmlns:ds="http://schemas.openxmlformats.org/officeDocument/2006/customXml" ds:itemID="{772B7945-7E31-429C-AB50-28E69D9D46AB}">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UC_NGAa</vt:lpstr>
      <vt:lpstr>UC_NGAb</vt:lpstr>
      <vt:lpstr>TechData_R0</vt:lpstr>
      <vt:lpstr>&gt;&gt; Not used</vt:lpstr>
      <vt:lpstr>Commodities</vt:lpstr>
      <vt:lpstr>Technologies</vt:lpstr>
      <vt:lpstr>Domestic NG Prices</vt:lpstr>
      <vt:lpstr>AEO NG Imports</vt:lpstr>
      <vt:lpstr>Exports</vt:lpstr>
      <vt:lpstr>Emissions</vt:lpstr>
      <vt:lpstr>Conv vs Shale</vt:lpstr>
      <vt:lpstr>Conv</vt:lpstr>
    </vt:vector>
  </TitlesOfParts>
  <Company>Noble-Soft Systems Pty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Dr Ken Noble</dc:creator>
  <cp:lastModifiedBy>Carroll, Zane</cp:lastModifiedBy>
  <cp:lastPrinted>2005-06-23T04:07:43Z</cp:lastPrinted>
  <dcterms:created xsi:type="dcterms:W3CDTF">2005-05-01T12:39:10Z</dcterms:created>
  <dcterms:modified xsi:type="dcterms:W3CDTF">2025-06-02T17:48:28Z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aveCode">
    <vt:r8>115043282508850</vt:r8>
  </property>
  <property fmtid="{D5CDD505-2E9C-101B-9397-08002B2CF9AE}" pid="3" name="ContentTypeId">
    <vt:lpwstr>0x01010092854A4B9DA56A4E9E67ED7952786595</vt:lpwstr>
  </property>
  <property fmtid="{D5CDD505-2E9C-101B-9397-08002B2CF9AE}" pid="4" name="MediaServiceImageTags">
    <vt:lpwstr/>
  </property>
</Properties>
</file>