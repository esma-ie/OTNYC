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drawings/drawing2.xml" ContentType="application/vnd.openxmlformats-officedocument.drawing+xml"/>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drawings/drawing3.xml" ContentType="application/vnd.openxmlformats-officedocument.drawing+xml"/>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drawings/drawing4.xml" ContentType="application/vnd.openxmlformats-officedocument.drawing+xml"/>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drawings/drawing5.xml" ContentType="application/vnd.openxmlformats-officedocument.drawing+xml"/>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drawings/drawing6.xml" ContentType="application/vnd.openxmlformats-officedocument.drawing+xml"/>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drawings/drawing7.xml" ContentType="application/vnd.openxmlformats-officedocument.drawing+xml"/>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drawings/drawing8.xml" ContentType="application/vnd.openxmlformats-officedocument.drawing+xml"/>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drawings/drawing9.xml" ContentType="application/vnd.openxmlformats-officedocument.drawing+xml"/>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drawings/drawing10.xml" ContentType="application/vnd.openxmlformats-officedocument.drawing+xml"/>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drawings/drawing11.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drawings/drawing12.xml" ContentType="application/vnd.openxmlformats-officedocument.drawing+xml"/>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drawings/drawing13.xml" ContentType="application/vnd.openxmlformats-officedocument.drawing+xml"/>
  <Override PartName="/xl/activeX/activeX70.xml" ContentType="application/vnd.ms-office.activeX+xml"/>
  <Override PartName="/xl/activeX/activeX70.bin" ContentType="application/vnd.ms-office.activeX"/>
  <Override PartName="/xl/activeX/activeX71.xml" ContentType="application/vnd.ms-office.activeX+xml"/>
  <Override PartName="/xl/activeX/activeX71.bin" ContentType="application/vnd.ms-office.activeX"/>
  <Override PartName="/xl/activeX/activeX72.xml" ContentType="application/vnd.ms-office.activeX+xml"/>
  <Override PartName="/xl/activeX/activeX72.bin" ContentType="application/vnd.ms-office.activeX"/>
  <Override PartName="/xl/activeX/activeX73.xml" ContentType="application/vnd.ms-office.activeX+xml"/>
  <Override PartName="/xl/activeX/activeX73.bin" ContentType="application/vnd.ms-office.activeX"/>
  <Override PartName="/xl/activeX/activeX74.xml" ContentType="application/vnd.ms-office.activeX+xml"/>
  <Override PartName="/xl/activeX/activeX74.bin" ContentType="application/vnd.ms-office.activeX"/>
  <Override PartName="/xl/activeX/activeX75.xml" ContentType="application/vnd.ms-office.activeX+xml"/>
  <Override PartName="/xl/activeX/activeX75.bin" ContentType="application/vnd.ms-office.activeX"/>
  <Override PartName="/xl/activeX/activeX76.xml" ContentType="application/vnd.ms-office.activeX+xml"/>
  <Override PartName="/xl/activeX/activeX76.bin" ContentType="application/vnd.ms-office.activeX"/>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
    </mc:Choice>
  </mc:AlternateContent>
  <xr:revisionPtr revIDLastSave="5" documentId="13_ncr:1_{AA629E29-B256-4413-9169-5E0991DC9A57}" xr6:coauthVersionLast="47" xr6:coauthVersionMax="47" xr10:uidLastSave="{A117C0F7-F617-4DA4-9FD7-31A326338F77}"/>
  <bookViews>
    <workbookView xWindow="53880" yWindow="-120" windowWidth="29040" windowHeight="15720" tabRatio="780" firstSheet="2" activeTab="24" xr2:uid="{00000000-000D-0000-FFFF-FFFF00000000}"/>
  </bookViews>
  <sheets>
    <sheet name="Commodities" sheetId="20" r:id="rId1"/>
    <sheet name="Technologies" sheetId="22" r:id="rId2"/>
    <sheet name="TechData_REFNYC" sheetId="50" r:id="rId3"/>
    <sheet name="RESID" sheetId="17" r:id="rId4"/>
    <sheet name="Capacity" sheetId="45" r:id="rId5"/>
    <sheet name="PADD Products" sheetId="47" r:id="rId6"/>
    <sheet name="Yields" sheetId="44" r:id="rId7"/>
    <sheet name="Utilization" sheetId="46" r:id="rId8"/>
    <sheet name="DSH percent" sheetId="48" r:id="rId9"/>
    <sheet name="Inputs ELC NG" sheetId="30" r:id="rId10"/>
    <sheet name="RTI Costs" sheetId="35" r:id="rId11"/>
    <sheet name="Conv" sheetId="10" r:id="rId12"/>
    <sheet name="ANSv6.0-Commodities" sheetId="19" state="veryHidden" r:id="rId13"/>
    <sheet name="ANSv6.1-Commodities" sheetId="1" state="veryHidden" r:id="rId14"/>
    <sheet name="ANSv6.0-Technologies" sheetId="21" state="veryHidden" r:id="rId15"/>
    <sheet name="ANSv6.1-Technologies" sheetId="2" state="veryHidden" r:id="rId16"/>
    <sheet name="ANSv6.0-TechData" sheetId="25" state="veryHidden" r:id="rId17"/>
    <sheet name="ANSv6.0-CommData" sheetId="24" state="veryHidden" r:id="rId18"/>
    <sheet name="ANSv6.0-Constraints" sheetId="23" state="veryHidden" r:id="rId19"/>
    <sheet name="ANSv6.1-Constraints" sheetId="7" state="veryHidden" r:id="rId20"/>
    <sheet name="ANSv6.1-CommData" sheetId="4" state="veryHidden" r:id="rId21"/>
    <sheet name="ANSv6.1-TechData" sheetId="3" state="veryHidden" r:id="rId22"/>
    <sheet name="ANSv6.0-ConstrData" sheetId="28" state="veryHidden" r:id="rId23"/>
    <sheet name="ANSv6.1-ConstrData" sheetId="8" state="veryHidden" r:id="rId24"/>
    <sheet name="EPAUS9RTechData" sheetId="26" r:id="rId25"/>
  </sheets>
  <externalReferences>
    <externalReference r:id="rId26"/>
  </externalReferences>
  <definedNames>
    <definedName name="AnswerData">#REF!</definedName>
    <definedName name="bprint">#REF!</definedName>
    <definedName name="cprint">#REF!</definedName>
    <definedName name="exch_rate">#REF!</definedName>
    <definedName name="fitfile">[1]MODEL!$D$38</definedName>
    <definedName name="INF">[1]MODEL!$H$14</definedName>
    <definedName name="PPP">[1]MODEL!$D$12</definedName>
    <definedName name="PPPEX">[1]MODEL!$D$13</definedName>
    <definedName name="rail_co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63" i="50" l="1"/>
  <c r="J59" i="50"/>
  <c r="J58" i="50"/>
  <c r="Q2" i="48"/>
  <c r="B10" i="47" a="1"/>
  <c r="B10" i="47" s="1"/>
  <c r="F32" i="44"/>
  <c r="G32" i="44"/>
  <c r="H32" i="44"/>
  <c r="I32" i="44"/>
  <c r="J32" i="44"/>
  <c r="K32" i="44"/>
  <c r="L32" i="44"/>
  <c r="M32" i="44"/>
  <c r="N32" i="44"/>
  <c r="O32" i="44"/>
  <c r="P32" i="44"/>
  <c r="Q32" i="44"/>
  <c r="R32" i="44"/>
  <c r="S32" i="44"/>
  <c r="F33" i="44"/>
  <c r="G33" i="44"/>
  <c r="H33" i="44"/>
  <c r="I33" i="44"/>
  <c r="J33" i="44"/>
  <c r="K33" i="44"/>
  <c r="L33" i="44"/>
  <c r="M33" i="44"/>
  <c r="N33" i="44"/>
  <c r="O33" i="44"/>
  <c r="P33" i="44"/>
  <c r="Q33" i="44"/>
  <c r="R33" i="44"/>
  <c r="S33" i="44"/>
  <c r="E33" i="44"/>
  <c r="D33" i="44"/>
  <c r="E31" i="44"/>
  <c r="D32" i="44"/>
  <c r="B3" i="47" a="1"/>
  <c r="B3" i="47" s="1"/>
  <c r="I3" i="47" s="1"/>
  <c r="E32" i="44"/>
  <c r="C33" i="44"/>
  <c r="C32" i="44"/>
  <c r="S31" i="44"/>
  <c r="D31" i="44"/>
  <c r="F31" i="44"/>
  <c r="G31" i="44"/>
  <c r="H31" i="44"/>
  <c r="I31" i="44"/>
  <c r="J31" i="44"/>
  <c r="K31" i="44"/>
  <c r="L31" i="44"/>
  <c r="M31" i="44"/>
  <c r="N31" i="44"/>
  <c r="O31" i="44"/>
  <c r="P31" i="44"/>
  <c r="Q31" i="44"/>
  <c r="R31" i="44"/>
  <c r="C31" i="44"/>
  <c r="C30" i="44"/>
  <c r="D30" i="44"/>
  <c r="E30" i="44"/>
  <c r="F30" i="44"/>
  <c r="G30" i="44"/>
  <c r="H30" i="44"/>
  <c r="I30" i="44"/>
  <c r="J30" i="44"/>
  <c r="L30" i="44"/>
  <c r="M30" i="44"/>
  <c r="N30" i="44"/>
  <c r="O30" i="44"/>
  <c r="P30" i="44"/>
  <c r="Q30" i="44"/>
  <c r="R30" i="44"/>
  <c r="S30" i="44"/>
  <c r="A55" i="50"/>
  <c r="A56" i="50" s="1"/>
  <c r="A57" i="50" s="1"/>
  <c r="A58" i="50" s="1"/>
  <c r="A59" i="50" s="1"/>
  <c r="A60" i="50" s="1"/>
  <c r="A61" i="50" s="1"/>
  <c r="A62" i="50" s="1"/>
  <c r="A63" i="50" s="1"/>
  <c r="A64" i="50" s="1"/>
  <c r="E85" i="50"/>
  <c r="E79" i="50"/>
  <c r="E78" i="50"/>
  <c r="E63" i="50"/>
  <c r="E62" i="50"/>
  <c r="H70" i="26" l="1"/>
  <c r="H66" i="26"/>
  <c r="H64" i="26"/>
  <c r="G67" i="26"/>
  <c r="G76" i="50"/>
  <c r="R70" i="50"/>
  <c r="E77" i="50"/>
  <c r="E76" i="50"/>
  <c r="AA57" i="50"/>
  <c r="E61" i="50"/>
  <c r="E60" i="50"/>
  <c r="M8" i="50"/>
  <c r="M9" i="50"/>
  <c r="M10" i="50"/>
  <c r="M11" i="50"/>
  <c r="M12" i="50"/>
  <c r="M13" i="50"/>
  <c r="M14" i="50"/>
  <c r="M15" i="50"/>
  <c r="M16" i="50"/>
  <c r="M17" i="50"/>
  <c r="M18" i="50"/>
  <c r="M19" i="50"/>
  <c r="M20" i="50"/>
  <c r="M21" i="50"/>
  <c r="M22" i="50"/>
  <c r="M23" i="50"/>
  <c r="M24" i="50"/>
  <c r="M25" i="50"/>
  <c r="M26" i="50"/>
  <c r="M27" i="50"/>
  <c r="M28" i="50"/>
  <c r="M29" i="50"/>
  <c r="M30" i="50"/>
  <c r="M31" i="50"/>
  <c r="M32" i="50"/>
  <c r="M33" i="50"/>
  <c r="M34" i="50"/>
  <c r="M35" i="50"/>
  <c r="M36" i="50"/>
  <c r="M37" i="50"/>
  <c r="M38" i="50"/>
  <c r="M39" i="50"/>
  <c r="M40" i="50"/>
  <c r="M41" i="50"/>
  <c r="M42" i="50"/>
  <c r="M43" i="50"/>
  <c r="M44" i="50"/>
  <c r="M45" i="50"/>
  <c r="M46" i="50"/>
  <c r="M47" i="50"/>
  <c r="U54" i="50"/>
  <c r="M7" i="50"/>
  <c r="A81" i="50" l="1"/>
  <c r="A82" i="50" s="1"/>
  <c r="A83" i="50" s="1"/>
  <c r="A84" i="50" s="1"/>
  <c r="A85" i="50" s="1"/>
  <c r="E84" i="50"/>
  <c r="E83" i="50"/>
  <c r="E82" i="50"/>
  <c r="E20" i="50" l="1"/>
  <c r="E19" i="50"/>
  <c r="E18" i="50"/>
  <c r="E17" i="50"/>
  <c r="E16" i="50"/>
  <c r="E15" i="50"/>
  <c r="E14" i="50"/>
  <c r="E13" i="50"/>
  <c r="E12" i="50"/>
  <c r="E11" i="50"/>
  <c r="E10" i="50"/>
  <c r="E9" i="50"/>
  <c r="E8" i="50"/>
  <c r="E7" i="50"/>
  <c r="E34" i="50" l="1"/>
  <c r="E33" i="50"/>
  <c r="E47" i="50" s="1"/>
  <c r="E32" i="50"/>
  <c r="E46" i="50" s="1"/>
  <c r="E31" i="50"/>
  <c r="E45" i="50" s="1"/>
  <c r="E30" i="50"/>
  <c r="E44" i="50" s="1"/>
  <c r="E29" i="50"/>
  <c r="E43" i="50" s="1"/>
  <c r="E28" i="50"/>
  <c r="E42" i="50" s="1"/>
  <c r="E27" i="50"/>
  <c r="E41" i="50" s="1"/>
  <c r="E26" i="50"/>
  <c r="E40" i="50" s="1"/>
  <c r="E25" i="50"/>
  <c r="E39" i="50" s="1"/>
  <c r="E24" i="50"/>
  <c r="E38" i="50" s="1"/>
  <c r="E23" i="50"/>
  <c r="E37" i="50" s="1"/>
  <c r="E22" i="50"/>
  <c r="E36" i="50" s="1"/>
  <c r="E21" i="50"/>
  <c r="E35" i="50" s="1"/>
  <c r="D108" i="20"/>
  <c r="B107" i="20"/>
  <c r="C107" i="20" s="1"/>
  <c r="B106" i="20"/>
  <c r="D106" i="20" s="1"/>
  <c r="B105" i="20"/>
  <c r="D105" i="20" s="1"/>
  <c r="B104" i="20"/>
  <c r="D104" i="20" s="1"/>
  <c r="B103" i="20"/>
  <c r="D103" i="20" s="1"/>
  <c r="B102" i="20"/>
  <c r="C102" i="20" s="1"/>
  <c r="B101" i="20"/>
  <c r="D101" i="20" s="1"/>
  <c r="B100" i="20"/>
  <c r="D100" i="20" s="1"/>
  <c r="B99" i="20"/>
  <c r="D99" i="20" s="1"/>
  <c r="B98" i="20"/>
  <c r="D98" i="20" s="1"/>
  <c r="B97" i="20"/>
  <c r="D97" i="20" s="1"/>
  <c r="B96" i="20"/>
  <c r="C96" i="20" s="1"/>
  <c r="B95" i="20"/>
  <c r="C95" i="20" s="1"/>
  <c r="B94" i="20"/>
  <c r="C94" i="20" s="1"/>
  <c r="D94" i="20" l="1"/>
  <c r="C106" i="20"/>
  <c r="D107" i="20"/>
  <c r="C101" i="20"/>
  <c r="C100" i="20"/>
  <c r="D95" i="20"/>
  <c r="C105" i="20"/>
  <c r="C108" i="20"/>
  <c r="C104" i="20"/>
  <c r="C103" i="20"/>
  <c r="D102" i="20"/>
  <c r="C99" i="20"/>
  <c r="C98" i="20"/>
  <c r="C97" i="20"/>
  <c r="D96" i="20"/>
  <c r="C70" i="50" l="1"/>
  <c r="B70" i="50"/>
  <c r="C54" i="50"/>
  <c r="B54" i="50"/>
  <c r="C47" i="50"/>
  <c r="B47" i="50"/>
  <c r="A47" i="50"/>
  <c r="C46" i="50"/>
  <c r="B46" i="50"/>
  <c r="A46" i="50"/>
  <c r="C45" i="50"/>
  <c r="B45" i="50"/>
  <c r="A45" i="50"/>
  <c r="C44" i="50"/>
  <c r="B44" i="50"/>
  <c r="A44" i="50"/>
  <c r="C43" i="50"/>
  <c r="B43" i="50"/>
  <c r="A43" i="50"/>
  <c r="C42" i="50"/>
  <c r="B42" i="50"/>
  <c r="A42" i="50"/>
  <c r="C41" i="50"/>
  <c r="B41" i="50"/>
  <c r="A41" i="50"/>
  <c r="C40" i="50"/>
  <c r="B40" i="50"/>
  <c r="A40" i="50"/>
  <c r="C39" i="50"/>
  <c r="B39" i="50"/>
  <c r="A39" i="50"/>
  <c r="C38" i="50"/>
  <c r="B38" i="50"/>
  <c r="A38" i="50"/>
  <c r="C37" i="50"/>
  <c r="B37" i="50"/>
  <c r="A37" i="50"/>
  <c r="A36" i="50"/>
  <c r="C36" i="50"/>
  <c r="B36" i="50"/>
  <c r="C35" i="50"/>
  <c r="B35" i="50"/>
  <c r="A35" i="50"/>
  <c r="C34" i="50"/>
  <c r="B34" i="50"/>
  <c r="A34" i="50"/>
  <c r="C33" i="50"/>
  <c r="B33" i="50"/>
  <c r="A33" i="50"/>
  <c r="C32" i="50"/>
  <c r="B32" i="50"/>
  <c r="A32" i="50"/>
  <c r="C31" i="50"/>
  <c r="B31" i="50"/>
  <c r="A31" i="50"/>
  <c r="C30" i="50"/>
  <c r="B30" i="50"/>
  <c r="A30" i="50"/>
  <c r="C29" i="50"/>
  <c r="B29" i="50"/>
  <c r="A29" i="50"/>
  <c r="C28" i="50"/>
  <c r="B28" i="50"/>
  <c r="A28" i="50"/>
  <c r="C27" i="50"/>
  <c r="B27" i="50"/>
  <c r="A27" i="50"/>
  <c r="C26" i="50"/>
  <c r="B26" i="50"/>
  <c r="A26" i="50"/>
  <c r="C25" i="50"/>
  <c r="B25" i="50"/>
  <c r="A25" i="50"/>
  <c r="C24" i="50"/>
  <c r="B24" i="50"/>
  <c r="A24" i="50"/>
  <c r="C23" i="50"/>
  <c r="B23" i="50"/>
  <c r="A23" i="50"/>
  <c r="C22" i="50"/>
  <c r="B22" i="50"/>
  <c r="A22" i="50"/>
  <c r="C21" i="50"/>
  <c r="B21" i="50"/>
  <c r="A21" i="50"/>
  <c r="C20" i="50"/>
  <c r="B20" i="50"/>
  <c r="A20" i="50"/>
  <c r="C19" i="50"/>
  <c r="B19" i="50"/>
  <c r="A19" i="50"/>
  <c r="C18" i="50"/>
  <c r="B18" i="50"/>
  <c r="A18" i="50"/>
  <c r="C17" i="50"/>
  <c r="B17" i="50"/>
  <c r="A17" i="50"/>
  <c r="C16" i="50"/>
  <c r="B16" i="50"/>
  <c r="A16" i="50"/>
  <c r="C15" i="50"/>
  <c r="B15" i="50"/>
  <c r="A15" i="50"/>
  <c r="C14" i="50"/>
  <c r="B14" i="50"/>
  <c r="A14" i="50"/>
  <c r="C13" i="50"/>
  <c r="B13" i="50"/>
  <c r="A13" i="50"/>
  <c r="C12" i="50"/>
  <c r="B12" i="50"/>
  <c r="A12" i="50"/>
  <c r="C11" i="50"/>
  <c r="B11" i="50"/>
  <c r="A11" i="50"/>
  <c r="C10" i="50"/>
  <c r="B10" i="50"/>
  <c r="A10" i="50"/>
  <c r="C9" i="50"/>
  <c r="B9" i="50"/>
  <c r="A9" i="50"/>
  <c r="C8" i="50"/>
  <c r="B8" i="50"/>
  <c r="A8" i="50"/>
  <c r="A7" i="50"/>
  <c r="C7" i="50"/>
  <c r="B7" i="50"/>
  <c r="L80" i="50" l="1"/>
  <c r="D73" i="50"/>
  <c r="D72" i="50"/>
  <c r="D71" i="50"/>
  <c r="D70" i="50"/>
  <c r="D57" i="50"/>
  <c r="D56" i="50"/>
  <c r="D55" i="50"/>
  <c r="D54" i="50"/>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J30" i="17" l="1"/>
  <c r="K30" i="17" s="1"/>
  <c r="J29" i="17"/>
  <c r="K29" i="17" s="1"/>
  <c r="J28" i="17" l="1"/>
  <c r="J27" i="17"/>
  <c r="J25" i="17"/>
  <c r="J24" i="17"/>
  <c r="J18" i="17"/>
  <c r="J17" i="17"/>
  <c r="J16" i="17"/>
  <c r="J15" i="17"/>
  <c r="J14" i="17"/>
  <c r="J13" i="17"/>
  <c r="J12" i="17"/>
  <c r="J11" i="17"/>
  <c r="J21" i="17" s="1"/>
  <c r="N78" i="26" l="1"/>
  <c r="V255" i="26" l="1"/>
  <c r="V214" i="26"/>
  <c r="V187" i="26"/>
  <c r="V173" i="26"/>
  <c r="V132" i="26"/>
  <c r="V91" i="26"/>
  <c r="V64" i="26"/>
  <c r="V50" i="26"/>
  <c r="E29" i="17"/>
  <c r="F29" i="17" s="1"/>
  <c r="F41" i="17"/>
  <c r="F36" i="17"/>
  <c r="E17" i="17"/>
  <c r="F17" i="17" s="1"/>
  <c r="J5" i="47"/>
  <c r="H93" i="26" s="1"/>
  <c r="K5" i="47"/>
  <c r="H216" i="26" s="1"/>
  <c r="L5" i="47"/>
  <c r="M5" i="47"/>
  <c r="J9" i="47"/>
  <c r="H97" i="26" s="1"/>
  <c r="K9" i="47"/>
  <c r="H220" i="26" s="1"/>
  <c r="L9" i="47"/>
  <c r="M9" i="47"/>
  <c r="L10" i="47"/>
  <c r="I5" i="47"/>
  <c r="H52" i="26" s="1"/>
  <c r="AB60" i="50" s="1"/>
  <c r="I9" i="47"/>
  <c r="H56" i="26" s="1"/>
  <c r="AB62" i="50" s="1"/>
  <c r="Q6" i="48"/>
  <c r="Q5" i="48"/>
  <c r="Q4" i="48"/>
  <c r="Q3" i="48"/>
  <c r="D16" i="46"/>
  <c r="D15" i="46"/>
  <c r="G16" i="46" s="1"/>
  <c r="C16" i="46"/>
  <c r="C15" i="46"/>
  <c r="F16" i="46" s="1"/>
  <c r="D13" i="46"/>
  <c r="D12" i="46"/>
  <c r="G13" i="46" s="1"/>
  <c r="C13" i="46"/>
  <c r="C12" i="46"/>
  <c r="F13" i="46" s="1"/>
  <c r="D10" i="46"/>
  <c r="D9" i="46"/>
  <c r="G10" i="46" s="1"/>
  <c r="C10" i="46"/>
  <c r="C9" i="46" l="1"/>
  <c r="F10" i="46" s="1"/>
  <c r="D7" i="46"/>
  <c r="D6" i="46"/>
  <c r="C7" i="46"/>
  <c r="C6" i="46"/>
  <c r="D4" i="46"/>
  <c r="D3" i="46"/>
  <c r="C4" i="46"/>
  <c r="C3" i="46"/>
  <c r="H257" i="26"/>
  <c r="S99" i="44"/>
  <c r="R99" i="44"/>
  <c r="Q99" i="44"/>
  <c r="P99" i="44"/>
  <c r="O99" i="44"/>
  <c r="M99" i="44"/>
  <c r="L99" i="44"/>
  <c r="K99" i="44"/>
  <c r="J99" i="44"/>
  <c r="I99" i="44"/>
  <c r="H99" i="44"/>
  <c r="G99" i="44"/>
  <c r="F99" i="44"/>
  <c r="E99" i="44"/>
  <c r="D99" i="44"/>
  <c r="C99" i="44"/>
  <c r="S98" i="44"/>
  <c r="R98" i="44"/>
  <c r="Q98" i="44"/>
  <c r="P98" i="44"/>
  <c r="O98" i="44"/>
  <c r="M98" i="44"/>
  <c r="L98" i="44"/>
  <c r="K98" i="44"/>
  <c r="J98" i="44"/>
  <c r="I98" i="44"/>
  <c r="H98" i="44"/>
  <c r="G98" i="44"/>
  <c r="F98" i="44"/>
  <c r="E98" i="44"/>
  <c r="D98" i="44"/>
  <c r="C98" i="44"/>
  <c r="S82" i="44"/>
  <c r="R82" i="44"/>
  <c r="Q82" i="44"/>
  <c r="P82" i="44"/>
  <c r="O82" i="44"/>
  <c r="N82" i="44"/>
  <c r="M82" i="44"/>
  <c r="L82" i="44"/>
  <c r="K82" i="44"/>
  <c r="J82" i="44"/>
  <c r="I82" i="44"/>
  <c r="H82" i="44"/>
  <c r="G82" i="44"/>
  <c r="F82" i="44"/>
  <c r="E82" i="44"/>
  <c r="D82" i="44"/>
  <c r="C82" i="44"/>
  <c r="S81" i="44"/>
  <c r="R81" i="44"/>
  <c r="Q81" i="44"/>
  <c r="P81" i="44"/>
  <c r="O81" i="44"/>
  <c r="N81" i="44"/>
  <c r="L81" i="44"/>
  <c r="K81" i="44"/>
  <c r="J81" i="44"/>
  <c r="I81" i="44"/>
  <c r="H81" i="44"/>
  <c r="G81" i="44"/>
  <c r="F81" i="44"/>
  <c r="E81" i="44"/>
  <c r="D81" i="44"/>
  <c r="C81" i="44"/>
  <c r="S65" i="44"/>
  <c r="R65" i="44"/>
  <c r="Q65" i="44"/>
  <c r="P65" i="44"/>
  <c r="O65" i="44"/>
  <c r="N65" i="44"/>
  <c r="M65" i="44"/>
  <c r="L65" i="44"/>
  <c r="K65" i="44"/>
  <c r="J65" i="44"/>
  <c r="I65" i="44"/>
  <c r="H65" i="44"/>
  <c r="G65" i="44"/>
  <c r="F65" i="44"/>
  <c r="E65" i="44"/>
  <c r="D65" i="44"/>
  <c r="C65" i="44"/>
  <c r="S64" i="44"/>
  <c r="R64" i="44"/>
  <c r="Q64" i="44"/>
  <c r="P64" i="44"/>
  <c r="O64" i="44"/>
  <c r="N64" i="44"/>
  <c r="M64" i="44"/>
  <c r="L64" i="44"/>
  <c r="K64" i="44"/>
  <c r="J64" i="44"/>
  <c r="I64" i="44"/>
  <c r="H64" i="44"/>
  <c r="G64" i="44"/>
  <c r="F64" i="44"/>
  <c r="E64" i="44"/>
  <c r="D64" i="44"/>
  <c r="C64" i="44"/>
  <c r="S48" i="44"/>
  <c r="R48" i="44"/>
  <c r="Q48" i="44"/>
  <c r="P48" i="44"/>
  <c r="O48" i="44"/>
  <c r="N48" i="44"/>
  <c r="M48" i="44"/>
  <c r="L48" i="44"/>
  <c r="K48" i="44"/>
  <c r="J48" i="44"/>
  <c r="I48" i="44"/>
  <c r="H48" i="44"/>
  <c r="G48" i="44"/>
  <c r="F48" i="44"/>
  <c r="E48" i="44"/>
  <c r="D48" i="44"/>
  <c r="C48" i="44"/>
  <c r="S47" i="44"/>
  <c r="R47" i="44"/>
  <c r="Q47" i="44"/>
  <c r="P47" i="44"/>
  <c r="O47" i="44"/>
  <c r="N47" i="44"/>
  <c r="M47" i="44"/>
  <c r="L47" i="44"/>
  <c r="K47" i="44"/>
  <c r="J47" i="44"/>
  <c r="I47" i="44"/>
  <c r="H47" i="44"/>
  <c r="G47" i="44"/>
  <c r="F47" i="44"/>
  <c r="E47" i="44"/>
  <c r="D47" i="44"/>
  <c r="C47" i="44"/>
  <c r="T13" i="44"/>
  <c r="T12" i="44"/>
  <c r="T11" i="44"/>
  <c r="T10" i="44"/>
  <c r="T9" i="44"/>
  <c r="T8" i="44"/>
  <c r="T7" i="44"/>
  <c r="T6" i="44"/>
  <c r="T5" i="44"/>
  <c r="H268" i="26"/>
  <c r="H241" i="26"/>
  <c r="H282" i="26" s="1"/>
  <c r="H261" i="26"/>
  <c r="H200" i="26"/>
  <c r="H186" i="26"/>
  <c r="H159" i="26"/>
  <c r="H145" i="26"/>
  <c r="H113" i="26"/>
  <c r="H154" i="26" s="1"/>
  <c r="H138" i="26"/>
  <c r="H134" i="26"/>
  <c r="H84" i="26"/>
  <c r="H80" i="26"/>
  <c r="J16" i="10"/>
  <c r="J17" i="10"/>
  <c r="J18" i="10"/>
  <c r="J19" i="10"/>
  <c r="J20" i="10"/>
  <c r="J21" i="10"/>
  <c r="J22" i="10"/>
  <c r="J23" i="10"/>
  <c r="J24" i="10"/>
  <c r="J25" i="10"/>
  <c r="J26" i="10"/>
  <c r="J27" i="10"/>
  <c r="J28" i="10"/>
  <c r="J29" i="10"/>
  <c r="J30" i="10"/>
  <c r="J31" i="10"/>
  <c r="J32" i="10"/>
  <c r="L70" i="50" s="1"/>
  <c r="J33" i="10"/>
  <c r="J34" i="10"/>
  <c r="J35" i="10"/>
  <c r="J36" i="10"/>
  <c r="J37" i="10"/>
  <c r="J38" i="10"/>
  <c r="J39" i="10"/>
  <c r="J40" i="10"/>
  <c r="J41" i="10"/>
  <c r="J42" i="10"/>
  <c r="J15" i="10"/>
  <c r="T98" i="44" l="1"/>
  <c r="T99" i="44"/>
  <c r="T48" i="44"/>
  <c r="T65" i="44"/>
  <c r="H207" i="26"/>
  <c r="G84" i="50"/>
  <c r="H203" i="26"/>
  <c r="G82" i="50"/>
  <c r="F3" i="47" a="1"/>
  <c r="F3" i="47" s="1"/>
  <c r="E3" i="47" a="1"/>
  <c r="E3" i="47" s="1"/>
  <c r="D3" i="47" a="1"/>
  <c r="D3" i="47" s="1"/>
  <c r="C3" i="47" a="1"/>
  <c r="C3" i="47" s="1"/>
  <c r="T30" i="44"/>
  <c r="F7" i="47" a="1"/>
  <c r="F7" i="47" s="1"/>
  <c r="M7" i="47" s="1"/>
  <c r="E7" i="47" a="1"/>
  <c r="E7" i="47" s="1"/>
  <c r="L7" i="47" s="1"/>
  <c r="D7" i="47" a="1"/>
  <c r="D7" i="47" s="1"/>
  <c r="K7" i="47" s="1"/>
  <c r="H218" i="26" s="1"/>
  <c r="H259" i="26" s="1"/>
  <c r="C7" i="47" a="1"/>
  <c r="C7" i="47" s="1"/>
  <c r="J7" i="47" s="1"/>
  <c r="H95" i="26" s="1"/>
  <c r="H136" i="26" s="1"/>
  <c r="B7" i="47" a="1"/>
  <c r="B7" i="47" s="1"/>
  <c r="I7" i="47" s="1"/>
  <c r="H54" i="26" s="1"/>
  <c r="H82" i="26" s="1"/>
  <c r="H205" i="26" s="1"/>
  <c r="F11" i="47" a="1"/>
  <c r="F11" i="47" s="1"/>
  <c r="M11" i="47" s="1"/>
  <c r="E11" i="47" a="1"/>
  <c r="E11" i="47" s="1"/>
  <c r="L11" i="47" s="1"/>
  <c r="D11" i="47" a="1"/>
  <c r="D11" i="47" s="1"/>
  <c r="K11" i="47" s="1"/>
  <c r="C11" i="47" a="1"/>
  <c r="C11" i="47" s="1"/>
  <c r="J11" i="47" s="1"/>
  <c r="B11" i="47" a="1"/>
  <c r="B11" i="47" s="1"/>
  <c r="I11" i="47" s="1"/>
  <c r="AB59" i="50" s="1"/>
  <c r="F15" i="47" a="1"/>
  <c r="F15" i="47" s="1"/>
  <c r="M15" i="47" s="1"/>
  <c r="E15" i="47" a="1"/>
  <c r="E15" i="47" s="1"/>
  <c r="L15" i="47" s="1"/>
  <c r="D15" i="47" a="1"/>
  <c r="D15" i="47" s="1"/>
  <c r="K15" i="47" s="1"/>
  <c r="C15" i="47" a="1"/>
  <c r="C15" i="47" s="1"/>
  <c r="J15" i="47" s="1"/>
  <c r="B15" i="47" a="1"/>
  <c r="B15" i="47" s="1"/>
  <c r="I15" i="47" s="1"/>
  <c r="T47" i="44"/>
  <c r="T64" i="44"/>
  <c r="T81" i="44"/>
  <c r="T82" i="44"/>
  <c r="F4" i="46"/>
  <c r="G4" i="46"/>
  <c r="F7" i="46"/>
  <c r="G7" i="46"/>
  <c r="F4" i="47" a="1"/>
  <c r="F4" i="47" s="1"/>
  <c r="M4" i="47" s="1"/>
  <c r="E4" i="47" a="1"/>
  <c r="E4" i="47" s="1"/>
  <c r="L4" i="47" s="1"/>
  <c r="D4" i="47" a="1"/>
  <c r="D4" i="47" s="1"/>
  <c r="K4" i="47" s="1"/>
  <c r="H215" i="26" s="1"/>
  <c r="H243" i="26" s="1"/>
  <c r="H284" i="26" s="1"/>
  <c r="C4" i="47" a="1"/>
  <c r="C4" i="47" s="1"/>
  <c r="J4" i="47" s="1"/>
  <c r="H92" i="26" s="1"/>
  <c r="H120" i="26" s="1"/>
  <c r="H161" i="26" s="1"/>
  <c r="B4" i="47" a="1"/>
  <c r="B4" i="47" s="1"/>
  <c r="I4" i="47" s="1"/>
  <c r="H51" i="26" s="1"/>
  <c r="H65" i="26" s="1"/>
  <c r="F6" i="47" a="1"/>
  <c r="F6" i="47" s="1"/>
  <c r="M6" i="47" s="1"/>
  <c r="E6" i="47" a="1"/>
  <c r="E6" i="47" s="1"/>
  <c r="L6" i="47" s="1"/>
  <c r="D6" i="47" a="1"/>
  <c r="D6" i="47" s="1"/>
  <c r="K6" i="47" s="1"/>
  <c r="H217" i="26" s="1"/>
  <c r="H245" i="26" s="1"/>
  <c r="H286" i="26" s="1"/>
  <c r="C6" i="47" a="1"/>
  <c r="C6" i="47" s="1"/>
  <c r="J6" i="47" s="1"/>
  <c r="H94" i="26" s="1"/>
  <c r="H122" i="26" s="1"/>
  <c r="H163" i="26" s="1"/>
  <c r="B6" i="47" a="1"/>
  <c r="B6" i="47" s="1"/>
  <c r="I6" i="47" s="1"/>
  <c r="H53" i="26" s="1"/>
  <c r="E8" i="47" a="1"/>
  <c r="E8" i="47" s="1"/>
  <c r="L8" i="47" s="1"/>
  <c r="F8" i="47" a="1"/>
  <c r="F8" i="47" s="1"/>
  <c r="M8" i="47" s="1"/>
  <c r="D8" i="47" a="1"/>
  <c r="D8" i="47" s="1"/>
  <c r="K8" i="47" s="1"/>
  <c r="H219" i="26" s="1"/>
  <c r="C8" i="47" a="1"/>
  <c r="C8" i="47" s="1"/>
  <c r="J8" i="47" s="1"/>
  <c r="H96" i="26" s="1"/>
  <c r="H124" i="26" s="1"/>
  <c r="H165" i="26" s="1"/>
  <c r="B8" i="47" a="1"/>
  <c r="B8" i="47" s="1"/>
  <c r="F10" i="47" a="1"/>
  <c r="F10" i="47" s="1"/>
  <c r="M10" i="47" s="1"/>
  <c r="D10" i="47" a="1"/>
  <c r="D10" i="47" s="1"/>
  <c r="K10" i="47" s="1"/>
  <c r="H221" i="26" s="1"/>
  <c r="H262" i="26" s="1"/>
  <c r="C10" i="47" a="1"/>
  <c r="C10" i="47" s="1"/>
  <c r="J10" i="47" s="1"/>
  <c r="H98" i="26" s="1"/>
  <c r="H126" i="26" s="1"/>
  <c r="H167" i="26" s="1"/>
  <c r="I10" i="47"/>
  <c r="F13" i="47" a="1"/>
  <c r="F13" i="47" s="1"/>
  <c r="M13" i="47" s="1"/>
  <c r="E13" i="47" a="1"/>
  <c r="E13" i="47" s="1"/>
  <c r="L13" i="47" s="1"/>
  <c r="D13" i="47" a="1"/>
  <c r="D13" i="47" s="1"/>
  <c r="K13" i="47" s="1"/>
  <c r="C13" i="47" a="1"/>
  <c r="C13" i="47" s="1"/>
  <c r="J13" i="47" s="1"/>
  <c r="B13" i="47" a="1"/>
  <c r="B13" i="47" s="1"/>
  <c r="I13" i="47" s="1"/>
  <c r="F14" i="47" a="1"/>
  <c r="F14" i="47" s="1"/>
  <c r="M14" i="47" s="1"/>
  <c r="E14" i="47" a="1"/>
  <c r="E14" i="47" s="1"/>
  <c r="L14" i="47" s="1"/>
  <c r="D14" i="47" a="1"/>
  <c r="D14" i="47" s="1"/>
  <c r="K14" i="47" s="1"/>
  <c r="C14" i="47" a="1"/>
  <c r="C14" i="47" s="1"/>
  <c r="J14" i="47" s="1"/>
  <c r="H102" i="26" s="1"/>
  <c r="B14" i="47" a="1"/>
  <c r="B14" i="47" s="1"/>
  <c r="I14" i="47" s="1"/>
  <c r="H61" i="26" s="1"/>
  <c r="H184" i="26" s="1"/>
  <c r="H68" i="26"/>
  <c r="H191" i="26" s="1"/>
  <c r="H108" i="26"/>
  <c r="H149" i="26" s="1"/>
  <c r="H121" i="26"/>
  <c r="H162" i="26" s="1"/>
  <c r="H123" i="26"/>
  <c r="H164" i="26" s="1"/>
  <c r="H125" i="26"/>
  <c r="H166" i="26" s="1"/>
  <c r="H175" i="26"/>
  <c r="H177" i="26"/>
  <c r="H179" i="26"/>
  <c r="H230" i="26"/>
  <c r="H271" i="26" s="1"/>
  <c r="H234" i="26"/>
  <c r="H275" i="26" s="1"/>
  <c r="H244" i="26"/>
  <c r="H285" i="26" s="1"/>
  <c r="H248" i="26"/>
  <c r="H289" i="26" s="1"/>
  <c r="H256" i="26"/>
  <c r="H107" i="26"/>
  <c r="H148" i="26" s="1"/>
  <c r="H109" i="26"/>
  <c r="H150" i="26" s="1"/>
  <c r="H111" i="26"/>
  <c r="H152" i="26" s="1"/>
  <c r="H229" i="26"/>
  <c r="H270" i="26" s="1"/>
  <c r="H106" i="26" l="1"/>
  <c r="H147" i="26" s="1"/>
  <c r="I8" i="47"/>
  <c r="H55" i="26" s="1"/>
  <c r="H232" i="26"/>
  <c r="H273" i="26" s="1"/>
  <c r="H246" i="26"/>
  <c r="H287" i="26" s="1"/>
  <c r="H133" i="26"/>
  <c r="AB58" i="50"/>
  <c r="G74" i="50" s="1"/>
  <c r="H176" i="26"/>
  <c r="H67" i="26"/>
  <c r="H190" i="26" s="1"/>
  <c r="H135" i="26"/>
  <c r="H79" i="26"/>
  <c r="H202" i="26" s="1"/>
  <c r="G75" i="50"/>
  <c r="H231" i="26"/>
  <c r="H272" i="26" s="1"/>
  <c r="H258" i="26"/>
  <c r="H110" i="26"/>
  <c r="H151" i="26" s="1"/>
  <c r="H174" i="26"/>
  <c r="AB61" i="50"/>
  <c r="H189" i="26"/>
  <c r="G81" i="50"/>
  <c r="H188" i="26"/>
  <c r="G77" i="50"/>
  <c r="H193" i="26"/>
  <c r="G78" i="50"/>
  <c r="H57" i="26"/>
  <c r="H139" i="26"/>
  <c r="H60" i="26"/>
  <c r="H224" i="26"/>
  <c r="H137" i="26"/>
  <c r="H112" i="26"/>
  <c r="H153" i="26" s="1"/>
  <c r="H81" i="26"/>
  <c r="H204" i="26" s="1"/>
  <c r="H225" i="26"/>
  <c r="H101" i="26"/>
  <c r="H235" i="26"/>
  <c r="H276" i="26" s="1"/>
  <c r="H249" i="26"/>
  <c r="H290" i="26" s="1"/>
  <c r="H103" i="26"/>
  <c r="H58" i="26"/>
  <c r="I12" i="47"/>
  <c r="K12" i="47"/>
  <c r="H222" i="26"/>
  <c r="M12" i="47"/>
  <c r="J3" i="47"/>
  <c r="C16" i="47"/>
  <c r="L3" i="47"/>
  <c r="E16" i="47"/>
  <c r="H62" i="26"/>
  <c r="H226" i="26"/>
  <c r="J12" i="47"/>
  <c r="H99" i="26"/>
  <c r="L12" i="47"/>
  <c r="B16" i="47"/>
  <c r="K3" i="47"/>
  <c r="D16" i="47"/>
  <c r="M3" i="47"/>
  <c r="F16" i="47"/>
  <c r="H247" i="26"/>
  <c r="H288" i="26" s="1"/>
  <c r="H233" i="26"/>
  <c r="H274" i="26" s="1"/>
  <c r="H260" i="26"/>
  <c r="H69" i="26" l="1"/>
  <c r="H192" i="26" s="1"/>
  <c r="AB63" i="50"/>
  <c r="H83" i="26"/>
  <c r="H178" i="26"/>
  <c r="G83" i="50"/>
  <c r="AB64" i="50"/>
  <c r="G80" i="50"/>
  <c r="H180" i="26"/>
  <c r="H85" i="26"/>
  <c r="H208" i="26" s="1"/>
  <c r="H71" i="26"/>
  <c r="H267" i="26"/>
  <c r="H254" i="26"/>
  <c r="H295" i="26" s="1"/>
  <c r="H240" i="26"/>
  <c r="H281" i="26" s="1"/>
  <c r="H90" i="26"/>
  <c r="H213" i="26" s="1"/>
  <c r="H76" i="26"/>
  <c r="H199" i="26" s="1"/>
  <c r="H185" i="26"/>
  <c r="H265" i="26"/>
  <c r="H238" i="26"/>
  <c r="H279" i="26" s="1"/>
  <c r="H252" i="26"/>
  <c r="H293" i="26" s="1"/>
  <c r="H88" i="26"/>
  <c r="H211" i="26" s="1"/>
  <c r="H74" i="26"/>
  <c r="H197" i="26" s="1"/>
  <c r="H183" i="26"/>
  <c r="H130" i="26"/>
  <c r="H171" i="26" s="1"/>
  <c r="H116" i="26"/>
  <c r="H157" i="26" s="1"/>
  <c r="H143" i="26"/>
  <c r="M16" i="47"/>
  <c r="K16" i="47"/>
  <c r="I16" i="47"/>
  <c r="H100" i="26"/>
  <c r="H140" i="26"/>
  <c r="H127" i="26"/>
  <c r="H168" i="26" s="1"/>
  <c r="L16" i="47"/>
  <c r="J16" i="47"/>
  <c r="H223" i="26"/>
  <c r="H263" i="26"/>
  <c r="H250" i="26"/>
  <c r="H291" i="26" s="1"/>
  <c r="H236" i="26"/>
  <c r="H277" i="26" s="1"/>
  <c r="H59" i="26"/>
  <c r="H86" i="26"/>
  <c r="H209" i="26" s="1"/>
  <c r="H72" i="26"/>
  <c r="H195" i="26" s="1"/>
  <c r="H181" i="26"/>
  <c r="H144" i="26"/>
  <c r="H131" i="26"/>
  <c r="H172" i="26" s="1"/>
  <c r="H117" i="26"/>
  <c r="H158" i="26" s="1"/>
  <c r="H142" i="26"/>
  <c r="H129" i="26"/>
  <c r="H170" i="26" s="1"/>
  <c r="H115" i="26"/>
  <c r="H156" i="26" s="1"/>
  <c r="H239" i="26"/>
  <c r="H280" i="26" s="1"/>
  <c r="H253" i="26"/>
  <c r="H294" i="26" s="1"/>
  <c r="H266" i="26"/>
  <c r="H89" i="26"/>
  <c r="H212" i="26" s="1"/>
  <c r="H75" i="26"/>
  <c r="H198" i="26" s="1"/>
  <c r="N228" i="26"/>
  <c r="N269" i="26" s="1"/>
  <c r="N187" i="26"/>
  <c r="N146" i="26"/>
  <c r="N105" i="26"/>
  <c r="N64" i="26"/>
  <c r="H206" i="26" l="1"/>
  <c r="G85" i="50"/>
  <c r="I64" i="50"/>
  <c r="J64" i="50" s="1"/>
  <c r="I62" i="50"/>
  <c r="J62" i="50" s="1"/>
  <c r="I59" i="50"/>
  <c r="I58" i="50"/>
  <c r="I60" i="50"/>
  <c r="J60" i="50" s="1"/>
  <c r="I63" i="50"/>
  <c r="I61" i="50"/>
  <c r="J61" i="50" s="1"/>
  <c r="H194" i="26"/>
  <c r="G79" i="50"/>
  <c r="H182" i="26"/>
  <c r="H73" i="26"/>
  <c r="H196" i="26" s="1"/>
  <c r="H87" i="26"/>
  <c r="H210" i="26" s="1"/>
  <c r="H237" i="26"/>
  <c r="H278" i="26" s="1"/>
  <c r="H251" i="26"/>
  <c r="H292" i="26" s="1"/>
  <c r="H264" i="26"/>
  <c r="H132" i="26"/>
  <c r="H105" i="26"/>
  <c r="H146" i="26" s="1"/>
  <c r="H119" i="26"/>
  <c r="H160" i="26" s="1"/>
  <c r="H255" i="26"/>
  <c r="H242" i="26"/>
  <c r="H283" i="26" s="1"/>
  <c r="H228" i="26"/>
  <c r="H269" i="26" s="1"/>
  <c r="H128" i="26"/>
  <c r="H169" i="26" s="1"/>
  <c r="H141" i="26"/>
  <c r="H114" i="26"/>
  <c r="H155" i="26" s="1"/>
  <c r="H78" i="26"/>
  <c r="H201" i="26" s="1"/>
  <c r="H187" i="26"/>
  <c r="H173" i="26"/>
  <c r="J22" i="17"/>
  <c r="J19" i="17"/>
  <c r="B48" i="17"/>
  <c r="E272" i="26"/>
  <c r="E271" i="26"/>
  <c r="E270" i="26"/>
  <c r="E269" i="26"/>
  <c r="E258" i="26"/>
  <c r="E257" i="26"/>
  <c r="E256" i="26"/>
  <c r="E255" i="26"/>
  <c r="E190" i="26"/>
  <c r="E189" i="26"/>
  <c r="E188" i="26"/>
  <c r="E187" i="26"/>
  <c r="E176" i="26"/>
  <c r="E175" i="26"/>
  <c r="E174" i="26"/>
  <c r="E173" i="26"/>
  <c r="E149" i="26"/>
  <c r="E148" i="26"/>
  <c r="E147" i="26"/>
  <c r="E146" i="26"/>
  <c r="E135" i="26"/>
  <c r="E134" i="26"/>
  <c r="E133" i="26"/>
  <c r="E132" i="26"/>
  <c r="C47" i="10"/>
  <c r="K15" i="17" s="1"/>
  <c r="E50" i="10"/>
  <c r="C26" i="10"/>
  <c r="E231" i="26"/>
  <c r="E230" i="26"/>
  <c r="E229" i="26"/>
  <c r="E228" i="26"/>
  <c r="E217" i="26"/>
  <c r="E216" i="26"/>
  <c r="E215" i="26"/>
  <c r="E214" i="26"/>
  <c r="E108" i="26"/>
  <c r="E107" i="26"/>
  <c r="E106" i="26"/>
  <c r="E105" i="26"/>
  <c r="E94" i="26"/>
  <c r="E93" i="26"/>
  <c r="E92" i="26"/>
  <c r="E91" i="26"/>
  <c r="E67" i="26"/>
  <c r="E66" i="26"/>
  <c r="E65" i="26"/>
  <c r="E64" i="26"/>
  <c r="E53" i="26"/>
  <c r="E52" i="26"/>
  <c r="E51" i="26"/>
  <c r="E50" i="26"/>
  <c r="D7" i="10"/>
  <c r="D8" i="10"/>
  <c r="D9" i="10"/>
  <c r="D10" i="10"/>
  <c r="D11" i="10"/>
  <c r="D12" i="10"/>
  <c r="D13" i="10"/>
  <c r="D14" i="10"/>
  <c r="D15" i="10"/>
  <c r="D16" i="10"/>
  <c r="D17" i="10"/>
  <c r="D18" i="10"/>
  <c r="D20" i="10"/>
  <c r="D21" i="10"/>
  <c r="D22" i="10"/>
  <c r="D23" i="10"/>
  <c r="D24" i="10"/>
  <c r="D25" i="10"/>
  <c r="D27" i="10"/>
  <c r="D28" i="10"/>
  <c r="D29" i="10"/>
  <c r="D30" i="10"/>
  <c r="D31" i="10"/>
  <c r="D32" i="10"/>
  <c r="D33" i="10"/>
  <c r="D34" i="10"/>
  <c r="D35" i="10"/>
  <c r="D36" i="10"/>
  <c r="D37" i="10"/>
  <c r="D38" i="10"/>
  <c r="D39" i="10"/>
  <c r="D40" i="10"/>
  <c r="D44" i="10"/>
  <c r="K12" i="17"/>
  <c r="K16" i="17"/>
  <c r="K11" i="17"/>
  <c r="G272" i="26"/>
  <c r="G258" i="26"/>
  <c r="G231" i="26"/>
  <c r="G217" i="26"/>
  <c r="G190" i="26"/>
  <c r="G176" i="26"/>
  <c r="G149" i="26"/>
  <c r="G135" i="26"/>
  <c r="G108" i="26"/>
  <c r="G94" i="26"/>
  <c r="F73" i="50"/>
  <c r="B6" i="45" l="1"/>
  <c r="C6" i="45" s="1"/>
  <c r="B4" i="45"/>
  <c r="C4" i="45" s="1"/>
  <c r="B7" i="45"/>
  <c r="C7" i="45" s="1"/>
  <c r="B5" i="45"/>
  <c r="C5" i="45" s="1"/>
  <c r="B3" i="45"/>
  <c r="C3" i="45" s="1"/>
  <c r="J13" i="46"/>
  <c r="G36" i="17"/>
  <c r="G17" i="17"/>
  <c r="J16" i="46"/>
  <c r="G29" i="17"/>
  <c r="G32" i="17" s="1"/>
  <c r="V269" i="26" s="1"/>
  <c r="G41" i="17"/>
  <c r="J10" i="46"/>
  <c r="J7" i="46"/>
  <c r="J4" i="46"/>
  <c r="K17" i="17"/>
  <c r="K14" i="17"/>
  <c r="K18" i="17"/>
  <c r="K13" i="17"/>
  <c r="D26" i="10"/>
  <c r="D3" i="45" l="1"/>
  <c r="E3" i="45"/>
  <c r="E7" i="45"/>
  <c r="D7" i="45"/>
  <c r="D6" i="45"/>
  <c r="E6" i="45"/>
  <c r="K19" i="17"/>
  <c r="J18" i="46"/>
  <c r="E5" i="45"/>
  <c r="D5" i="45"/>
  <c r="D4" i="45"/>
  <c r="E4" i="45"/>
  <c r="G20" i="17"/>
  <c r="V146" i="26" s="1"/>
  <c r="G19" i="17"/>
  <c r="V105" i="26" s="1"/>
  <c r="G31" i="17"/>
  <c r="V228" i="26" s="1"/>
  <c r="F5" i="45" l="1"/>
  <c r="O21" i="17" s="1"/>
  <c r="K28" i="17" s="1"/>
  <c r="U255" i="26" s="1"/>
  <c r="F6" i="45"/>
  <c r="P21" i="17" s="1"/>
  <c r="F3" i="45"/>
  <c r="F4" i="45"/>
  <c r="K27" i="17"/>
  <c r="U214" i="26" s="1"/>
  <c r="F7" i="45"/>
  <c r="H6" i="45" l="1"/>
  <c r="I6" i="45" s="1"/>
  <c r="H5" i="45"/>
  <c r="I5" i="45" s="1"/>
  <c r="G214" i="26" s="1"/>
  <c r="G228" i="26" s="1"/>
  <c r="G269" i="26" s="1"/>
  <c r="M21" i="17"/>
  <c r="H3" i="45"/>
  <c r="I3" i="45" s="1"/>
  <c r="G50" i="26" s="1"/>
  <c r="G64" i="26" s="1"/>
  <c r="Q21" i="17"/>
  <c r="H7" i="45"/>
  <c r="I7" i="45" s="1"/>
  <c r="N21" i="17"/>
  <c r="H4" i="45"/>
  <c r="I4" i="45" s="1"/>
  <c r="G91" i="26" s="1"/>
  <c r="N201" i="26"/>
  <c r="N242" i="26"/>
  <c r="N119" i="26"/>
  <c r="N283" i="26"/>
  <c r="N160" i="26"/>
  <c r="G255" i="26" l="1"/>
  <c r="AA54" i="50"/>
  <c r="G51" i="26"/>
  <c r="G65" i="26" s="1"/>
  <c r="G52" i="26"/>
  <c r="G66" i="26" s="1"/>
  <c r="G173" i="26"/>
  <c r="K22" i="17"/>
  <c r="U173" i="26" s="1"/>
  <c r="K21" i="17"/>
  <c r="K24" i="17"/>
  <c r="U91" i="26" s="1"/>
  <c r="K25" i="17"/>
  <c r="U132" i="26" s="1"/>
  <c r="G105" i="26"/>
  <c r="G146" i="26" s="1"/>
  <c r="G132" i="26"/>
  <c r="V54" i="50" l="1"/>
  <c r="X54" i="50" s="1"/>
  <c r="Y54" i="50" s="1"/>
  <c r="U50" i="26"/>
  <c r="AA56" i="50"/>
  <c r="G230" i="26"/>
  <c r="G189" i="26"/>
  <c r="G148" i="26"/>
  <c r="G271" i="26"/>
  <c r="G134" i="26"/>
  <c r="G216" i="26"/>
  <c r="G257" i="26"/>
  <c r="G107" i="26"/>
  <c r="F72" i="50"/>
  <c r="G93" i="26"/>
  <c r="G175" i="26"/>
  <c r="AA55" i="50"/>
  <c r="G55" i="50" s="1"/>
  <c r="H55" i="50" s="1"/>
  <c r="G256" i="26"/>
  <c r="F71" i="50"/>
  <c r="G133" i="26"/>
  <c r="G270" i="26"/>
  <c r="G147" i="26"/>
  <c r="G92" i="26"/>
  <c r="G106" i="26"/>
  <c r="G229" i="26"/>
  <c r="G188" i="26"/>
  <c r="G174" i="26"/>
  <c r="G215" i="26"/>
  <c r="G187" i="26"/>
  <c r="F70" i="50"/>
  <c r="F54" i="50" l="1"/>
  <c r="G54" i="50"/>
  <c r="H54" i="50" s="1"/>
  <c r="G56" i="50"/>
  <c r="H56" i="50" s="1"/>
  <c r="G57" i="50"/>
  <c r="H57" i="50" s="1"/>
  <c r="W54" i="5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L80" authorId="0" shapeId="0" xr:uid="{00000000-0006-0000-0600-000001000000}">
      <text>
        <r>
          <rPr>
            <b/>
            <sz val="8"/>
            <color indexed="81"/>
            <rFont val="Tahoma"/>
            <family val="2"/>
          </rPr>
          <t>newuser:</t>
        </r>
        <r>
          <rPr>
            <sz val="8"/>
            <color indexed="81"/>
            <rFont val="Tahoma"/>
            <family val="2"/>
          </rPr>
          <t xml:space="preserve">
Based on old cost data from 2008 AEO which assumed that high limit capacity was equal in cost to about 20% of a new refinery.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N78" authorId="0" shapeId="0" xr:uid="{00000000-0006-0000-0700-000001000000}">
      <text>
        <r>
          <rPr>
            <b/>
            <sz val="8"/>
            <color indexed="81"/>
            <rFont val="Tahoma"/>
            <family val="2"/>
          </rPr>
          <t>newuser:</t>
        </r>
        <r>
          <rPr>
            <sz val="8"/>
            <color indexed="81"/>
            <rFont val="Tahoma"/>
            <family val="2"/>
          </rPr>
          <t xml:space="preserve">
Based on old cost data from 2008 AEO which assumed that high limit capacity was equal in cost to about 20% of a new refinery.</t>
        </r>
      </text>
    </comment>
    <comment ref="O91" authorId="0" shapeId="0" xr:uid="{00000000-0006-0000-0700-000002000000}">
      <text>
        <r>
          <rPr>
            <b/>
            <sz val="8"/>
            <color indexed="81"/>
            <rFont val="Tahoma"/>
            <family val="2"/>
          </rPr>
          <t>newuser:</t>
        </r>
        <r>
          <rPr>
            <sz val="8"/>
            <color indexed="81"/>
            <rFont val="Tahoma"/>
            <family val="2"/>
          </rPr>
          <t xml:space="preserve">
Based on old operating costs data from 2008 AEO.  Data is no longer updated by EIA.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<sst xmlns="http://schemas.openxmlformats.org/spreadsheetml/2006/main" count="2153" uniqueCount="935">
  <si>
    <t>From EIA Refinery Capacity Report</t>
  </si>
  <si>
    <t>http://www.eia.gov/pub/oil_gas/petroleum/data_publications/refinery_capacity_data/historical/2006/table1.pdf</t>
  </si>
  <si>
    <t>Barrels per Calender Day</t>
  </si>
  <si>
    <t>Final Costs Data</t>
  </si>
  <si>
    <t>MARKAL Region</t>
  </si>
  <si>
    <t>Number of Projects by Region for Data Collected</t>
  </si>
  <si>
    <t>Expansion / Heavy Crude</t>
  </si>
  <si>
    <t>Expansion / Sweet Crude</t>
  </si>
  <si>
    <t xml:space="preserve"> New Refinery / Heavy Crude</t>
  </si>
  <si>
    <t>Units in 2000$M/PJ/year</t>
  </si>
  <si>
    <t>Average values were used in instances where no expansion data was obtained and highlighted in red text.  No refineries are located in R1.  No refinery expansion data was obtained for refineries in R2 and are therefore represented by average values.</t>
  </si>
  <si>
    <t xml:space="preserve">From Costs Summary Sheet: </t>
  </si>
  <si>
    <t>Number of Projects by Region</t>
  </si>
  <si>
    <t>ND</t>
  </si>
  <si>
    <t>Average for Investment Category</t>
  </si>
  <si>
    <t>Note: - means 0 projects in that particular category; ND = no data, no expansion projects at all in that region.  No refineries in R1 and no new refineries for processing sweet crude in any region.</t>
  </si>
  <si>
    <t>From RTI Workbook "Task_5_Refinery_investment_costs", 3/31/2010</t>
  </si>
  <si>
    <t>CommUnit</t>
  </si>
  <si>
    <t>Comment</t>
  </si>
  <si>
    <t>TACTUnit</t>
  </si>
  <si>
    <t>TCAPUnit</t>
  </si>
  <si>
    <t>Set Memberships</t>
  </si>
  <si>
    <t>CommName</t>
  </si>
  <si>
    <t>CommDesc</t>
  </si>
  <si>
    <t>TechName</t>
  </si>
  <si>
    <t>TechDesc</t>
  </si>
  <si>
    <t>Units</t>
  </si>
  <si>
    <t>CommIN</t>
  </si>
  <si>
    <t>CommOUT</t>
  </si>
  <si>
    <t>ConstrName</t>
  </si>
  <si>
    <t>ConstrDesc</t>
  </si>
  <si>
    <t>ANSWER-Commodities</t>
  </si>
  <si>
    <t>ANSWER-Technologies</t>
  </si>
  <si>
    <t>ANSWER-Constraints</t>
  </si>
  <si>
    <t>ANSWER-CommData</t>
  </si>
  <si>
    <t>ANSWER-TechData</t>
  </si>
  <si>
    <t>ANSWER-ConstrData</t>
  </si>
  <si>
    <t>Conversion Factors</t>
  </si>
  <si>
    <t xml:space="preserve">Tablele A1. Approximate Heat Content of Petroleum Products </t>
  </si>
  <si>
    <t>1 barrel (bbl)</t>
  </si>
  <si>
    <t>U. S. gallons (gal)</t>
  </si>
  <si>
    <t>MMBTU</t>
  </si>
  <si>
    <t>PJ</t>
  </si>
  <si>
    <t>(Million Btu per Barrel)</t>
  </si>
  <si>
    <t>MMBtu per bbl</t>
  </si>
  <si>
    <t>MMBtu per gal</t>
  </si>
  <si>
    <t>Quad=</t>
  </si>
  <si>
    <t xml:space="preserve"> Asphalt </t>
  </si>
  <si>
    <t>kwh=</t>
  </si>
  <si>
    <t>BTU</t>
  </si>
  <si>
    <t xml:space="preserve"> Aviation Gasoline </t>
  </si>
  <si>
    <t xml:space="preserve"> Butane </t>
  </si>
  <si>
    <t xml:space="preserve"> Butane- Propane Mixture (60 percent-40  percent) </t>
  </si>
  <si>
    <t xml:space="preserve">NIPA Table 1.1.9. Implicit Price Deflators for Gross Domestic Product                                                                                                                                                                                          </t>
  </si>
  <si>
    <t xml:space="preserve"> Distillate Fuel Oil </t>
  </si>
  <si>
    <t xml:space="preserve"> Ethane </t>
  </si>
  <si>
    <t xml:space="preserve"> Ethane- Propane Mixture (70 percent-30  percent) </t>
  </si>
  <si>
    <t xml:space="preserve"> Isobutane </t>
  </si>
  <si>
    <t>Deflator</t>
  </si>
  <si>
    <t xml:space="preserve"> Jet Fuel, Kerosene- Type </t>
  </si>
  <si>
    <t xml:space="preserve"> Jet Fuel, Naphtha- Type </t>
  </si>
  <si>
    <t xml:space="preserve"> Kerosene </t>
  </si>
  <si>
    <t xml:space="preserve"> Lubricants </t>
  </si>
  <si>
    <t>Motor Gasoline</t>
  </si>
  <si>
    <t xml:space="preserve">    Conventional  </t>
  </si>
  <si>
    <t xml:space="preserve">    Oxygenated  </t>
  </si>
  <si>
    <t xml:space="preserve">    Reformulated  </t>
  </si>
  <si>
    <t xml:space="preserve">    Fuel Ethanol </t>
  </si>
  <si>
    <t xml:space="preserve"> Natural Gasoline </t>
  </si>
  <si>
    <t xml:space="preserve"> Pentanes Plus </t>
  </si>
  <si>
    <t>Petrochemical Feedstocks</t>
  </si>
  <si>
    <t xml:space="preserve">    Naphtha less than 401° F </t>
  </si>
  <si>
    <t xml:space="preserve">    Other Oils equal to or greater than 401° F </t>
  </si>
  <si>
    <t xml:space="preserve">    Still Gas </t>
  </si>
  <si>
    <t xml:space="preserve"> Petroleum Coke </t>
  </si>
  <si>
    <t xml:space="preserve"> Plant Condensate </t>
  </si>
  <si>
    <t xml:space="preserve"> Propane </t>
  </si>
  <si>
    <t xml:space="preserve"> Residual Fuel Oil </t>
  </si>
  <si>
    <t xml:space="preserve"> Road Oil </t>
  </si>
  <si>
    <t xml:space="preserve"> Special Naphthas </t>
  </si>
  <si>
    <t xml:space="preserve"> Still Gas </t>
  </si>
  <si>
    <t xml:space="preserve"> Unfinished Oils </t>
  </si>
  <si>
    <t xml:space="preserve"> Unfractionated Stream </t>
  </si>
  <si>
    <t xml:space="preserve"> Waxes </t>
  </si>
  <si>
    <t xml:space="preserve"> Miscellaneous </t>
  </si>
  <si>
    <t>LPG</t>
  </si>
  <si>
    <t>Crude-domestic</t>
  </si>
  <si>
    <t>Crude-imported</t>
  </si>
  <si>
    <t>Crude-average</t>
  </si>
  <si>
    <t>MMBtu per cf</t>
  </si>
  <si>
    <t>cf/bblFOE</t>
  </si>
  <si>
    <t>MMBtu per bblFOE</t>
  </si>
  <si>
    <t>Natural gas</t>
  </si>
  <si>
    <t>Natural Gas Plant Liquids (2005)</t>
  </si>
  <si>
    <t>PADD</t>
  </si>
  <si>
    <t>RFH</t>
  </si>
  <si>
    <t>Asphalt</t>
  </si>
  <si>
    <t>DSL</t>
  </si>
  <si>
    <t>DSU</t>
  </si>
  <si>
    <t>Ethanol</t>
  </si>
  <si>
    <t>PADD 1</t>
  </si>
  <si>
    <t>PADD 2</t>
  </si>
  <si>
    <t>PADD 3</t>
  </si>
  <si>
    <t>PADD 4</t>
  </si>
  <si>
    <t>PADD 5</t>
  </si>
  <si>
    <t xml:space="preserve">PAD District </t>
  </si>
  <si>
    <t>NEMS Growth Rates</t>
  </si>
  <si>
    <t xml:space="preserve">and </t>
  </si>
  <si>
    <t>Start yr</t>
  </si>
  <si>
    <t>%/yr</t>
  </si>
  <si>
    <t>PJ/period</t>
  </si>
  <si>
    <t xml:space="preserve">State </t>
  </si>
  <si>
    <t>Capacity</t>
  </si>
  <si>
    <t>RESID (PJ/a)</t>
  </si>
  <si>
    <t>PAD District I................... 16 13 3 1,697,900 1,549,900 148,000 1,789,300 1,630,300 159,000</t>
  </si>
  <si>
    <t>R1</t>
  </si>
  <si>
    <t>Delaware ...................... 1 1 0 162,000 162,000 0 167,000 167,000 0</t>
  </si>
  <si>
    <t>R2</t>
  </si>
  <si>
    <t>*In R2-R5, an IBOND is imposed corresponding to the fraction of the RESID retiring in each period. EIA projects no increase in capacity in these regions owing to siting difficulties.</t>
  </si>
  <si>
    <t>Georgia ........................ 2 1 1 33,400 5,400 28,000 40,000 8,000 32,000</t>
  </si>
  <si>
    <t>R3</t>
  </si>
  <si>
    <t>New Jersey................... 6 4 2 667,000 547,000 120,000 696,000 569,000 127,000</t>
  </si>
  <si>
    <t>R4</t>
  </si>
  <si>
    <t>Pennsylvania ................ 5 5 0 760,000 760,000 0 807,500 807,500 0</t>
  </si>
  <si>
    <t>R5</t>
  </si>
  <si>
    <t>Virginia ......................... 1 1 0 59,700 59,700 0 61,800 61,800 0</t>
  </si>
  <si>
    <t>R6</t>
  </si>
  <si>
    <t>West Virginia ................ 1 1 0 15,800 15,800 0 17,000 17,000 0</t>
  </si>
  <si>
    <t>R7</t>
  </si>
  <si>
    <t>PAD District II.................. 28 28 0 3,637,380 3,637,380 0 3,827,049 3,827,049 0</t>
  </si>
  <si>
    <t>R8</t>
  </si>
  <si>
    <t>Illinois ........................... 6 6 0 1,017,885 1,017,885 0 1,069,000 1,069,000 0</t>
  </si>
  <si>
    <t>R9</t>
  </si>
  <si>
    <t>Indiana ......................... 2 2 0 433,000 433,000 0 456,000 456,000 0</t>
  </si>
  <si>
    <t>Kansas ......................... 3 3 0 294,400 294,400 0 307,000 307,000 0</t>
  </si>
  <si>
    <t>Kentucky....................... 2 2 0 227,500 227,500 0 241,300 241,300 0</t>
  </si>
  <si>
    <t>Michigan....................... 1 1 0 74,000 74,000 0 75,000 75,000 0</t>
  </si>
  <si>
    <t>Minnesota..................... 2 2 0 335,000 335,000 0 366,000 366,000 0</t>
  </si>
  <si>
    <t>North Dakota ................ 1 1 0 58,000 58,000 0 60,000 60,000 0</t>
  </si>
  <si>
    <t>Ohio.............................. 4 4 0 525,500 525,500 0 539,000 539,000 0</t>
  </si>
  <si>
    <t>Oklahoma..................... 5 5 0 469,095 469,095 0 500,749 500,749 0</t>
  </si>
  <si>
    <t>Tennessee.................... 1 1 0 170,000 170,000 0 175,000 175,000 0</t>
  </si>
  <si>
    <t>Wisconsin..................... 1 1 0 33,000 33,000 0 38,000 38,000 0</t>
  </si>
  <si>
    <t>PAD District III................. 56 55 1 7,586,485 7,559,485 27,000 8,036,012 8,007,012 29,000</t>
  </si>
  <si>
    <t>Alabama ....................... 3 3 0 130,000 130,000 0 138,000 138,000 0</t>
  </si>
  <si>
    <t>Arkansas ...................... 2 2 0 61,455 61,455 0 73,250 73,250 0</t>
  </si>
  <si>
    <t>Louisiana...................... 17 17 0 2,672,200 2,672,200 0 2,796,855 2,796,855 0</t>
  </si>
  <si>
    <t>Mississippi .................... 4 4 0 334,800 334,800 0 393,300 393,300 0</t>
  </si>
  <si>
    <t>New Mexico.................. 3 3 0 95,600 95,600 0 101,107 101,107 0</t>
  </si>
  <si>
    <t>Texas ............................ 27 26 1 4,292,430 4,265,430 27,000 4,533,500 4,504,500 29,000</t>
  </si>
  <si>
    <t>PAD District IV ................ 16 15 1 554,476 543,476 11,000 585,600 573,100 12,500</t>
  </si>
  <si>
    <t>Colorado....................... 2 2 0 84,500 84,500 0 92,000 92,000 0</t>
  </si>
  <si>
    <t>Montana ....................... 4 4 0 166,590 166,590 0 174,800 174,800 0</t>
  </si>
  <si>
    <t>Utah.............................. 5 4 1 163,000 152,000 11,000 172,500 160,000 12,500</t>
  </si>
  <si>
    <t>Wyoming ...................... 5 5 0 140,386 140,386 0 146,300 146,300 0</t>
  </si>
  <si>
    <t>PAD District V.................. 39 39 0 3,119,130 3,029,930 89,200 3,273,300 3,176,300 97,000</t>
  </si>
  <si>
    <t>Alaska........................... 6 6 0 358,400 358,400 0 390,200 390,200 0</t>
  </si>
  <si>
    <t>California ...................... 23 23 0 1,999,150 1,919,150 80,000 2,092,100 2,005,100 87,000</t>
  </si>
  <si>
    <t>Hawaii........................... 2 2 0 147,500 147,500 0 152,000 152,000 0</t>
  </si>
  <si>
    <t>Nevada ......................... 2 2 0 5,000 5,000 0 5,000 5,000 0</t>
  </si>
  <si>
    <t>Oregon ......................... 1 1 0 0 0 0 0 0 0</t>
  </si>
  <si>
    <t>Washington .................. 5 5 0 609,080 599,880 9,200 634,000 624,000 10,000</t>
  </si>
  <si>
    <t>U.S. Total.......................... 155 150 5 16,595,371 16,320,171 275,200 17,511,261 17,213,761 297,500</t>
  </si>
  <si>
    <t>Puerto Rico .................. 3 0 3 87,000 0 87,000 94,000 0 94,000</t>
  </si>
  <si>
    <t>Virgin Islands................ 1 1 0 495,000 470,000 25,000 525,000 495,000 30,000</t>
  </si>
  <si>
    <t>Refineries (2005)</t>
  </si>
  <si>
    <t>2010</t>
  </si>
  <si>
    <t>Commodities</t>
  </si>
  <si>
    <t>OIL</t>
  </si>
  <si>
    <t>Crude Oil-All Sources</t>
  </si>
  <si>
    <t>ENT,ENC,EFS,LIQ</t>
  </si>
  <si>
    <t>NGA</t>
  </si>
  <si>
    <t>Natural Gas to Industrial Sector</t>
  </si>
  <si>
    <t>ENT,ENC,EFS,GAZ</t>
  </si>
  <si>
    <t>ELC</t>
  </si>
  <si>
    <t>Electricity to Industrial Sector</t>
  </si>
  <si>
    <t>GSC</t>
  </si>
  <si>
    <t>Conventional Gasoline</t>
  </si>
  <si>
    <t>GSR</t>
  </si>
  <si>
    <t>Reformulated Gasoline</t>
  </si>
  <si>
    <t>JTF</t>
  </si>
  <si>
    <t>Jet Fuel</t>
  </si>
  <si>
    <t>DSH</t>
  </si>
  <si>
    <t>Distillate-Heating Oil No. 2</t>
  </si>
  <si>
    <t>RFL</t>
  </si>
  <si>
    <t>Low Sulfur Residual Fuel Oil</t>
  </si>
  <si>
    <t>High Sulfur Residual Fuel Oil</t>
  </si>
  <si>
    <t>KER</t>
  </si>
  <si>
    <t>Kerosene and Other Refined Products</t>
  </si>
  <si>
    <t>PFS</t>
  </si>
  <si>
    <t>ASP</t>
  </si>
  <si>
    <t>Distillate-Low Sulfur Highway Diesel (500 ppm)</t>
  </si>
  <si>
    <t>Distillate-Ultralow Sulfur Highway Diesel (15 ppm)</t>
  </si>
  <si>
    <t>PTC</t>
  </si>
  <si>
    <t>Petroleum Coke</t>
  </si>
  <si>
    <t>NGL</t>
  </si>
  <si>
    <t>Natural Gas Liquids</t>
  </si>
  <si>
    <t>LPG_E</t>
  </si>
  <si>
    <t>GSC_E</t>
  </si>
  <si>
    <t>GSR_E</t>
  </si>
  <si>
    <t>JTF_E</t>
  </si>
  <si>
    <t>DSH_E</t>
  </si>
  <si>
    <t>RFL_E</t>
  </si>
  <si>
    <t>RFH_E</t>
  </si>
  <si>
    <t>KER_E</t>
  </si>
  <si>
    <t>PFS_E</t>
  </si>
  <si>
    <t>ASP_E</t>
  </si>
  <si>
    <t>DSL_E</t>
  </si>
  <si>
    <t>DSU_E</t>
  </si>
  <si>
    <t>PTC_E</t>
  </si>
  <si>
    <t>ETH_E</t>
  </si>
  <si>
    <t>LPG_N</t>
  </si>
  <si>
    <t>GSC_N</t>
  </si>
  <si>
    <t>GSR_N</t>
  </si>
  <si>
    <t>JTF_N</t>
  </si>
  <si>
    <t>DSH_N</t>
  </si>
  <si>
    <t>RFL_N</t>
  </si>
  <si>
    <t>RFH_N</t>
  </si>
  <si>
    <t>KER_N</t>
  </si>
  <si>
    <t>PFS_N</t>
  </si>
  <si>
    <t>ASP_N</t>
  </si>
  <si>
    <t>DSL_N</t>
  </si>
  <si>
    <t>DSU_N</t>
  </si>
  <si>
    <t>PTC_N</t>
  </si>
  <si>
    <t>ETH_N</t>
  </si>
  <si>
    <t>Technologies</t>
  </si>
  <si>
    <t>PREFE</t>
  </si>
  <si>
    <t>Refinery-existing conversion</t>
  </si>
  <si>
    <t>PJ/a</t>
  </si>
  <si>
    <t>PREFN</t>
  </si>
  <si>
    <t>Refinery-new conversion</t>
  </si>
  <si>
    <t>MINNGL</t>
  </si>
  <si>
    <t>Mined Natural Gas Liquids</t>
  </si>
  <si>
    <t>SCLPG_E</t>
  </si>
  <si>
    <t>Collector: LPG from REF_E</t>
  </si>
  <si>
    <t>SCGSC_E</t>
  </si>
  <si>
    <t>Collector: GSC from REF_E</t>
  </si>
  <si>
    <t>SCGSR_E</t>
  </si>
  <si>
    <t>Collector: GSR from REF_E</t>
  </si>
  <si>
    <t>SCJTF_E</t>
  </si>
  <si>
    <t>Collector: JTF from REF_E</t>
  </si>
  <si>
    <t>SCDSH_E</t>
  </si>
  <si>
    <t>Collector: DSH from REF_E</t>
  </si>
  <si>
    <t>SCRFL_E</t>
  </si>
  <si>
    <t>Collector: RFL from REF_E</t>
  </si>
  <si>
    <t>SCRFH_E</t>
  </si>
  <si>
    <t>Collector: RFH from REF_E</t>
  </si>
  <si>
    <t>SCKER_E</t>
  </si>
  <si>
    <t>Collector: KER from REF_E</t>
  </si>
  <si>
    <t>SCPFS_E</t>
  </si>
  <si>
    <t>Collector: PFS from REF_E</t>
  </si>
  <si>
    <t>SCASP_E</t>
  </si>
  <si>
    <t>Collector: ASP from REF_E</t>
  </si>
  <si>
    <t>SCDSL_E</t>
  </si>
  <si>
    <t>Collector: DSL from REF_E</t>
  </si>
  <si>
    <t>SCDSU_E</t>
  </si>
  <si>
    <t>Collector: DSU from REF_E</t>
  </si>
  <si>
    <t>SCPTC_E</t>
  </si>
  <si>
    <t>Collector: PTC from REF_E</t>
  </si>
  <si>
    <t>SCLPG_N</t>
  </si>
  <si>
    <t>Collector: LPG from REF_N</t>
  </si>
  <si>
    <t>SCGSC_N</t>
  </si>
  <si>
    <t>Collector: GSC from REF_N</t>
  </si>
  <si>
    <t>SCGSR_N</t>
  </si>
  <si>
    <t>Collector: GSR from REF_N</t>
  </si>
  <si>
    <t>SCJTF_N</t>
  </si>
  <si>
    <t>Collector: JTF from REF_N</t>
  </si>
  <si>
    <t>SCDSH_N</t>
  </si>
  <si>
    <t>Collector: DSH from REF_N</t>
  </si>
  <si>
    <t>SCRFL_N</t>
  </si>
  <si>
    <t>Collector: RFL from REF_N</t>
  </si>
  <si>
    <t>SCRFH_N</t>
  </si>
  <si>
    <t>Collector: RFH from REF_N</t>
  </si>
  <si>
    <t>SCKER_N</t>
  </si>
  <si>
    <t>Collector: KER from REF_N</t>
  </si>
  <si>
    <t>SCPFS_N</t>
  </si>
  <si>
    <t>Collector: PFS from REF_N</t>
  </si>
  <si>
    <t>SCASP_N</t>
  </si>
  <si>
    <t>Collector: ASP from REF_N</t>
  </si>
  <si>
    <t>SCDSL_N</t>
  </si>
  <si>
    <t>Collector: DSL from REF_N</t>
  </si>
  <si>
    <t>SCDSU_N</t>
  </si>
  <si>
    <t>Collector: DSU from REF_N</t>
  </si>
  <si>
    <t>SCPTC_N</t>
  </si>
  <si>
    <t>Collector: PTC from REF_N</t>
  </si>
  <si>
    <t>TechData</t>
  </si>
  <si>
    <t>PJ, PJ/a</t>
  </si>
  <si>
    <t>* Collectors</t>
  </si>
  <si>
    <t>INP(ENT)p</t>
  </si>
  <si>
    <t>OUT(ENC)p</t>
  </si>
  <si>
    <t>START</t>
  </si>
  <si>
    <t>LIFE</t>
  </si>
  <si>
    <t>CAPUNIT</t>
  </si>
  <si>
    <t>AF</t>
  </si>
  <si>
    <t>LIMIT</t>
  </si>
  <si>
    <t>INVCOST</t>
  </si>
  <si>
    <t>FIXOM</t>
  </si>
  <si>
    <t>RESID</t>
  </si>
  <si>
    <t>IBOND(UP)</t>
  </si>
  <si>
    <t>TID</t>
  </si>
  <si>
    <t>2030-2055</t>
  </si>
  <si>
    <t>2005-2055</t>
  </si>
  <si>
    <t>IRF000</t>
  </si>
  <si>
    <t>IRF000:ba_ValueofShipme</t>
  </si>
  <si>
    <t>Value of Shipments (billion 2000 dollars)</t>
  </si>
  <si>
    <t>Inputs to Distillation Units</t>
  </si>
  <si>
    <t>IRF000:ba_CrudeOilInput</t>
  </si>
  <si>
    <t>(million barrels per day)</t>
  </si>
  <si>
    <t>Total Energy Consumption (trillion Btu) 1/</t>
  </si>
  <si>
    <t>IRF000:ca_ResidualOil</t>
  </si>
  <si>
    <t xml:space="preserve"> Residual Fuel Oil</t>
  </si>
  <si>
    <t>- -</t>
  </si>
  <si>
    <t>IRF000:ca_DistillateOil</t>
  </si>
  <si>
    <t xml:space="preserve"> Distillate Fuel Oil</t>
  </si>
  <si>
    <t>IRF000:ca_LiquefiedPetr</t>
  </si>
  <si>
    <t xml:space="preserve"> Liquefied Petroleum Gases</t>
  </si>
  <si>
    <t>IRF000:ca_PetroleumCoke</t>
  </si>
  <si>
    <t xml:space="preserve"> Petroleum Coke</t>
  </si>
  <si>
    <t>IRF000:ca_StillGas</t>
  </si>
  <si>
    <t xml:space="preserve"> Still Gas</t>
  </si>
  <si>
    <t>IRF000:ca_OtherPetroleu</t>
  </si>
  <si>
    <t xml:space="preserve"> Other Petroleum 2/</t>
  </si>
  <si>
    <t>IRF000:ca_PetroleumSubt</t>
  </si>
  <si>
    <t xml:space="preserve">   Petroleum Subtotal</t>
  </si>
  <si>
    <t>IRF000:ca_NaturalGas</t>
  </si>
  <si>
    <t xml:space="preserve"> Natural Gas</t>
  </si>
  <si>
    <t>IRF000:ca_SteamCoal</t>
  </si>
  <si>
    <t xml:space="preserve"> Steam Coal 3/</t>
  </si>
  <si>
    <t>IRF000:ca_Renewables</t>
  </si>
  <si>
    <t xml:space="preserve"> Renewables</t>
  </si>
  <si>
    <t>IRF000:ca_PurchasedElec</t>
  </si>
  <si>
    <t xml:space="preserve"> Purchased Electricity</t>
  </si>
  <si>
    <t>IRF000:ca_Total</t>
  </si>
  <si>
    <t xml:space="preserve">   Total</t>
  </si>
  <si>
    <t>IRF000:ea_tonscarbon_dd</t>
  </si>
  <si>
    <t>Carbon Dioxide Emissions 4/ (million metric tons)</t>
  </si>
  <si>
    <t>Energy Consumption per Unit of Refinery Input</t>
  </si>
  <si>
    <t>(thousand Btu per barrel)</t>
  </si>
  <si>
    <t>IRF000:db_ResidualOil</t>
  </si>
  <si>
    <t>IRF000:db_DistillateOil</t>
  </si>
  <si>
    <t>IRF000:db_LiquefiedPetr</t>
  </si>
  <si>
    <t>IRF000:db_PetroleumCoke</t>
  </si>
  <si>
    <t>IRF000:db_StillGas</t>
  </si>
  <si>
    <t>IRF000:db_OtherPetroleu</t>
  </si>
  <si>
    <t>IRF000:db_PetroleumSubt</t>
  </si>
  <si>
    <t>IRF000:db_NaturalGas</t>
  </si>
  <si>
    <t>IRF000:db_SteamCoal</t>
  </si>
  <si>
    <t>IRF000:db_PurchasedElec</t>
  </si>
  <si>
    <t>IRF000:db_Total</t>
  </si>
  <si>
    <t>Combined Heat and Power</t>
  </si>
  <si>
    <t xml:space="preserve">  Generating Capacity (gigawatts)</t>
  </si>
  <si>
    <t>IRF000:ga_Petroleum</t>
  </si>
  <si>
    <t xml:space="preserve">    Petroleum</t>
  </si>
  <si>
    <t>IRF000:ga_NaturalGas</t>
  </si>
  <si>
    <t xml:space="preserve">    Natural Gas</t>
  </si>
  <si>
    <t>IRF000:ga_Coal</t>
  </si>
  <si>
    <t xml:space="preserve">    Coal 3/</t>
  </si>
  <si>
    <t>IRF000:ga_Other</t>
  </si>
  <si>
    <t xml:space="preserve">    Other 5/</t>
  </si>
  <si>
    <t>IRF000:ga_Total</t>
  </si>
  <si>
    <t xml:space="preserve">      Total</t>
  </si>
  <si>
    <t xml:space="preserve">  Net Generation (billion kilowatthours)</t>
  </si>
  <si>
    <t>IRF000:ha_Petroleum</t>
  </si>
  <si>
    <t>IRF000:ha_NaturalGas</t>
  </si>
  <si>
    <t>IRF000:ha_Coal</t>
  </si>
  <si>
    <t>IRF000:ha_Other</t>
  </si>
  <si>
    <t>IRF000:ha_Total</t>
  </si>
  <si>
    <t xml:space="preserve">    Disposition</t>
  </si>
  <si>
    <t>IRF000:ha_SalestotheGri</t>
  </si>
  <si>
    <t xml:space="preserve">      Sales to the Grid</t>
  </si>
  <si>
    <t>IRF000:ha_Generationfor</t>
  </si>
  <si>
    <t xml:space="preserve">      Generation for Own Use</t>
  </si>
  <si>
    <t>Energy Consumed at Ethanol Plants</t>
  </si>
  <si>
    <t>(trillion Btu)</t>
  </si>
  <si>
    <t>IRF000:ja_NaturalGas</t>
  </si>
  <si>
    <t xml:space="preserve">  Natural Gas</t>
  </si>
  <si>
    <t>IRF000:ja_Coal</t>
  </si>
  <si>
    <t xml:space="preserve">  Coal</t>
  </si>
  <si>
    <t>IRF000:ja_Electricity</t>
  </si>
  <si>
    <t xml:space="preserve">  Electricity</t>
  </si>
  <si>
    <t>IRF000:ja_Total</t>
  </si>
  <si>
    <t xml:space="preserve">    Total</t>
  </si>
  <si>
    <t>Region</t>
  </si>
  <si>
    <t>Table 1. Number and Capacity of Operable Petroleum Refineries by PAD District and State as of January 1, 2006</t>
  </si>
  <si>
    <t>Back to Contents</t>
  </si>
  <si>
    <t>DLG_E</t>
  </si>
  <si>
    <t>DLG_N</t>
  </si>
  <si>
    <t>PREFL</t>
  </si>
  <si>
    <t>Refinery-new limit</t>
  </si>
  <si>
    <t>DLG</t>
  </si>
  <si>
    <t>SCDLG_E</t>
  </si>
  <si>
    <t>Collector DLG from REF_E</t>
  </si>
  <si>
    <t>SCDLG_N</t>
  </si>
  <si>
    <t>Collector DLG from REF_N</t>
  </si>
  <si>
    <t>SCLPG_L</t>
  </si>
  <si>
    <t>Collector: LPG from REF_L</t>
  </si>
  <si>
    <t>LPG_L</t>
  </si>
  <si>
    <t>SCGSC_L</t>
  </si>
  <si>
    <t>Collector: GSC from REF_L</t>
  </si>
  <si>
    <t>GSC_L</t>
  </si>
  <si>
    <t>SCGSR_L</t>
  </si>
  <si>
    <t>Collector: GSR from REF_L</t>
  </si>
  <si>
    <t>GSR_L</t>
  </si>
  <si>
    <t>SCJTF_L</t>
  </si>
  <si>
    <t>Collector: JTF from REF_L</t>
  </si>
  <si>
    <t>JTF_L</t>
  </si>
  <si>
    <t>SCDSH_L</t>
  </si>
  <si>
    <t>Collector: DSH from REF_L</t>
  </si>
  <si>
    <t>DSH_L</t>
  </si>
  <si>
    <t>SCRFL_L</t>
  </si>
  <si>
    <t>Collector: RFL from REF_L</t>
  </si>
  <si>
    <t>RFL_L</t>
  </si>
  <si>
    <t>SCRFH_L</t>
  </si>
  <si>
    <t>Collector: RFH from REF_L</t>
  </si>
  <si>
    <t>RFH_L</t>
  </si>
  <si>
    <t>SCKER_L</t>
  </si>
  <si>
    <t>Collector: KER from REF_L</t>
  </si>
  <si>
    <t>KER_L</t>
  </si>
  <si>
    <t>SCPFS_L</t>
  </si>
  <si>
    <t>Collector: PFS from REF_L</t>
  </si>
  <si>
    <t>PFS_L</t>
  </si>
  <si>
    <t>SCASP_L</t>
  </si>
  <si>
    <t>Collector: ASP from REF_L</t>
  </si>
  <si>
    <t>ASP_L</t>
  </si>
  <si>
    <t>SCDSL_L</t>
  </si>
  <si>
    <t>Collector: DSL from REF_L</t>
  </si>
  <si>
    <t>DSL_L</t>
  </si>
  <si>
    <t>SCDSU_L</t>
  </si>
  <si>
    <t>Collector: DSU from REF_L</t>
  </si>
  <si>
    <t>DSU_L</t>
  </si>
  <si>
    <t>SCPTC_L</t>
  </si>
  <si>
    <t>Collector: PTC from REF_L</t>
  </si>
  <si>
    <t>PTC_L</t>
  </si>
  <si>
    <t>ETH_L</t>
  </si>
  <si>
    <t>Dummy Liquid Fuel</t>
  </si>
  <si>
    <t>Collector: DLG from REF_E</t>
  </si>
  <si>
    <t>Collector: DLG from REF_N</t>
  </si>
  <si>
    <t>*</t>
  </si>
  <si>
    <t xml:space="preserve">[Index numbers, 2005=100]                                                                                                                                                                                                                                 </t>
  </si>
  <si>
    <t>Year</t>
  </si>
  <si>
    <t>To convert this year to 2005, multiply by</t>
  </si>
  <si>
    <t>VOC</t>
  </si>
  <si>
    <t>CO</t>
  </si>
  <si>
    <t>PM10</t>
  </si>
  <si>
    <t>CH4</t>
  </si>
  <si>
    <t>N2O</t>
  </si>
  <si>
    <t>CO2</t>
  </si>
  <si>
    <t>NOX</t>
  </si>
  <si>
    <t>PM25</t>
  </si>
  <si>
    <t>BC</t>
  </si>
  <si>
    <t>OC</t>
  </si>
  <si>
    <t>SO2</t>
  </si>
  <si>
    <t>CO2I</t>
  </si>
  <si>
    <t>NOXI</t>
  </si>
  <si>
    <t>SO2I</t>
  </si>
  <si>
    <t>PM10I</t>
  </si>
  <si>
    <t>Mt</t>
  </si>
  <si>
    <t>kt</t>
  </si>
  <si>
    <t>ENV</t>
  </si>
  <si>
    <t>NOx emissions</t>
  </si>
  <si>
    <t>Carbon dioxide emissions</t>
  </si>
  <si>
    <t>PM10 emissions</t>
  </si>
  <si>
    <t>Fine PM emissions</t>
  </si>
  <si>
    <t>VOC emissions</t>
  </si>
  <si>
    <t>Carbon monoxide emissions</t>
  </si>
  <si>
    <t>Methane emissions</t>
  </si>
  <si>
    <t>N2O emissions</t>
  </si>
  <si>
    <t>Black carbon emissions</t>
  </si>
  <si>
    <t>organic carbon emissions</t>
  </si>
  <si>
    <t>Sulfur dioxide emissions</t>
  </si>
  <si>
    <t>Industrial CO2 emissions</t>
  </si>
  <si>
    <t>Industrial NOx emissions</t>
  </si>
  <si>
    <t>Industrial SO2 emissions</t>
  </si>
  <si>
    <t>Industrial PM emissions</t>
  </si>
  <si>
    <t>US Department of Commerce: Bureau of Economic Analysis</t>
  </si>
  <si>
    <t>http://www.bea.gov/national/nipaweb/SelectTable.asp?Selected=Y</t>
  </si>
  <si>
    <t>Downloaded on 4/20/2012    Last Revised March 29,2012</t>
  </si>
  <si>
    <t xml:space="preserve"> </t>
  </si>
  <si>
    <t xml:space="preserve"> Btu per cubic foot 1,025</t>
  </si>
  <si>
    <t xml:space="preserve"> Btu per cubic foot 1,009</t>
  </si>
  <si>
    <t>http://www.eia.gov/totalenergy/data/annual/pdf/sec12_1.pdf</t>
  </si>
  <si>
    <t>Annual Energy Review 2010</t>
  </si>
  <si>
    <t>http://www.eia.gov/forecasts/aeo/pdf/0383(2012).pdf</t>
  </si>
  <si>
    <t>From AEO2012 Appendix</t>
  </si>
  <si>
    <t>padd 1</t>
  </si>
  <si>
    <t>padd 2</t>
  </si>
  <si>
    <t>padd 3</t>
  </si>
  <si>
    <t>padd 5</t>
  </si>
  <si>
    <t>padd 4</t>
  </si>
  <si>
    <t>Data 1: PADD 1 Refinery Yield</t>
  </si>
  <si>
    <t>Sourcekey</t>
  </si>
  <si>
    <t>MLRRYP13</t>
  </si>
  <si>
    <t>MGFRYP13</t>
  </si>
  <si>
    <t>MGARYP13</t>
  </si>
  <si>
    <t>MKJRYP13</t>
  </si>
  <si>
    <t>MKERYP13</t>
  </si>
  <si>
    <t>MDIRYP13</t>
  </si>
  <si>
    <t>MRERYP13</t>
  </si>
  <si>
    <t>MNFRYP13</t>
  </si>
  <si>
    <t>MOTRYP13</t>
  </si>
  <si>
    <t>MNSRYP13</t>
  </si>
  <si>
    <t>MLURYP13</t>
  </si>
  <si>
    <t>MWXRYP13</t>
  </si>
  <si>
    <t>MCKRYP13</t>
  </si>
  <si>
    <t>MAPRYP13</t>
  </si>
  <si>
    <t>MSGRYP13</t>
  </si>
  <si>
    <t>MMSRYP13</t>
  </si>
  <si>
    <t>MPGRYP13</t>
  </si>
  <si>
    <t>Date</t>
  </si>
  <si>
    <t>East Coast (PADD 1) Refinery Yield of Liquified Petroleum Gases (Percent)</t>
  </si>
  <si>
    <t>East Coast (PADD 1) Refinery Yield of Finished Motor Gasoline (Percent)</t>
  </si>
  <si>
    <t>East Coast (PADD 1) Refinery Yield of Aviation Gasoline (Percent)</t>
  </si>
  <si>
    <t>East Coast (PADD 1) Refinery Yield of Kerosene-Type Jet Fuel (Percent)</t>
  </si>
  <si>
    <t>East Coast (PADD 1) Refinery Yield of Kerosene (Percent)</t>
  </si>
  <si>
    <t>East Coast (PADD 1) Refinery Yield of Distillate Fuel Oil (Percent)</t>
  </si>
  <si>
    <t>East Coast (PADD 1) Refinery Yield of Residual Fuel Oil (Percent)</t>
  </si>
  <si>
    <t>East Coast (PADD 1) Refinery Yield of Naphtha for Petrochemical Feedstock Use (Percent)</t>
  </si>
  <si>
    <t>East Coast (PADD 1) Refinery Yield of Other Oils for Petrochemical Feedstock Use (Percent)</t>
  </si>
  <si>
    <t>East Coast (PADD 1) Refinery Yield of Special Naphthas (Percent)</t>
  </si>
  <si>
    <t>East Coast (PADD 1) Refinery Yield of Lubricants (Percent)</t>
  </si>
  <si>
    <t>East Coast (PADD 1) Refinery Yield of Waxes (Percent)</t>
  </si>
  <si>
    <t>East Coast (PADD 1) Refinery Yield of Petroleum Coke (Percent)</t>
  </si>
  <si>
    <t>East Coast (PADD 1) Refinery Yield of Asphalt and Road Oil (Percent)</t>
  </si>
  <si>
    <t>East Coast (PADD 1) Refinery Yield of Still Gas (Percent)</t>
  </si>
  <si>
    <t>East Coast (PADD 1) Refinery Yield of Miscellaneous Petroleum Products (Percent)</t>
  </si>
  <si>
    <t>East Coast (PADD 1) Refinery Processing Gain (Percent)</t>
  </si>
  <si>
    <t>GSL</t>
  </si>
  <si>
    <t>2005</t>
  </si>
  <si>
    <t>Data 1: PADD 2 Refinery Yield</t>
  </si>
  <si>
    <t>MLRRYP23</t>
  </si>
  <si>
    <t>MGFRYP23</t>
  </si>
  <si>
    <t>MGARYP23</t>
  </si>
  <si>
    <t>MKJRYP23</t>
  </si>
  <si>
    <t>MKERYP23</t>
  </si>
  <si>
    <t>MDIRYP23</t>
  </si>
  <si>
    <t>MRERYP23</t>
  </si>
  <si>
    <t>MNFRYP23</t>
  </si>
  <si>
    <t>MOTRYP23</t>
  </si>
  <si>
    <t>MNSRYP23</t>
  </si>
  <si>
    <t>MLURYP23</t>
  </si>
  <si>
    <t>MWXRYP23</t>
  </si>
  <si>
    <t>MCKRYP23</t>
  </si>
  <si>
    <t>MAPRYP23</t>
  </si>
  <si>
    <t>MSGRYP23</t>
  </si>
  <si>
    <t>MMSRYP23</t>
  </si>
  <si>
    <t>MPGRYP23</t>
  </si>
  <si>
    <t>Data 1: PADD 3 Refinery Yield</t>
  </si>
  <si>
    <t>MLRRYP33</t>
  </si>
  <si>
    <t>MGFRYP33</t>
  </si>
  <si>
    <t>MGARYP33</t>
  </si>
  <si>
    <t>MKJRYP33</t>
  </si>
  <si>
    <t>MKERYP33</t>
  </si>
  <si>
    <t>MDIRYP33</t>
  </si>
  <si>
    <t>MRERYP33</t>
  </si>
  <si>
    <t>MNFRYP33</t>
  </si>
  <si>
    <t>MOTRYP33</t>
  </si>
  <si>
    <t>MNSRYP33</t>
  </si>
  <si>
    <t>MLURYP33</t>
  </si>
  <si>
    <t>MWXRYP33</t>
  </si>
  <si>
    <t>MCKRYP33</t>
  </si>
  <si>
    <t>MAPRYP33</t>
  </si>
  <si>
    <t>MSGRYP33</t>
  </si>
  <si>
    <t>MMSRYP33</t>
  </si>
  <si>
    <t>MPGRYP33</t>
  </si>
  <si>
    <t>Data 1: PADD 4 Refinery Yield</t>
  </si>
  <si>
    <t>MLRRYP43</t>
  </si>
  <si>
    <t>MGFRYP43</t>
  </si>
  <si>
    <t>MGARYP43</t>
  </si>
  <si>
    <t>MKJRYP43</t>
  </si>
  <si>
    <t>MKERYP43</t>
  </si>
  <si>
    <t>MDIRYP43</t>
  </si>
  <si>
    <t>MRERYP43</t>
  </si>
  <si>
    <t>MNFRYP43</t>
  </si>
  <si>
    <t>MOTRYP43</t>
  </si>
  <si>
    <t>MNSRYP43</t>
  </si>
  <si>
    <t>MLURY_R40_0</t>
  </si>
  <si>
    <t>MWXRYP43</t>
  </si>
  <si>
    <t>MCKRYP43</t>
  </si>
  <si>
    <t>MAPRYP43</t>
  </si>
  <si>
    <t>MSGRYP43</t>
  </si>
  <si>
    <t>MMSRYP43</t>
  </si>
  <si>
    <t>MPGRYP43</t>
  </si>
  <si>
    <t>Data 1: PADD 5 Refinery Yield</t>
  </si>
  <si>
    <t>MLRRYP53</t>
  </si>
  <si>
    <t>MGFRYP53</t>
  </si>
  <si>
    <t>MGARYP53</t>
  </si>
  <si>
    <t>MKJRYP53</t>
  </si>
  <si>
    <t>MKERYP53</t>
  </si>
  <si>
    <t>MDIRYP53</t>
  </si>
  <si>
    <t>MRERYP53</t>
  </si>
  <si>
    <t>MNFRYP53</t>
  </si>
  <si>
    <t>MOTRYP53</t>
  </si>
  <si>
    <t>MNSRYP53</t>
  </si>
  <si>
    <t>MLURYP53</t>
  </si>
  <si>
    <t>MWXRYP53</t>
  </si>
  <si>
    <t>MCKRYP53</t>
  </si>
  <si>
    <t>MAPRYP53</t>
  </si>
  <si>
    <t>MSGRYP53</t>
  </si>
  <si>
    <t>MMSRYP53</t>
  </si>
  <si>
    <t>MPGRYP53</t>
  </si>
  <si>
    <t>Domestic Refinery Distillation Base Capacity, Expansion, and Utilization, Reference case</t>
  </si>
  <si>
    <t>Growth Rate (2010-2035)</t>
  </si>
  <si>
    <t>PAD District I</t>
  </si>
  <si>
    <t>  Base Capacity</t>
  </si>
  <si>
    <t>  Capacity Additions</t>
  </si>
  <si>
    <t>  Idled Capacity</t>
  </si>
  <si>
    <t>  Total Capacity</t>
  </si>
  <si>
    <t>PAD District II</t>
  </si>
  <si>
    <t>PAD District III</t>
  </si>
  <si>
    <t>PAD District IV</t>
  </si>
  <si>
    <t>PAD District V</t>
  </si>
  <si>
    <t>United States</t>
  </si>
  <si>
    <t>   PAD = Petroleum Administration for Defense.</t>
  </si>
  <si>
    <t>   - - = Not applicable.</t>
  </si>
  <si>
    <t>   Note:  Base capacity is operable capacity for the beginning of the year.  Capacity additions are cumulative</t>
  </si>
  <si>
    <t>additions after December 31, 2010.</t>
  </si>
  <si>
    <t>   Source:  2010:  U.S. Energy Information Administration (EIA), Petroleum Supply Annual</t>
  </si>
  <si>
    <t>2010, DOE/EIA-0340(2010)/1 (Washington, DC, July 2011).  2009:  EIA, Petroleum Supply Annual</t>
  </si>
  <si>
    <t>2009, DOE/EIA-0340(2009)/1 (Washington, DC, July 2010).  Projections:  EIA,</t>
  </si>
  <si>
    <t>AEO2012 National Energy Modeling System.</t>
  </si>
  <si>
    <t>Data 1: Refiner Inputs and Utilization</t>
  </si>
  <si>
    <t>WCRRIP12</t>
  </si>
  <si>
    <t>WGIRIP12</t>
  </si>
  <si>
    <t>W_NA_YRL_R10_MBBLD</t>
  </si>
  <si>
    <t>W_NA_YUP_R10_PER</t>
  </si>
  <si>
    <t>4-Week Avg East Coast (PADD 1) Refiner Net Input of Crude Oil  (Thousand Barrels per Day)</t>
  </si>
  <si>
    <t>4-Week Avg East Coast (PADD 1) Gross Inputs into Refineries  (Thousand Barrels per Day)</t>
  </si>
  <si>
    <t>4-Week Avg East Coast (PADD 1) Operable Crude Oil Distillation Capacity   (Thousand Barrels per Calendar Day)</t>
  </si>
  <si>
    <t>4-Week Avg East Coast (PADD 1) Percent Utilization of Refinery Operable Capacity (Percent)</t>
  </si>
  <si>
    <t>WCRRIP22</t>
  </si>
  <si>
    <t>WGIRIP22</t>
  </si>
  <si>
    <t>W_NA_YRL_R20_MBBLD</t>
  </si>
  <si>
    <t>W_NA_YUP_R20_PER</t>
  </si>
  <si>
    <t>4-Week Avg Midwest (PADD 2) Refiner Net Input of Crude Oil  (Thousand Barrels per Day)</t>
  </si>
  <si>
    <t>4-Week Avg Midwest (PADD 2) Gross Inputs into Refineries  (Thousand Barrels per Day)</t>
  </si>
  <si>
    <t>4-Week Avg Midwest (PADD 2) Operable Crude Oil Distillation Capacity   (Thousand Barrels per Calendar Day)</t>
  </si>
  <si>
    <t>4-Week Avg Midwest (PADD 2) Percent Utilization of Refinery Operable Capacity (Percent)</t>
  </si>
  <si>
    <t>WCRRIP32</t>
  </si>
  <si>
    <t>WGIRIP32</t>
  </si>
  <si>
    <t>W_NA_YRL_R30_MBBLD</t>
  </si>
  <si>
    <t>W_NA_YUP_R30_PER</t>
  </si>
  <si>
    <t>4-Week Avg Gulf Coast (PADD 3) Refiner Net Input of Crude Oil  (Thousand Barrels per Day)</t>
  </si>
  <si>
    <t>4-Week Avg Gulf Coast (PADD 3) Gross Inputs into Refineries  (Thousand Barrels per Day)</t>
  </si>
  <si>
    <t>4-Week Avg Gulf Coast (PADD 3) Operable Crude Oil Distillation Capacity   (Thousand Barrels per Calendar Day)</t>
  </si>
  <si>
    <t>4-Week Avg Gulf Coast (PADD 3) Percent Utilization of Refinery Operable Capacity (Percent)</t>
  </si>
  <si>
    <t>WCRRIP42</t>
  </si>
  <si>
    <t>WGIRIP42</t>
  </si>
  <si>
    <t>W_NA_YRL_R40_MBBLD</t>
  </si>
  <si>
    <t>W_NA_YUP_R40_PER</t>
  </si>
  <si>
    <t>4-Week Avg Rocky Mountain (PADD 4) Refiner Net Input of Crude Oil  (Thousand Barrels per Day)</t>
  </si>
  <si>
    <t>4-Week Avg Rocky Mountain (PADD 4) Gross Inputs into Refineries  (Thousand Barrels per Day)</t>
  </si>
  <si>
    <t>4-Week Avg Rocky Mountains (PADD 4) Operable Crude Oil Distillation Capacity   (Thousand Barrels per Calendar Day)</t>
  </si>
  <si>
    <t>4-Week Avg Rocky Mountains (PADD 4) Percent Utilization of Refinery Operable Capacity (Percent)</t>
  </si>
  <si>
    <t>WCRRIP52</t>
  </si>
  <si>
    <t>WGIRIP52</t>
  </si>
  <si>
    <t>W_NA_YRL_R50_MBBLD</t>
  </si>
  <si>
    <t>W_NA_YUP_R50_PER</t>
  </si>
  <si>
    <t>4-Week Avg West Coast (PADD 5) Refiner Net Input of Crude Oil  (Thousand Barrels per Day)</t>
  </si>
  <si>
    <t>4-Week Avg West Coast (PADD 5) Gross Inputs into Refineries  (Thousand Barrels per Day)</t>
  </si>
  <si>
    <t>4-Week Avg West Coast (PADD 5) Operable Crude Oil Distillation Capacity   (Thousand Barrels per Calendar Day)</t>
  </si>
  <si>
    <t>4-Week Avg West Coast (PADD 5) Percent Utilization of Refinery Operable Capacity (Percent)</t>
  </si>
  <si>
    <t>Utilization</t>
  </si>
  <si>
    <t>2010-2011</t>
  </si>
  <si>
    <t>2011-2012</t>
  </si>
  <si>
    <t>Residual Capacity</t>
  </si>
  <si>
    <t>PADD1</t>
  </si>
  <si>
    <t>AEO 2012 Reference Case</t>
  </si>
  <si>
    <t>(use year 2012)</t>
  </si>
  <si>
    <t>Process Loss</t>
  </si>
  <si>
    <t>Products not used in MARKAL</t>
  </si>
  <si>
    <t>Average</t>
  </si>
  <si>
    <t>Capacity Used</t>
  </si>
  <si>
    <t>RESIDS</t>
  </si>
  <si>
    <t>PADD2</t>
  </si>
  <si>
    <t>PADD3</t>
  </si>
  <si>
    <t>PADD4</t>
  </si>
  <si>
    <t>PADD5</t>
  </si>
  <si>
    <t>Data 1: East Coast (PADD 1) Weekly Refiner &amp; Blender Net Production</t>
  </si>
  <si>
    <t>WGFRPP12</t>
  </si>
  <si>
    <t>WGRRPP12</t>
  </si>
  <si>
    <t>WG1TP_R10_2</t>
  </si>
  <si>
    <t>W_EPM0RO_YPT_R10_MBBLD</t>
  </si>
  <si>
    <t>WG4TP_R10_2</t>
  </si>
  <si>
    <t>WG5TP_R10_2</t>
  </si>
  <si>
    <t>W_EPM0CAL55_YPT_R10_MBBLD</t>
  </si>
  <si>
    <t>W_EPM0CAG55_YPT_R10_MBBLD</t>
  </si>
  <si>
    <t>WG6TP_R10_2</t>
  </si>
  <si>
    <t>WKJRPP12</t>
  </si>
  <si>
    <t>WKCRPP12</t>
  </si>
  <si>
    <t>WKMRPP12</t>
  </si>
  <si>
    <t>WDIRPP12</t>
  </si>
  <si>
    <t>WD0TP_R10_2</t>
  </si>
  <si>
    <t>WD1TP_R10_2</t>
  </si>
  <si>
    <t>WDGRPP12</t>
  </si>
  <si>
    <t>WRERPP12</t>
  </si>
  <si>
    <t>WPRNPP12</t>
  </si>
  <si>
    <t>Weekly East Coast (PADD 1) Refiner and Blender Net Production of Finished Motor Gasoline  (Thousand Barrels per Day)</t>
  </si>
  <si>
    <t>Weekly East Coast (PADD 1) Refiner and Blender Net Production of Reformulated Motor Gasoline  (Thousand Barrels per Day)</t>
  </si>
  <si>
    <t>Weekly East Coast (PADD 1) Refiner and Blender Net Production of Finished Reformulated Motor Gasoline with Ethanol  (Thousand Barrels per Day)</t>
  </si>
  <si>
    <t>Weekly East Coast (PADD 1) Refiner and Blender Net Production of Other Finished Reformulated Motor Gasoline  (Thousand Barrels per Day)</t>
  </si>
  <si>
    <t>Weekly East Coast (PADD 1) Refiner and Blender Net Production of Conventional Motor Gasoline  (Thousand Barrels per Day)</t>
  </si>
  <si>
    <t>Weekly East Coast (PADD 1) Refiner and Blender Net Production of Finished Conventional Motor Gasoline with Ethanol  (Thousand Barrels per Day)</t>
  </si>
  <si>
    <t>Weekly East Coast (PADD 1) Refiner and Blender Net Production of Finished Conventional Motor Gasoline, Ed 55 and Lower  (Thousand Barrels per Day)</t>
  </si>
  <si>
    <t>Weekly East Coast (PADD 1) Refiner and Blender Net Production of Finished Conventional Motor Gasoline, Greater than Ed 55  (Thousand Barrels per Day)</t>
  </si>
  <si>
    <t>Weekly East Coast (PADD 1) Refiner and Blender Net Production of Other Finished Conventional Motor Gasoline  (Thousand Barrels per Day)</t>
  </si>
  <si>
    <t>Weekly East Coast (PADD 1) Refiner and Blender Net Production of Kerosene-Type Jet Fuel  (Thousand Barrels per Day)</t>
  </si>
  <si>
    <t>Weekly East Coast (PADD 1)  Refiner and Blender Net Production of Commercial Kerosene-Type Jet Fuel  (Thousand Barrels per Day)</t>
  </si>
  <si>
    <t>Weekly East Coast (PADD 1)  Refiner and Blender Net Production of Military Kerosene-Type Jet Fuel  (Thousand Barrels per Day)</t>
  </si>
  <si>
    <t>Weekly East Coast (PADD 1) Refiner and Blender Net Production of Distillate Fuel Oil  (Thousand Barrels per Day)</t>
  </si>
  <si>
    <t>Weekly East Coast (PADD 1) Refiner and Blender Net Production of Distillate Fuel Oil, 0 to 15 ppm Sulfur  (Thousand Barrels per Day)</t>
  </si>
  <si>
    <t>Weekly East Coast (PADD 1) Refiner and Blender Net Production of  Distillate Fuel Oil, Greater than 15 to 500 ppm Sulfur  (Thousand Barrels per Day)</t>
  </si>
  <si>
    <t>Weekly East Coast (PADD 1)  Refiner and Blender Net Production of Distillate Fuel Oil Greater than 500 ppm Sulfur  (Thousand Barrels per Day)</t>
  </si>
  <si>
    <t>Weekly East Coast (PADD 1) Refiner and Blender Net Production of Residual Fuel Oil  (Thousand Barrels per Day)</t>
  </si>
  <si>
    <t>Weekly East Coast (PADD 1) Refiner, Blender, and Gas Plant Net Production of Propane and Propylene  (Thousand Barrels per Day)</t>
  </si>
  <si>
    <t>Data 1: PADD 2 Weekly Refiner &amp; Blender Net Production</t>
  </si>
  <si>
    <t>WGFRPP22</t>
  </si>
  <si>
    <t>WGRRPP22</t>
  </si>
  <si>
    <t>WG1TP_R20_2</t>
  </si>
  <si>
    <t>W_EPM0RO_YPT_R20_MBBLD</t>
  </si>
  <si>
    <t>WG4TP_R20_2</t>
  </si>
  <si>
    <t>WG5TP_R20_2</t>
  </si>
  <si>
    <t>W_EPM0CAL55_YPT_R20_MBBLD</t>
  </si>
  <si>
    <t>W_EPM0CAG55_YPT_R20_MBBLD</t>
  </si>
  <si>
    <t>WG6TP_R20_2</t>
  </si>
  <si>
    <t>WKJRPP22</t>
  </si>
  <si>
    <t>WKCRPP22</t>
  </si>
  <si>
    <t>WKMRPP22</t>
  </si>
  <si>
    <t>WDIRPP22</t>
  </si>
  <si>
    <t>WD0TP_R20_2</t>
  </si>
  <si>
    <t>WD1TP_R20_2</t>
  </si>
  <si>
    <t>WDGRPP22</t>
  </si>
  <si>
    <t>WRERPP22</t>
  </si>
  <si>
    <t>WPRNPP22</t>
  </si>
  <si>
    <t>4-Week Avg Midwest (PADD 2) Refiner and Blender Net Production of Finished Motor Gasoline  (Thousand Barrels per Day)</t>
  </si>
  <si>
    <t>4-Week Avg Midwest (PADD 2) Refiner and Blender Net Production of Reformulated Motor Gasoline  (Thousand Barrels per Day)</t>
  </si>
  <si>
    <t>4-Week Avg Midwest (PADD 2) Refiner and Blender Net Production of Finished Reformulated Motor Gasoline with Ethanol  (Thousand Barrels per Day)</t>
  </si>
  <si>
    <t>4-Week Avg Midwest (PADD 2) Refiner and Blender Net Production of Other Finished Reformulated Motor Gasoline  (Thousand Barrels per Day)</t>
  </si>
  <si>
    <t>4-Week Avg Midwest (PADD 2) Refiner and Blender Net Production of Conventional Motor Gasoline  (Thousand Barrels per Day)</t>
  </si>
  <si>
    <t>4-Week Avg Midwest (PADD 2) Refiner and Blender Net Production of Finished Conventional Motor Gasoline with Ethanol  (Thousand Barrels per Day)</t>
  </si>
  <si>
    <t>4-Week Avg Midwest (PADD 2) Refiner and Blender Net Production of Finished Conventional Motor Gasoline, Ed 55 and Lower  (Thousand Barrels per Day)</t>
  </si>
  <si>
    <t>4-Week Avg Midwest (PADD 2) Refiner and Blender Net Production of Finished Conventional Motor Gasoline, Greater than Ed 55  (Thousand Barrels per Day)</t>
  </si>
  <si>
    <t>4-Week Avg Midwest (PADD 2) Refiner and Blender Net Production of Other Finished Conventional Motor Gasoline  (Thousand Barrels per Day)</t>
  </si>
  <si>
    <t>4-Week Avg Midwest (PADD 2) Refiner and Blender Net Production of Kerosene-Type Jet Fuel  (Thousand Barrels per Day)</t>
  </si>
  <si>
    <t>4-Week Avg Midwest (PADD 2)  Refiner and Blender Net Production of Commercial Kerosene-Type Jet Fuel  (Thousand Barrels per Day)</t>
  </si>
  <si>
    <t>4-Week Avg Midwest (PADD 2)  Refiner and Blender Net Production of Military Kerosene-Type Jet Fuel  (Thousand Barrels per Day)</t>
  </si>
  <si>
    <t>4-Week Avg Midwest (PADD 2) Refiner and Blender Net Production of Distillate Fuel Oil  (Thousand Barrels per Day)</t>
  </si>
  <si>
    <t>4-Week Avg Midwest (PADD 2) Refiner and Blender Net Production of Distillate Fuel Oil, 0 to 15 ppm Sulfur  (Thousand Barrels per Day)</t>
  </si>
  <si>
    <t>4-Week Avg Midwest (PADD 2)Refiner and Blender Net Production of Distillate Fuel Oil, Greater than 15 to 500 ppm Sulfur  (Thousand Barrels per Day)</t>
  </si>
  <si>
    <t>4-Week Avg Midwest (PADD 2)  Refiner and Blender Net Production of Distillate Fuel Oil Greater than 500 ppm Sulfur  (Thousand Barrels per Day)</t>
  </si>
  <si>
    <t>4-Week Avg Midwest (PADD 2) Refiner and Blender Net Production of Residual Fuel Oil  (Thousand Barrels per Day)</t>
  </si>
  <si>
    <t>4-Week Avg Midwest (PADD 2) Refiner, Blender, and Gas Plant Net Production of Propane and Propylene  (Thousand Barrels per Day)</t>
  </si>
  <si>
    <t>Data 1: PADD 3 Weekly Refiner &amp; Blender Net Production</t>
  </si>
  <si>
    <t>WGFRPP32</t>
  </si>
  <si>
    <t>WGRRPP32</t>
  </si>
  <si>
    <t>WG1TP_R30_2</t>
  </si>
  <si>
    <t>W_EPM0RO_YPT_R30_MBBLD</t>
  </si>
  <si>
    <t>WG4TP_R30_2</t>
  </si>
  <si>
    <t>WG5TP_R30_2</t>
  </si>
  <si>
    <t>W_EPM0CAL55_YPT_R30_MBBLD</t>
  </si>
  <si>
    <t>W_EPM0CAG55_YPT_R30_MBBLD</t>
  </si>
  <si>
    <t>WG6TP_R30_2</t>
  </si>
  <si>
    <t>WKJRPP32</t>
  </si>
  <si>
    <t>WKCRPP32</t>
  </si>
  <si>
    <t>WKMRPP32</t>
  </si>
  <si>
    <t>WDIRPP32</t>
  </si>
  <si>
    <t>WD0TP_R30_2</t>
  </si>
  <si>
    <t>WD1TP_R30_2</t>
  </si>
  <si>
    <t>WDGRPP32</t>
  </si>
  <si>
    <t>WRERPP32</t>
  </si>
  <si>
    <t>WPRNPP32</t>
  </si>
  <si>
    <t>4-Week Avg Gulf Coast (PADD 3) Refiner and Blender Net Production of Finished Motor Gasoline  (Thousand Barrels per Day)</t>
  </si>
  <si>
    <t>4-Week Avg Gulf Coast (PADD 3) Refiner and Blender Net Production of Reformulated Motor Gasoline  (Thousand Barrels per Day)</t>
  </si>
  <si>
    <t>4-Week Avg Gulf Coast (PADD 3) Refiner and Blender Net Production of Finished Reformulated Motor Gasoline with Ethanol  (Thousand Barrels per Day)</t>
  </si>
  <si>
    <t>4-Week Avg Gulf Coast (PADD 3) Refiner and Blender Net Production of Other Finished Reformulated Motor Gasoline  (Thousand Barrels per Day)</t>
  </si>
  <si>
    <t>4-Week Avg Gulf Coast (PADD 3) Refiner and Blender Net Production of Conventional Motor Gasoline  (Thousand Barrels per Day)</t>
  </si>
  <si>
    <t>4-Week Avg Gulf Coast (PADD 3) Refiner and Blender Net Production of Finished Conventional Motor Gasoline with Ethanol  (Thousand Barrels per Day)</t>
  </si>
  <si>
    <t>4-Week Avg Gulf Coast (PADD 3) Refiner and Blender Net Production of Finished Conventional Motor Gasoline, Ed 55 and Lower  (Thousand Barrels per Day)</t>
  </si>
  <si>
    <t>4-Week Avg Gulf Coast (PADD 3) Refiner and Blender Net Production of Finished Conventional Motor Gasoline, Greater than Ed 55  (Thousand Barrels per Day)</t>
  </si>
  <si>
    <t>4-Week Avg Gulf Coast (PADD 3) Refiner and Blender Net Production of Other Finished Conventional Motor Gasoline  (Thousand Barrels per Day)</t>
  </si>
  <si>
    <t>4-Week Avg Gulf Coast (PADD 3) Refiner and Blender Net Production of Kerosene-Type Jet Fuel  (Thousand Barrels per Day)</t>
  </si>
  <si>
    <t>4-Week Avg Gulf Coast (PADD 3)  Refiner and Blender Net Production of Commercial Kerosene-Type Jet Fuel  (Thousand Barrels per Day)</t>
  </si>
  <si>
    <t>4-Week Avg Gulf Coast (PADD 3)  Refiner and Blender Net Production of Military Kerosene-Type Jet Fuel  (Thousand Barrels per Day)</t>
  </si>
  <si>
    <t>4-Week Avg Gulf Coast (PADD 3) Refiner and Blender Net Production of Distillate Fuel Oil  (Thousand Barrels per Day)</t>
  </si>
  <si>
    <t>4-Week Avg Gulf Coast (PADD 3) Refiner and Blender Net Production of Distillate Fuel Oil, 0 to 15 ppm Sulfur  (Thousand Barrels per Day)</t>
  </si>
  <si>
    <t>4-Week Avg Gulf Coast (PADD 3) Refiner and Blender Net Production of Distillate Fuel Oil, Greater than 15 to 500 ppm Sulfur  (Thousand Barrels per Day)</t>
  </si>
  <si>
    <t>4-Week Avg Gulf Coast (PADD 3)  Refiner and Blender Net Production of Distillate Fuel Oil Greater than 500 ppm Sulfur  (Thousand Barrels per Day)</t>
  </si>
  <si>
    <t>4-Week Avg Gulf Coast (PADD 3) Refiner and Blender Net Production of Residual Fuel Oil  (Thousand Barrels per Day)</t>
  </si>
  <si>
    <t>4-Week Avg Gulf Coast (PADD 3) Refiner, Blender, and Gas Plant Net Production of Propane and Propylene  (Thousand Barrels per Day)</t>
  </si>
  <si>
    <t>Data 1: PADD 4 Weekly Refiner &amp; Blender Net Production</t>
  </si>
  <si>
    <t>WGFRPP42</t>
  </si>
  <si>
    <t>WGRRPP42</t>
  </si>
  <si>
    <t>WG1TP_R40_2</t>
  </si>
  <si>
    <t>W_EPM0RO_YPT_R40_MBBLD</t>
  </si>
  <si>
    <t>WG4TP_R40_2</t>
  </si>
  <si>
    <t>WG5TP_R40_2</t>
  </si>
  <si>
    <t>W_EPM0CAL55_YPT_R40_MBBLD</t>
  </si>
  <si>
    <t>W_EPM0CAG55_YPT_R40_MBBLD</t>
  </si>
  <si>
    <t>WG6TP_R40_2</t>
  </si>
  <si>
    <t>WKJRPP42</t>
  </si>
  <si>
    <t>WKCRPP42</t>
  </si>
  <si>
    <t>WKMRPP42</t>
  </si>
  <si>
    <t>WDIRPP42</t>
  </si>
  <si>
    <t>WD0TP_R40_2</t>
  </si>
  <si>
    <t>WD1TP_R40_2</t>
  </si>
  <si>
    <t>WDGRPP42</t>
  </si>
  <si>
    <t>WRERPP42</t>
  </si>
  <si>
    <t>4-Week Avg Rocky Mountain (PADD 4) Refiner and Blender Net Production of Finished Motor Gasoline  (Thousand Barrels per Day)</t>
  </si>
  <si>
    <t>4-Week Avg Rocky Mountain (PADD 4) Refiner and Blender Net Production of Reformulated Motor Gasoline  (Thousand Barrels per Day)</t>
  </si>
  <si>
    <t>4-Week Avg Rocky Mountain (PADD 4) Refiner and Blender Net Production of Finished Reformulated Motor Gasoline with Ethanol  (Thousand Barrels per Day)</t>
  </si>
  <si>
    <t>4-Week Avg Rocky Mountain (PADD 4) Refiner and Blender Net Production of Other Finished Reformulated Motor Gasoline  (Thousand Barrels per Day)</t>
  </si>
  <si>
    <t>4-Week Avg Rocky Mountain (PADD 4) Refiner and Blender Net Production of Conventional Motor Gasoline  (Thousand Barrels per Day)</t>
  </si>
  <si>
    <t>4-Week Avg Rocky Mountain (PADD 4) Refiner and Blender Net Production of Finished Conventional Motor Gasoline with Ethanol  (Thousand Barrels per Day)</t>
  </si>
  <si>
    <t>4-Week Avg Rocky Mountain (PADD 4) Refiner and Blender Net Production of Finished Conventional Motor Gasoline, Ed 55 and Lower  (Thousand Barrels per Day)</t>
  </si>
  <si>
    <t>4-Week Avg Rocky Mountain (PADD 4) Refiner and Blender Net Production of Finished Conventional Motor Gasoline, Greater than Ed 55  (Thousand Barrels per Day)</t>
  </si>
  <si>
    <t>4-Week Avg Rocky Mountain (PADD 4) Refiner and Blender Net Production of Other Finished Conventional Motor Gasoline  (Thousand Barrels per Day)</t>
  </si>
  <si>
    <t>4-Week Avg Rocky Mountain (PADD 4) Refiner and Blender Net Production of Kerosene-Type Jet Fuel  (Thousand Barrels per Day)</t>
  </si>
  <si>
    <t>4-Week Avg Rocky Mountain (PADD 4)  Refiner and Blender Net Production of Commercial Kerosene-Type Jet Fuel  (Thousand Barrels per Day)</t>
  </si>
  <si>
    <t>4-Week Avg Rocky Mountain (PADD 4)  Refiner and Blender Net Production of Military Kerosene-Type Jet Fuel  (Thousand Barrels per Day)</t>
  </si>
  <si>
    <t>4-Week Avg Rocky Mountain (PADD 4) Refiner and Blender Net Production of Distillate Fuel Oil  (Thousand Barrels per Day)</t>
  </si>
  <si>
    <t>4-Week Avg Rocky Mountain (PADD 4) Refiner and Blender Net Production of Distillate Fuel Oil, 0 to 15 ppm Sulfur  (Thousand Barrels per Day)</t>
  </si>
  <si>
    <t>4-Week Avg Rocky Mountain (PADD 4) Refiner and Blender Net Production of Distillate Fuel Oil, Greater than 15 to 500 ppm Sulfur  (Thousand Barrels per Day)</t>
  </si>
  <si>
    <t>4-Week Avg Rocky Mountain (PADD 4)  Refiner and Blender Net Production of Distillate Fuel Oil Greater than 500 ppm Sulfur  (Thousand Barrels per Day)</t>
  </si>
  <si>
    <t>4-Week Avg Rocky Mountain (PADD 4) Refiner and Blender Net Production of Residual Fuel Oil  (Thousand Barrels per Day)</t>
  </si>
  <si>
    <t>Data 1: West Coast (PADD 5) Weekly Refiner &amp; Blender Net Production</t>
  </si>
  <si>
    <t>WGFRPP52</t>
  </si>
  <si>
    <t>WGRRPP52</t>
  </si>
  <si>
    <t>WG1TP_R50_2</t>
  </si>
  <si>
    <t>W_EPM0RO_YPT_R50_MBBLD</t>
  </si>
  <si>
    <t>WG4TP_R50_2</t>
  </si>
  <si>
    <t>WG5TP_R50_2</t>
  </si>
  <si>
    <t>W_EPM0CAL55_YPT_R50_MBBLD</t>
  </si>
  <si>
    <t>W_EPM0CAG55_YPT_R50_MBBLD</t>
  </si>
  <si>
    <t>WG6TP_R50_2</t>
  </si>
  <si>
    <t>WKJRPP52</t>
  </si>
  <si>
    <t>WKCRPP52</t>
  </si>
  <si>
    <t>WKMRPP52</t>
  </si>
  <si>
    <t>WDIRPP52</t>
  </si>
  <si>
    <t>WD0TP_R50_2</t>
  </si>
  <si>
    <t>WD1TP_R50_2</t>
  </si>
  <si>
    <t>WDGRPP52</t>
  </si>
  <si>
    <t>WRERPP52</t>
  </si>
  <si>
    <t>4-Week Avg West Coast (PADD 5) Refiner and Blender Net Production of Finished Motor Gasoline  (Thousand Barrels per Day)</t>
  </si>
  <si>
    <t>4-Week Avg West Coast (PADD 5) Refiner and Blender Net Production of Reformulated Motor Gasoline  (Thousand Barrels per Day)</t>
  </si>
  <si>
    <t>4-Week Avg West Coast (PADD 5) Refiner and Blender Net Production of Finished Reformulated Motor Gasoline with Ethanol  (Thousand Barrels per Day)</t>
  </si>
  <si>
    <t>4-Week Avg West Coast (PADD 5)  Refiner and Blender Net Production of Other Finished Reformulated Motor Gasoline  (Thousand Barrels per Day)</t>
  </si>
  <si>
    <t>4-Week Avg West Coast (PADD 5) Refiner and Blender Net Production of Conventional Motor Gasoline  (Thousand Barrels per Day)</t>
  </si>
  <si>
    <t>4-Week Avg West Coast (PADD 5) Refiner and Blender Net Production of Finished Conventional Motor Gasoline with Ethanol  (Thousand Barrels per Day)</t>
  </si>
  <si>
    <t>4-Week Avg West Coast (PADD 5)  Refiner and Blender Net Production of Finished Conventional Motor Gasoline, Ed 55 and Lower  (Thousand Barrels per Day)</t>
  </si>
  <si>
    <t>4-Week Avg West Coast (PADD 5)  Refiner and Blender Net Production of Finished Conventional Motor Gasoline, Greater than Ed 55  (Thousand Barrels per Day)</t>
  </si>
  <si>
    <t>4-Week Avg West Coast (PADD 5) Refiner and Blender Net Production of Other Finished Conventional Motor Gasoline  (Thousand Barrels per Day)</t>
  </si>
  <si>
    <t>4-Week Avg West Coast (PADD 5) Refiner and Blender Net Production of Kerosene-Type Jet Fuel  (Thousand Barrels per Day)</t>
  </si>
  <si>
    <t>4-Week Avg West Coast (PADD 5)  Refiner and Blender Net Production of Commercial Kerosene-Type Jet Fuel  (Thousand Barrels per Day)</t>
  </si>
  <si>
    <t>4-Week Avg West Coast (PADD 5)  Refiner and Blender Net Production of Military Kerosene-Type Jet Fuel  (Thousand Barrels per Day)</t>
  </si>
  <si>
    <t>4-Week Avg West Coast (PADD 5) Refiner and Blender Net Production of Distillate Fuel Oil  (Thousand Barrels per Day)</t>
  </si>
  <si>
    <t>4-Week Avg West Coast (PADD 5) Refiner and Blender Net Production of Distillate Fuel Oil, 0 to 15 ppm Sulfur  (Thousand Barrels per Day)</t>
  </si>
  <si>
    <t>4-Week Avg West Coast (PADD 5) Refiner and Blender Net Production of Distillate Fuel Oil, Greater than 15 to 500 ppm Sulfur  (Thousand Barrels per Day)</t>
  </si>
  <si>
    <t>4-Week Avg West Coast (PADD 5)  Refiner and Blender Net Production of Distillate Fuel Oil Greater than 500 ppm Sulfur  (Thousand Barrels per Day)</t>
  </si>
  <si>
    <t>4-Week Avg West Coast (PADD 5) Refiner and Blender Net Production of Residual Fuel Oil  (Thousand Barrels per Day)</t>
  </si>
  <si>
    <t>Total</t>
  </si>
  <si>
    <t>DSH Percent of DSL Total</t>
  </si>
  <si>
    <t>Barrels of Oil</t>
  </si>
  <si>
    <t>Crude Oil Input</t>
  </si>
  <si>
    <t>% of Capacity that is Crude Oil (98.7)</t>
  </si>
  <si>
    <t>Refining Industry Energy Consumption, Reference case</t>
  </si>
  <si>
    <t>Shipments and Energy Consumption</t>
  </si>
  <si>
    <t>    1/ Fuel consumption includes consumption for combined heat and power and consumption at ethanol plants.</t>
  </si>
  <si>
    <t>    2/ Includes lubricants and miscellaneous petroleum products.</t>
  </si>
  <si>
    <t>    3/ Where coal-to-liquids (CTL) technology is adopted in the forecast, the plants are assumed to produce oil products and to</t>
  </si>
  <si>
    <t>generate electricity.  A portion of the coal use is attributed to feedstock use to produce the liquids.  The feedstock portion</t>
  </si>
  <si>
    <t>is assumed to be equal to the Btu content of the liquids produced.  The rest of the coal used in CTL plants is accounted for in</t>
  </si>
  <si>
    <t>industrial steam coal consumption, a portion of which is reflected in energy used for end-use sector combined heat and power.</t>
  </si>
  <si>
    <t>    4/ Includes emissions attributable to the fuels consumed to generate the purchased electricity.</t>
  </si>
  <si>
    <t>    5/ May include wood and other biomass, waste heat, municipal waste, and renewable sources.</t>
  </si>
  <si>
    <t>    Btu = British thermal unit.</t>
  </si>
  <si>
    <t>    - - = Not applicable.</t>
  </si>
  <si>
    <t>    Note:  Totals may not equal sum of components due to independent rounding.  Data for 2009 and</t>
  </si>
  <si>
    <t>2010 are model results and may differ slightly from official EIA data reports.</t>
  </si>
  <si>
    <t>    Source:  2009 and 2010 combined heat and power capacity and net generation:  Energy</t>
  </si>
  <si>
    <t>Information Administration (EIA), Form EIA-860:  "Annual Electric Generator Report," (preliminary).  2009</t>
  </si>
  <si>
    <t>and 2010 coal and natural gas consumption at ethanol plants:  Carbon Dioxide Emissions from the Production and</t>
  </si>
  <si>
    <t>Combustion of Fuel Ethanol from Corn," Marland, G. and A.F. Turhollow, 1991.  2009 and 2010</t>
  </si>
  <si>
    <t>electricity consumption at ethanol plants:  U.S. Department of Agriculture, 1998 Ethanol Cost-of-Production Survey, Agricultural</t>
  </si>
  <si>
    <t>Economic Report Number 808.  Other 2009 and 2010 data based on:  EIA, Manufacturing Energy</t>
  </si>
  <si>
    <t>Consumption Survey, 2006.  Projections: EIA, AEO2012 National Energy Modeling System.</t>
  </si>
  <si>
    <t>NOXDIREF</t>
  </si>
  <si>
    <t>NOx from refineries</t>
  </si>
  <si>
    <t>NYC</t>
  </si>
  <si>
    <t>R0,R1,R2,R3,R4,R5,R6</t>
  </si>
  <si>
    <t>R1,R2,R3,R4,R5,R6</t>
  </si>
  <si>
    <t>*R1,R2,R3,R4,R5,R6</t>
  </si>
  <si>
    <t>*TechData</t>
  </si>
  <si>
    <t>*R1</t>
  </si>
  <si>
    <t>~FI_Comm</t>
  </si>
  <si>
    <t>Unit</t>
  </si>
  <si>
    <t>Csets</t>
  </si>
  <si>
    <t>LimType</t>
  </si>
  <si>
    <t>CTSLvl</t>
  </si>
  <si>
    <t>PeakTS</t>
  </si>
  <si>
    <t>Ctype</t>
  </si>
  <si>
    <t>NRG</t>
  </si>
  <si>
    <t>~FI_Process</t>
  </si>
  <si>
    <t>Tact</t>
  </si>
  <si>
    <t>Tcap</t>
  </si>
  <si>
    <t>Sets</t>
  </si>
  <si>
    <t>PrimaryCG</t>
  </si>
  <si>
    <t>Vintage</t>
  </si>
  <si>
    <t>PRE</t>
  </si>
  <si>
    <t>MIN</t>
  </si>
  <si>
    <t>*TechDesc</t>
  </si>
  <si>
    <t>Input</t>
  </si>
  <si>
    <t>Output</t>
  </si>
  <si>
    <t>NCAP_START</t>
  </si>
  <si>
    <t>PRC_CAPACT</t>
  </si>
  <si>
    <t>NCAP_AFA</t>
  </si>
  <si>
    <t>NCAP_COST</t>
  </si>
  <si>
    <t>NCAP_FOM~2010</t>
  </si>
  <si>
    <t>NCAP_FOM~2015</t>
  </si>
  <si>
    <t>NCAP_FOM~2020</t>
  </si>
  <si>
    <t>NCAP_FOM~2025</t>
  </si>
  <si>
    <t>NCAP_FOM~2030</t>
  </si>
  <si>
    <t>NCAP_FOM~2055</t>
  </si>
  <si>
    <t>PRC_RESID~2010</t>
  </si>
  <si>
    <t>PRC_RESID~2055</t>
  </si>
  <si>
    <t>ACT_BND~LO</t>
  </si>
  <si>
    <t>~FI_T</t>
  </si>
  <si>
    <t>EFF</t>
  </si>
  <si>
    <t>*NCAP_START</t>
  </si>
  <si>
    <t>ACT_BND~LO~2010</t>
  </si>
  <si>
    <t>ACT_BND~LO~2050</t>
  </si>
  <si>
    <t>DummyREF</t>
  </si>
  <si>
    <t>Refinery dummy commodities</t>
  </si>
  <si>
    <t>NCAP_TLIFE</t>
  </si>
  <si>
    <t>Share~UP~2010</t>
  </si>
  <si>
    <t>Share~UP~2055</t>
  </si>
  <si>
    <t>* Refined Products in each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</si>
</sst>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00"/>
    <numFmt numFmtId="165" formatCode="0.0000"/>
    <numFmt numFmtId="166" formatCode="0.0%"/>
    <numFmt numFmtId="167" formatCode="0.0"/>
    <numFmt numFmtId="168" formatCode="_(* #,##0.0_);_(* \(#,##0.0\);_(* &quot;-&quot;_);_(@_)"/>
    <numFmt numFmtId="169" formatCode="_(* #,##0.00_);_(* \(#,##0.00\);_(* &quot;-&quot;_);_(@_)"/>
    <numFmt numFmtId="170" formatCode="yyyy"/>
    <numFmt numFmtId="171" formatCode="_-* #,##0.00_-;\-* #,##0.00_-;_-* &quot;-&quot;??_-;_-@_-"/>
    <numFmt numFmtId="172" formatCode="mmm\ dd\,\ yyyy"/>
    <numFmt numFmtId="173" formatCode="\Te\x\t"/>
  </numFmts>
  <fonts count="44" x14ac:knownFonts="1">
    <font>
      <sz val="10"/>
      <name val="Arial"/>
    </font>
    <font>
      <sz val="10"/>
      <name val="Arial"/>
      <family val="2"/>
    </font>
    <font>
      <u/>
      <sz val="10"/>
      <color indexed="12"/>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sz val="8"/>
      <name val="Arial"/>
      <family val="2"/>
    </font>
    <font>
      <b/>
      <sz val="12"/>
      <name val="Arial"/>
      <family val="2"/>
    </font>
    <font>
      <sz val="10"/>
      <name val="Times New Roman"/>
      <family val="1"/>
    </font>
    <font>
      <b/>
      <sz val="8"/>
      <name val="Arial"/>
      <family val="2"/>
    </font>
    <font>
      <sz val="8"/>
      <name val="Arial"/>
      <family val="2"/>
    </font>
    <font>
      <b/>
      <sz val="10"/>
      <name val="Times New Roman"/>
      <family val="1"/>
    </font>
    <font>
      <sz val="9"/>
      <name val="Arial"/>
      <family val="2"/>
    </font>
    <font>
      <sz val="10"/>
      <color indexed="18"/>
      <name val="Arial"/>
      <family val="2"/>
    </font>
    <font>
      <sz val="10"/>
      <name val="MS Sans Serif"/>
      <family val="2"/>
    </font>
    <font>
      <b/>
      <sz val="14"/>
      <color indexed="8"/>
      <name val="Calibri"/>
      <family val="2"/>
    </font>
    <font>
      <b/>
      <sz val="11"/>
      <color indexed="8"/>
      <name val="Calibri"/>
      <family val="2"/>
    </font>
    <font>
      <sz val="11"/>
      <color indexed="10"/>
      <name val="Calibri"/>
      <family val="2"/>
    </font>
    <font>
      <sz val="11"/>
      <name val="Calibri"/>
      <family val="2"/>
    </font>
    <font>
      <b/>
      <sz val="9"/>
      <name val="Arial"/>
      <family val="2"/>
    </font>
    <font>
      <b/>
      <sz val="12"/>
      <color indexed="18"/>
      <name val="Arial"/>
      <family val="2"/>
    </font>
    <font>
      <sz val="10"/>
      <color rgb="FFC00000"/>
      <name val="Arial"/>
      <family val="2"/>
    </font>
    <font>
      <sz val="10"/>
      <name val="Arial"/>
      <family val="2"/>
    </font>
    <font>
      <b/>
      <sz val="10"/>
      <color rgb="FFFF0000"/>
      <name val="Arial"/>
      <family val="2"/>
    </font>
    <font>
      <u/>
      <sz val="10"/>
      <color theme="10"/>
      <name val="Arial"/>
      <family val="2"/>
    </font>
    <font>
      <sz val="10"/>
      <color rgb="FFFF0000"/>
      <name val="Arial"/>
      <family val="2"/>
    </font>
    <font>
      <b/>
      <sz val="11"/>
      <color theme="1"/>
      <name val="Calibri"/>
      <family val="2"/>
      <scheme val="minor"/>
    </font>
    <font>
      <b/>
      <sz val="13.5"/>
      <color theme="1"/>
      <name val="Calibri"/>
      <family val="2"/>
      <scheme val="minor"/>
    </font>
    <font>
      <sz val="10"/>
      <color theme="5" tint="-0.249977111117893"/>
      <name val="Arial"/>
      <family val="2"/>
    </font>
    <font>
      <b/>
      <sz val="10"/>
      <color theme="5" tint="-0.249977111117893"/>
      <name val="Arial"/>
      <family val="2"/>
    </font>
    <font>
      <sz val="11"/>
      <name val="Arial"/>
      <family val="2"/>
    </font>
    <font>
      <sz val="9"/>
      <color theme="5" tint="-0.249977111117893"/>
      <name val="Arial"/>
      <family val="2"/>
    </font>
    <font>
      <sz val="8"/>
      <color indexed="81"/>
      <name val="Tahoma"/>
      <family val="2"/>
    </font>
    <font>
      <b/>
      <sz val="8"/>
      <color indexed="81"/>
      <name val="Tahoma"/>
      <family val="2"/>
    </font>
    <font>
      <b/>
      <sz val="10"/>
      <color indexed="18"/>
      <name val="Arial"/>
      <family val="2"/>
    </font>
    <font>
      <b/>
      <sz val="10"/>
      <color theme="1"/>
      <name val="Arial"/>
      <family val="2"/>
    </font>
    <font>
      <sz val="10"/>
      <name val="Arial"/>
      <family val="2"/>
    </font>
    <font>
      <sz val="8"/>
      <name val="Arial"/>
      <family val="2"/>
    </font>
    <font>
      <u/>
      <sz val="10"/>
      <color indexed="12"/>
      <name val="Arial"/>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rgb="FFFFFFCC"/>
        <bgColor indexed="64"/>
      </patternFill>
    </fill>
    <fill>
      <patternFill patternType="solid">
        <fgColor indexed="43"/>
        <bgColor indexed="64"/>
      </patternFill>
    </fill>
  </fills>
  <borders count="2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3">
    <xf numFmtId="0" fontId="0" fillId="0" borderId="0"/>
    <xf numFmtId="0" fontId="2" fillId="0" borderId="0" applyNumberFormat="0" applyFill="0" applyBorder="0" applyAlignment="0" applyProtection="0">
      <alignment vertical="top"/>
      <protection locked="0"/>
    </xf>
    <xf numFmtId="0" fontId="19" fillId="0" borderId="0"/>
    <xf numFmtId="0" fontId="4" fillId="0" borderId="0"/>
    <xf numFmtId="0" fontId="4" fillId="0" borderId="0"/>
    <xf numFmtId="0" fontId="1" fillId="0" borderId="0"/>
    <xf numFmtId="0" fontId="4" fillId="0" borderId="0"/>
    <xf numFmtId="9" fontId="1" fillId="0" borderId="0" applyFont="0" applyFill="0" applyBorder="0" applyAlignment="0" applyProtection="0"/>
    <xf numFmtId="0" fontId="27" fillId="0" borderId="0"/>
    <xf numFmtId="9" fontId="1" fillId="0" borderId="0" applyFont="0" applyFill="0" applyBorder="0" applyAlignment="0" applyProtection="0"/>
    <xf numFmtId="171" fontId="1" fillId="0" borderId="0" applyFont="0" applyFill="0" applyBorder="0" applyAlignment="0" applyProtection="0"/>
    <xf numFmtId="43" fontId="41" fillId="0" borderId="0" applyFont="0" applyFill="0" applyBorder="0" applyAlignment="0" applyProtection="0"/>
    <xf numFmtId="0" fontId="43" fillId="0" borderId="0" applyNumberFormat="0" applyFill="0" applyBorder="0" applyAlignment="0" applyProtection="0">
      <alignment vertical="top"/>
      <protection locked="0"/>
    </xf>
  </cellStyleXfs>
  <cellXfs count="249">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0" fillId="2" borderId="0" xfId="0" applyFill="1"/>
    <xf numFmtId="0" fontId="7" fillId="0" borderId="0" xfId="0" applyFont="1"/>
    <xf numFmtId="49" fontId="5" fillId="0" borderId="0" xfId="0" applyNumberFormat="1" applyFont="1"/>
    <xf numFmtId="11" fontId="5" fillId="0" borderId="0" xfId="0" applyNumberFormat="1" applyFont="1"/>
    <xf numFmtId="0" fontId="8" fillId="0" borderId="0" xfId="0" applyFont="1"/>
    <xf numFmtId="0" fontId="9" fillId="0" borderId="0" xfId="0" applyFont="1"/>
    <xf numFmtId="49" fontId="8" fillId="0" borderId="0" xfId="0" applyNumberFormat="1" applyFont="1"/>
    <xf numFmtId="0" fontId="10" fillId="0" borderId="0" xfId="0" applyFont="1"/>
    <xf numFmtId="0" fontId="0" fillId="3" borderId="0" xfId="0" applyFill="1"/>
    <xf numFmtId="0" fontId="3" fillId="3" borderId="0" xfId="0" applyFont="1" applyFill="1" applyAlignment="1">
      <alignment vertical="center"/>
    </xf>
    <xf numFmtId="0" fontId="4" fillId="3" borderId="0" xfId="0" applyFont="1" applyFill="1" applyAlignment="1">
      <alignment vertical="center"/>
    </xf>
    <xf numFmtId="0" fontId="0" fillId="3" borderId="0" xfId="0" applyFill="1" applyAlignment="1">
      <alignment vertical="center"/>
    </xf>
    <xf numFmtId="0" fontId="3" fillId="3" borderId="0" xfId="0" applyFont="1" applyFill="1" applyAlignment="1">
      <alignment horizontal="center" vertical="center"/>
    </xf>
    <xf numFmtId="0" fontId="1" fillId="3" borderId="0" xfId="0" applyFont="1" applyFill="1" applyAlignment="1">
      <alignment vertical="center"/>
    </xf>
    <xf numFmtId="0" fontId="1" fillId="3" borderId="0" xfId="0" applyFont="1" applyFill="1" applyAlignment="1">
      <alignment horizontal="center" vertical="center"/>
    </xf>
    <xf numFmtId="0" fontId="3" fillId="3" borderId="0" xfId="0" applyFont="1" applyFill="1"/>
    <xf numFmtId="0" fontId="5" fillId="3" borderId="0" xfId="0" applyFont="1" applyFill="1"/>
    <xf numFmtId="0" fontId="1" fillId="3" borderId="0" xfId="0" applyFont="1" applyFill="1"/>
    <xf numFmtId="0" fontId="3" fillId="3" borderId="0" xfId="0" applyFont="1" applyFill="1" applyAlignment="1">
      <alignment horizontal="center" vertical="center" wrapText="1"/>
    </xf>
    <xf numFmtId="49" fontId="1" fillId="3" borderId="0" xfId="0" applyNumberFormat="1" applyFont="1" applyFill="1" applyAlignment="1">
      <alignment horizontal="center" vertical="center"/>
    </xf>
    <xf numFmtId="49" fontId="3" fillId="3" borderId="0" xfId="0" applyNumberFormat="1" applyFont="1" applyFill="1" applyAlignment="1">
      <alignment horizontal="center" vertical="center"/>
    </xf>
    <xf numFmtId="1" fontId="1" fillId="3" borderId="0" xfId="0" applyNumberFormat="1" applyFont="1" applyFill="1" applyAlignment="1">
      <alignment horizontal="center" vertical="center"/>
    </xf>
    <xf numFmtId="2" fontId="1" fillId="3" borderId="0" xfId="0" applyNumberFormat="1" applyFont="1" applyFill="1" applyAlignment="1">
      <alignment horizontal="center" vertical="center"/>
    </xf>
    <xf numFmtId="165" fontId="1" fillId="3" borderId="0" xfId="0" applyNumberFormat="1" applyFont="1" applyFill="1" applyAlignment="1">
      <alignment horizontal="center" vertical="center"/>
    </xf>
    <xf numFmtId="164" fontId="1" fillId="3" borderId="0" xfId="0" applyNumberFormat="1" applyFont="1" applyFill="1" applyAlignment="1">
      <alignment horizontal="center" vertical="center"/>
    </xf>
    <xf numFmtId="0" fontId="1" fillId="3" borderId="0" xfId="0" applyFont="1" applyFill="1" applyAlignment="1">
      <alignment horizontal="right" vertical="center"/>
    </xf>
    <xf numFmtId="49" fontId="3" fillId="3" borderId="0" xfId="0" applyNumberFormat="1" applyFont="1" applyFill="1" applyAlignment="1">
      <alignment horizontal="right" vertical="center"/>
    </xf>
    <xf numFmtId="11" fontId="1" fillId="3" borderId="0" xfId="0" applyNumberFormat="1" applyFont="1" applyFill="1" applyAlignment="1">
      <alignment vertical="center"/>
    </xf>
    <xf numFmtId="0" fontId="11" fillId="3" borderId="0" xfId="6" applyFont="1" applyFill="1" applyAlignment="1">
      <alignment horizontal="right" vertical="center"/>
    </xf>
    <xf numFmtId="0" fontId="1" fillId="3" borderId="0" xfId="0" applyFont="1" applyFill="1" applyAlignment="1">
      <alignment horizontal="left" vertical="center"/>
    </xf>
    <xf numFmtId="164" fontId="11" fillId="3" borderId="0" xfId="6" applyNumberFormat="1" applyFont="1" applyFill="1" applyAlignment="1">
      <alignment horizontal="right" vertical="center"/>
    </xf>
    <xf numFmtId="2" fontId="1" fillId="3" borderId="0" xfId="0" applyNumberFormat="1" applyFont="1" applyFill="1" applyAlignment="1">
      <alignment horizontal="left" vertical="center"/>
    </xf>
    <xf numFmtId="1" fontId="1" fillId="3" borderId="0" xfId="0" applyNumberFormat="1" applyFont="1" applyFill="1" applyAlignment="1">
      <alignment vertical="center"/>
    </xf>
    <xf numFmtId="165" fontId="1" fillId="3" borderId="0" xfId="0" applyNumberFormat="1" applyFont="1" applyFill="1" applyAlignment="1">
      <alignment vertical="center"/>
    </xf>
    <xf numFmtId="2" fontId="1" fillId="3" borderId="0" xfId="0" applyNumberFormat="1" applyFont="1" applyFill="1" applyAlignment="1">
      <alignment horizontal="right" vertical="center"/>
    </xf>
    <xf numFmtId="1" fontId="11" fillId="3" borderId="0" xfId="6" applyNumberFormat="1" applyFont="1" applyFill="1" applyAlignment="1">
      <alignment horizontal="right" vertical="center"/>
    </xf>
    <xf numFmtId="2" fontId="1" fillId="3" borderId="0" xfId="0" applyNumberFormat="1" applyFont="1" applyFill="1" applyAlignment="1">
      <alignment vertical="center"/>
    </xf>
    <xf numFmtId="2" fontId="11" fillId="3" borderId="0" xfId="6" applyNumberFormat="1" applyFont="1" applyFill="1" applyAlignment="1">
      <alignment horizontal="right" vertical="center"/>
    </xf>
    <xf numFmtId="17" fontId="12" fillId="3" borderId="0" xfId="0" applyNumberFormat="1" applyFont="1" applyFill="1" applyAlignment="1">
      <alignment vertical="center"/>
    </xf>
    <xf numFmtId="17" fontId="2" fillId="3" borderId="0" xfId="1" applyNumberFormat="1" applyFill="1" applyAlignment="1" applyProtection="1">
      <alignment vertical="center"/>
    </xf>
    <xf numFmtId="0" fontId="3" fillId="3" borderId="10" xfId="0" applyFont="1" applyFill="1" applyBorder="1" applyAlignment="1">
      <alignment horizontal="center" vertical="center"/>
    </xf>
    <xf numFmtId="0" fontId="17" fillId="3" borderId="0" xfId="0" applyFont="1" applyFill="1" applyAlignment="1">
      <alignment vertical="center"/>
    </xf>
    <xf numFmtId="0" fontId="0" fillId="3" borderId="7" xfId="0" applyFill="1" applyBorder="1" applyAlignment="1">
      <alignment vertical="center"/>
    </xf>
    <xf numFmtId="0" fontId="14" fillId="3" borderId="0" xfId="0" applyFont="1" applyFill="1" applyAlignment="1">
      <alignment horizontal="center" vertical="center" wrapText="1"/>
    </xf>
    <xf numFmtId="0" fontId="3" fillId="3" borderId="12" xfId="0" applyFont="1" applyFill="1" applyBorder="1" applyAlignment="1">
      <alignment horizontal="center" vertical="center"/>
    </xf>
    <xf numFmtId="0" fontId="3" fillId="3" borderId="14" xfId="0" applyFont="1" applyFill="1" applyBorder="1" applyAlignment="1">
      <alignment horizontal="center" vertical="center"/>
    </xf>
    <xf numFmtId="3" fontId="14" fillId="3" borderId="0" xfId="0" applyNumberFormat="1" applyFont="1" applyFill="1" applyAlignment="1">
      <alignment vertical="center" wrapText="1"/>
    </xf>
    <xf numFmtId="3" fontId="0" fillId="3" borderId="0" xfId="0" applyNumberFormat="1" applyFill="1" applyAlignment="1">
      <alignment vertical="center"/>
    </xf>
    <xf numFmtId="0" fontId="3" fillId="3" borderId="4" xfId="0" applyFont="1" applyFill="1" applyBorder="1" applyAlignment="1">
      <alignment horizontal="center" vertical="center"/>
    </xf>
    <xf numFmtId="0" fontId="0" fillId="3" borderId="5" xfId="0" applyFill="1" applyBorder="1" applyAlignment="1">
      <alignment horizontal="center" vertical="center"/>
    </xf>
    <xf numFmtId="3" fontId="0" fillId="3" borderId="15" xfId="0" applyNumberFormat="1" applyFill="1" applyBorder="1" applyAlignment="1">
      <alignment horizontal="center" vertical="center"/>
    </xf>
    <xf numFmtId="3" fontId="15" fillId="3" borderId="0" xfId="0" applyNumberFormat="1" applyFont="1" applyFill="1" applyAlignment="1">
      <alignment vertical="center" wrapText="1"/>
    </xf>
    <xf numFmtId="3" fontId="0" fillId="3" borderId="5" xfId="0" applyNumberFormat="1" applyFill="1" applyBorder="1" applyAlignment="1">
      <alignment horizontal="center" vertical="center"/>
    </xf>
    <xf numFmtId="0" fontId="11" fillId="3" borderId="0" xfId="0" applyFont="1" applyFill="1" applyAlignment="1">
      <alignment vertical="center"/>
    </xf>
    <xf numFmtId="3" fontId="17" fillId="3" borderId="0" xfId="0" applyNumberFormat="1" applyFont="1" applyFill="1" applyAlignment="1">
      <alignment vertical="center"/>
    </xf>
    <xf numFmtId="2" fontId="17" fillId="3" borderId="0" xfId="0" applyNumberFormat="1" applyFont="1" applyFill="1" applyAlignment="1">
      <alignment vertical="center"/>
    </xf>
    <xf numFmtId="0" fontId="3" fillId="3" borderId="6" xfId="0" applyFont="1" applyFill="1" applyBorder="1" applyAlignment="1">
      <alignment horizontal="center" vertical="center"/>
    </xf>
    <xf numFmtId="3" fontId="0" fillId="3" borderId="8" xfId="0" applyNumberFormat="1" applyFill="1" applyBorder="1" applyAlignment="1">
      <alignment horizontal="center" vertical="center"/>
    </xf>
    <xf numFmtId="3" fontId="0" fillId="3" borderId="11" xfId="0" applyNumberFormat="1" applyFill="1" applyBorder="1" applyAlignment="1">
      <alignment horizontal="center" vertical="center"/>
    </xf>
    <xf numFmtId="3" fontId="3" fillId="3" borderId="7" xfId="0" applyNumberFormat="1" applyFont="1" applyFill="1" applyBorder="1" applyAlignment="1">
      <alignment horizontal="center" vertical="center"/>
    </xf>
    <xf numFmtId="3" fontId="3" fillId="3" borderId="8"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26" xfId="0" applyFont="1" applyFill="1" applyBorder="1" applyAlignment="1">
      <alignment horizontal="center" vertical="center"/>
    </xf>
    <xf numFmtId="2" fontId="0" fillId="3" borderId="27" xfId="0" applyNumberFormat="1" applyFill="1" applyBorder="1" applyAlignment="1">
      <alignment horizontal="center" vertical="center"/>
    </xf>
    <xf numFmtId="2" fontId="0" fillId="3" borderId="28" xfId="0" applyNumberFormat="1" applyFill="1" applyBorder="1" applyAlignment="1">
      <alignment horizontal="center" vertical="center"/>
    </xf>
    <xf numFmtId="1" fontId="1" fillId="3" borderId="6" xfId="0" applyNumberFormat="1" applyFont="1" applyFill="1" applyBorder="1" applyAlignment="1">
      <alignment horizontal="center" vertical="center"/>
    </xf>
    <xf numFmtId="3" fontId="1" fillId="3" borderId="7" xfId="0" applyNumberFormat="1" applyFont="1" applyFill="1" applyBorder="1" applyAlignment="1">
      <alignment horizontal="center" vertical="center"/>
    </xf>
    <xf numFmtId="3" fontId="1" fillId="3" borderId="8" xfId="0" applyNumberFormat="1" applyFont="1" applyFill="1" applyBorder="1" applyAlignment="1">
      <alignment horizontal="center" vertical="center"/>
    </xf>
    <xf numFmtId="0" fontId="3" fillId="3" borderId="21" xfId="0" applyFont="1" applyFill="1" applyBorder="1" applyAlignment="1">
      <alignment horizontal="center" vertical="center"/>
    </xf>
    <xf numFmtId="2" fontId="0" fillId="3" borderId="0" xfId="0" applyNumberFormat="1" applyFill="1" applyAlignment="1">
      <alignment horizontal="center" vertical="center"/>
    </xf>
    <xf numFmtId="2" fontId="0" fillId="3" borderId="22" xfId="0" applyNumberFormat="1" applyFill="1" applyBorder="1" applyAlignment="1">
      <alignment horizontal="center" vertical="center"/>
    </xf>
    <xf numFmtId="0" fontId="3" fillId="3" borderId="23" xfId="0" applyFont="1" applyFill="1" applyBorder="1" applyAlignment="1">
      <alignment horizontal="center" vertical="center"/>
    </xf>
    <xf numFmtId="2" fontId="0" fillId="3" borderId="24" xfId="0" applyNumberFormat="1" applyFill="1" applyBorder="1" applyAlignment="1">
      <alignment horizontal="center" vertical="center"/>
    </xf>
    <xf numFmtId="2" fontId="0" fillId="3" borderId="25" xfId="0" applyNumberFormat="1" applyFill="1" applyBorder="1" applyAlignment="1">
      <alignment horizontal="center" vertical="center"/>
    </xf>
    <xf numFmtId="0" fontId="15" fillId="3" borderId="0" xfId="0" applyFont="1" applyFill="1" applyAlignment="1">
      <alignment vertical="center" wrapText="1"/>
    </xf>
    <xf numFmtId="166" fontId="0" fillId="3" borderId="0" xfId="7" applyNumberFormat="1" applyFont="1" applyFill="1" applyBorder="1" applyAlignment="1">
      <alignment vertical="center"/>
    </xf>
    <xf numFmtId="0" fontId="12" fillId="3" borderId="0" xfId="0" applyFont="1" applyFill="1"/>
    <xf numFmtId="0" fontId="35" fillId="3" borderId="0" xfId="0" applyFont="1" applyFill="1"/>
    <xf numFmtId="0" fontId="0" fillId="3" borderId="0" xfId="0" applyFill="1" applyAlignment="1">
      <alignment horizontal="center" wrapText="1"/>
    </xf>
    <xf numFmtId="0" fontId="1" fillId="3" borderId="0" xfId="0" applyFont="1" applyFill="1" applyAlignment="1">
      <alignment horizontal="center" wrapText="1"/>
    </xf>
    <xf numFmtId="0" fontId="34" fillId="3" borderId="0" xfId="0" applyFont="1" applyFill="1" applyAlignment="1">
      <alignment horizontal="center" wrapText="1"/>
    </xf>
    <xf numFmtId="1" fontId="0" fillId="3" borderId="0" xfId="0" applyNumberFormat="1" applyFill="1" applyAlignment="1">
      <alignment horizontal="center"/>
    </xf>
    <xf numFmtId="1" fontId="34" fillId="3" borderId="0" xfId="0" applyNumberFormat="1" applyFont="1" applyFill="1" applyAlignment="1">
      <alignment horizontal="center"/>
    </xf>
    <xf numFmtId="1" fontId="0" fillId="3" borderId="0" xfId="0" applyNumberFormat="1" applyFill="1"/>
    <xf numFmtId="164" fontId="0" fillId="3" borderId="0" xfId="0" applyNumberFormat="1" applyFill="1"/>
    <xf numFmtId="0" fontId="31" fillId="3" borderId="0" xfId="0" applyFont="1" applyFill="1" applyAlignment="1">
      <alignment wrapText="1"/>
    </xf>
    <xf numFmtId="0" fontId="31" fillId="3" borderId="0" xfId="0" applyFont="1" applyFill="1" applyAlignment="1">
      <alignment horizontal="center" wrapText="1"/>
    </xf>
    <xf numFmtId="0" fontId="0" fillId="3" borderId="0" xfId="0" applyFill="1" applyAlignment="1">
      <alignment wrapText="1"/>
    </xf>
    <xf numFmtId="10" fontId="0" fillId="3" borderId="0" xfId="0" applyNumberFormat="1" applyFill="1" applyAlignment="1">
      <alignment wrapText="1"/>
    </xf>
    <xf numFmtId="0" fontId="26" fillId="3" borderId="0" xfId="0" applyFont="1" applyFill="1"/>
    <xf numFmtId="0" fontId="8" fillId="3" borderId="0" xfId="0" applyFont="1" applyFill="1"/>
    <xf numFmtId="164" fontId="1" fillId="3" borderId="0" xfId="0" applyNumberFormat="1" applyFont="1" applyFill="1"/>
    <xf numFmtId="0" fontId="34" fillId="3" borderId="0" xfId="0" applyFont="1" applyFill="1"/>
    <xf numFmtId="0" fontId="2" fillId="3" borderId="0" xfId="1" quotePrefix="1" applyFill="1" applyAlignment="1" applyProtection="1">
      <alignment horizontal="left"/>
    </xf>
    <xf numFmtId="0" fontId="39" fillId="3" borderId="0" xfId="2" applyFont="1" applyFill="1"/>
    <xf numFmtId="0" fontId="1" fillId="3" borderId="0" xfId="2" applyFont="1" applyFill="1"/>
    <xf numFmtId="0" fontId="30" fillId="3" borderId="0" xfId="2" applyFont="1" applyFill="1"/>
    <xf numFmtId="0" fontId="3" fillId="3" borderId="0" xfId="2" applyFont="1" applyFill="1" applyAlignment="1">
      <alignment horizontal="center" wrapText="1"/>
    </xf>
    <xf numFmtId="0" fontId="1" fillId="3" borderId="0" xfId="2" applyFont="1" applyFill="1" applyAlignment="1">
      <alignment wrapText="1"/>
    </xf>
    <xf numFmtId="0" fontId="30" fillId="3" borderId="0" xfId="2" applyFont="1" applyFill="1" applyAlignment="1">
      <alignment wrapText="1"/>
    </xf>
    <xf numFmtId="0" fontId="3" fillId="3" borderId="0" xfId="2" applyFont="1" applyFill="1" applyAlignment="1">
      <alignment wrapText="1"/>
    </xf>
    <xf numFmtId="0" fontId="28" fillId="3" borderId="0" xfId="2" applyFont="1" applyFill="1" applyAlignment="1">
      <alignment wrapText="1"/>
    </xf>
    <xf numFmtId="170" fontId="1" fillId="3" borderId="0" xfId="2" applyNumberFormat="1" applyFont="1" applyFill="1"/>
    <xf numFmtId="167" fontId="1" fillId="3" borderId="0" xfId="2" applyNumberFormat="1" applyFont="1" applyFill="1"/>
    <xf numFmtId="170" fontId="1" fillId="3" borderId="0" xfId="2" quotePrefix="1" applyNumberFormat="1" applyFont="1" applyFill="1"/>
    <xf numFmtId="2" fontId="1" fillId="3" borderId="0" xfId="2" applyNumberFormat="1" applyFont="1" applyFill="1"/>
    <xf numFmtId="167" fontId="30" fillId="3" borderId="0" xfId="2" applyNumberFormat="1" applyFont="1" applyFill="1"/>
    <xf numFmtId="2" fontId="30" fillId="3" borderId="0" xfId="2" applyNumberFormat="1" applyFont="1" applyFill="1"/>
    <xf numFmtId="0" fontId="30" fillId="3" borderId="0" xfId="0" applyFont="1" applyFill="1"/>
    <xf numFmtId="1" fontId="1" fillId="3" borderId="0" xfId="0" applyNumberFormat="1" applyFont="1" applyFill="1"/>
    <xf numFmtId="172" fontId="1" fillId="3" borderId="0" xfId="2" applyNumberFormat="1" applyFont="1" applyFill="1"/>
    <xf numFmtId="0" fontId="33" fillId="3" borderId="0" xfId="0" applyFont="1" applyFill="1"/>
    <xf numFmtId="0" fontId="25" fillId="3" borderId="0" xfId="0" applyFont="1" applyFill="1"/>
    <xf numFmtId="164" fontId="33" fillId="3" borderId="0" xfId="0" applyNumberFormat="1" applyFont="1" applyFill="1"/>
    <xf numFmtId="0" fontId="24" fillId="3" borderId="0" xfId="0" applyFont="1" applyFill="1" applyAlignment="1">
      <alignment horizontal="center" wrapText="1"/>
    </xf>
    <xf numFmtId="0" fontId="17" fillId="3" borderId="0" xfId="0" applyFont="1" applyFill="1" applyAlignment="1">
      <alignment wrapText="1"/>
    </xf>
    <xf numFmtId="0" fontId="36" fillId="3" borderId="0" xfId="0" applyFont="1" applyFill="1" applyAlignment="1">
      <alignment wrapText="1"/>
    </xf>
    <xf numFmtId="0" fontId="3" fillId="3" borderId="0" xfId="0" applyFont="1" applyFill="1" applyAlignment="1">
      <alignment horizontal="center" wrapText="1"/>
    </xf>
    <xf numFmtId="0" fontId="3" fillId="3" borderId="0" xfId="0" applyFont="1" applyFill="1" applyAlignment="1">
      <alignment wrapText="1"/>
    </xf>
    <xf numFmtId="0" fontId="34" fillId="3" borderId="0" xfId="0" applyFont="1" applyFill="1" applyAlignment="1">
      <alignment wrapText="1"/>
    </xf>
    <xf numFmtId="172" fontId="0" fillId="3" borderId="0" xfId="0" applyNumberFormat="1" applyFill="1"/>
    <xf numFmtId="0" fontId="3" fillId="3" borderId="0" xfId="0" applyFont="1" applyFill="1" applyAlignment="1">
      <alignment horizontal="right"/>
    </xf>
    <xf numFmtId="0" fontId="40" fillId="3" borderId="18" xfId="0" applyFont="1" applyFill="1" applyBorder="1" applyAlignment="1">
      <alignment wrapText="1"/>
    </xf>
    <xf numFmtId="0" fontId="40" fillId="3" borderId="19" xfId="0" applyFont="1" applyFill="1" applyBorder="1" applyAlignment="1">
      <alignment horizontal="center" wrapText="1"/>
    </xf>
    <xf numFmtId="2" fontId="3" fillId="3" borderId="0" xfId="0" applyNumberFormat="1" applyFont="1" applyFill="1"/>
    <xf numFmtId="9" fontId="3" fillId="3" borderId="0" xfId="7" applyFont="1" applyFill="1"/>
    <xf numFmtId="167" fontId="1" fillId="3" borderId="0" xfId="0" applyNumberFormat="1" applyFont="1" applyFill="1"/>
    <xf numFmtId="166" fontId="1" fillId="3" borderId="0" xfId="7" quotePrefix="1" applyNumberFormat="1" applyFont="1" applyFill="1" applyAlignment="1">
      <alignment horizontal="center"/>
    </xf>
    <xf numFmtId="166" fontId="1" fillId="3" borderId="0" xfId="7" applyNumberFormat="1" applyFont="1" applyFill="1"/>
    <xf numFmtId="167" fontId="3" fillId="3" borderId="0" xfId="0" applyNumberFormat="1" applyFont="1" applyFill="1"/>
    <xf numFmtId="0" fontId="28" fillId="3" borderId="0" xfId="0" applyFont="1" applyFill="1"/>
    <xf numFmtId="167" fontId="28" fillId="3" borderId="0" xfId="0" applyNumberFormat="1" applyFont="1" applyFill="1"/>
    <xf numFmtId="166" fontId="28" fillId="3" borderId="0" xfId="7" applyNumberFormat="1" applyFont="1" applyFill="1"/>
    <xf numFmtId="2" fontId="1" fillId="3" borderId="0" xfId="0" applyNumberFormat="1" applyFont="1" applyFill="1"/>
    <xf numFmtId="0" fontId="20" fillId="3" borderId="0" xfId="0" applyFont="1" applyFill="1"/>
    <xf numFmtId="0" fontId="21" fillId="3" borderId="10"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168" fontId="0" fillId="3" borderId="2" xfId="0" applyNumberFormat="1" applyFill="1" applyBorder="1" applyAlignment="1">
      <alignment horizontal="center" vertical="center"/>
    </xf>
    <xf numFmtId="168" fontId="0" fillId="3" borderId="3" xfId="0" applyNumberFormat="1" applyFill="1" applyBorder="1" applyAlignment="1">
      <alignment horizontal="center" vertical="center"/>
    </xf>
    <xf numFmtId="0" fontId="0" fillId="3" borderId="4" xfId="0" applyFill="1" applyBorder="1" applyAlignment="1">
      <alignment horizontal="center"/>
    </xf>
    <xf numFmtId="167" fontId="22" fillId="3" borderId="0" xfId="0" applyNumberFormat="1" applyFont="1" applyFill="1"/>
    <xf numFmtId="2" fontId="22" fillId="3" borderId="0" xfId="0" applyNumberFormat="1" applyFont="1" applyFill="1"/>
    <xf numFmtId="2" fontId="22" fillId="3" borderId="5" xfId="0" applyNumberFormat="1" applyFont="1" applyFill="1" applyBorder="1"/>
    <xf numFmtId="167" fontId="0" fillId="3" borderId="0" xfId="0" applyNumberFormat="1" applyFill="1"/>
    <xf numFmtId="2" fontId="0" fillId="3" borderId="0" xfId="0" applyNumberFormat="1" applyFill="1"/>
    <xf numFmtId="2" fontId="0" fillId="3" borderId="5" xfId="0" applyNumberFormat="1" applyFill="1" applyBorder="1"/>
    <xf numFmtId="0" fontId="0" fillId="3" borderId="6" xfId="0" applyFill="1" applyBorder="1" applyAlignment="1">
      <alignment horizontal="center"/>
    </xf>
    <xf numFmtId="1" fontId="0" fillId="3" borderId="7" xfId="0" applyNumberFormat="1" applyFill="1" applyBorder="1" applyAlignment="1">
      <alignment horizontal="center"/>
    </xf>
    <xf numFmtId="167" fontId="22" fillId="3" borderId="7" xfId="0" applyNumberFormat="1" applyFont="1" applyFill="1" applyBorder="1"/>
    <xf numFmtId="167" fontId="0" fillId="3" borderId="7" xfId="0" applyNumberFormat="1" applyFill="1" applyBorder="1"/>
    <xf numFmtId="2" fontId="22" fillId="3" borderId="8" xfId="0" applyNumberFormat="1" applyFont="1" applyFill="1" applyBorder="1"/>
    <xf numFmtId="0" fontId="0" fillId="3" borderId="0" xfId="0" applyFill="1" applyAlignment="1">
      <alignment horizontal="center"/>
    </xf>
    <xf numFmtId="0" fontId="21" fillId="3" borderId="9"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0" fillId="3" borderId="12" xfId="0" applyFill="1" applyBorder="1" applyAlignment="1">
      <alignment horizontal="center"/>
    </xf>
    <xf numFmtId="1" fontId="0" fillId="3" borderId="10" xfId="0" applyNumberFormat="1" applyFill="1" applyBorder="1" applyAlignment="1">
      <alignment horizontal="center"/>
    </xf>
    <xf numFmtId="169" fontId="0" fillId="3" borderId="10" xfId="0" applyNumberFormat="1" applyFill="1" applyBorder="1" applyAlignment="1">
      <alignment horizontal="right"/>
    </xf>
    <xf numFmtId="0" fontId="0" fillId="3" borderId="0" xfId="0" applyFill="1" applyAlignment="1">
      <alignment horizontal="left"/>
    </xf>
    <xf numFmtId="0" fontId="13" fillId="3" borderId="0" xfId="0" applyFont="1" applyFill="1" applyAlignment="1">
      <alignment vertical="top" wrapText="1"/>
    </xf>
    <xf numFmtId="0" fontId="13" fillId="3" borderId="0" xfId="0" applyFont="1" applyFill="1"/>
    <xf numFmtId="0" fontId="2" fillId="3" borderId="0" xfId="1" applyFill="1" applyAlignment="1" applyProtection="1"/>
    <xf numFmtId="0" fontId="13" fillId="3" borderId="0" xfId="5" applyFont="1" applyFill="1" applyAlignment="1">
      <alignment vertical="top" wrapText="1"/>
    </xf>
    <xf numFmtId="0" fontId="13" fillId="3" borderId="1" xfId="0" applyFont="1" applyFill="1" applyBorder="1" applyAlignment="1">
      <alignment vertical="top" wrapText="1"/>
    </xf>
    <xf numFmtId="0" fontId="13" fillId="3" borderId="3" xfId="0" applyFont="1" applyFill="1" applyBorder="1" applyAlignment="1">
      <alignment vertical="top" wrapText="1"/>
    </xf>
    <xf numFmtId="164" fontId="13" fillId="3" borderId="0" xfId="0" applyNumberFormat="1" applyFont="1" applyFill="1" applyAlignment="1">
      <alignment vertical="top" wrapText="1"/>
    </xf>
    <xf numFmtId="0" fontId="13" fillId="3" borderId="4" xfId="0" applyFont="1" applyFill="1" applyBorder="1" applyAlignment="1">
      <alignment vertical="top" wrapText="1"/>
    </xf>
    <xf numFmtId="0" fontId="13" fillId="3" borderId="5" xfId="0" applyFont="1" applyFill="1" applyBorder="1" applyAlignment="1">
      <alignment vertical="top" wrapText="1"/>
    </xf>
    <xf numFmtId="0" fontId="14" fillId="3" borderId="0" xfId="8" applyFont="1" applyFill="1"/>
    <xf numFmtId="0" fontId="11" fillId="3" borderId="0" xfId="8" applyFont="1" applyFill="1"/>
    <xf numFmtId="0" fontId="1" fillId="3" borderId="0" xfId="5" applyFill="1"/>
    <xf numFmtId="0" fontId="29" fillId="3" borderId="0" xfId="1" applyFont="1" applyFill="1" applyAlignment="1" applyProtection="1"/>
    <xf numFmtId="164" fontId="11" fillId="3" borderId="0" xfId="8" applyNumberFormat="1" applyFont="1" applyFill="1"/>
    <xf numFmtId="0" fontId="16" fillId="3" borderId="4" xfId="0" applyFont="1" applyFill="1" applyBorder="1" applyAlignment="1">
      <alignment vertical="top" wrapText="1"/>
    </xf>
    <xf numFmtId="0" fontId="13" fillId="3" borderId="6" xfId="0" applyFont="1" applyFill="1" applyBorder="1" applyAlignment="1">
      <alignment vertical="top" wrapText="1"/>
    </xf>
    <xf numFmtId="0" fontId="13" fillId="3" borderId="8" xfId="0" applyFont="1" applyFill="1" applyBorder="1" applyAlignment="1">
      <alignment vertical="top" wrapText="1"/>
    </xf>
    <xf numFmtId="0" fontId="16" fillId="3" borderId="0" xfId="0" applyFont="1" applyFill="1" applyAlignment="1">
      <alignment vertical="top" wrapText="1"/>
    </xf>
    <xf numFmtId="0" fontId="13" fillId="3" borderId="0" xfId="0" quotePrefix="1" applyFont="1" applyFill="1" applyAlignment="1">
      <alignment vertical="top" wrapText="1"/>
    </xf>
    <xf numFmtId="3" fontId="13" fillId="3" borderId="0" xfId="0" applyNumberFormat="1" applyFont="1" applyFill="1" applyAlignment="1">
      <alignment vertical="top"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5" fillId="0" borderId="0" xfId="0" applyFont="1"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10" fillId="0" borderId="0" xfId="0" applyFont="1" applyAlignment="1">
      <alignment vertical="center"/>
    </xf>
    <xf numFmtId="173" fontId="9" fillId="0" borderId="0" xfId="0" applyNumberFormat="1" applyFont="1"/>
    <xf numFmtId="173" fontId="3" fillId="4" borderId="2" xfId="0" applyNumberFormat="1" applyFont="1" applyFill="1" applyBorder="1" applyAlignment="1">
      <alignment horizontal="left"/>
    </xf>
    <xf numFmtId="0" fontId="1" fillId="5" borderId="0" xfId="0" applyFont="1" applyFill="1" applyAlignment="1">
      <alignment vertical="center"/>
    </xf>
    <xf numFmtId="0" fontId="0" fillId="5" borderId="0" xfId="0" applyFill="1" applyAlignment="1">
      <alignment vertical="center"/>
    </xf>
    <xf numFmtId="0" fontId="3" fillId="4" borderId="0" xfId="0" applyFont="1" applyFill="1" applyAlignment="1">
      <alignment vertical="center"/>
    </xf>
    <xf numFmtId="0" fontId="18" fillId="0" borderId="0" xfId="0" applyFont="1"/>
    <xf numFmtId="0" fontId="10" fillId="0" borderId="0" xfId="4" applyFont="1"/>
    <xf numFmtId="173" fontId="3" fillId="6" borderId="13" xfId="0" applyNumberFormat="1" applyFont="1" applyFill="1" applyBorder="1"/>
    <xf numFmtId="0" fontId="0" fillId="5" borderId="0" xfId="0" applyFill="1"/>
    <xf numFmtId="0" fontId="1" fillId="5" borderId="0" xfId="0" applyFont="1" applyFill="1"/>
    <xf numFmtId="0" fontId="3" fillId="0" borderId="0" xfId="0" applyFont="1" applyAlignment="1">
      <alignment horizontal="center" vertical="center" wrapText="1"/>
    </xf>
    <xf numFmtId="11" fontId="1" fillId="0" borderId="0" xfId="0" applyNumberFormat="1" applyFont="1" applyAlignment="1">
      <alignment horizontal="center" vertical="center"/>
    </xf>
    <xf numFmtId="164" fontId="1" fillId="0" borderId="0" xfId="6" applyNumberFormat="1" applyFont="1" applyAlignment="1">
      <alignment horizontal="center" vertical="center"/>
    </xf>
    <xf numFmtId="0" fontId="1" fillId="0" borderId="0" xfId="6" applyFont="1" applyAlignment="1">
      <alignment horizontal="center" vertical="center"/>
    </xf>
    <xf numFmtId="164" fontId="1" fillId="0" borderId="0" xfId="0" applyNumberFormat="1" applyFont="1" applyAlignment="1">
      <alignment horizontal="center" vertical="center"/>
    </xf>
    <xf numFmtId="2" fontId="1" fillId="0" borderId="0" xfId="6" applyNumberFormat="1" applyFont="1" applyAlignment="1">
      <alignment horizontal="center" vertical="center"/>
    </xf>
    <xf numFmtId="0" fontId="9" fillId="0" borderId="0" xfId="0" applyFont="1" applyAlignment="1">
      <alignment horizontal="left"/>
    </xf>
    <xf numFmtId="0" fontId="1" fillId="4" borderId="0" xfId="0" applyFont="1" applyFill="1" applyAlignment="1">
      <alignment vertical="center"/>
    </xf>
    <xf numFmtId="0" fontId="1" fillId="4" borderId="0" xfId="0" applyFont="1" applyFill="1" applyAlignment="1">
      <alignment horizontal="center" vertical="center"/>
    </xf>
    <xf numFmtId="1" fontId="1" fillId="4" borderId="0" xfId="0" applyNumberFormat="1" applyFont="1" applyFill="1" applyAlignment="1">
      <alignment horizontal="center" vertical="center"/>
    </xf>
    <xf numFmtId="49" fontId="3" fillId="4" borderId="0" xfId="0" applyNumberFormat="1" applyFont="1" applyFill="1" applyAlignment="1">
      <alignment horizontal="center" vertical="center"/>
    </xf>
    <xf numFmtId="43" fontId="1" fillId="5" borderId="0" xfId="11" applyFont="1" applyFill="1" applyAlignment="1">
      <alignment vertical="center"/>
    </xf>
    <xf numFmtId="43" fontId="1" fillId="0" borderId="0" xfId="0" applyNumberFormat="1" applyFont="1" applyAlignment="1">
      <alignment vertical="center"/>
    </xf>
    <xf numFmtId="173" fontId="3" fillId="4" borderId="0" xfId="0" applyNumberFormat="1" applyFont="1" applyFill="1" applyAlignment="1">
      <alignment horizontal="left"/>
    </xf>
    <xf numFmtId="0" fontId="1" fillId="5" borderId="0" xfId="0" applyFont="1" applyFill="1" applyAlignment="1">
      <alignment horizontal="center" vertical="center"/>
    </xf>
    <xf numFmtId="43" fontId="1" fillId="0" borderId="0" xfId="11" applyFont="1" applyAlignment="1">
      <alignment vertical="center"/>
    </xf>
    <xf numFmtId="0" fontId="3" fillId="5" borderId="0" xfId="0" applyFont="1" applyFill="1" applyAlignment="1">
      <alignment vertical="center"/>
    </xf>
    <xf numFmtId="170" fontId="1" fillId="3" borderId="0" xfId="2" quotePrefix="1" applyNumberFormat="1" applyFont="1" applyFill="1" applyAlignment="1">
      <alignment horizontal="right"/>
    </xf>
    <xf numFmtId="0" fontId="1" fillId="3" borderId="0" xfId="0" applyFont="1" applyFill="1" applyAlignment="1">
      <alignment horizontal="right"/>
    </xf>
    <xf numFmtId="0" fontId="0" fillId="0" borderId="0" xfId="0"/>
    <xf numFmtId="170" fontId="0" fillId="0" borderId="0" xfId="0" applyNumberFormat="1"/>
    <xf numFmtId="0" fontId="0" fillId="3" borderId="0" xfId="0" applyFill="1" applyAlignment="1">
      <alignment wrapText="1"/>
    </xf>
    <xf numFmtId="0" fontId="32" fillId="3" borderId="0" xfId="0" applyFont="1" applyFill="1" applyAlignment="1">
      <alignment horizontal="left" vertical="center" wrapText="1"/>
    </xf>
    <xf numFmtId="0" fontId="0" fillId="3" borderId="0" xfId="0" applyFill="1" applyAlignment="1">
      <alignment horizontal="left" vertical="center" wrapText="1"/>
    </xf>
    <xf numFmtId="0" fontId="1" fillId="3" borderId="0" xfId="0" applyFont="1" applyFill="1" applyAlignment="1">
      <alignment wrapText="1"/>
    </xf>
    <xf numFmtId="0" fontId="40" fillId="3" borderId="0" xfId="0" applyFont="1" applyFill="1" applyAlignment="1">
      <alignment horizontal="left" vertical="center" wrapText="1"/>
    </xf>
    <xf numFmtId="0" fontId="40" fillId="3" borderId="17" xfId="0" applyFont="1" applyFill="1" applyBorder="1" applyAlignment="1">
      <alignment horizontal="left" vertical="center" wrapText="1"/>
    </xf>
    <xf numFmtId="0" fontId="1" fillId="3" borderId="20" xfId="0" applyFont="1" applyFill="1" applyBorder="1" applyAlignment="1">
      <alignment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21" fillId="3" borderId="14" xfId="0" applyFont="1" applyFill="1" applyBorder="1" applyAlignment="1">
      <alignment horizontal="center" vertical="center"/>
    </xf>
    <xf numFmtId="0" fontId="23" fillId="3" borderId="12" xfId="0" applyFont="1" applyFill="1" applyBorder="1" applyAlignment="1">
      <alignment horizontal="center"/>
    </xf>
    <xf numFmtId="0" fontId="23" fillId="3" borderId="14" xfId="0" applyFont="1" applyFill="1" applyBorder="1" applyAlignment="1">
      <alignment horizontal="center"/>
    </xf>
    <xf numFmtId="0" fontId="0" fillId="3" borderId="12" xfId="0" applyFill="1" applyBorder="1" applyAlignment="1">
      <alignment horizontal="left" vertical="center" wrapText="1"/>
    </xf>
    <xf numFmtId="0" fontId="0" fillId="3" borderId="13" xfId="0" applyFill="1" applyBorder="1" applyAlignment="1">
      <alignment horizontal="left" vertical="center" wrapText="1"/>
    </xf>
    <xf numFmtId="0" fontId="0" fillId="3" borderId="14" xfId="0" applyFill="1" applyBorder="1" applyAlignment="1">
      <alignment horizontal="left" vertical="center" wrapText="1"/>
    </xf>
    <xf numFmtId="0" fontId="21" fillId="3" borderId="9" xfId="0" applyFont="1" applyFill="1" applyBorder="1" applyAlignment="1">
      <alignment horizontal="center" vertical="center" wrapText="1"/>
    </xf>
    <xf numFmtId="0" fontId="21" fillId="3" borderId="15" xfId="0" applyFont="1" applyFill="1" applyBorder="1" applyAlignment="1">
      <alignment horizontal="center" vertical="center" wrapText="1"/>
    </xf>
    <xf numFmtId="0" fontId="21" fillId="3" borderId="1" xfId="0" applyFont="1" applyFill="1" applyBorder="1" applyAlignment="1">
      <alignment horizontal="center" vertical="center"/>
    </xf>
    <xf numFmtId="0" fontId="21" fillId="3" borderId="2" xfId="0" applyFont="1" applyFill="1" applyBorder="1" applyAlignment="1">
      <alignment horizontal="center" vertical="center"/>
    </xf>
    <xf numFmtId="0" fontId="21" fillId="3" borderId="3" xfId="0" applyFont="1" applyFill="1" applyBorder="1" applyAlignment="1">
      <alignment horizontal="center" vertical="center"/>
    </xf>
    <xf numFmtId="0" fontId="23" fillId="3" borderId="6" xfId="0" applyFont="1" applyFill="1" applyBorder="1" applyAlignment="1">
      <alignment horizontal="left" vertical="center" wrapText="1"/>
    </xf>
    <xf numFmtId="0" fontId="23" fillId="3" borderId="7" xfId="0" applyFont="1" applyFill="1" applyBorder="1" applyAlignment="1">
      <alignment horizontal="left" vertical="center" wrapText="1"/>
    </xf>
    <xf numFmtId="0" fontId="23" fillId="3" borderId="8" xfId="0" applyFont="1" applyFill="1" applyBorder="1" applyAlignment="1">
      <alignment horizontal="left" vertical="center" wrapText="1"/>
    </xf>
  </cellXfs>
  <cellStyles count="13">
    <cellStyle name="Comma" xfId="11" builtinId="3"/>
    <cellStyle name="Comma 3" xfId="10" xr:uid="{00000000-0005-0000-0000-000000000000}"/>
    <cellStyle name="Hyperlink" xfId="1" builtinId="8"/>
    <cellStyle name="Hyperlink 2" xfId="12" xr:uid="{DEE6126B-157D-4F0E-BDC4-8FE31F7D42D9}"/>
    <cellStyle name="Normal" xfId="0" builtinId="0"/>
    <cellStyle name="Normal 2" xfId="2" xr:uid="{00000000-0005-0000-0000-000003000000}"/>
    <cellStyle name="Normal 3" xfId="3" xr:uid="{00000000-0005-0000-0000-000004000000}"/>
    <cellStyle name="Normal_Commodities" xfId="4" xr:uid="{00000000-0005-0000-0000-000005000000}"/>
    <cellStyle name="Normal_conversion factors" xfId="5" xr:uid="{00000000-0005-0000-0000-000006000000}"/>
    <cellStyle name="Normal_EPAUS9r_08_SRC_Coal_v0.1a" xfId="8" xr:uid="{00000000-0005-0000-0000-000007000000}"/>
    <cellStyle name="Normal_Tech_RC" xfId="6" xr:uid="{00000000-0005-0000-0000-000009000000}"/>
    <cellStyle name="Percent" xfId="7" builtinId="5"/>
    <cellStyle name="Percent 4" xfId="9" xr:uid="{00000000-0005-0000-0000-00000B000000}"/>
  </cellStyles>
  <dxfs count="6">
    <dxf>
      <font>
        <b/>
        <i val="0"/>
        <condense val="0"/>
        <extend val="0"/>
      </font>
      <fill>
        <patternFill>
          <bgColor indexed="10"/>
        </patternFill>
      </fill>
    </dxf>
    <dxf>
      <font>
        <b/>
        <i val="0"/>
        <condense val="0"/>
        <extend val="0"/>
      </font>
      <fill>
        <patternFill>
          <bgColor indexed="10"/>
        </patternFill>
      </fill>
    </dxf>
    <dxf>
      <fill>
        <patternFill>
          <bgColor theme="0"/>
        </patternFill>
      </fill>
    </dxf>
    <dxf>
      <fill>
        <patternFill>
          <bgColor rgb="FF92D050"/>
        </patternFill>
      </fill>
    </dxf>
    <dxf>
      <fill>
        <patternFill>
          <bgColor theme="0"/>
        </patternFill>
      </fill>
    </dxf>
    <dxf>
      <fill>
        <patternFill>
          <bgColor rgb="FF92D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4.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activeX/activeX70.xml><?xml version="1.0" encoding="utf-8"?>
<ax:ocx xmlns:ax="http://schemas.microsoft.com/office/2006/activeX" xmlns:r="http://schemas.openxmlformats.org/officeDocument/2006/relationships" ax:classid="{D7053240-CE69-11CD-A777-00DD01143C57}" ax:persistence="persistStreamInit" r:id="rId1"/>
</file>

<file path=xl/activeX/activeX71.xml><?xml version="1.0" encoding="utf-8"?>
<ax:ocx xmlns:ax="http://schemas.microsoft.com/office/2006/activeX" xmlns:r="http://schemas.openxmlformats.org/officeDocument/2006/relationships" ax:classid="{D7053240-CE69-11CD-A777-00DD01143C57}" ax:persistence="persistStreamInit" r:id="rId1"/>
</file>

<file path=xl/activeX/activeX72.xml><?xml version="1.0" encoding="utf-8"?>
<ax:ocx xmlns:ax="http://schemas.microsoft.com/office/2006/activeX" xmlns:r="http://schemas.openxmlformats.org/officeDocument/2006/relationships" ax:classid="{D7053240-CE69-11CD-A777-00DD01143C57}" ax:persistence="persistStreamInit" r:id="rId1"/>
</file>

<file path=xl/activeX/activeX73.xml><?xml version="1.0" encoding="utf-8"?>
<ax:ocx xmlns:ax="http://schemas.microsoft.com/office/2006/activeX" xmlns:r="http://schemas.openxmlformats.org/officeDocument/2006/relationships" ax:classid="{D7053240-CE69-11CD-A777-00DD01143C57}" ax:persistence="persistStreamInit" r:id="rId1"/>
</file>

<file path=xl/activeX/activeX74.xml><?xml version="1.0" encoding="utf-8"?>
<ax:ocx xmlns:ax="http://schemas.microsoft.com/office/2006/activeX" xmlns:r="http://schemas.openxmlformats.org/officeDocument/2006/relationships" ax:classid="{D7053240-CE69-11CD-A777-00DD01143C57}" ax:persistence="persistStreamInit" r:id="rId1"/>
</file>

<file path=xl/activeX/activeX75.xml><?xml version="1.0" encoding="utf-8"?>
<ax:ocx xmlns:ax="http://schemas.microsoft.com/office/2006/activeX" xmlns:r="http://schemas.openxmlformats.org/officeDocument/2006/relationships" ax:classid="{D7053240-CE69-11CD-A777-00DD01143C57}" ax:persistence="persistStreamInit" r:id="rId1"/>
</file>

<file path=xl/activeX/activeX76.xml><?xml version="1.0" encoding="utf-8"?>
<ax:ocx xmlns:ax="http://schemas.microsoft.com/office/2006/activeX" xmlns:r="http://schemas.openxmlformats.org/officeDocument/2006/relationships" ax:classid="{D7053240-CE69-11CD-A777-00DD01143C57}" ax:persistence="persistStreamInit" r:id="rId1"/>
</file>

<file path=xl/drawings/_rels/vmlDrawing2.v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1.emf"/><Relationship Id="rId2" Type="http://schemas.openxmlformats.org/officeDocument/2006/relationships/image" Target="../media/image6.emf"/><Relationship Id="rId1" Type="http://schemas.openxmlformats.org/officeDocument/2006/relationships/image" Target="../media/image7.emf"/><Relationship Id="rId6" Type="http://schemas.openxmlformats.org/officeDocument/2006/relationships/image" Target="../media/image2.emf"/><Relationship Id="rId5" Type="http://schemas.openxmlformats.org/officeDocument/2006/relationships/image" Target="../media/image3.emf"/><Relationship Id="rId4"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13.emf"/><Relationship Id="rId7" Type="http://schemas.openxmlformats.org/officeDocument/2006/relationships/image" Target="../media/image9.emf"/><Relationship Id="rId2" Type="http://schemas.openxmlformats.org/officeDocument/2006/relationships/image" Target="../media/image14.emf"/><Relationship Id="rId1" Type="http://schemas.openxmlformats.org/officeDocument/2006/relationships/image" Target="../media/image15.emf"/><Relationship Id="rId6" Type="http://schemas.openxmlformats.org/officeDocument/2006/relationships/image" Target="../media/image10.emf"/><Relationship Id="rId5" Type="http://schemas.openxmlformats.org/officeDocument/2006/relationships/image" Target="../media/image11.emf"/><Relationship Id="rId4" Type="http://schemas.openxmlformats.org/officeDocument/2006/relationships/image" Target="../media/image12.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8.emf"/><Relationship Id="rId2" Type="http://schemas.openxmlformats.org/officeDocument/2006/relationships/image" Target="../media/image19.emf"/><Relationship Id="rId1" Type="http://schemas.openxmlformats.org/officeDocument/2006/relationships/image" Target="../media/image20.emf"/><Relationship Id="rId5" Type="http://schemas.openxmlformats.org/officeDocument/2006/relationships/image" Target="../media/image16.emf"/><Relationship Id="rId4" Type="http://schemas.openxmlformats.org/officeDocument/2006/relationships/image" Target="../media/image17.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4.emf"/><Relationship Id="rId1" Type="http://schemas.openxmlformats.org/officeDocument/2006/relationships/image" Target="../media/image25.emf"/><Relationship Id="rId5" Type="http://schemas.openxmlformats.org/officeDocument/2006/relationships/image" Target="../media/image21.emf"/><Relationship Id="rId4" Type="http://schemas.openxmlformats.org/officeDocument/2006/relationships/image" Target="../media/image22.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30.emf"/><Relationship Id="rId7" Type="http://schemas.openxmlformats.org/officeDocument/2006/relationships/image" Target="../media/image26.emf"/><Relationship Id="rId2" Type="http://schemas.openxmlformats.org/officeDocument/2006/relationships/image" Target="../media/image31.emf"/><Relationship Id="rId1" Type="http://schemas.openxmlformats.org/officeDocument/2006/relationships/image" Target="../media/image32.emf"/><Relationship Id="rId6" Type="http://schemas.openxmlformats.org/officeDocument/2006/relationships/image" Target="../media/image27.emf"/><Relationship Id="rId5" Type="http://schemas.openxmlformats.org/officeDocument/2006/relationships/image" Target="../media/image28.emf"/><Relationship Id="rId4" Type="http://schemas.openxmlformats.org/officeDocument/2006/relationships/image" Target="../media/image29.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35.emf"/><Relationship Id="rId2" Type="http://schemas.openxmlformats.org/officeDocument/2006/relationships/image" Target="../media/image36.emf"/><Relationship Id="rId1" Type="http://schemas.openxmlformats.org/officeDocument/2006/relationships/image" Target="../media/image37.emf"/><Relationship Id="rId5" Type="http://schemas.openxmlformats.org/officeDocument/2006/relationships/image" Target="../media/image33.emf"/><Relationship Id="rId4" Type="http://schemas.openxmlformats.org/officeDocument/2006/relationships/image" Target="../media/image34.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39.emf"/><Relationship Id="rId2" Type="http://schemas.openxmlformats.org/officeDocument/2006/relationships/image" Target="../media/image40.emf"/><Relationship Id="rId1" Type="http://schemas.openxmlformats.org/officeDocument/2006/relationships/image" Target="../media/image41.emf"/><Relationship Id="rId4" Type="http://schemas.openxmlformats.org/officeDocument/2006/relationships/image" Target="../media/image38.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43.emf"/><Relationship Id="rId2" Type="http://schemas.openxmlformats.org/officeDocument/2006/relationships/image" Target="../media/image44.emf"/><Relationship Id="rId1" Type="http://schemas.openxmlformats.org/officeDocument/2006/relationships/image" Target="../media/image45.emf"/><Relationship Id="rId4" Type="http://schemas.openxmlformats.org/officeDocument/2006/relationships/image" Target="../media/image42.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48.emf"/><Relationship Id="rId2" Type="http://schemas.openxmlformats.org/officeDocument/2006/relationships/image" Target="../media/image49.emf"/><Relationship Id="rId1" Type="http://schemas.openxmlformats.org/officeDocument/2006/relationships/image" Target="../media/image50.emf"/><Relationship Id="rId5" Type="http://schemas.openxmlformats.org/officeDocument/2006/relationships/image" Target="../media/image46.emf"/><Relationship Id="rId4" Type="http://schemas.openxmlformats.org/officeDocument/2006/relationships/image" Target="../media/image47.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55.emf"/><Relationship Id="rId7" Type="http://schemas.openxmlformats.org/officeDocument/2006/relationships/image" Target="../media/image51.emf"/><Relationship Id="rId2" Type="http://schemas.openxmlformats.org/officeDocument/2006/relationships/image" Target="../media/image56.emf"/><Relationship Id="rId1" Type="http://schemas.openxmlformats.org/officeDocument/2006/relationships/image" Target="../media/image57.emf"/><Relationship Id="rId6" Type="http://schemas.openxmlformats.org/officeDocument/2006/relationships/image" Target="../media/image52.emf"/><Relationship Id="rId5" Type="http://schemas.openxmlformats.org/officeDocument/2006/relationships/image" Target="../media/image53.emf"/><Relationship Id="rId4" Type="http://schemas.openxmlformats.org/officeDocument/2006/relationships/image" Target="../media/image54.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61.emf"/><Relationship Id="rId2" Type="http://schemas.openxmlformats.org/officeDocument/2006/relationships/image" Target="../media/image62.emf"/><Relationship Id="rId1" Type="http://schemas.openxmlformats.org/officeDocument/2006/relationships/image" Target="../media/image63.emf"/><Relationship Id="rId6" Type="http://schemas.openxmlformats.org/officeDocument/2006/relationships/image" Target="../media/image58.emf"/><Relationship Id="rId5" Type="http://schemas.openxmlformats.org/officeDocument/2006/relationships/image" Target="../media/image59.emf"/><Relationship Id="rId4" Type="http://schemas.openxmlformats.org/officeDocument/2006/relationships/image" Target="../media/image60.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67.emf"/><Relationship Id="rId2" Type="http://schemas.openxmlformats.org/officeDocument/2006/relationships/image" Target="../media/image68.emf"/><Relationship Id="rId1" Type="http://schemas.openxmlformats.org/officeDocument/2006/relationships/image" Target="../media/image69.emf"/><Relationship Id="rId6" Type="http://schemas.openxmlformats.org/officeDocument/2006/relationships/image" Target="../media/image64.emf"/><Relationship Id="rId5" Type="http://schemas.openxmlformats.org/officeDocument/2006/relationships/image" Target="../media/image65.emf"/><Relationship Id="rId4" Type="http://schemas.openxmlformats.org/officeDocument/2006/relationships/image" Target="../media/image66.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74.emf"/><Relationship Id="rId7" Type="http://schemas.openxmlformats.org/officeDocument/2006/relationships/image" Target="../media/image70.emf"/><Relationship Id="rId2" Type="http://schemas.openxmlformats.org/officeDocument/2006/relationships/image" Target="../media/image75.emf"/><Relationship Id="rId1" Type="http://schemas.openxmlformats.org/officeDocument/2006/relationships/image" Target="../media/image76.emf"/><Relationship Id="rId6" Type="http://schemas.openxmlformats.org/officeDocument/2006/relationships/image" Target="../media/image71.emf"/><Relationship Id="rId5" Type="http://schemas.openxmlformats.org/officeDocument/2006/relationships/image" Target="../media/image72.emf"/><Relationship Id="rId4" Type="http://schemas.openxmlformats.org/officeDocument/2006/relationships/image" Target="../media/image7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95250</xdr:rowOff>
        </xdr:from>
        <xdr:to>
          <xdr:col>4</xdr:col>
          <xdr:colOff>981075</xdr:colOff>
          <xdr:row>4</xdr:row>
          <xdr:rowOff>114300</xdr:rowOff>
        </xdr:to>
        <xdr:sp macro="" textlink="">
          <xdr:nvSpPr>
            <xdr:cNvPr id="56321" name="cmdEnergySets" hidden="1">
              <a:extLst>
                <a:ext uri="{63B3BB69-23CF-44E3-9099-C40C66FF867C}">
                  <a14:compatExt spid="_x0000_s56321"/>
                </a:ext>
                <a:ext uri="{FF2B5EF4-FFF2-40B4-BE49-F238E27FC236}">
                  <a16:creationId xmlns:a16="http://schemas.microsoft.com/office/drawing/2014/main" id="{00000000-0008-0000-0E00-000001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171450</xdr:rowOff>
        </xdr:from>
        <xdr:to>
          <xdr:col>4</xdr:col>
          <xdr:colOff>981075</xdr:colOff>
          <xdr:row>5</xdr:row>
          <xdr:rowOff>190500</xdr:rowOff>
        </xdr:to>
        <xdr:sp macro="" textlink="">
          <xdr:nvSpPr>
            <xdr:cNvPr id="56322" name="cmdDemandSets" hidden="1">
              <a:extLst>
                <a:ext uri="{63B3BB69-23CF-44E3-9099-C40C66FF867C}">
                  <a14:compatExt spid="_x0000_s56322"/>
                </a:ext>
                <a:ext uri="{FF2B5EF4-FFF2-40B4-BE49-F238E27FC236}">
                  <a16:creationId xmlns:a16="http://schemas.microsoft.com/office/drawing/2014/main" id="{00000000-0008-0000-0E00-000002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171450</xdr:rowOff>
        </xdr:from>
        <xdr:to>
          <xdr:col>4</xdr:col>
          <xdr:colOff>1971675</xdr:colOff>
          <xdr:row>5</xdr:row>
          <xdr:rowOff>190500</xdr:rowOff>
        </xdr:to>
        <xdr:sp macro="" textlink="">
          <xdr:nvSpPr>
            <xdr:cNvPr id="56323" name="cmdEmissionSets" hidden="1">
              <a:extLst>
                <a:ext uri="{63B3BB69-23CF-44E3-9099-C40C66FF867C}">
                  <a14:compatExt spid="_x0000_s56323"/>
                </a:ext>
                <a:ext uri="{FF2B5EF4-FFF2-40B4-BE49-F238E27FC236}">
                  <a16:creationId xmlns:a16="http://schemas.microsoft.com/office/drawing/2014/main" id="{00000000-0008-0000-0E00-000003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95250</xdr:rowOff>
        </xdr:from>
        <xdr:to>
          <xdr:col>4</xdr:col>
          <xdr:colOff>1971675</xdr:colOff>
          <xdr:row>4</xdr:row>
          <xdr:rowOff>114300</xdr:rowOff>
        </xdr:to>
        <xdr:sp macro="" textlink="">
          <xdr:nvSpPr>
            <xdr:cNvPr id="56324" name="cmdMaterialSets" hidden="1">
              <a:extLst>
                <a:ext uri="{63B3BB69-23CF-44E3-9099-C40C66FF867C}">
                  <a14:compatExt spid="_x0000_s56324"/>
                </a:ext>
                <a:ext uri="{FF2B5EF4-FFF2-40B4-BE49-F238E27FC236}">
                  <a16:creationId xmlns:a16="http://schemas.microsoft.com/office/drawing/2014/main" id="{00000000-0008-0000-0E00-000004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56325" name="cmdCheckCommoditiesSheet" hidden="1">
              <a:extLst>
                <a:ext uri="{63B3BB69-23CF-44E3-9099-C40C66FF867C}">
                  <a14:compatExt spid="_x0000_s56325"/>
                </a:ext>
                <a:ext uri="{FF2B5EF4-FFF2-40B4-BE49-F238E27FC236}">
                  <a16:creationId xmlns:a16="http://schemas.microsoft.com/office/drawing/2014/main" id="{00000000-0008-0000-0E00-000005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171450</xdr:rowOff>
        </xdr:from>
        <xdr:to>
          <xdr:col>3</xdr:col>
          <xdr:colOff>676275</xdr:colOff>
          <xdr:row>5</xdr:row>
          <xdr:rowOff>190500</xdr:rowOff>
        </xdr:to>
        <xdr:sp macro="" textlink="">
          <xdr:nvSpPr>
            <xdr:cNvPr id="56326" name="cmdCommUnit" hidden="1">
              <a:extLst>
                <a:ext uri="{63B3BB69-23CF-44E3-9099-C40C66FF867C}">
                  <a14:compatExt spid="_x0000_s56326"/>
                </a:ext>
                <a:ext uri="{FF2B5EF4-FFF2-40B4-BE49-F238E27FC236}">
                  <a16:creationId xmlns:a16="http://schemas.microsoft.com/office/drawing/2014/main" id="{00000000-0008-0000-0E00-000006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114300</xdr:rowOff>
        </xdr:to>
        <xdr:sp macro="" textlink="">
          <xdr:nvSpPr>
            <xdr:cNvPr id="56327" name="cmdRefreshUnits" hidden="1">
              <a:extLst>
                <a:ext uri="{63B3BB69-23CF-44E3-9099-C40C66FF867C}">
                  <a14:compatExt spid="_x0000_s56327"/>
                </a:ext>
                <a:ext uri="{FF2B5EF4-FFF2-40B4-BE49-F238E27FC236}">
                  <a16:creationId xmlns:a16="http://schemas.microsoft.com/office/drawing/2014/main" id="{00000000-0008-0000-0E00-000007D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95250</xdr:rowOff>
        </xdr:from>
        <xdr:to>
          <xdr:col>4</xdr:col>
          <xdr:colOff>981075</xdr:colOff>
          <xdr:row>4</xdr:row>
          <xdr:rowOff>114300</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F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171450</xdr:rowOff>
        </xdr:from>
        <xdr:to>
          <xdr:col>4</xdr:col>
          <xdr:colOff>981075</xdr:colOff>
          <xdr:row>5</xdr:row>
          <xdr:rowOff>190500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F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171450</xdr:rowOff>
        </xdr:from>
        <xdr:to>
          <xdr:col>4</xdr:col>
          <xdr:colOff>1971675</xdr:colOff>
          <xdr:row>5</xdr:row>
          <xdr:rowOff>190500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F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95250</xdr:rowOff>
        </xdr:from>
        <xdr:to>
          <xdr:col>4</xdr:col>
          <xdr:colOff>1971675</xdr:colOff>
          <xdr:row>4</xdr:row>
          <xdr:rowOff>114300</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F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F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171450</xdr:rowOff>
        </xdr:from>
        <xdr:to>
          <xdr:col>3</xdr:col>
          <xdr:colOff>676275</xdr:colOff>
          <xdr:row>5</xdr:row>
          <xdr:rowOff>190500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F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114300</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F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542925</xdr:colOff>
          <xdr:row>2</xdr:row>
          <xdr:rowOff>0</xdr:rowOff>
        </xdr:from>
        <xdr:to>
          <xdr:col>4</xdr:col>
          <xdr:colOff>1514475</xdr:colOff>
          <xdr:row>3</xdr:row>
          <xdr:rowOff>76200</xdr:rowOff>
        </xdr:to>
        <xdr:sp macro="" textlink="">
          <xdr:nvSpPr>
            <xdr:cNvPr id="2074" name="cmdTaxSubSets" hidden="1">
              <a:extLst>
                <a:ext uri="{63B3BB69-23CF-44E3-9099-C40C66FF867C}">
                  <a14:compatExt spid="_x0000_s2074"/>
                </a:ext>
                <a:ext uri="{FF2B5EF4-FFF2-40B4-BE49-F238E27FC236}">
                  <a16:creationId xmlns:a16="http://schemas.microsoft.com/office/drawing/2014/main" id="{00000000-0008-0000-0F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58369" name="cmdTechnologySets" hidden="1">
              <a:extLst>
                <a:ext uri="{63B3BB69-23CF-44E3-9099-C40C66FF867C}">
                  <a14:compatExt spid="_x0000_s58369"/>
                </a:ext>
                <a:ext uri="{FF2B5EF4-FFF2-40B4-BE49-F238E27FC236}">
                  <a16:creationId xmlns:a16="http://schemas.microsoft.com/office/drawing/2014/main" id="{00000000-0008-0000-1000-000001E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58370" name="cmdCheckTechnologiesSheet" hidden="1">
              <a:extLst>
                <a:ext uri="{63B3BB69-23CF-44E3-9099-C40C66FF867C}">
                  <a14:compatExt spid="_x0000_s58370"/>
                </a:ext>
                <a:ext uri="{FF2B5EF4-FFF2-40B4-BE49-F238E27FC236}">
                  <a16:creationId xmlns:a16="http://schemas.microsoft.com/office/drawing/2014/main" id="{00000000-0008-0000-1000-000002E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19050</xdr:rowOff>
        </xdr:from>
        <xdr:to>
          <xdr:col>3</xdr:col>
          <xdr:colOff>657225</xdr:colOff>
          <xdr:row>5</xdr:row>
          <xdr:rowOff>95250</xdr:rowOff>
        </xdr:to>
        <xdr:sp macro="" textlink="">
          <xdr:nvSpPr>
            <xdr:cNvPr id="58371" name="cmdTACTUnit" hidden="1">
              <a:extLst>
                <a:ext uri="{63B3BB69-23CF-44E3-9099-C40C66FF867C}">
                  <a14:compatExt spid="_x0000_s58371"/>
                </a:ext>
                <a:ext uri="{FF2B5EF4-FFF2-40B4-BE49-F238E27FC236}">
                  <a16:creationId xmlns:a16="http://schemas.microsoft.com/office/drawing/2014/main" id="{00000000-0008-0000-1000-000003E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19050</xdr:rowOff>
        </xdr:from>
        <xdr:to>
          <xdr:col>4</xdr:col>
          <xdr:colOff>657225</xdr:colOff>
          <xdr:row>5</xdr:row>
          <xdr:rowOff>95250</xdr:rowOff>
        </xdr:to>
        <xdr:sp macro="" textlink="">
          <xdr:nvSpPr>
            <xdr:cNvPr id="58372" name="cmdTCAPUnit" hidden="1">
              <a:extLst>
                <a:ext uri="{63B3BB69-23CF-44E3-9099-C40C66FF867C}">
                  <a14:compatExt spid="_x0000_s58372"/>
                </a:ext>
                <a:ext uri="{FF2B5EF4-FFF2-40B4-BE49-F238E27FC236}">
                  <a16:creationId xmlns:a16="http://schemas.microsoft.com/office/drawing/2014/main" id="{00000000-0008-0000-1000-000004E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257175</xdr:colOff>
          <xdr:row>3</xdr:row>
          <xdr:rowOff>209550</xdr:rowOff>
        </xdr:to>
        <xdr:sp macro="" textlink="">
          <xdr:nvSpPr>
            <xdr:cNvPr id="58373" name="cmdRefreshUnits" hidden="1">
              <a:extLst>
                <a:ext uri="{63B3BB69-23CF-44E3-9099-C40C66FF867C}">
                  <a14:compatExt spid="_x0000_s58373"/>
                </a:ext>
                <a:ext uri="{FF2B5EF4-FFF2-40B4-BE49-F238E27FC236}">
                  <a16:creationId xmlns:a16="http://schemas.microsoft.com/office/drawing/2014/main" id="{00000000-0008-0000-1000-000005E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1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1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19050</xdr:rowOff>
        </xdr:from>
        <xdr:to>
          <xdr:col>3</xdr:col>
          <xdr:colOff>657225</xdr:colOff>
          <xdr:row>5</xdr:row>
          <xdr:rowOff>95250</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1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19050</xdr:rowOff>
        </xdr:from>
        <xdr:to>
          <xdr:col>4</xdr:col>
          <xdr:colOff>657225</xdr:colOff>
          <xdr:row>5</xdr:row>
          <xdr:rowOff>95250</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1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257175</xdr:colOff>
          <xdr:row>3</xdr:row>
          <xdr:rowOff>209550</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1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1552575</xdr:colOff>
          <xdr:row>4</xdr:row>
          <xdr:rowOff>9525</xdr:rowOff>
        </xdr:to>
        <xdr:sp macro="" textlink="">
          <xdr:nvSpPr>
            <xdr:cNvPr id="62465" name="cmdTechNameAndDesc" hidden="1">
              <a:extLst>
                <a:ext uri="{63B3BB69-23CF-44E3-9099-C40C66FF867C}">
                  <a14:compatExt spid="_x0000_s62465"/>
                </a:ext>
                <a:ext uri="{FF2B5EF4-FFF2-40B4-BE49-F238E27FC236}">
                  <a16:creationId xmlns:a16="http://schemas.microsoft.com/office/drawing/2014/main" id="{00000000-0008-0000-1200-000001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9525</xdr:rowOff>
        </xdr:to>
        <xdr:sp macro="" textlink="">
          <xdr:nvSpPr>
            <xdr:cNvPr id="62466" name="cmdCommIN" hidden="1">
              <a:extLst>
                <a:ext uri="{63B3BB69-23CF-44E3-9099-C40C66FF867C}">
                  <a14:compatExt spid="_x0000_s62466"/>
                </a:ext>
                <a:ext uri="{FF2B5EF4-FFF2-40B4-BE49-F238E27FC236}">
                  <a16:creationId xmlns:a16="http://schemas.microsoft.com/office/drawing/2014/main" id="{00000000-0008-0000-1200-000002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5</xdr:col>
          <xdr:colOff>704850</xdr:colOff>
          <xdr:row>4</xdr:row>
          <xdr:rowOff>9525</xdr:rowOff>
        </xdr:to>
        <xdr:sp macro="" textlink="">
          <xdr:nvSpPr>
            <xdr:cNvPr id="62467" name="cmdCommOUT" hidden="1">
              <a:extLst>
                <a:ext uri="{63B3BB69-23CF-44E3-9099-C40C66FF867C}">
                  <a14:compatExt spid="_x0000_s62467"/>
                </a:ext>
                <a:ext uri="{FF2B5EF4-FFF2-40B4-BE49-F238E27FC236}">
                  <a16:creationId xmlns:a16="http://schemas.microsoft.com/office/drawing/2014/main" id="{00000000-0008-0000-1200-000003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0</xdr:col>
          <xdr:colOff>695325</xdr:colOff>
          <xdr:row>4</xdr:row>
          <xdr:rowOff>219075</xdr:rowOff>
        </xdr:to>
        <xdr:sp macro="" textlink="">
          <xdr:nvSpPr>
            <xdr:cNvPr id="62468" name="cmdAddParameter" hidden="1">
              <a:extLst>
                <a:ext uri="{63B3BB69-23CF-44E3-9099-C40C66FF867C}">
                  <a14:compatExt spid="_x0000_s62468"/>
                </a:ext>
                <a:ext uri="{FF2B5EF4-FFF2-40B4-BE49-F238E27FC236}">
                  <a16:creationId xmlns:a16="http://schemas.microsoft.com/office/drawing/2014/main" id="{00000000-0008-0000-1200-000004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62469" name="cmdAddParamQualifier" hidden="1">
              <a:extLst>
                <a:ext uri="{63B3BB69-23CF-44E3-9099-C40C66FF867C}">
                  <a14:compatExt spid="_x0000_s62469"/>
                </a:ext>
                <a:ext uri="{FF2B5EF4-FFF2-40B4-BE49-F238E27FC236}">
                  <a16:creationId xmlns:a16="http://schemas.microsoft.com/office/drawing/2014/main" id="{00000000-0008-0000-1200-000005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62470" name="cmdCheckTechDataSheet" hidden="1">
              <a:extLst>
                <a:ext uri="{63B3BB69-23CF-44E3-9099-C40C66FF867C}">
                  <a14:compatExt spid="_x0000_s62470"/>
                </a:ext>
                <a:ext uri="{FF2B5EF4-FFF2-40B4-BE49-F238E27FC236}">
                  <a16:creationId xmlns:a16="http://schemas.microsoft.com/office/drawing/2014/main" id="{00000000-0008-0000-1200-000006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9525</xdr:colOff>
          <xdr:row>4</xdr:row>
          <xdr:rowOff>19050</xdr:rowOff>
        </xdr:to>
        <xdr:sp macro="" textlink="">
          <xdr:nvSpPr>
            <xdr:cNvPr id="62471" name="cmdRefreshUnits" hidden="1">
              <a:extLst>
                <a:ext uri="{63B3BB69-23CF-44E3-9099-C40C66FF867C}">
                  <a14:compatExt spid="_x0000_s62471"/>
                </a:ext>
                <a:ext uri="{FF2B5EF4-FFF2-40B4-BE49-F238E27FC236}">
                  <a16:creationId xmlns:a16="http://schemas.microsoft.com/office/drawing/2014/main" id="{00000000-0008-0000-1200-000007F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61441" name="cmdAddParameter" hidden="1">
              <a:extLst>
                <a:ext uri="{63B3BB69-23CF-44E3-9099-C40C66FF867C}">
                  <a14:compatExt spid="_x0000_s61441"/>
                </a:ext>
                <a:ext uri="{FF2B5EF4-FFF2-40B4-BE49-F238E27FC236}">
                  <a16:creationId xmlns:a16="http://schemas.microsoft.com/office/drawing/2014/main" id="{00000000-0008-0000-1300-000001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61442" name="cmdCommNameAndDesc" hidden="1">
              <a:extLst>
                <a:ext uri="{63B3BB69-23CF-44E3-9099-C40C66FF867C}">
                  <a14:compatExt spid="_x0000_s61442"/>
                </a:ext>
                <a:ext uri="{FF2B5EF4-FFF2-40B4-BE49-F238E27FC236}">
                  <a16:creationId xmlns:a16="http://schemas.microsoft.com/office/drawing/2014/main" id="{00000000-0008-0000-1300-000002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61443" name="cmdAddParamQualifier" hidden="1">
              <a:extLst>
                <a:ext uri="{63B3BB69-23CF-44E3-9099-C40C66FF867C}">
                  <a14:compatExt spid="_x0000_s61443"/>
                </a:ext>
                <a:ext uri="{FF2B5EF4-FFF2-40B4-BE49-F238E27FC236}">
                  <a16:creationId xmlns:a16="http://schemas.microsoft.com/office/drawing/2014/main" id="{00000000-0008-0000-1300-000003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19050</xdr:rowOff>
        </xdr:from>
        <xdr:to>
          <xdr:col>0</xdr:col>
          <xdr:colOff>695325</xdr:colOff>
          <xdr:row>4</xdr:row>
          <xdr:rowOff>0</xdr:rowOff>
        </xdr:to>
        <xdr:sp macro="" textlink="">
          <xdr:nvSpPr>
            <xdr:cNvPr id="61444" name="cmdCheckCommDataSheet" hidden="1">
              <a:extLst>
                <a:ext uri="{63B3BB69-23CF-44E3-9099-C40C66FF867C}">
                  <a14:compatExt spid="_x0000_s61444"/>
                </a:ext>
                <a:ext uri="{FF2B5EF4-FFF2-40B4-BE49-F238E27FC236}">
                  <a16:creationId xmlns:a16="http://schemas.microsoft.com/office/drawing/2014/main" id="{00000000-0008-0000-1300-000004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3</xdr:col>
          <xdr:colOff>285750</xdr:colOff>
          <xdr:row>4</xdr:row>
          <xdr:rowOff>9525</xdr:rowOff>
        </xdr:to>
        <xdr:sp macro="" textlink="">
          <xdr:nvSpPr>
            <xdr:cNvPr id="61445" name="cmdRefreshUnits" hidden="1">
              <a:extLst>
                <a:ext uri="{63B3BB69-23CF-44E3-9099-C40C66FF867C}">
                  <a14:compatExt spid="_x0000_s61445"/>
                </a:ext>
                <a:ext uri="{FF2B5EF4-FFF2-40B4-BE49-F238E27FC236}">
                  <a16:creationId xmlns:a16="http://schemas.microsoft.com/office/drawing/2014/main" id="{00000000-0008-0000-1300-000005F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60417" name="cmdConstraintSets" hidden="1">
              <a:extLst>
                <a:ext uri="{63B3BB69-23CF-44E3-9099-C40C66FF867C}">
                  <a14:compatExt spid="_x0000_s60417"/>
                </a:ext>
                <a:ext uri="{FF2B5EF4-FFF2-40B4-BE49-F238E27FC236}">
                  <a16:creationId xmlns:a16="http://schemas.microsoft.com/office/drawing/2014/main" id="{00000000-0008-0000-1400-000001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60418" name="cmdCheckConstraintsSheet" hidden="1">
              <a:extLst>
                <a:ext uri="{63B3BB69-23CF-44E3-9099-C40C66FF867C}">
                  <a14:compatExt spid="_x0000_s60418"/>
                </a:ext>
                <a:ext uri="{FF2B5EF4-FFF2-40B4-BE49-F238E27FC236}">
                  <a16:creationId xmlns:a16="http://schemas.microsoft.com/office/drawing/2014/main" id="{00000000-0008-0000-1400-000002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9525</xdr:rowOff>
        </xdr:from>
        <xdr:to>
          <xdr:col>3</xdr:col>
          <xdr:colOff>571500</xdr:colOff>
          <xdr:row>5</xdr:row>
          <xdr:rowOff>28575</xdr:rowOff>
        </xdr:to>
        <xdr:sp macro="" textlink="">
          <xdr:nvSpPr>
            <xdr:cNvPr id="60419" name="cmdConstraintUnit" hidden="1">
              <a:extLst>
                <a:ext uri="{63B3BB69-23CF-44E3-9099-C40C66FF867C}">
                  <a14:compatExt spid="_x0000_s60419"/>
                </a:ext>
                <a:ext uri="{FF2B5EF4-FFF2-40B4-BE49-F238E27FC236}">
                  <a16:creationId xmlns:a16="http://schemas.microsoft.com/office/drawing/2014/main" id="{00000000-0008-0000-1400-000003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47625</xdr:rowOff>
        </xdr:from>
        <xdr:to>
          <xdr:col>3</xdr:col>
          <xdr:colOff>571500</xdr:colOff>
          <xdr:row>4</xdr:row>
          <xdr:rowOff>28575</xdr:rowOff>
        </xdr:to>
        <xdr:sp macro="" textlink="">
          <xdr:nvSpPr>
            <xdr:cNvPr id="60420" name="cmdRefreshUnits" hidden="1">
              <a:extLst>
                <a:ext uri="{63B3BB69-23CF-44E3-9099-C40C66FF867C}">
                  <a14:compatExt spid="_x0000_s60420"/>
                </a:ext>
                <a:ext uri="{FF2B5EF4-FFF2-40B4-BE49-F238E27FC236}">
                  <a16:creationId xmlns:a16="http://schemas.microsoft.com/office/drawing/2014/main" id="{00000000-0008-0000-1400-000004E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15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15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9525</xdr:rowOff>
        </xdr:from>
        <xdr:to>
          <xdr:col>3</xdr:col>
          <xdr:colOff>571500</xdr:colOff>
          <xdr:row>5</xdr:row>
          <xdr:rowOff>28575</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15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47625</xdr:rowOff>
        </xdr:from>
        <xdr:to>
          <xdr:col>3</xdr:col>
          <xdr:colOff>571500</xdr:colOff>
          <xdr:row>4</xdr:row>
          <xdr:rowOff>28575</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15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16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16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16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19050</xdr:rowOff>
        </xdr:from>
        <xdr:to>
          <xdr:col>0</xdr:col>
          <xdr:colOff>695325</xdr:colOff>
          <xdr:row>4</xdr:row>
          <xdr:rowOff>0</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16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3</xdr:col>
          <xdr:colOff>285750</xdr:colOff>
          <xdr:row>4</xdr:row>
          <xdr:rowOff>9525</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16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1552575</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17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9525</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17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5</xdr:col>
          <xdr:colOff>704850</xdr:colOff>
          <xdr:row>4</xdr:row>
          <xdr:rowOff>9525</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17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0</xdr:col>
          <xdr:colOff>695325</xdr:colOff>
          <xdr:row>4</xdr:row>
          <xdr:rowOff>219075</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17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17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17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9525</xdr:colOff>
          <xdr:row>4</xdr:row>
          <xdr:rowOff>19050</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17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1000125</xdr:colOff>
          <xdr:row>4</xdr:row>
          <xdr:rowOff>19050</xdr:rowOff>
        </xdr:to>
        <xdr:sp macro="" textlink="">
          <xdr:nvSpPr>
            <xdr:cNvPr id="65537" name="cmdConstrNameAndDesc" hidden="1">
              <a:extLst>
                <a:ext uri="{63B3BB69-23CF-44E3-9099-C40C66FF867C}">
                  <a14:compatExt spid="_x0000_s65537"/>
                </a:ext>
                <a:ext uri="{FF2B5EF4-FFF2-40B4-BE49-F238E27FC236}">
                  <a16:creationId xmlns:a16="http://schemas.microsoft.com/office/drawing/2014/main" id="{00000000-0008-0000-1800-000001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65538" name="cmdTechName" hidden="1">
              <a:extLst>
                <a:ext uri="{63B3BB69-23CF-44E3-9099-C40C66FF867C}">
                  <a14:compatExt spid="_x0000_s65538"/>
                </a:ext>
                <a:ext uri="{FF2B5EF4-FFF2-40B4-BE49-F238E27FC236}">
                  <a16:creationId xmlns:a16="http://schemas.microsoft.com/office/drawing/2014/main" id="{00000000-0008-0000-1800-000002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0</xdr:col>
          <xdr:colOff>695325</xdr:colOff>
          <xdr:row>5</xdr:row>
          <xdr:rowOff>9525</xdr:rowOff>
        </xdr:to>
        <xdr:sp macro="" textlink="">
          <xdr:nvSpPr>
            <xdr:cNvPr id="65539" name="cmdAddParameter" hidden="1">
              <a:extLst>
                <a:ext uri="{63B3BB69-23CF-44E3-9099-C40C66FF867C}">
                  <a14:compatExt spid="_x0000_s65539"/>
                </a:ext>
                <a:ext uri="{FF2B5EF4-FFF2-40B4-BE49-F238E27FC236}">
                  <a16:creationId xmlns:a16="http://schemas.microsoft.com/office/drawing/2014/main" id="{00000000-0008-0000-1800-000003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65540" name="cmdCheckConstrDataSheet" hidden="1">
              <a:extLst>
                <a:ext uri="{63B3BB69-23CF-44E3-9099-C40C66FF867C}">
                  <a14:compatExt spid="_x0000_s65540"/>
                </a:ext>
                <a:ext uri="{FF2B5EF4-FFF2-40B4-BE49-F238E27FC236}">
                  <a16:creationId xmlns:a16="http://schemas.microsoft.com/office/drawing/2014/main" id="{00000000-0008-0000-1800-000004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6</xdr:row>
          <xdr:rowOff>19050</xdr:rowOff>
        </xdr:to>
        <xdr:sp macro="" textlink="">
          <xdr:nvSpPr>
            <xdr:cNvPr id="65541" name="cmdAddParamQualifier" hidden="1">
              <a:extLst>
                <a:ext uri="{63B3BB69-23CF-44E3-9099-C40C66FF867C}">
                  <a14:compatExt spid="_x0000_s65541"/>
                </a:ext>
                <a:ext uri="{FF2B5EF4-FFF2-40B4-BE49-F238E27FC236}">
                  <a16:creationId xmlns:a16="http://schemas.microsoft.com/office/drawing/2014/main" id="{00000000-0008-0000-1800-000005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3</xdr:col>
          <xdr:colOff>333375</xdr:colOff>
          <xdr:row>4</xdr:row>
          <xdr:rowOff>28575</xdr:rowOff>
        </xdr:to>
        <xdr:sp macro="" textlink="">
          <xdr:nvSpPr>
            <xdr:cNvPr id="65542" name="cmdRefreshUnits" hidden="1">
              <a:extLst>
                <a:ext uri="{63B3BB69-23CF-44E3-9099-C40C66FF867C}">
                  <a14:compatExt spid="_x0000_s65542"/>
                </a:ext>
                <a:ext uri="{FF2B5EF4-FFF2-40B4-BE49-F238E27FC236}">
                  <a16:creationId xmlns:a16="http://schemas.microsoft.com/office/drawing/2014/main" id="{00000000-0008-0000-1800-0000060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1000125</xdr:colOff>
          <xdr:row>4</xdr:row>
          <xdr:rowOff>19050</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19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19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0</xdr:col>
          <xdr:colOff>695325</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19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19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19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3</xdr:col>
          <xdr:colOff>333375</xdr:colOff>
          <xdr:row>4</xdr:row>
          <xdr:rowOff>28575</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19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1095375</xdr:colOff>
          <xdr:row>4</xdr:row>
          <xdr:rowOff>9525</xdr:rowOff>
        </xdr:to>
        <xdr:sp macro="" textlink="">
          <xdr:nvSpPr>
            <xdr:cNvPr id="63489" name="cmdTechNameAndDesc" hidden="1">
              <a:extLst>
                <a:ext uri="{63B3BB69-23CF-44E3-9099-C40C66FF867C}">
                  <a14:compatExt spid="_x0000_s63489"/>
                </a:ext>
                <a:ext uri="{FF2B5EF4-FFF2-40B4-BE49-F238E27FC236}">
                  <a16:creationId xmlns:a16="http://schemas.microsoft.com/office/drawing/2014/main" id="{00000000-0008-0000-1D00-00000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9525</xdr:rowOff>
        </xdr:to>
        <xdr:sp macro="" textlink="">
          <xdr:nvSpPr>
            <xdr:cNvPr id="63490" name="cmdCommIN" hidden="1">
              <a:extLst>
                <a:ext uri="{63B3BB69-23CF-44E3-9099-C40C66FF867C}">
                  <a14:compatExt spid="_x0000_s63490"/>
                </a:ext>
                <a:ext uri="{FF2B5EF4-FFF2-40B4-BE49-F238E27FC236}">
                  <a16:creationId xmlns:a16="http://schemas.microsoft.com/office/drawing/2014/main" id="{00000000-0008-0000-1D00-00000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5</xdr:col>
          <xdr:colOff>704850</xdr:colOff>
          <xdr:row>4</xdr:row>
          <xdr:rowOff>9525</xdr:rowOff>
        </xdr:to>
        <xdr:sp macro="" textlink="">
          <xdr:nvSpPr>
            <xdr:cNvPr id="63491" name="cmdCommOUT" hidden="1">
              <a:extLst>
                <a:ext uri="{63B3BB69-23CF-44E3-9099-C40C66FF867C}">
                  <a14:compatExt spid="_x0000_s63491"/>
                </a:ext>
                <a:ext uri="{FF2B5EF4-FFF2-40B4-BE49-F238E27FC236}">
                  <a16:creationId xmlns:a16="http://schemas.microsoft.com/office/drawing/2014/main" id="{00000000-0008-0000-1D00-00000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0</xdr:col>
          <xdr:colOff>695325</xdr:colOff>
          <xdr:row>4</xdr:row>
          <xdr:rowOff>219075</xdr:rowOff>
        </xdr:to>
        <xdr:sp macro="" textlink="">
          <xdr:nvSpPr>
            <xdr:cNvPr id="63492" name="cmdAddParameter" hidden="1">
              <a:extLst>
                <a:ext uri="{63B3BB69-23CF-44E3-9099-C40C66FF867C}">
                  <a14:compatExt spid="_x0000_s63492"/>
                </a:ext>
                <a:ext uri="{FF2B5EF4-FFF2-40B4-BE49-F238E27FC236}">
                  <a16:creationId xmlns:a16="http://schemas.microsoft.com/office/drawing/2014/main" id="{00000000-0008-0000-1D00-00000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0</xdr:col>
          <xdr:colOff>695325</xdr:colOff>
          <xdr:row>6</xdr:row>
          <xdr:rowOff>28575</xdr:rowOff>
        </xdr:to>
        <xdr:sp macro="" textlink="">
          <xdr:nvSpPr>
            <xdr:cNvPr id="63493" name="cmdAddParamQualifier" hidden="1">
              <a:extLst>
                <a:ext uri="{63B3BB69-23CF-44E3-9099-C40C66FF867C}">
                  <a14:compatExt spid="_x0000_s63493"/>
                </a:ext>
                <a:ext uri="{FF2B5EF4-FFF2-40B4-BE49-F238E27FC236}">
                  <a16:creationId xmlns:a16="http://schemas.microsoft.com/office/drawing/2014/main" id="{00000000-0008-0000-1D00-00000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0</xdr:col>
          <xdr:colOff>695325</xdr:colOff>
          <xdr:row>4</xdr:row>
          <xdr:rowOff>9525</xdr:rowOff>
        </xdr:to>
        <xdr:sp macro="" textlink="">
          <xdr:nvSpPr>
            <xdr:cNvPr id="63494" name="cmdCheckTechDataSheet" hidden="1">
              <a:extLst>
                <a:ext uri="{63B3BB69-23CF-44E3-9099-C40C66FF867C}">
                  <a14:compatExt spid="_x0000_s63494"/>
                </a:ext>
                <a:ext uri="{FF2B5EF4-FFF2-40B4-BE49-F238E27FC236}">
                  <a16:creationId xmlns:a16="http://schemas.microsoft.com/office/drawing/2014/main" id="{00000000-0008-0000-1D00-00000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3</xdr:col>
          <xdr:colOff>552450</xdr:colOff>
          <xdr:row>4</xdr:row>
          <xdr:rowOff>19050</xdr:rowOff>
        </xdr:to>
        <xdr:sp macro="" textlink="">
          <xdr:nvSpPr>
            <xdr:cNvPr id="63495" name="cmdRefreshUnits" hidden="1">
              <a:extLst>
                <a:ext uri="{63B3BB69-23CF-44E3-9099-C40C66FF867C}">
                  <a14:compatExt spid="_x0000_s63495"/>
                </a:ext>
                <a:ext uri="{FF2B5EF4-FFF2-40B4-BE49-F238E27FC236}">
                  <a16:creationId xmlns:a16="http://schemas.microsoft.com/office/drawing/2014/main" id="{00000000-0008-0000-1D00-00000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2626umcec001\cgage$\EMODEL\China\Anhui\Scen4\MOD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eia.gov/totalenergy/data/annual/pdf/sec12_1.pdf" TargetMode="External"/><Relationship Id="rId1" Type="http://schemas.openxmlformats.org/officeDocument/2006/relationships/hyperlink" Target="http://www.bea.gov/national/nipaweb/SelectTable.asp?Selected=Y" TargetMode="External"/></Relationships>
</file>

<file path=xl/worksheets/_rels/sheet13.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3" Type="http://schemas.openxmlformats.org/officeDocument/2006/relationships/vmlDrawing" Target="../drawings/vmlDrawing2.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6.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14.xml.rels><?xml version="1.0" encoding="UTF-8" standalone="yes"?>
<Relationships xmlns="http://schemas.openxmlformats.org/package/2006/relationships"><Relationship Id="rId8" Type="http://schemas.openxmlformats.org/officeDocument/2006/relationships/control" Target="../activeX/activeX10.xml"/><Relationship Id="rId13" Type="http://schemas.openxmlformats.org/officeDocument/2006/relationships/image" Target="../media/image12.emf"/><Relationship Id="rId18" Type="http://schemas.openxmlformats.org/officeDocument/2006/relationships/control" Target="../activeX/activeX15.xml"/><Relationship Id="rId3" Type="http://schemas.openxmlformats.org/officeDocument/2006/relationships/vmlDrawing" Target="../drawings/vmlDrawing3.vml"/><Relationship Id="rId7" Type="http://schemas.openxmlformats.org/officeDocument/2006/relationships/image" Target="../media/image9.emf"/><Relationship Id="rId12" Type="http://schemas.openxmlformats.org/officeDocument/2006/relationships/control" Target="../activeX/activeX12.xml"/><Relationship Id="rId17" Type="http://schemas.openxmlformats.org/officeDocument/2006/relationships/image" Target="../media/image14.emf"/><Relationship Id="rId2" Type="http://schemas.openxmlformats.org/officeDocument/2006/relationships/drawing" Target="../drawings/drawing2.xml"/><Relationship Id="rId16" Type="http://schemas.openxmlformats.org/officeDocument/2006/relationships/control" Target="../activeX/activeX14.xml"/><Relationship Id="rId1" Type="http://schemas.openxmlformats.org/officeDocument/2006/relationships/printerSettings" Target="../printerSettings/printerSettings7.bin"/><Relationship Id="rId6" Type="http://schemas.openxmlformats.org/officeDocument/2006/relationships/control" Target="../activeX/activeX9.xml"/><Relationship Id="rId11" Type="http://schemas.openxmlformats.org/officeDocument/2006/relationships/image" Target="../media/image11.emf"/><Relationship Id="rId5" Type="http://schemas.openxmlformats.org/officeDocument/2006/relationships/image" Target="../media/image8.emf"/><Relationship Id="rId15" Type="http://schemas.openxmlformats.org/officeDocument/2006/relationships/image" Target="../media/image13.emf"/><Relationship Id="rId10" Type="http://schemas.openxmlformats.org/officeDocument/2006/relationships/control" Target="../activeX/activeX11.xml"/><Relationship Id="rId19" Type="http://schemas.openxmlformats.org/officeDocument/2006/relationships/image" Target="../media/image15.emf"/><Relationship Id="rId4" Type="http://schemas.openxmlformats.org/officeDocument/2006/relationships/control" Target="../activeX/activeX8.xml"/><Relationship Id="rId9" Type="http://schemas.openxmlformats.org/officeDocument/2006/relationships/image" Target="../media/image10.emf"/><Relationship Id="rId14" Type="http://schemas.openxmlformats.org/officeDocument/2006/relationships/control" Target="../activeX/activeX13.xml"/></Relationships>
</file>

<file path=xl/worksheets/_rels/sheet15.xml.rels><?xml version="1.0" encoding="UTF-8" standalone="yes"?>
<Relationships xmlns="http://schemas.openxmlformats.org/package/2006/relationships"><Relationship Id="rId8" Type="http://schemas.openxmlformats.org/officeDocument/2006/relationships/control" Target="../activeX/activeX18.xml"/><Relationship Id="rId13" Type="http://schemas.openxmlformats.org/officeDocument/2006/relationships/image" Target="../media/image20.emf"/><Relationship Id="rId3" Type="http://schemas.openxmlformats.org/officeDocument/2006/relationships/vmlDrawing" Target="../drawings/vmlDrawing4.vml"/><Relationship Id="rId7" Type="http://schemas.openxmlformats.org/officeDocument/2006/relationships/image" Target="../media/image17.emf"/><Relationship Id="rId12" Type="http://schemas.openxmlformats.org/officeDocument/2006/relationships/control" Target="../activeX/activeX20.xml"/><Relationship Id="rId2" Type="http://schemas.openxmlformats.org/officeDocument/2006/relationships/drawing" Target="../drawings/drawing3.xml"/><Relationship Id="rId1" Type="http://schemas.openxmlformats.org/officeDocument/2006/relationships/printerSettings" Target="../printerSettings/printerSettings8.bin"/><Relationship Id="rId6" Type="http://schemas.openxmlformats.org/officeDocument/2006/relationships/control" Target="../activeX/activeX17.xml"/><Relationship Id="rId11" Type="http://schemas.openxmlformats.org/officeDocument/2006/relationships/image" Target="../media/image19.emf"/><Relationship Id="rId5" Type="http://schemas.openxmlformats.org/officeDocument/2006/relationships/image" Target="../media/image16.emf"/><Relationship Id="rId10" Type="http://schemas.openxmlformats.org/officeDocument/2006/relationships/control" Target="../activeX/activeX19.xml"/><Relationship Id="rId4" Type="http://schemas.openxmlformats.org/officeDocument/2006/relationships/control" Target="../activeX/activeX16.xml"/><Relationship Id="rId9" Type="http://schemas.openxmlformats.org/officeDocument/2006/relationships/image" Target="../media/image18.emf"/></Relationships>
</file>

<file path=xl/worksheets/_rels/sheet16.xml.rels><?xml version="1.0" encoding="UTF-8" standalone="yes"?>
<Relationships xmlns="http://schemas.openxmlformats.org/package/2006/relationships"><Relationship Id="rId8" Type="http://schemas.openxmlformats.org/officeDocument/2006/relationships/control" Target="../activeX/activeX23.xml"/><Relationship Id="rId13" Type="http://schemas.openxmlformats.org/officeDocument/2006/relationships/image" Target="../media/image25.emf"/><Relationship Id="rId3" Type="http://schemas.openxmlformats.org/officeDocument/2006/relationships/vmlDrawing" Target="../drawings/vmlDrawing5.vml"/><Relationship Id="rId7" Type="http://schemas.openxmlformats.org/officeDocument/2006/relationships/image" Target="../media/image22.emf"/><Relationship Id="rId12" Type="http://schemas.openxmlformats.org/officeDocument/2006/relationships/control" Target="../activeX/activeX25.xml"/><Relationship Id="rId2" Type="http://schemas.openxmlformats.org/officeDocument/2006/relationships/drawing" Target="../drawings/drawing4.xml"/><Relationship Id="rId1" Type="http://schemas.openxmlformats.org/officeDocument/2006/relationships/printerSettings" Target="../printerSettings/printerSettings9.bin"/><Relationship Id="rId6" Type="http://schemas.openxmlformats.org/officeDocument/2006/relationships/control" Target="../activeX/activeX22.xml"/><Relationship Id="rId11" Type="http://schemas.openxmlformats.org/officeDocument/2006/relationships/image" Target="../media/image24.emf"/><Relationship Id="rId5" Type="http://schemas.openxmlformats.org/officeDocument/2006/relationships/image" Target="../media/image21.emf"/><Relationship Id="rId10" Type="http://schemas.openxmlformats.org/officeDocument/2006/relationships/control" Target="../activeX/activeX24.xml"/><Relationship Id="rId4" Type="http://schemas.openxmlformats.org/officeDocument/2006/relationships/control" Target="../activeX/activeX21.xml"/><Relationship Id="rId9" Type="http://schemas.openxmlformats.org/officeDocument/2006/relationships/image" Target="../media/image23.emf"/></Relationships>
</file>

<file path=xl/worksheets/_rels/sheet17.xml.rels><?xml version="1.0" encoding="UTF-8" standalone="yes"?>
<Relationships xmlns="http://schemas.openxmlformats.org/package/2006/relationships"><Relationship Id="rId8" Type="http://schemas.openxmlformats.org/officeDocument/2006/relationships/control" Target="../activeX/activeX28.xml"/><Relationship Id="rId13" Type="http://schemas.openxmlformats.org/officeDocument/2006/relationships/image" Target="../media/image30.emf"/><Relationship Id="rId3" Type="http://schemas.openxmlformats.org/officeDocument/2006/relationships/vmlDrawing" Target="../drawings/vmlDrawing6.vml"/><Relationship Id="rId7" Type="http://schemas.openxmlformats.org/officeDocument/2006/relationships/image" Target="../media/image27.emf"/><Relationship Id="rId12" Type="http://schemas.openxmlformats.org/officeDocument/2006/relationships/control" Target="../activeX/activeX30.xml"/><Relationship Id="rId17" Type="http://schemas.openxmlformats.org/officeDocument/2006/relationships/image" Target="../media/image32.emf"/><Relationship Id="rId2" Type="http://schemas.openxmlformats.org/officeDocument/2006/relationships/drawing" Target="../drawings/drawing5.xml"/><Relationship Id="rId16" Type="http://schemas.openxmlformats.org/officeDocument/2006/relationships/control" Target="../activeX/activeX32.xml"/><Relationship Id="rId1" Type="http://schemas.openxmlformats.org/officeDocument/2006/relationships/printerSettings" Target="../printerSettings/printerSettings10.bin"/><Relationship Id="rId6" Type="http://schemas.openxmlformats.org/officeDocument/2006/relationships/control" Target="../activeX/activeX27.xml"/><Relationship Id="rId11" Type="http://schemas.openxmlformats.org/officeDocument/2006/relationships/image" Target="../media/image29.emf"/><Relationship Id="rId5" Type="http://schemas.openxmlformats.org/officeDocument/2006/relationships/image" Target="../media/image26.emf"/><Relationship Id="rId15" Type="http://schemas.openxmlformats.org/officeDocument/2006/relationships/image" Target="../media/image31.emf"/><Relationship Id="rId10" Type="http://schemas.openxmlformats.org/officeDocument/2006/relationships/control" Target="../activeX/activeX29.xml"/><Relationship Id="rId4" Type="http://schemas.openxmlformats.org/officeDocument/2006/relationships/control" Target="../activeX/activeX26.xml"/><Relationship Id="rId9" Type="http://schemas.openxmlformats.org/officeDocument/2006/relationships/image" Target="../media/image28.emf"/><Relationship Id="rId14" Type="http://schemas.openxmlformats.org/officeDocument/2006/relationships/control" Target="../activeX/activeX31.xml"/></Relationships>
</file>

<file path=xl/worksheets/_rels/sheet18.xml.rels><?xml version="1.0" encoding="UTF-8" standalone="yes"?>
<Relationships xmlns="http://schemas.openxmlformats.org/package/2006/relationships"><Relationship Id="rId8" Type="http://schemas.openxmlformats.org/officeDocument/2006/relationships/control" Target="../activeX/activeX35.xml"/><Relationship Id="rId13" Type="http://schemas.openxmlformats.org/officeDocument/2006/relationships/image" Target="../media/image37.emf"/><Relationship Id="rId3" Type="http://schemas.openxmlformats.org/officeDocument/2006/relationships/vmlDrawing" Target="../drawings/vmlDrawing7.vml"/><Relationship Id="rId7" Type="http://schemas.openxmlformats.org/officeDocument/2006/relationships/image" Target="../media/image34.emf"/><Relationship Id="rId12" Type="http://schemas.openxmlformats.org/officeDocument/2006/relationships/control" Target="../activeX/activeX37.xml"/><Relationship Id="rId2" Type="http://schemas.openxmlformats.org/officeDocument/2006/relationships/drawing" Target="../drawings/drawing6.xml"/><Relationship Id="rId1" Type="http://schemas.openxmlformats.org/officeDocument/2006/relationships/printerSettings" Target="../printerSettings/printerSettings11.bin"/><Relationship Id="rId6" Type="http://schemas.openxmlformats.org/officeDocument/2006/relationships/control" Target="../activeX/activeX34.xml"/><Relationship Id="rId11" Type="http://schemas.openxmlformats.org/officeDocument/2006/relationships/image" Target="../media/image36.emf"/><Relationship Id="rId5" Type="http://schemas.openxmlformats.org/officeDocument/2006/relationships/image" Target="../media/image33.emf"/><Relationship Id="rId10" Type="http://schemas.openxmlformats.org/officeDocument/2006/relationships/control" Target="../activeX/activeX36.xml"/><Relationship Id="rId4" Type="http://schemas.openxmlformats.org/officeDocument/2006/relationships/control" Target="../activeX/activeX33.xml"/><Relationship Id="rId9" Type="http://schemas.openxmlformats.org/officeDocument/2006/relationships/image" Target="../media/image35.emf"/></Relationships>
</file>

<file path=xl/worksheets/_rels/sheet19.xml.rels><?xml version="1.0" encoding="UTF-8" standalone="yes"?>
<Relationships xmlns="http://schemas.openxmlformats.org/package/2006/relationships"><Relationship Id="rId8" Type="http://schemas.openxmlformats.org/officeDocument/2006/relationships/control" Target="../activeX/activeX40.xml"/><Relationship Id="rId3" Type="http://schemas.openxmlformats.org/officeDocument/2006/relationships/vmlDrawing" Target="../drawings/vmlDrawing8.vml"/><Relationship Id="rId7" Type="http://schemas.openxmlformats.org/officeDocument/2006/relationships/image" Target="../media/image39.emf"/><Relationship Id="rId2" Type="http://schemas.openxmlformats.org/officeDocument/2006/relationships/drawing" Target="../drawings/drawing7.xml"/><Relationship Id="rId1" Type="http://schemas.openxmlformats.org/officeDocument/2006/relationships/printerSettings" Target="../printerSettings/printerSettings12.bin"/><Relationship Id="rId6" Type="http://schemas.openxmlformats.org/officeDocument/2006/relationships/control" Target="../activeX/activeX39.xml"/><Relationship Id="rId11" Type="http://schemas.openxmlformats.org/officeDocument/2006/relationships/image" Target="../media/image41.emf"/><Relationship Id="rId5" Type="http://schemas.openxmlformats.org/officeDocument/2006/relationships/image" Target="../media/image38.emf"/><Relationship Id="rId10" Type="http://schemas.openxmlformats.org/officeDocument/2006/relationships/control" Target="../activeX/activeX41.xml"/><Relationship Id="rId4" Type="http://schemas.openxmlformats.org/officeDocument/2006/relationships/control" Target="../activeX/activeX38.xml"/><Relationship Id="rId9" Type="http://schemas.openxmlformats.org/officeDocument/2006/relationships/image" Target="../media/image40.emf"/></Relationships>
</file>

<file path=xl/worksheets/_rels/sheet20.xml.rels><?xml version="1.0" encoding="UTF-8" standalone="yes"?>
<Relationships xmlns="http://schemas.openxmlformats.org/package/2006/relationships"><Relationship Id="rId8" Type="http://schemas.openxmlformats.org/officeDocument/2006/relationships/control" Target="../activeX/activeX44.xml"/><Relationship Id="rId3" Type="http://schemas.openxmlformats.org/officeDocument/2006/relationships/vmlDrawing" Target="../drawings/vmlDrawing9.vml"/><Relationship Id="rId7" Type="http://schemas.openxmlformats.org/officeDocument/2006/relationships/image" Target="../media/image43.emf"/><Relationship Id="rId2" Type="http://schemas.openxmlformats.org/officeDocument/2006/relationships/drawing" Target="../drawings/drawing8.xml"/><Relationship Id="rId1" Type="http://schemas.openxmlformats.org/officeDocument/2006/relationships/printerSettings" Target="../printerSettings/printerSettings13.bin"/><Relationship Id="rId6" Type="http://schemas.openxmlformats.org/officeDocument/2006/relationships/control" Target="../activeX/activeX43.xml"/><Relationship Id="rId11" Type="http://schemas.openxmlformats.org/officeDocument/2006/relationships/image" Target="../media/image45.emf"/><Relationship Id="rId5" Type="http://schemas.openxmlformats.org/officeDocument/2006/relationships/image" Target="../media/image42.emf"/><Relationship Id="rId10" Type="http://schemas.openxmlformats.org/officeDocument/2006/relationships/control" Target="../activeX/activeX45.xml"/><Relationship Id="rId4" Type="http://schemas.openxmlformats.org/officeDocument/2006/relationships/control" Target="../activeX/activeX42.xml"/><Relationship Id="rId9" Type="http://schemas.openxmlformats.org/officeDocument/2006/relationships/image" Target="../media/image44.emf"/></Relationships>
</file>

<file path=xl/worksheets/_rels/sheet21.xml.rels><?xml version="1.0" encoding="UTF-8" standalone="yes"?>
<Relationships xmlns="http://schemas.openxmlformats.org/package/2006/relationships"><Relationship Id="rId8" Type="http://schemas.openxmlformats.org/officeDocument/2006/relationships/control" Target="../activeX/activeX48.xml"/><Relationship Id="rId13" Type="http://schemas.openxmlformats.org/officeDocument/2006/relationships/image" Target="../media/image50.emf"/><Relationship Id="rId3" Type="http://schemas.openxmlformats.org/officeDocument/2006/relationships/vmlDrawing" Target="../drawings/vmlDrawing10.vml"/><Relationship Id="rId7" Type="http://schemas.openxmlformats.org/officeDocument/2006/relationships/image" Target="../media/image47.emf"/><Relationship Id="rId12" Type="http://schemas.openxmlformats.org/officeDocument/2006/relationships/control" Target="../activeX/activeX50.xml"/><Relationship Id="rId2" Type="http://schemas.openxmlformats.org/officeDocument/2006/relationships/drawing" Target="../drawings/drawing9.xml"/><Relationship Id="rId1" Type="http://schemas.openxmlformats.org/officeDocument/2006/relationships/printerSettings" Target="../printerSettings/printerSettings14.bin"/><Relationship Id="rId6" Type="http://schemas.openxmlformats.org/officeDocument/2006/relationships/control" Target="../activeX/activeX47.xml"/><Relationship Id="rId11" Type="http://schemas.openxmlformats.org/officeDocument/2006/relationships/image" Target="../media/image49.emf"/><Relationship Id="rId5" Type="http://schemas.openxmlformats.org/officeDocument/2006/relationships/image" Target="../media/image46.emf"/><Relationship Id="rId10" Type="http://schemas.openxmlformats.org/officeDocument/2006/relationships/control" Target="../activeX/activeX49.xml"/><Relationship Id="rId4" Type="http://schemas.openxmlformats.org/officeDocument/2006/relationships/control" Target="../activeX/activeX46.xml"/><Relationship Id="rId9" Type="http://schemas.openxmlformats.org/officeDocument/2006/relationships/image" Target="../media/image48.emf"/></Relationships>
</file>

<file path=xl/worksheets/_rels/sheet22.xml.rels><?xml version="1.0" encoding="UTF-8" standalone="yes"?>
<Relationships xmlns="http://schemas.openxmlformats.org/package/2006/relationships"><Relationship Id="rId8" Type="http://schemas.openxmlformats.org/officeDocument/2006/relationships/control" Target="../activeX/activeX53.xml"/><Relationship Id="rId13" Type="http://schemas.openxmlformats.org/officeDocument/2006/relationships/image" Target="../media/image55.emf"/><Relationship Id="rId3" Type="http://schemas.openxmlformats.org/officeDocument/2006/relationships/vmlDrawing" Target="../drawings/vmlDrawing11.vml"/><Relationship Id="rId7" Type="http://schemas.openxmlformats.org/officeDocument/2006/relationships/image" Target="../media/image52.emf"/><Relationship Id="rId12" Type="http://schemas.openxmlformats.org/officeDocument/2006/relationships/control" Target="../activeX/activeX55.xml"/><Relationship Id="rId17" Type="http://schemas.openxmlformats.org/officeDocument/2006/relationships/image" Target="../media/image57.emf"/><Relationship Id="rId2" Type="http://schemas.openxmlformats.org/officeDocument/2006/relationships/drawing" Target="../drawings/drawing10.xml"/><Relationship Id="rId16" Type="http://schemas.openxmlformats.org/officeDocument/2006/relationships/control" Target="../activeX/activeX57.xml"/><Relationship Id="rId1" Type="http://schemas.openxmlformats.org/officeDocument/2006/relationships/printerSettings" Target="../printerSettings/printerSettings15.bin"/><Relationship Id="rId6" Type="http://schemas.openxmlformats.org/officeDocument/2006/relationships/control" Target="../activeX/activeX52.xml"/><Relationship Id="rId11" Type="http://schemas.openxmlformats.org/officeDocument/2006/relationships/image" Target="../media/image54.emf"/><Relationship Id="rId5" Type="http://schemas.openxmlformats.org/officeDocument/2006/relationships/image" Target="../media/image51.emf"/><Relationship Id="rId15" Type="http://schemas.openxmlformats.org/officeDocument/2006/relationships/image" Target="../media/image56.emf"/><Relationship Id="rId10" Type="http://schemas.openxmlformats.org/officeDocument/2006/relationships/control" Target="../activeX/activeX54.xml"/><Relationship Id="rId4" Type="http://schemas.openxmlformats.org/officeDocument/2006/relationships/control" Target="../activeX/activeX51.xml"/><Relationship Id="rId9" Type="http://schemas.openxmlformats.org/officeDocument/2006/relationships/image" Target="../media/image53.emf"/><Relationship Id="rId14" Type="http://schemas.openxmlformats.org/officeDocument/2006/relationships/control" Target="../activeX/activeX56.xml"/></Relationships>
</file>

<file path=xl/worksheets/_rels/sheet23.xml.rels><?xml version="1.0" encoding="UTF-8" standalone="yes"?>
<Relationships xmlns="http://schemas.openxmlformats.org/package/2006/relationships"><Relationship Id="rId8" Type="http://schemas.openxmlformats.org/officeDocument/2006/relationships/control" Target="../activeX/activeX60.xml"/><Relationship Id="rId13" Type="http://schemas.openxmlformats.org/officeDocument/2006/relationships/image" Target="../media/image62.emf"/><Relationship Id="rId3" Type="http://schemas.openxmlformats.org/officeDocument/2006/relationships/vmlDrawing" Target="../drawings/vmlDrawing12.vml"/><Relationship Id="rId7" Type="http://schemas.openxmlformats.org/officeDocument/2006/relationships/image" Target="../media/image59.emf"/><Relationship Id="rId12" Type="http://schemas.openxmlformats.org/officeDocument/2006/relationships/control" Target="../activeX/activeX62.xml"/><Relationship Id="rId2" Type="http://schemas.openxmlformats.org/officeDocument/2006/relationships/drawing" Target="../drawings/drawing11.xml"/><Relationship Id="rId1" Type="http://schemas.openxmlformats.org/officeDocument/2006/relationships/printerSettings" Target="../printerSettings/printerSettings16.bin"/><Relationship Id="rId6" Type="http://schemas.openxmlformats.org/officeDocument/2006/relationships/control" Target="../activeX/activeX59.xml"/><Relationship Id="rId11" Type="http://schemas.openxmlformats.org/officeDocument/2006/relationships/image" Target="../media/image61.emf"/><Relationship Id="rId5" Type="http://schemas.openxmlformats.org/officeDocument/2006/relationships/image" Target="../media/image58.emf"/><Relationship Id="rId15" Type="http://schemas.openxmlformats.org/officeDocument/2006/relationships/image" Target="../media/image63.emf"/><Relationship Id="rId10" Type="http://schemas.openxmlformats.org/officeDocument/2006/relationships/control" Target="../activeX/activeX61.xml"/><Relationship Id="rId4" Type="http://schemas.openxmlformats.org/officeDocument/2006/relationships/control" Target="../activeX/activeX58.xml"/><Relationship Id="rId9" Type="http://schemas.openxmlformats.org/officeDocument/2006/relationships/image" Target="../media/image60.emf"/><Relationship Id="rId14" Type="http://schemas.openxmlformats.org/officeDocument/2006/relationships/control" Target="../activeX/activeX63.xml"/></Relationships>
</file>

<file path=xl/worksheets/_rels/sheet24.xml.rels><?xml version="1.0" encoding="UTF-8" standalone="yes"?>
<Relationships xmlns="http://schemas.openxmlformats.org/package/2006/relationships"><Relationship Id="rId8" Type="http://schemas.openxmlformats.org/officeDocument/2006/relationships/control" Target="../activeX/activeX66.xml"/><Relationship Id="rId13" Type="http://schemas.openxmlformats.org/officeDocument/2006/relationships/image" Target="../media/image68.emf"/><Relationship Id="rId3" Type="http://schemas.openxmlformats.org/officeDocument/2006/relationships/vmlDrawing" Target="../drawings/vmlDrawing13.vml"/><Relationship Id="rId7" Type="http://schemas.openxmlformats.org/officeDocument/2006/relationships/image" Target="../media/image65.emf"/><Relationship Id="rId12" Type="http://schemas.openxmlformats.org/officeDocument/2006/relationships/control" Target="../activeX/activeX68.xml"/><Relationship Id="rId2" Type="http://schemas.openxmlformats.org/officeDocument/2006/relationships/drawing" Target="../drawings/drawing12.xml"/><Relationship Id="rId1" Type="http://schemas.openxmlformats.org/officeDocument/2006/relationships/printerSettings" Target="../printerSettings/printerSettings17.bin"/><Relationship Id="rId6" Type="http://schemas.openxmlformats.org/officeDocument/2006/relationships/control" Target="../activeX/activeX65.xml"/><Relationship Id="rId11" Type="http://schemas.openxmlformats.org/officeDocument/2006/relationships/image" Target="../media/image67.emf"/><Relationship Id="rId5" Type="http://schemas.openxmlformats.org/officeDocument/2006/relationships/image" Target="../media/image64.emf"/><Relationship Id="rId15" Type="http://schemas.openxmlformats.org/officeDocument/2006/relationships/image" Target="../media/image69.emf"/><Relationship Id="rId10" Type="http://schemas.openxmlformats.org/officeDocument/2006/relationships/control" Target="../activeX/activeX67.xml"/><Relationship Id="rId4" Type="http://schemas.openxmlformats.org/officeDocument/2006/relationships/control" Target="../activeX/activeX64.xml"/><Relationship Id="rId9" Type="http://schemas.openxmlformats.org/officeDocument/2006/relationships/image" Target="../media/image66.emf"/><Relationship Id="rId14" Type="http://schemas.openxmlformats.org/officeDocument/2006/relationships/control" Target="../activeX/activeX69.xml"/></Relationships>
</file>

<file path=xl/worksheets/_rels/sheet25.xml.rels><?xml version="1.0" encoding="UTF-8" standalone="yes"?>
<Relationships xmlns="http://schemas.openxmlformats.org/package/2006/relationships"><Relationship Id="rId8" Type="http://schemas.openxmlformats.org/officeDocument/2006/relationships/control" Target="../activeX/activeX72.xml"/><Relationship Id="rId13" Type="http://schemas.openxmlformats.org/officeDocument/2006/relationships/image" Target="../media/image74.emf"/><Relationship Id="rId18" Type="http://schemas.openxmlformats.org/officeDocument/2006/relationships/comments" Target="../comments2.xml"/><Relationship Id="rId3" Type="http://schemas.openxmlformats.org/officeDocument/2006/relationships/vmlDrawing" Target="../drawings/vmlDrawing14.vml"/><Relationship Id="rId7" Type="http://schemas.openxmlformats.org/officeDocument/2006/relationships/image" Target="../media/image71.emf"/><Relationship Id="rId12" Type="http://schemas.openxmlformats.org/officeDocument/2006/relationships/control" Target="../activeX/activeX74.xml"/><Relationship Id="rId17" Type="http://schemas.openxmlformats.org/officeDocument/2006/relationships/image" Target="../media/image76.emf"/><Relationship Id="rId2" Type="http://schemas.openxmlformats.org/officeDocument/2006/relationships/drawing" Target="../drawings/drawing13.xml"/><Relationship Id="rId16" Type="http://schemas.openxmlformats.org/officeDocument/2006/relationships/control" Target="../activeX/activeX76.xml"/><Relationship Id="rId1" Type="http://schemas.openxmlformats.org/officeDocument/2006/relationships/printerSettings" Target="../printerSettings/printerSettings18.bin"/><Relationship Id="rId6" Type="http://schemas.openxmlformats.org/officeDocument/2006/relationships/control" Target="../activeX/activeX71.xml"/><Relationship Id="rId11" Type="http://schemas.openxmlformats.org/officeDocument/2006/relationships/image" Target="../media/image73.emf"/><Relationship Id="rId5" Type="http://schemas.openxmlformats.org/officeDocument/2006/relationships/image" Target="../media/image70.emf"/><Relationship Id="rId15" Type="http://schemas.openxmlformats.org/officeDocument/2006/relationships/image" Target="../media/image75.emf"/><Relationship Id="rId10" Type="http://schemas.openxmlformats.org/officeDocument/2006/relationships/control" Target="../activeX/activeX73.xml"/><Relationship Id="rId4" Type="http://schemas.openxmlformats.org/officeDocument/2006/relationships/control" Target="../activeX/activeX70.xml"/><Relationship Id="rId9" Type="http://schemas.openxmlformats.org/officeDocument/2006/relationships/image" Target="../media/image72.emf"/><Relationship Id="rId14" Type="http://schemas.openxmlformats.org/officeDocument/2006/relationships/control" Target="../activeX/activeX7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rgb="FFFFC000"/>
  </sheetPr>
  <dimension ref="B1:O112"/>
  <sheetViews>
    <sheetView zoomScale="80" zoomScaleNormal="80" workbookViewId="0">
      <pane xSplit="4" ySplit="7" topLeftCell="E37" activePane="bottomRight" state="frozen"/>
      <selection activeCell="I38" sqref="I38"/>
      <selection pane="topRight" activeCell="I38" sqref="I38"/>
      <selection pane="bottomLeft" activeCell="I38" sqref="I38"/>
      <selection pane="bottomRight" activeCell="D44" sqref="D44"/>
    </sheetView>
  </sheetViews>
  <sheetFormatPr defaultColWidth="9.140625" defaultRowHeight="12.75" x14ac:dyDescent="0.2"/>
  <cols>
    <col min="1" max="1" width="9.140625" style="189"/>
    <col min="2" max="2" width="27" style="189" bestFit="1" customWidth="1"/>
    <col min="3" max="3" width="13.5703125" style="189" customWidth="1"/>
    <col min="4" max="4" width="43.42578125" style="189" bestFit="1" customWidth="1"/>
    <col min="5" max="5" width="11.7109375" style="190" bestFit="1" customWidth="1"/>
    <col min="6" max="6" width="33.42578125" style="189" customWidth="1"/>
    <col min="7" max="7" width="10.28515625" style="189" customWidth="1"/>
    <col min="8" max="16384" width="9.140625" style="189"/>
  </cols>
  <sheetData>
    <row r="1" spans="2:15" x14ac:dyDescent="0.2">
      <c r="B1" s="187" t="s">
        <v>167</v>
      </c>
      <c r="C1" s="188" t="s">
        <v>887</v>
      </c>
    </row>
    <row r="4" spans="2:15" ht="17.25" customHeight="1" x14ac:dyDescent="0.2"/>
    <row r="5" spans="2:15" ht="17.25" customHeight="1" x14ac:dyDescent="0.2">
      <c r="D5" s="191"/>
    </row>
    <row r="6" spans="2:15" customFormat="1" ht="15.75" customHeight="1" x14ac:dyDescent="0.2">
      <c r="B6" s="195" t="s">
        <v>892</v>
      </c>
    </row>
    <row r="7" spans="2:15" customFormat="1" x14ac:dyDescent="0.2">
      <c r="B7" s="196" t="s">
        <v>382</v>
      </c>
      <c r="C7" s="196" t="s">
        <v>22</v>
      </c>
      <c r="D7" s="196" t="s">
        <v>23</v>
      </c>
      <c r="E7" s="196" t="s">
        <v>893</v>
      </c>
      <c r="F7" s="196" t="s">
        <v>894</v>
      </c>
      <c r="G7" s="196" t="s">
        <v>895</v>
      </c>
      <c r="H7" s="196" t="s">
        <v>896</v>
      </c>
      <c r="I7" s="196" t="s">
        <v>897</v>
      </c>
      <c r="J7" s="196" t="s">
        <v>898</v>
      </c>
      <c r="O7" t="s">
        <v>18</v>
      </c>
    </row>
    <row r="8" spans="2:15" x14ac:dyDescent="0.2">
      <c r="B8" s="198" t="s">
        <v>889</v>
      </c>
      <c r="C8" s="198" t="s">
        <v>85</v>
      </c>
      <c r="D8" s="198" t="s">
        <v>85</v>
      </c>
      <c r="E8" s="198" t="s">
        <v>42</v>
      </c>
      <c r="F8" s="197" t="s">
        <v>899</v>
      </c>
      <c r="G8" s="198"/>
    </row>
    <row r="9" spans="2:15" x14ac:dyDescent="0.2">
      <c r="B9" s="198" t="s">
        <v>889</v>
      </c>
      <c r="C9" s="198" t="s">
        <v>180</v>
      </c>
      <c r="D9" s="198" t="s">
        <v>181</v>
      </c>
      <c r="E9" s="198" t="s">
        <v>42</v>
      </c>
      <c r="F9" s="198"/>
      <c r="G9" s="198"/>
    </row>
    <row r="10" spans="2:15" x14ac:dyDescent="0.2">
      <c r="B10" s="198" t="s">
        <v>889</v>
      </c>
      <c r="C10" s="198" t="s">
        <v>95</v>
      </c>
      <c r="D10" s="198" t="s">
        <v>186</v>
      </c>
      <c r="E10" s="198" t="s">
        <v>42</v>
      </c>
      <c r="F10" s="198"/>
      <c r="G10" s="198"/>
    </row>
    <row r="11" spans="2:15" x14ac:dyDescent="0.2">
      <c r="B11" s="198" t="s">
        <v>889</v>
      </c>
      <c r="C11" s="198" t="s">
        <v>187</v>
      </c>
      <c r="D11" s="198" t="s">
        <v>188</v>
      </c>
      <c r="E11" s="198" t="s">
        <v>42</v>
      </c>
      <c r="F11" s="198"/>
      <c r="G11" s="198"/>
    </row>
    <row r="12" spans="2:15" x14ac:dyDescent="0.2">
      <c r="B12" s="198" t="s">
        <v>889</v>
      </c>
      <c r="C12" s="198" t="s">
        <v>189</v>
      </c>
      <c r="D12" s="198" t="s">
        <v>70</v>
      </c>
      <c r="E12" s="198" t="s">
        <v>42</v>
      </c>
      <c r="F12" s="198"/>
      <c r="G12" s="198"/>
    </row>
    <row r="13" spans="2:15" x14ac:dyDescent="0.2">
      <c r="B13" s="198" t="s">
        <v>889</v>
      </c>
      <c r="C13" s="198" t="s">
        <v>190</v>
      </c>
      <c r="D13" s="198" t="s">
        <v>96</v>
      </c>
      <c r="E13" s="198" t="s">
        <v>42</v>
      </c>
      <c r="F13" s="198"/>
      <c r="G13" s="198"/>
    </row>
    <row r="14" spans="2:15" x14ac:dyDescent="0.2">
      <c r="B14" s="198" t="s">
        <v>889</v>
      </c>
      <c r="C14" s="198" t="s">
        <v>193</v>
      </c>
      <c r="D14" s="198" t="s">
        <v>194</v>
      </c>
      <c r="E14" s="198" t="s">
        <v>42</v>
      </c>
      <c r="F14" s="198"/>
      <c r="G14" s="198"/>
    </row>
    <row r="15" spans="2:15" x14ac:dyDescent="0.2">
      <c r="B15" s="198" t="s">
        <v>889</v>
      </c>
      <c r="C15" s="198" t="s">
        <v>389</v>
      </c>
      <c r="D15" s="198" t="s">
        <v>434</v>
      </c>
      <c r="E15" s="198" t="s">
        <v>42</v>
      </c>
      <c r="F15" s="198"/>
      <c r="G15" s="198"/>
    </row>
    <row r="16" spans="2:15" s="188" customFormat="1" x14ac:dyDescent="0.2">
      <c r="B16" s="199" t="s">
        <v>934</v>
      </c>
      <c r="C16" s="199"/>
      <c r="D16" s="199"/>
      <c r="E16" s="199" t="s">
        <v>42</v>
      </c>
      <c r="F16" s="199"/>
      <c r="G16" s="199"/>
    </row>
    <row r="17" spans="2:7" s="188" customFormat="1" x14ac:dyDescent="0.2">
      <c r="B17" s="198" t="s">
        <v>115</v>
      </c>
      <c r="C17" s="198" t="s">
        <v>929</v>
      </c>
      <c r="D17" s="198" t="s">
        <v>930</v>
      </c>
      <c r="E17" s="198" t="s">
        <v>42</v>
      </c>
      <c r="F17" s="221"/>
      <c r="G17" s="221"/>
    </row>
    <row r="18" spans="2:7" s="188" customFormat="1" x14ac:dyDescent="0.2">
      <c r="B18" s="198" t="s">
        <v>889</v>
      </c>
      <c r="C18" s="198" t="s">
        <v>197</v>
      </c>
      <c r="D18" s="198" t="s">
        <v>85</v>
      </c>
      <c r="E18" s="198" t="s">
        <v>42</v>
      </c>
      <c r="F18" s="198"/>
      <c r="G18" s="198"/>
    </row>
    <row r="19" spans="2:7" s="188" customFormat="1" x14ac:dyDescent="0.2">
      <c r="B19" s="198" t="s">
        <v>115</v>
      </c>
      <c r="C19" s="198" t="s">
        <v>198</v>
      </c>
      <c r="D19" s="198" t="s">
        <v>177</v>
      </c>
      <c r="E19" s="198" t="s">
        <v>42</v>
      </c>
      <c r="F19" s="198"/>
      <c r="G19" s="198"/>
    </row>
    <row r="20" spans="2:7" s="188" customFormat="1" x14ac:dyDescent="0.2">
      <c r="B20" s="198" t="s">
        <v>115</v>
      </c>
      <c r="C20" s="198" t="s">
        <v>199</v>
      </c>
      <c r="D20" s="198" t="s">
        <v>179</v>
      </c>
      <c r="E20" s="198" t="s">
        <v>42</v>
      </c>
      <c r="F20" s="198"/>
      <c r="G20" s="198"/>
    </row>
    <row r="21" spans="2:7" s="188" customFormat="1" x14ac:dyDescent="0.2">
      <c r="B21" s="198" t="s">
        <v>889</v>
      </c>
      <c r="C21" s="198" t="s">
        <v>200</v>
      </c>
      <c r="D21" s="198" t="s">
        <v>181</v>
      </c>
      <c r="E21" s="198" t="s">
        <v>42</v>
      </c>
      <c r="F21" s="198"/>
      <c r="G21" s="198"/>
    </row>
    <row r="22" spans="2:7" s="188" customFormat="1" x14ac:dyDescent="0.2">
      <c r="B22" s="198" t="s">
        <v>115</v>
      </c>
      <c r="C22" s="198" t="s">
        <v>201</v>
      </c>
      <c r="D22" s="198" t="s">
        <v>183</v>
      </c>
      <c r="E22" s="198" t="s">
        <v>42</v>
      </c>
      <c r="F22" s="198"/>
      <c r="G22" s="198"/>
    </row>
    <row r="23" spans="2:7" s="188" customFormat="1" x14ac:dyDescent="0.2">
      <c r="B23" s="198" t="s">
        <v>115</v>
      </c>
      <c r="C23" s="198" t="s">
        <v>202</v>
      </c>
      <c r="D23" s="198" t="s">
        <v>185</v>
      </c>
      <c r="E23" s="198" t="s">
        <v>42</v>
      </c>
      <c r="F23" s="198"/>
      <c r="G23" s="198"/>
    </row>
    <row r="24" spans="2:7" s="188" customFormat="1" x14ac:dyDescent="0.2">
      <c r="B24" s="198" t="s">
        <v>889</v>
      </c>
      <c r="C24" s="198" t="s">
        <v>203</v>
      </c>
      <c r="D24" s="198" t="s">
        <v>186</v>
      </c>
      <c r="E24" s="198" t="s">
        <v>42</v>
      </c>
      <c r="F24" s="198"/>
      <c r="G24" s="198"/>
    </row>
    <row r="25" spans="2:7" s="188" customFormat="1" x14ac:dyDescent="0.2">
      <c r="B25" s="198" t="s">
        <v>889</v>
      </c>
      <c r="C25" s="198" t="s">
        <v>204</v>
      </c>
      <c r="D25" s="198" t="s">
        <v>188</v>
      </c>
      <c r="E25" s="198" t="s">
        <v>42</v>
      </c>
      <c r="F25" s="198"/>
      <c r="G25" s="198"/>
    </row>
    <row r="26" spans="2:7" s="188" customFormat="1" x14ac:dyDescent="0.2">
      <c r="B26" s="198" t="s">
        <v>889</v>
      </c>
      <c r="C26" s="198" t="s">
        <v>205</v>
      </c>
      <c r="D26" s="198" t="s">
        <v>70</v>
      </c>
      <c r="E26" s="198" t="s">
        <v>42</v>
      </c>
      <c r="F26" s="198"/>
      <c r="G26" s="198"/>
    </row>
    <row r="27" spans="2:7" s="188" customFormat="1" x14ac:dyDescent="0.2">
      <c r="B27" s="198" t="s">
        <v>889</v>
      </c>
      <c r="C27" s="198" t="s">
        <v>206</v>
      </c>
      <c r="D27" s="198" t="s">
        <v>96</v>
      </c>
      <c r="E27" s="198" t="s">
        <v>42</v>
      </c>
      <c r="F27" s="198"/>
      <c r="G27" s="198"/>
    </row>
    <row r="28" spans="2:7" s="188" customFormat="1" x14ac:dyDescent="0.2">
      <c r="B28" s="198" t="s">
        <v>115</v>
      </c>
      <c r="C28" s="198" t="s">
        <v>207</v>
      </c>
      <c r="D28" s="198" t="s">
        <v>191</v>
      </c>
      <c r="E28" s="198" t="s">
        <v>42</v>
      </c>
      <c r="F28" s="198"/>
      <c r="G28" s="198"/>
    </row>
    <row r="29" spans="2:7" s="188" customFormat="1" x14ac:dyDescent="0.2">
      <c r="B29" s="198" t="s">
        <v>115</v>
      </c>
      <c r="C29" s="198" t="s">
        <v>208</v>
      </c>
      <c r="D29" s="198" t="s">
        <v>192</v>
      </c>
      <c r="E29" s="198" t="s">
        <v>42</v>
      </c>
      <c r="F29" s="198"/>
      <c r="G29" s="198"/>
    </row>
    <row r="30" spans="2:7" s="188" customFormat="1" x14ac:dyDescent="0.2">
      <c r="B30" s="198" t="s">
        <v>889</v>
      </c>
      <c r="C30" s="198" t="s">
        <v>209</v>
      </c>
      <c r="D30" s="198" t="s">
        <v>194</v>
      </c>
      <c r="E30" s="198" t="s">
        <v>42</v>
      </c>
      <c r="F30" s="198"/>
      <c r="G30" s="198"/>
    </row>
    <row r="31" spans="2:7" s="188" customFormat="1" x14ac:dyDescent="0.2">
      <c r="B31" s="198" t="s">
        <v>889</v>
      </c>
      <c r="C31" s="198" t="s">
        <v>210</v>
      </c>
      <c r="D31" s="198" t="s">
        <v>99</v>
      </c>
      <c r="E31" s="198" t="s">
        <v>42</v>
      </c>
      <c r="F31" s="198"/>
      <c r="G31" s="198"/>
    </row>
    <row r="32" spans="2:7" s="188" customFormat="1" x14ac:dyDescent="0.2">
      <c r="B32" s="198" t="s">
        <v>115</v>
      </c>
      <c r="C32" s="198" t="s">
        <v>385</v>
      </c>
      <c r="D32" s="198" t="s">
        <v>434</v>
      </c>
      <c r="E32" s="198" t="s">
        <v>42</v>
      </c>
      <c r="F32" s="198"/>
      <c r="G32" s="198"/>
    </row>
    <row r="33" spans="2:7" s="188" customFormat="1" x14ac:dyDescent="0.2">
      <c r="B33" s="198" t="s">
        <v>889</v>
      </c>
      <c r="C33" s="198" t="s">
        <v>211</v>
      </c>
      <c r="D33" s="198" t="s">
        <v>85</v>
      </c>
      <c r="E33" s="198" t="s">
        <v>42</v>
      </c>
      <c r="F33" s="198"/>
      <c r="G33" s="198"/>
    </row>
    <row r="34" spans="2:7" s="188" customFormat="1" x14ac:dyDescent="0.2">
      <c r="B34" s="198" t="s">
        <v>115</v>
      </c>
      <c r="C34" s="198" t="s">
        <v>212</v>
      </c>
      <c r="D34" s="198" t="s">
        <v>177</v>
      </c>
      <c r="E34" s="198" t="s">
        <v>42</v>
      </c>
      <c r="F34" s="198"/>
      <c r="G34" s="198"/>
    </row>
    <row r="35" spans="2:7" s="188" customFormat="1" x14ac:dyDescent="0.2">
      <c r="B35" s="198" t="s">
        <v>115</v>
      </c>
      <c r="C35" s="198" t="s">
        <v>213</v>
      </c>
      <c r="D35" s="198" t="s">
        <v>179</v>
      </c>
      <c r="E35" s="198" t="s">
        <v>42</v>
      </c>
      <c r="F35" s="198"/>
      <c r="G35" s="198"/>
    </row>
    <row r="36" spans="2:7" s="188" customFormat="1" x14ac:dyDescent="0.2">
      <c r="B36" s="198" t="s">
        <v>889</v>
      </c>
      <c r="C36" s="198" t="s">
        <v>214</v>
      </c>
      <c r="D36" s="198" t="s">
        <v>181</v>
      </c>
      <c r="E36" s="198" t="s">
        <v>42</v>
      </c>
      <c r="F36" s="198"/>
      <c r="G36" s="198"/>
    </row>
    <row r="37" spans="2:7" s="188" customFormat="1" x14ac:dyDescent="0.2">
      <c r="B37" s="198" t="s">
        <v>115</v>
      </c>
      <c r="C37" s="198" t="s">
        <v>215</v>
      </c>
      <c r="D37" s="198" t="s">
        <v>183</v>
      </c>
      <c r="E37" s="198" t="s">
        <v>42</v>
      </c>
      <c r="F37" s="198"/>
      <c r="G37" s="198"/>
    </row>
    <row r="38" spans="2:7" s="188" customFormat="1" x14ac:dyDescent="0.2">
      <c r="B38" s="198" t="s">
        <v>115</v>
      </c>
      <c r="C38" s="198" t="s">
        <v>216</v>
      </c>
      <c r="D38" s="198" t="s">
        <v>185</v>
      </c>
      <c r="E38" s="198" t="s">
        <v>42</v>
      </c>
      <c r="F38" s="198"/>
      <c r="G38" s="198"/>
    </row>
    <row r="39" spans="2:7" s="188" customFormat="1" x14ac:dyDescent="0.2">
      <c r="B39" s="198" t="s">
        <v>889</v>
      </c>
      <c r="C39" s="198" t="s">
        <v>217</v>
      </c>
      <c r="D39" s="198" t="s">
        <v>186</v>
      </c>
      <c r="E39" s="198" t="s">
        <v>42</v>
      </c>
      <c r="F39" s="198"/>
      <c r="G39" s="198"/>
    </row>
    <row r="40" spans="2:7" s="188" customFormat="1" x14ac:dyDescent="0.2">
      <c r="B40" s="198" t="s">
        <v>889</v>
      </c>
      <c r="C40" s="198" t="s">
        <v>218</v>
      </c>
      <c r="D40" s="198" t="s">
        <v>188</v>
      </c>
      <c r="E40" s="198" t="s">
        <v>42</v>
      </c>
      <c r="F40" s="198"/>
      <c r="G40" s="198"/>
    </row>
    <row r="41" spans="2:7" s="188" customFormat="1" x14ac:dyDescent="0.2">
      <c r="B41" s="198" t="s">
        <v>889</v>
      </c>
      <c r="C41" s="198" t="s">
        <v>219</v>
      </c>
      <c r="D41" s="198" t="s">
        <v>70</v>
      </c>
      <c r="E41" s="198" t="s">
        <v>42</v>
      </c>
      <c r="F41" s="198"/>
      <c r="G41" s="198"/>
    </row>
    <row r="42" spans="2:7" s="188" customFormat="1" x14ac:dyDescent="0.2">
      <c r="B42" s="198" t="s">
        <v>889</v>
      </c>
      <c r="C42" s="198" t="s">
        <v>220</v>
      </c>
      <c r="D42" s="198" t="s">
        <v>96</v>
      </c>
      <c r="E42" s="198" t="s">
        <v>42</v>
      </c>
      <c r="F42" s="198"/>
      <c r="G42" s="198"/>
    </row>
    <row r="43" spans="2:7" s="188" customFormat="1" x14ac:dyDescent="0.2">
      <c r="B43" s="198" t="s">
        <v>115</v>
      </c>
      <c r="C43" s="198" t="s">
        <v>221</v>
      </c>
      <c r="D43" s="198" t="s">
        <v>191</v>
      </c>
      <c r="E43" s="198" t="s">
        <v>42</v>
      </c>
      <c r="F43" s="198"/>
      <c r="G43" s="198"/>
    </row>
    <row r="44" spans="2:7" s="188" customFormat="1" x14ac:dyDescent="0.2">
      <c r="B44" s="198" t="s">
        <v>115</v>
      </c>
      <c r="C44" s="198" t="s">
        <v>222</v>
      </c>
      <c r="D44" s="198" t="s">
        <v>192</v>
      </c>
      <c r="E44" s="198" t="s">
        <v>42</v>
      </c>
      <c r="F44" s="198"/>
      <c r="G44" s="198"/>
    </row>
    <row r="45" spans="2:7" s="188" customFormat="1" x14ac:dyDescent="0.2">
      <c r="B45" s="198" t="s">
        <v>889</v>
      </c>
      <c r="C45" s="198" t="s">
        <v>223</v>
      </c>
      <c r="D45" s="198" t="s">
        <v>194</v>
      </c>
      <c r="E45" s="198" t="s">
        <v>42</v>
      </c>
      <c r="F45" s="198"/>
      <c r="G45" s="198"/>
    </row>
    <row r="46" spans="2:7" s="188" customFormat="1" x14ac:dyDescent="0.2">
      <c r="B46" s="198" t="s">
        <v>889</v>
      </c>
      <c r="C46" s="198" t="s">
        <v>224</v>
      </c>
      <c r="D46" s="198" t="s">
        <v>99</v>
      </c>
      <c r="E46" s="198" t="s">
        <v>42</v>
      </c>
      <c r="F46" s="198"/>
      <c r="G46" s="198"/>
    </row>
    <row r="47" spans="2:7" s="188" customFormat="1" x14ac:dyDescent="0.2">
      <c r="B47" s="198" t="s">
        <v>889</v>
      </c>
      <c r="C47" s="198" t="s">
        <v>386</v>
      </c>
      <c r="D47" s="198" t="s">
        <v>434</v>
      </c>
      <c r="E47" s="198" t="s">
        <v>42</v>
      </c>
      <c r="F47" s="198"/>
      <c r="G47" s="198"/>
    </row>
    <row r="48" spans="2:7" s="188" customFormat="1" x14ac:dyDescent="0.2">
      <c r="B48" s="198" t="s">
        <v>889</v>
      </c>
      <c r="C48" s="198" t="s">
        <v>396</v>
      </c>
      <c r="D48" s="198" t="s">
        <v>85</v>
      </c>
      <c r="E48" s="198" t="s">
        <v>42</v>
      </c>
      <c r="F48" s="198"/>
      <c r="G48" s="198"/>
    </row>
    <row r="49" spans="2:7" s="188" customFormat="1" x14ac:dyDescent="0.2">
      <c r="B49" s="198" t="s">
        <v>115</v>
      </c>
      <c r="C49" s="198" t="s">
        <v>399</v>
      </c>
      <c r="D49" s="198" t="s">
        <v>177</v>
      </c>
      <c r="E49" s="198" t="s">
        <v>42</v>
      </c>
      <c r="F49" s="198"/>
      <c r="G49" s="198"/>
    </row>
    <row r="50" spans="2:7" s="188" customFormat="1" x14ac:dyDescent="0.2">
      <c r="B50" s="198" t="s">
        <v>115</v>
      </c>
      <c r="C50" s="198" t="s">
        <v>402</v>
      </c>
      <c r="D50" s="198" t="s">
        <v>179</v>
      </c>
      <c r="E50" s="198" t="s">
        <v>42</v>
      </c>
      <c r="F50" s="198"/>
      <c r="G50" s="198"/>
    </row>
    <row r="51" spans="2:7" s="188" customFormat="1" x14ac:dyDescent="0.2">
      <c r="B51" s="198" t="s">
        <v>889</v>
      </c>
      <c r="C51" s="198" t="s">
        <v>405</v>
      </c>
      <c r="D51" s="198" t="s">
        <v>181</v>
      </c>
      <c r="E51" s="198" t="s">
        <v>42</v>
      </c>
      <c r="F51" s="198"/>
      <c r="G51" s="198"/>
    </row>
    <row r="52" spans="2:7" s="188" customFormat="1" x14ac:dyDescent="0.2">
      <c r="B52" s="198" t="s">
        <v>115</v>
      </c>
      <c r="C52" s="198" t="s">
        <v>408</v>
      </c>
      <c r="D52" s="198" t="s">
        <v>183</v>
      </c>
      <c r="E52" s="198" t="s">
        <v>42</v>
      </c>
      <c r="F52" s="198"/>
      <c r="G52" s="198"/>
    </row>
    <row r="53" spans="2:7" s="188" customFormat="1" x14ac:dyDescent="0.2">
      <c r="B53" s="198" t="s">
        <v>115</v>
      </c>
      <c r="C53" s="198" t="s">
        <v>411</v>
      </c>
      <c r="D53" s="198" t="s">
        <v>185</v>
      </c>
      <c r="E53" s="198" t="s">
        <v>42</v>
      </c>
      <c r="F53" s="198"/>
      <c r="G53" s="198"/>
    </row>
    <row r="54" spans="2:7" s="188" customFormat="1" x14ac:dyDescent="0.2">
      <c r="B54" s="198" t="s">
        <v>889</v>
      </c>
      <c r="C54" s="198" t="s">
        <v>414</v>
      </c>
      <c r="D54" s="198" t="s">
        <v>186</v>
      </c>
      <c r="E54" s="198" t="s">
        <v>42</v>
      </c>
      <c r="F54" s="198"/>
      <c r="G54" s="198"/>
    </row>
    <row r="55" spans="2:7" s="188" customFormat="1" x14ac:dyDescent="0.2">
      <c r="B55" s="198" t="s">
        <v>889</v>
      </c>
      <c r="C55" s="198" t="s">
        <v>417</v>
      </c>
      <c r="D55" s="198" t="s">
        <v>188</v>
      </c>
      <c r="E55" s="198" t="s">
        <v>42</v>
      </c>
      <c r="F55" s="198"/>
      <c r="G55" s="198"/>
    </row>
    <row r="56" spans="2:7" s="188" customFormat="1" x14ac:dyDescent="0.2">
      <c r="B56" s="198" t="s">
        <v>889</v>
      </c>
      <c r="C56" s="198" t="s">
        <v>420</v>
      </c>
      <c r="D56" s="198" t="s">
        <v>70</v>
      </c>
      <c r="E56" s="198" t="s">
        <v>42</v>
      </c>
      <c r="F56" s="198"/>
      <c r="G56" s="198"/>
    </row>
    <row r="57" spans="2:7" s="188" customFormat="1" x14ac:dyDescent="0.2">
      <c r="B57" s="198" t="s">
        <v>889</v>
      </c>
      <c r="C57" s="198" t="s">
        <v>423</v>
      </c>
      <c r="D57" s="198" t="s">
        <v>96</v>
      </c>
      <c r="E57" s="198" t="s">
        <v>42</v>
      </c>
      <c r="F57" s="198"/>
      <c r="G57" s="198"/>
    </row>
    <row r="58" spans="2:7" s="188" customFormat="1" x14ac:dyDescent="0.2">
      <c r="B58" s="198" t="s">
        <v>115</v>
      </c>
      <c r="C58" s="198" t="s">
        <v>426</v>
      </c>
      <c r="D58" s="198" t="s">
        <v>191</v>
      </c>
      <c r="E58" s="198" t="s">
        <v>42</v>
      </c>
      <c r="F58" s="198"/>
      <c r="G58" s="198"/>
    </row>
    <row r="59" spans="2:7" s="188" customFormat="1" x14ac:dyDescent="0.2">
      <c r="B59" s="198" t="s">
        <v>115</v>
      </c>
      <c r="C59" s="198" t="s">
        <v>429</v>
      </c>
      <c r="D59" s="198" t="s">
        <v>192</v>
      </c>
      <c r="E59" s="198" t="s">
        <v>42</v>
      </c>
      <c r="F59" s="198"/>
      <c r="G59" s="198"/>
    </row>
    <row r="60" spans="2:7" s="188" customFormat="1" x14ac:dyDescent="0.2">
      <c r="B60" s="198" t="s">
        <v>889</v>
      </c>
      <c r="C60" s="198" t="s">
        <v>432</v>
      </c>
      <c r="D60" s="198" t="s">
        <v>194</v>
      </c>
      <c r="E60" s="198" t="s">
        <v>42</v>
      </c>
      <c r="F60" s="198"/>
      <c r="G60" s="198"/>
    </row>
    <row r="61" spans="2:7" s="188" customFormat="1" x14ac:dyDescent="0.2">
      <c r="B61" s="198" t="s">
        <v>889</v>
      </c>
      <c r="C61" s="198" t="s">
        <v>433</v>
      </c>
      <c r="D61" s="198" t="s">
        <v>99</v>
      </c>
      <c r="E61" s="198" t="s">
        <v>42</v>
      </c>
      <c r="F61" s="198"/>
      <c r="G61" s="198"/>
    </row>
    <row r="62" spans="2:7" x14ac:dyDescent="0.2">
      <c r="B62" s="198" t="s">
        <v>888</v>
      </c>
      <c r="C62" s="198" t="s">
        <v>452</v>
      </c>
      <c r="D62" s="198" t="s">
        <v>470</v>
      </c>
      <c r="E62" s="198" t="s">
        <v>457</v>
      </c>
      <c r="F62" s="198" t="s">
        <v>458</v>
      </c>
      <c r="G62" s="198"/>
    </row>
    <row r="63" spans="2:7" x14ac:dyDescent="0.2">
      <c r="B63" s="198" t="s">
        <v>888</v>
      </c>
      <c r="C63" s="198" t="s">
        <v>453</v>
      </c>
      <c r="D63" s="198" t="s">
        <v>471</v>
      </c>
      <c r="E63" s="198" t="s">
        <v>457</v>
      </c>
      <c r="F63" s="198" t="s">
        <v>458</v>
      </c>
      <c r="G63" s="198"/>
    </row>
    <row r="64" spans="2:7" x14ac:dyDescent="0.2">
      <c r="B64" s="198" t="s">
        <v>888</v>
      </c>
      <c r="C64" s="198" t="s">
        <v>454</v>
      </c>
      <c r="D64" s="198" t="s">
        <v>472</v>
      </c>
      <c r="E64" s="198" t="s">
        <v>457</v>
      </c>
      <c r="F64" s="198" t="s">
        <v>458</v>
      </c>
      <c r="G64" s="198"/>
    </row>
    <row r="65" spans="2:8" x14ac:dyDescent="0.2">
      <c r="B65" s="198" t="s">
        <v>888</v>
      </c>
      <c r="C65" s="198" t="s">
        <v>455</v>
      </c>
      <c r="D65" s="198" t="s">
        <v>473</v>
      </c>
      <c r="E65" s="198" t="s">
        <v>457</v>
      </c>
      <c r="F65" s="198" t="s">
        <v>458</v>
      </c>
      <c r="G65" s="198"/>
    </row>
    <row r="66" spans="2:8" x14ac:dyDescent="0.2">
      <c r="B66" s="198" t="s">
        <v>888</v>
      </c>
      <c r="C66" s="198" t="s">
        <v>884</v>
      </c>
      <c r="D66" s="198" t="s">
        <v>885</v>
      </c>
      <c r="E66" s="198" t="s">
        <v>457</v>
      </c>
      <c r="F66" s="198" t="s">
        <v>458</v>
      </c>
      <c r="G66" s="198"/>
    </row>
    <row r="67" spans="2:8" x14ac:dyDescent="0.2">
      <c r="B67" s="188"/>
      <c r="C67" s="188"/>
      <c r="D67" s="188"/>
      <c r="F67" s="194"/>
    </row>
    <row r="68" spans="2:8" x14ac:dyDescent="0.2">
      <c r="B68" s="188"/>
      <c r="C68" s="188"/>
      <c r="D68" s="188"/>
      <c r="F68" s="194"/>
    </row>
    <row r="69" spans="2:8" x14ac:dyDescent="0.2">
      <c r="B69" s="188"/>
      <c r="C69" s="188"/>
      <c r="D69" s="188"/>
    </row>
    <row r="70" spans="2:8" x14ac:dyDescent="0.2">
      <c r="B70" s="188"/>
      <c r="C70" s="188"/>
      <c r="D70" s="188"/>
    </row>
    <row r="71" spans="2:8" x14ac:dyDescent="0.2">
      <c r="B71" s="188"/>
      <c r="C71" s="188"/>
      <c r="D71" s="188"/>
      <c r="F71" s="194"/>
    </row>
    <row r="72" spans="2:8" x14ac:dyDescent="0.2">
      <c r="B72" s="188"/>
      <c r="C72" s="188"/>
      <c r="D72" s="188"/>
    </row>
    <row r="73" spans="2:8" s="188" customFormat="1" x14ac:dyDescent="0.2">
      <c r="B73" s="197" t="s">
        <v>888</v>
      </c>
      <c r="C73" s="197" t="s">
        <v>174</v>
      </c>
      <c r="D73" s="197" t="s">
        <v>175</v>
      </c>
      <c r="E73" s="197" t="s">
        <v>42</v>
      </c>
      <c r="F73" s="197" t="s">
        <v>899</v>
      </c>
      <c r="G73" s="197"/>
    </row>
    <row r="74" spans="2:8" s="188" customFormat="1" x14ac:dyDescent="0.2">
      <c r="B74" s="192" t="s">
        <v>115</v>
      </c>
      <c r="C74" s="192" t="s">
        <v>168</v>
      </c>
      <c r="D74" s="192" t="s">
        <v>169</v>
      </c>
      <c r="E74" s="193" t="s">
        <v>42</v>
      </c>
      <c r="F74" s="192" t="s">
        <v>170</v>
      </c>
      <c r="G74" s="192"/>
    </row>
    <row r="75" spans="2:8" s="188" customFormat="1" x14ac:dyDescent="0.2">
      <c r="B75" s="192" t="s">
        <v>888</v>
      </c>
      <c r="C75" s="192" t="s">
        <v>171</v>
      </c>
      <c r="D75" s="192" t="s">
        <v>172</v>
      </c>
      <c r="E75" s="193" t="s">
        <v>42</v>
      </c>
      <c r="F75" s="192" t="s">
        <v>173</v>
      </c>
      <c r="G75" s="192"/>
    </row>
    <row r="76" spans="2:8" x14ac:dyDescent="0.2">
      <c r="B76" s="192" t="s">
        <v>115</v>
      </c>
      <c r="C76" s="192" t="s">
        <v>176</v>
      </c>
      <c r="D76" s="192" t="s">
        <v>177</v>
      </c>
      <c r="E76" s="193" t="s">
        <v>42</v>
      </c>
      <c r="F76" s="192" t="s">
        <v>170</v>
      </c>
      <c r="G76" s="192"/>
    </row>
    <row r="77" spans="2:8" x14ac:dyDescent="0.2">
      <c r="B77" s="192" t="s">
        <v>115</v>
      </c>
      <c r="C77" s="192" t="s">
        <v>178</v>
      </c>
      <c r="D77" s="192" t="s">
        <v>179</v>
      </c>
      <c r="E77" s="193" t="s">
        <v>42</v>
      </c>
      <c r="F77" s="192" t="s">
        <v>170</v>
      </c>
      <c r="G77" s="192"/>
    </row>
    <row r="78" spans="2:8" x14ac:dyDescent="0.2">
      <c r="B78" s="192" t="s">
        <v>115</v>
      </c>
      <c r="C78" s="192" t="s">
        <v>182</v>
      </c>
      <c r="D78" s="192" t="s">
        <v>183</v>
      </c>
      <c r="E78" s="193" t="s">
        <v>42</v>
      </c>
      <c r="F78" s="192" t="s">
        <v>170</v>
      </c>
      <c r="G78" s="192"/>
      <c r="H78" s="187"/>
    </row>
    <row r="79" spans="2:8" x14ac:dyDescent="0.2">
      <c r="B79" s="192" t="s">
        <v>115</v>
      </c>
      <c r="C79" s="192" t="s">
        <v>184</v>
      </c>
      <c r="D79" s="192" t="s">
        <v>185</v>
      </c>
      <c r="E79" s="193" t="s">
        <v>42</v>
      </c>
      <c r="F79" s="192" t="s">
        <v>170</v>
      </c>
      <c r="G79" s="192"/>
    </row>
    <row r="80" spans="2:8" x14ac:dyDescent="0.2">
      <c r="B80" s="192" t="s">
        <v>115</v>
      </c>
      <c r="C80" s="192" t="s">
        <v>97</v>
      </c>
      <c r="D80" s="192" t="s">
        <v>191</v>
      </c>
      <c r="E80" s="193" t="s">
        <v>42</v>
      </c>
      <c r="F80" s="192" t="s">
        <v>170</v>
      </c>
      <c r="G80" s="192"/>
    </row>
    <row r="81" spans="2:7" x14ac:dyDescent="0.2">
      <c r="B81" s="192" t="s">
        <v>115</v>
      </c>
      <c r="C81" s="192" t="s">
        <v>98</v>
      </c>
      <c r="D81" s="192" t="s">
        <v>192</v>
      </c>
      <c r="E81" s="193" t="s">
        <v>42</v>
      </c>
      <c r="F81" s="192" t="s">
        <v>170</v>
      </c>
      <c r="G81" s="192"/>
    </row>
    <row r="82" spans="2:7" s="188" customFormat="1" x14ac:dyDescent="0.2">
      <c r="B82" s="192" t="s">
        <v>888</v>
      </c>
      <c r="C82" s="192" t="s">
        <v>195</v>
      </c>
      <c r="D82" s="192" t="s">
        <v>196</v>
      </c>
      <c r="E82" s="193" t="s">
        <v>42</v>
      </c>
      <c r="F82" s="192" t="s">
        <v>170</v>
      </c>
      <c r="G82" s="192"/>
    </row>
    <row r="83" spans="2:7" s="188" customFormat="1" x14ac:dyDescent="0.2">
      <c r="B83" s="192" t="s">
        <v>888</v>
      </c>
      <c r="C83" s="192" t="s">
        <v>446</v>
      </c>
      <c r="D83" s="192" t="s">
        <v>460</v>
      </c>
      <c r="E83" s="193" t="s">
        <v>456</v>
      </c>
      <c r="F83" s="192" t="s">
        <v>458</v>
      </c>
      <c r="G83" s="192"/>
    </row>
    <row r="84" spans="2:7" s="188" customFormat="1" x14ac:dyDescent="0.2">
      <c r="B84" s="192" t="s">
        <v>888</v>
      </c>
      <c r="C84" s="192" t="s">
        <v>447</v>
      </c>
      <c r="D84" s="192" t="s">
        <v>459</v>
      </c>
      <c r="E84" s="193" t="s">
        <v>457</v>
      </c>
      <c r="F84" s="192" t="s">
        <v>458</v>
      </c>
      <c r="G84" s="192"/>
    </row>
    <row r="85" spans="2:7" s="188" customFormat="1" x14ac:dyDescent="0.2">
      <c r="B85" s="192" t="s">
        <v>888</v>
      </c>
      <c r="C85" s="192" t="s">
        <v>443</v>
      </c>
      <c r="D85" s="192" t="s">
        <v>461</v>
      </c>
      <c r="E85" s="193" t="s">
        <v>457</v>
      </c>
      <c r="F85" s="192" t="s">
        <v>458</v>
      </c>
      <c r="G85" s="192"/>
    </row>
    <row r="86" spans="2:7" s="188" customFormat="1" x14ac:dyDescent="0.2">
      <c r="B86" s="192" t="s">
        <v>888</v>
      </c>
      <c r="C86" s="192" t="s">
        <v>448</v>
      </c>
      <c r="D86" s="192" t="s">
        <v>462</v>
      </c>
      <c r="E86" s="193" t="s">
        <v>457</v>
      </c>
      <c r="F86" s="192" t="s">
        <v>458</v>
      </c>
      <c r="G86" s="192"/>
    </row>
    <row r="87" spans="2:7" s="188" customFormat="1" x14ac:dyDescent="0.2">
      <c r="B87" s="192" t="s">
        <v>888</v>
      </c>
      <c r="C87" s="192" t="s">
        <v>441</v>
      </c>
      <c r="D87" s="192" t="s">
        <v>463</v>
      </c>
      <c r="E87" s="193" t="s">
        <v>457</v>
      </c>
      <c r="F87" s="192" t="s">
        <v>458</v>
      </c>
      <c r="G87" s="192"/>
    </row>
    <row r="88" spans="2:7" s="188" customFormat="1" x14ac:dyDescent="0.2">
      <c r="B88" s="192" t="s">
        <v>888</v>
      </c>
      <c r="C88" s="192" t="s">
        <v>442</v>
      </c>
      <c r="D88" s="192" t="s">
        <v>464</v>
      </c>
      <c r="E88" s="193" t="s">
        <v>457</v>
      </c>
      <c r="F88" s="192" t="s">
        <v>458</v>
      </c>
      <c r="G88" s="192"/>
    </row>
    <row r="89" spans="2:7" s="188" customFormat="1" x14ac:dyDescent="0.2">
      <c r="B89" s="192" t="s">
        <v>888</v>
      </c>
      <c r="C89" s="192" t="s">
        <v>444</v>
      </c>
      <c r="D89" s="192" t="s">
        <v>465</v>
      </c>
      <c r="E89" s="193" t="s">
        <v>457</v>
      </c>
      <c r="F89" s="192" t="s">
        <v>458</v>
      </c>
      <c r="G89" s="192"/>
    </row>
    <row r="90" spans="2:7" s="188" customFormat="1" x14ac:dyDescent="0.2">
      <c r="B90" s="192" t="s">
        <v>888</v>
      </c>
      <c r="C90" s="192" t="s">
        <v>445</v>
      </c>
      <c r="D90" s="192" t="s">
        <v>466</v>
      </c>
      <c r="E90" s="193" t="s">
        <v>457</v>
      </c>
      <c r="F90" s="192" t="s">
        <v>458</v>
      </c>
      <c r="G90" s="192"/>
    </row>
    <row r="91" spans="2:7" s="188" customFormat="1" x14ac:dyDescent="0.2">
      <c r="B91" s="192" t="s">
        <v>888</v>
      </c>
      <c r="C91" s="192" t="s">
        <v>449</v>
      </c>
      <c r="D91" s="192" t="s">
        <v>467</v>
      </c>
      <c r="E91" s="193" t="s">
        <v>457</v>
      </c>
      <c r="F91" s="192" t="s">
        <v>458</v>
      </c>
      <c r="G91" s="192"/>
    </row>
    <row r="92" spans="2:7" s="188" customFormat="1" x14ac:dyDescent="0.2">
      <c r="B92" s="192" t="s">
        <v>888</v>
      </c>
      <c r="C92" s="192" t="s">
        <v>450</v>
      </c>
      <c r="D92" s="192" t="s">
        <v>468</v>
      </c>
      <c r="E92" s="193" t="s">
        <v>457</v>
      </c>
      <c r="F92" s="192" t="s">
        <v>458</v>
      </c>
      <c r="G92" s="192"/>
    </row>
    <row r="93" spans="2:7" s="188" customFormat="1" x14ac:dyDescent="0.2">
      <c r="B93" s="192" t="s">
        <v>888</v>
      </c>
      <c r="C93" s="192" t="s">
        <v>451</v>
      </c>
      <c r="D93" s="192" t="s">
        <v>469</v>
      </c>
      <c r="E93" s="193" t="s">
        <v>457</v>
      </c>
      <c r="F93" s="192" t="s">
        <v>458</v>
      </c>
      <c r="G93" s="192"/>
    </row>
    <row r="94" spans="2:7" s="188" customFormat="1" x14ac:dyDescent="0.2">
      <c r="B94" s="198" t="str">
        <f>IF(LEFT(B8,1)="*","*R1","R1")</f>
        <v>*R1</v>
      </c>
      <c r="C94" s="198" t="str">
        <f>CONCATENATE(C8,B94)</f>
        <v>LPG*R1</v>
      </c>
      <c r="D94" s="198" t="str">
        <f>CONCATENATE(C8," Refined in ",B94)</f>
        <v>LPG Refined in *R1</v>
      </c>
      <c r="E94" s="198" t="s">
        <v>42</v>
      </c>
      <c r="F94" s="198"/>
      <c r="G94" s="198"/>
    </row>
    <row r="95" spans="2:7" s="188" customFormat="1" x14ac:dyDescent="0.2">
      <c r="B95" s="198" t="str">
        <f>IF(LEFT(B76,1)="*","*R1","R1")</f>
        <v>R1</v>
      </c>
      <c r="C95" s="198" t="str">
        <f>CONCATENATE(C76,B95)</f>
        <v>GSCR1</v>
      </c>
      <c r="D95" s="198" t="str">
        <f>CONCATENATE(C76," Refined in ",B95)</f>
        <v>GSC Refined in R1</v>
      </c>
      <c r="E95" s="198" t="s">
        <v>42</v>
      </c>
      <c r="F95" s="198"/>
      <c r="G95" s="198"/>
    </row>
    <row r="96" spans="2:7" s="188" customFormat="1" x14ac:dyDescent="0.2">
      <c r="B96" s="198" t="str">
        <f>IF(LEFT(B77,1)="*","*R1","R1")</f>
        <v>R1</v>
      </c>
      <c r="C96" s="198" t="str">
        <f>CONCATENATE(C77,B96)</f>
        <v>GSRR1</v>
      </c>
      <c r="D96" s="198" t="str">
        <f>CONCATENATE(C77," Refined in ",B96)</f>
        <v>GSR Refined in R1</v>
      </c>
      <c r="E96" s="198" t="s">
        <v>42</v>
      </c>
      <c r="F96" s="198"/>
      <c r="G96" s="198"/>
    </row>
    <row r="97" spans="2:7" s="188" customFormat="1" x14ac:dyDescent="0.2">
      <c r="B97" s="198" t="str">
        <f>IF(LEFT(B9,1)="*","*R1","R1")</f>
        <v>*R1</v>
      </c>
      <c r="C97" s="198" t="str">
        <f>CONCATENATE(C9,B97)</f>
        <v>JTF*R1</v>
      </c>
      <c r="D97" s="198" t="str">
        <f>CONCATENATE(C9," Refined in ",B97)</f>
        <v>JTF Refined in *R1</v>
      </c>
      <c r="E97" s="198" t="s">
        <v>42</v>
      </c>
      <c r="F97" s="198"/>
      <c r="G97" s="198"/>
    </row>
    <row r="98" spans="2:7" s="188" customFormat="1" x14ac:dyDescent="0.2">
      <c r="B98" s="198" t="str">
        <f>IF(LEFT(B78,1)="*","*R1","R1")</f>
        <v>R1</v>
      </c>
      <c r="C98" s="198" t="str">
        <f>CONCATENATE(C78,B98)</f>
        <v>DSHR1</v>
      </c>
      <c r="D98" s="198" t="str">
        <f>CONCATENATE(C78," Refined in ",B98)</f>
        <v>DSH Refined in R1</v>
      </c>
      <c r="E98" s="198" t="s">
        <v>42</v>
      </c>
      <c r="F98" s="198"/>
      <c r="G98" s="198"/>
    </row>
    <row r="99" spans="2:7" s="188" customFormat="1" x14ac:dyDescent="0.2">
      <c r="B99" s="198" t="str">
        <f>IF(LEFT(B79,1)="*","*R1","R1")</f>
        <v>R1</v>
      </c>
      <c r="C99" s="198" t="str">
        <f>CONCATENATE(C79,B99)</f>
        <v>RFLR1</v>
      </c>
      <c r="D99" s="198" t="str">
        <f>CONCATENATE(C79," Refined in ",B99)</f>
        <v>RFL Refined in R1</v>
      </c>
      <c r="E99" s="198" t="s">
        <v>42</v>
      </c>
      <c r="F99" s="198"/>
      <c r="G99" s="198"/>
    </row>
    <row r="100" spans="2:7" s="188" customFormat="1" x14ac:dyDescent="0.2">
      <c r="B100" s="198" t="str">
        <f>IF(LEFT(B10,1)="*","*R1","R1")</f>
        <v>*R1</v>
      </c>
      <c r="C100" s="198" t="str">
        <f>CONCATENATE(C10,B100)</f>
        <v>RFH*R1</v>
      </c>
      <c r="D100" s="198" t="str">
        <f>CONCATENATE(C10," Refined in ",B100)</f>
        <v>RFH Refined in *R1</v>
      </c>
      <c r="E100" s="198" t="s">
        <v>42</v>
      </c>
      <c r="F100" s="198"/>
      <c r="G100" s="198"/>
    </row>
    <row r="101" spans="2:7" s="188" customFormat="1" x14ac:dyDescent="0.2">
      <c r="B101" s="198" t="str">
        <f>IF(LEFT(B11,1)="*","*R1","R1")</f>
        <v>*R1</v>
      </c>
      <c r="C101" s="198" t="str">
        <f>CONCATENATE(C11,B101)</f>
        <v>KER*R1</v>
      </c>
      <c r="D101" s="198" t="str">
        <f>CONCATENATE(C11," Refined in ",B101)</f>
        <v>KER Refined in *R1</v>
      </c>
      <c r="E101" s="198" t="s">
        <v>42</v>
      </c>
      <c r="F101" s="198"/>
      <c r="G101" s="198"/>
    </row>
    <row r="102" spans="2:7" s="188" customFormat="1" x14ac:dyDescent="0.2">
      <c r="B102" s="198" t="str">
        <f>IF(LEFT(B12,1)="*","*R1","R1")</f>
        <v>*R1</v>
      </c>
      <c r="C102" s="198" t="str">
        <f>CONCATENATE(C12,B102)</f>
        <v>PFS*R1</v>
      </c>
      <c r="D102" s="198" t="str">
        <f>CONCATENATE(C12," Refined in ",B102)</f>
        <v>PFS Refined in *R1</v>
      </c>
      <c r="E102" s="198" t="s">
        <v>42</v>
      </c>
      <c r="F102" s="198"/>
      <c r="G102" s="198"/>
    </row>
    <row r="103" spans="2:7" s="188" customFormat="1" x14ac:dyDescent="0.2">
      <c r="B103" s="198" t="str">
        <f>IF(LEFT(B13,1)="*","*R1","R1")</f>
        <v>*R1</v>
      </c>
      <c r="C103" s="198" t="str">
        <f>CONCATENATE(C13,B103)</f>
        <v>ASP*R1</v>
      </c>
      <c r="D103" s="198" t="str">
        <f>CONCATENATE(C13," Refined in ",B103)</f>
        <v>ASP Refined in *R1</v>
      </c>
      <c r="E103" s="198" t="s">
        <v>42</v>
      </c>
      <c r="F103" s="198"/>
      <c r="G103" s="198"/>
    </row>
    <row r="104" spans="2:7" s="188" customFormat="1" x14ac:dyDescent="0.2">
      <c r="B104" s="198" t="str">
        <f>IF(LEFT(B80,1)="*","*R1","R1")</f>
        <v>R1</v>
      </c>
      <c r="C104" s="198" t="str">
        <f>CONCATENATE(C80,B104)</f>
        <v>DSLR1</v>
      </c>
      <c r="D104" s="198" t="str">
        <f>CONCATENATE(C80," Refined in ",B104)</f>
        <v>DSL Refined in R1</v>
      </c>
      <c r="E104" s="198" t="s">
        <v>42</v>
      </c>
      <c r="F104" s="198"/>
      <c r="G104" s="198"/>
    </row>
    <row r="105" spans="2:7" s="188" customFormat="1" x14ac:dyDescent="0.2">
      <c r="B105" s="198" t="str">
        <f>IF(LEFT(B81,1)="*","*R1","R1")</f>
        <v>R1</v>
      </c>
      <c r="C105" s="198" t="str">
        <f>CONCATENATE(C81,B105)</f>
        <v>DSUR1</v>
      </c>
      <c r="D105" s="198" t="str">
        <f>CONCATENATE(C81," Refined in ",B105)</f>
        <v>DSU Refined in R1</v>
      </c>
      <c r="E105" s="198" t="s">
        <v>42</v>
      </c>
      <c r="F105" s="198"/>
      <c r="G105" s="198"/>
    </row>
    <row r="106" spans="2:7" s="188" customFormat="1" x14ac:dyDescent="0.2">
      <c r="B106" s="198" t="str">
        <f>IF(LEFT(B14,1)="*","*R1","R1")</f>
        <v>*R1</v>
      </c>
      <c r="C106" s="198" t="str">
        <f>CONCATENATE(C14,B106)</f>
        <v>PTC*R1</v>
      </c>
      <c r="D106" s="198" t="str">
        <f>CONCATENATE(C14," Refined in ",B106)</f>
        <v>PTC Refined in *R1</v>
      </c>
      <c r="E106" s="198" t="s">
        <v>42</v>
      </c>
      <c r="F106" s="198"/>
      <c r="G106" s="198"/>
    </row>
    <row r="107" spans="2:7" s="188" customFormat="1" x14ac:dyDescent="0.2">
      <c r="B107" s="198" t="str">
        <f>IF(LEFT(B15,1)="*","*R1","R1")</f>
        <v>*R1</v>
      </c>
      <c r="C107" s="198" t="str">
        <f>CONCATENATE(C15,B107)</f>
        <v>DLG*R1</v>
      </c>
      <c r="D107" s="198" t="str">
        <f>CONCATENATE(C15," Refined in ",B107)</f>
        <v>DLG Refined in *R1</v>
      </c>
      <c r="E107" s="198" t="s">
        <v>42</v>
      </c>
      <c r="F107" s="198"/>
      <c r="G107" s="198"/>
    </row>
    <row r="108" spans="2:7" s="188" customFormat="1" x14ac:dyDescent="0.2">
      <c r="B108" s="198" t="s">
        <v>437</v>
      </c>
      <c r="C108" s="198" t="str">
        <f>CONCATENATE(C82,B108)</f>
        <v>NGL*</v>
      </c>
      <c r="D108" s="198" t="str">
        <f>CONCATENATE(C82," Refined in ",B108)</f>
        <v>NGL Refined in *</v>
      </c>
      <c r="E108" s="198" t="s">
        <v>42</v>
      </c>
      <c r="F108" s="198"/>
      <c r="G108" s="198"/>
    </row>
    <row r="109" spans="2:7" x14ac:dyDescent="0.2">
      <c r="B109" s="188"/>
      <c r="C109" s="188"/>
      <c r="D109" s="188"/>
    </row>
    <row r="110" spans="2:7" x14ac:dyDescent="0.2">
      <c r="C110" s="188"/>
      <c r="D110" s="188"/>
    </row>
    <row r="111" spans="2:7" x14ac:dyDescent="0.2">
      <c r="C111" s="188"/>
      <c r="D111" s="188"/>
    </row>
    <row r="112" spans="2:7" x14ac:dyDescent="0.2">
      <c r="C112" s="188"/>
      <c r="D112" s="188"/>
    </row>
  </sheetData>
  <phoneticPr fontId="0" type="noConversion"/>
  <conditionalFormatting sqref="B73:G93">
    <cfRule type="expression" dxfId="5" priority="1">
      <formula>LEFT($B73,1)=""</formula>
    </cfRule>
    <cfRule type="expression" dxfId="4" priority="2">
      <formula>LEFT($B73,1)="*"</formula>
    </cfRule>
  </conditionalFormatting>
  <pageMargins left="0.75" right="0.75" top="1" bottom="1" header="0.5" footer="0.5"/>
  <pageSetup paperSize="9" orientation="portrait" horizont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rgb="FFFFC000"/>
  </sheetPr>
  <dimension ref="B1:O75"/>
  <sheetViews>
    <sheetView zoomScale="80" zoomScaleNormal="80" workbookViewId="0">
      <pane xSplit="4" ySplit="7" topLeftCell="E11" activePane="bottomRight" state="frozen"/>
      <selection activeCell="I38" sqref="I38"/>
      <selection pane="topRight" activeCell="I38" sqref="I38"/>
      <selection pane="bottomLeft" activeCell="I38" sqref="I38"/>
      <selection pane="bottomRight" activeCell="I30" sqref="I30"/>
    </sheetView>
  </sheetViews>
  <sheetFormatPr defaultColWidth="9.140625" defaultRowHeight="12.75" x14ac:dyDescent="0.2"/>
  <cols>
    <col min="2" max="2" width="24" bestFit="1" customWidth="1"/>
    <col min="3" max="3" width="15" customWidth="1"/>
    <col min="4" max="4" width="27.28515625" customWidth="1"/>
    <col min="5" max="5" width="9.7109375" customWidth="1"/>
    <col min="6" max="6" width="9.85546875" customWidth="1"/>
    <col min="7" max="7" width="30.42578125" customWidth="1"/>
    <col min="8" max="8" width="10.42578125" customWidth="1"/>
  </cols>
  <sheetData>
    <row r="1" spans="2:15" x14ac:dyDescent="0.2">
      <c r="B1" t="s">
        <v>225</v>
      </c>
      <c r="C1" t="s">
        <v>887</v>
      </c>
    </row>
    <row r="4" spans="2:15" ht="18" customHeight="1" x14ac:dyDescent="0.2"/>
    <row r="6" spans="2:15" x14ac:dyDescent="0.2">
      <c r="B6" s="195" t="s">
        <v>900</v>
      </c>
    </row>
    <row r="7" spans="2:15" x14ac:dyDescent="0.2">
      <c r="B7" s="196" t="s">
        <v>382</v>
      </c>
      <c r="C7" s="196" t="s">
        <v>24</v>
      </c>
      <c r="D7" s="196" t="s">
        <v>25</v>
      </c>
      <c r="E7" s="202" t="s">
        <v>901</v>
      </c>
      <c r="F7" s="202" t="s">
        <v>902</v>
      </c>
      <c r="G7" s="196" t="s">
        <v>903</v>
      </c>
      <c r="H7" s="202" t="s">
        <v>904</v>
      </c>
      <c r="I7" s="202" t="s">
        <v>905</v>
      </c>
      <c r="O7" s="196" t="s">
        <v>18</v>
      </c>
    </row>
    <row r="8" spans="2:15" x14ac:dyDescent="0.2">
      <c r="B8" s="203" t="s">
        <v>115</v>
      </c>
      <c r="C8" s="203" t="s">
        <v>226</v>
      </c>
      <c r="D8" s="203" t="s">
        <v>227</v>
      </c>
      <c r="E8" s="203" t="s">
        <v>42</v>
      </c>
      <c r="F8" s="203" t="s">
        <v>228</v>
      </c>
      <c r="G8" s="204" t="s">
        <v>906</v>
      </c>
      <c r="H8" s="203"/>
      <c r="I8" s="203"/>
    </row>
    <row r="9" spans="2:15" x14ac:dyDescent="0.2">
      <c r="B9" s="203" t="s">
        <v>889</v>
      </c>
      <c r="C9" s="203" t="s">
        <v>231</v>
      </c>
      <c r="D9" s="203" t="s">
        <v>232</v>
      </c>
      <c r="E9" s="203" t="s">
        <v>42</v>
      </c>
      <c r="F9" s="203" t="s">
        <v>228</v>
      </c>
      <c r="G9" s="204" t="s">
        <v>907</v>
      </c>
      <c r="H9" s="203"/>
      <c r="I9" s="203"/>
    </row>
    <row r="10" spans="2:15" x14ac:dyDescent="0.2">
      <c r="B10" s="203" t="s">
        <v>891</v>
      </c>
      <c r="C10" s="203" t="s">
        <v>233</v>
      </c>
      <c r="D10" s="203" t="s">
        <v>234</v>
      </c>
      <c r="E10" s="203" t="s">
        <v>42</v>
      </c>
      <c r="F10" s="203" t="s">
        <v>228</v>
      </c>
      <c r="G10" s="204" t="s">
        <v>906</v>
      </c>
      <c r="H10" s="203"/>
      <c r="I10" s="203"/>
    </row>
    <row r="11" spans="2:15" x14ac:dyDescent="0.2">
      <c r="B11" s="203" t="s">
        <v>115</v>
      </c>
      <c r="C11" s="203" t="s">
        <v>235</v>
      </c>
      <c r="D11" s="203" t="s">
        <v>236</v>
      </c>
      <c r="E11" s="203" t="s">
        <v>42</v>
      </c>
      <c r="F11" s="203" t="s">
        <v>228</v>
      </c>
      <c r="G11" s="203"/>
      <c r="H11" s="203"/>
      <c r="I11" s="203"/>
    </row>
    <row r="12" spans="2:15" x14ac:dyDescent="0.2">
      <c r="B12" s="203" t="s">
        <v>115</v>
      </c>
      <c r="C12" s="203" t="s">
        <v>237</v>
      </c>
      <c r="D12" s="203" t="s">
        <v>238</v>
      </c>
      <c r="E12" s="203" t="s">
        <v>42</v>
      </c>
      <c r="F12" s="203" t="s">
        <v>228</v>
      </c>
      <c r="G12" s="203"/>
      <c r="H12" s="203"/>
      <c r="I12" s="203"/>
    </row>
    <row r="13" spans="2:15" x14ac:dyDescent="0.2">
      <c r="B13" s="203" t="s">
        <v>891</v>
      </c>
      <c r="C13" s="203" t="s">
        <v>239</v>
      </c>
      <c r="D13" s="203" t="s">
        <v>240</v>
      </c>
      <c r="E13" s="203" t="s">
        <v>42</v>
      </c>
      <c r="F13" s="203" t="s">
        <v>228</v>
      </c>
      <c r="G13" s="203"/>
      <c r="H13" s="203"/>
      <c r="I13" s="203"/>
    </row>
    <row r="14" spans="2:15" x14ac:dyDescent="0.2">
      <c r="B14" s="203" t="s">
        <v>115</v>
      </c>
      <c r="C14" s="203" t="s">
        <v>241</v>
      </c>
      <c r="D14" s="203" t="s">
        <v>242</v>
      </c>
      <c r="E14" s="203" t="s">
        <v>42</v>
      </c>
      <c r="F14" s="203" t="s">
        <v>228</v>
      </c>
      <c r="G14" s="203"/>
      <c r="H14" s="203"/>
      <c r="I14" s="203"/>
    </row>
    <row r="15" spans="2:15" x14ac:dyDescent="0.2">
      <c r="B15" s="203" t="s">
        <v>115</v>
      </c>
      <c r="C15" s="203" t="s">
        <v>243</v>
      </c>
      <c r="D15" s="203" t="s">
        <v>244</v>
      </c>
      <c r="E15" s="203" t="s">
        <v>42</v>
      </c>
      <c r="F15" s="203" t="s">
        <v>228</v>
      </c>
      <c r="G15" s="203"/>
      <c r="H15" s="203"/>
      <c r="I15" s="203"/>
    </row>
    <row r="16" spans="2:15" x14ac:dyDescent="0.2">
      <c r="B16" s="203" t="s">
        <v>891</v>
      </c>
      <c r="C16" s="203" t="s">
        <v>245</v>
      </c>
      <c r="D16" s="203" t="s">
        <v>246</v>
      </c>
      <c r="E16" s="203" t="s">
        <v>42</v>
      </c>
      <c r="F16" s="203" t="s">
        <v>228</v>
      </c>
      <c r="G16" s="203"/>
      <c r="H16" s="203"/>
      <c r="I16" s="203"/>
    </row>
    <row r="17" spans="2:9" x14ac:dyDescent="0.2">
      <c r="B17" s="203" t="s">
        <v>891</v>
      </c>
      <c r="C17" s="203" t="s">
        <v>247</v>
      </c>
      <c r="D17" s="203" t="s">
        <v>248</v>
      </c>
      <c r="E17" s="203" t="s">
        <v>42</v>
      </c>
      <c r="F17" s="203" t="s">
        <v>228</v>
      </c>
      <c r="G17" s="203"/>
      <c r="H17" s="203"/>
      <c r="I17" s="203"/>
    </row>
    <row r="18" spans="2:9" x14ac:dyDescent="0.2">
      <c r="B18" s="203" t="s">
        <v>891</v>
      </c>
      <c r="C18" s="203" t="s">
        <v>249</v>
      </c>
      <c r="D18" s="203" t="s">
        <v>250</v>
      </c>
      <c r="E18" s="203" t="s">
        <v>42</v>
      </c>
      <c r="F18" s="203" t="s">
        <v>228</v>
      </c>
      <c r="G18" s="203"/>
      <c r="H18" s="203"/>
      <c r="I18" s="203"/>
    </row>
    <row r="19" spans="2:9" x14ac:dyDescent="0.2">
      <c r="B19" s="203" t="s">
        <v>891</v>
      </c>
      <c r="C19" s="203" t="s">
        <v>251</v>
      </c>
      <c r="D19" s="203" t="s">
        <v>252</v>
      </c>
      <c r="E19" s="203" t="s">
        <v>42</v>
      </c>
      <c r="F19" s="203" t="s">
        <v>228</v>
      </c>
      <c r="G19" s="203"/>
      <c r="H19" s="203"/>
      <c r="I19" s="203"/>
    </row>
    <row r="20" spans="2:9" x14ac:dyDescent="0.2">
      <c r="B20" s="203" t="s">
        <v>115</v>
      </c>
      <c r="C20" s="203" t="s">
        <v>253</v>
      </c>
      <c r="D20" s="203" t="s">
        <v>254</v>
      </c>
      <c r="E20" s="203" t="s">
        <v>42</v>
      </c>
      <c r="F20" s="203" t="s">
        <v>228</v>
      </c>
      <c r="G20" s="203"/>
      <c r="H20" s="203"/>
      <c r="I20" s="203"/>
    </row>
    <row r="21" spans="2:9" x14ac:dyDescent="0.2">
      <c r="B21" s="203" t="s">
        <v>115</v>
      </c>
      <c r="C21" s="203" t="s">
        <v>255</v>
      </c>
      <c r="D21" s="203" t="s">
        <v>256</v>
      </c>
      <c r="E21" s="203" t="s">
        <v>42</v>
      </c>
      <c r="F21" s="203" t="s">
        <v>228</v>
      </c>
      <c r="G21" s="203"/>
      <c r="H21" s="203"/>
      <c r="I21" s="203"/>
    </row>
    <row r="22" spans="2:9" x14ac:dyDescent="0.2">
      <c r="B22" s="203" t="s">
        <v>891</v>
      </c>
      <c r="C22" s="203" t="s">
        <v>257</v>
      </c>
      <c r="D22" s="203" t="s">
        <v>258</v>
      </c>
      <c r="E22" s="203" t="s">
        <v>42</v>
      </c>
      <c r="F22" s="203" t="s">
        <v>228</v>
      </c>
      <c r="G22" s="203"/>
      <c r="H22" s="203"/>
      <c r="I22" s="203"/>
    </row>
    <row r="23" spans="2:9" x14ac:dyDescent="0.2">
      <c r="B23" s="203" t="s">
        <v>891</v>
      </c>
      <c r="C23" s="203" t="s">
        <v>390</v>
      </c>
      <c r="D23" s="203" t="s">
        <v>435</v>
      </c>
      <c r="E23" s="203" t="s">
        <v>42</v>
      </c>
      <c r="F23" s="203" t="s">
        <v>228</v>
      </c>
      <c r="G23" s="203"/>
      <c r="H23" s="203"/>
      <c r="I23" s="203"/>
    </row>
    <row r="24" spans="2:9" x14ac:dyDescent="0.2">
      <c r="B24" s="203" t="s">
        <v>891</v>
      </c>
      <c r="C24" s="203" t="s">
        <v>259</v>
      </c>
      <c r="D24" s="203" t="s">
        <v>260</v>
      </c>
      <c r="E24" s="203" t="s">
        <v>42</v>
      </c>
      <c r="F24" s="203" t="s">
        <v>228</v>
      </c>
      <c r="G24" s="203"/>
      <c r="H24" s="203"/>
      <c r="I24" s="203"/>
    </row>
    <row r="25" spans="2:9" x14ac:dyDescent="0.2">
      <c r="B25" s="203" t="s">
        <v>115</v>
      </c>
      <c r="C25" s="203" t="s">
        <v>261</v>
      </c>
      <c r="D25" s="203" t="s">
        <v>262</v>
      </c>
      <c r="E25" s="203" t="s">
        <v>42</v>
      </c>
      <c r="F25" s="203" t="s">
        <v>228</v>
      </c>
      <c r="G25" s="203"/>
      <c r="H25" s="203"/>
      <c r="I25" s="203"/>
    </row>
    <row r="26" spans="2:9" x14ac:dyDescent="0.2">
      <c r="B26" s="203" t="s">
        <v>115</v>
      </c>
      <c r="C26" s="203" t="s">
        <v>263</v>
      </c>
      <c r="D26" s="203" t="s">
        <v>264</v>
      </c>
      <c r="E26" s="203" t="s">
        <v>42</v>
      </c>
      <c r="F26" s="203" t="s">
        <v>228</v>
      </c>
      <c r="G26" s="203"/>
      <c r="H26" s="203"/>
      <c r="I26" s="203"/>
    </row>
    <row r="27" spans="2:9" x14ac:dyDescent="0.2">
      <c r="B27" s="203" t="s">
        <v>891</v>
      </c>
      <c r="C27" s="203" t="s">
        <v>265</v>
      </c>
      <c r="D27" s="203" t="s">
        <v>266</v>
      </c>
      <c r="E27" s="203" t="s">
        <v>42</v>
      </c>
      <c r="F27" s="203" t="s">
        <v>228</v>
      </c>
      <c r="G27" s="203"/>
      <c r="H27" s="203"/>
      <c r="I27" s="203"/>
    </row>
    <row r="28" spans="2:9" x14ac:dyDescent="0.2">
      <c r="B28" s="203" t="s">
        <v>115</v>
      </c>
      <c r="C28" s="203" t="s">
        <v>267</v>
      </c>
      <c r="D28" s="203" t="s">
        <v>268</v>
      </c>
      <c r="E28" s="203" t="s">
        <v>42</v>
      </c>
      <c r="F28" s="203" t="s">
        <v>228</v>
      </c>
      <c r="G28" s="203"/>
      <c r="H28" s="203"/>
      <c r="I28" s="203"/>
    </row>
    <row r="29" spans="2:9" x14ac:dyDescent="0.2">
      <c r="B29" s="203" t="s">
        <v>115</v>
      </c>
      <c r="C29" s="203" t="s">
        <v>269</v>
      </c>
      <c r="D29" s="203" t="s">
        <v>270</v>
      </c>
      <c r="E29" s="203" t="s">
        <v>42</v>
      </c>
      <c r="F29" s="203" t="s">
        <v>228</v>
      </c>
      <c r="G29" s="203"/>
      <c r="H29" s="203"/>
      <c r="I29" s="203"/>
    </row>
    <row r="30" spans="2:9" x14ac:dyDescent="0.2">
      <c r="B30" s="203" t="s">
        <v>891</v>
      </c>
      <c r="C30" s="203" t="s">
        <v>271</v>
      </c>
      <c r="D30" s="203" t="s">
        <v>272</v>
      </c>
      <c r="E30" s="203" t="s">
        <v>42</v>
      </c>
      <c r="F30" s="203" t="s">
        <v>228</v>
      </c>
      <c r="G30" s="203"/>
      <c r="H30" s="203"/>
      <c r="I30" s="203"/>
    </row>
    <row r="31" spans="2:9" x14ac:dyDescent="0.2">
      <c r="B31" s="203" t="s">
        <v>891</v>
      </c>
      <c r="C31" s="203" t="s">
        <v>273</v>
      </c>
      <c r="D31" s="203" t="s">
        <v>274</v>
      </c>
      <c r="E31" s="203" t="s">
        <v>42</v>
      </c>
      <c r="F31" s="203" t="s">
        <v>228</v>
      </c>
      <c r="G31" s="203"/>
      <c r="H31" s="203"/>
      <c r="I31" s="203"/>
    </row>
    <row r="32" spans="2:9" x14ac:dyDescent="0.2">
      <c r="B32" s="203" t="s">
        <v>891</v>
      </c>
      <c r="C32" s="203" t="s">
        <v>275</v>
      </c>
      <c r="D32" s="203" t="s">
        <v>276</v>
      </c>
      <c r="E32" s="203" t="s">
        <v>42</v>
      </c>
      <c r="F32" s="203" t="s">
        <v>228</v>
      </c>
      <c r="G32" s="203"/>
      <c r="H32" s="203"/>
      <c r="I32" s="203"/>
    </row>
    <row r="33" spans="2:9" x14ac:dyDescent="0.2">
      <c r="B33" s="203" t="s">
        <v>891</v>
      </c>
      <c r="C33" s="203" t="s">
        <v>277</v>
      </c>
      <c r="D33" s="203" t="s">
        <v>278</v>
      </c>
      <c r="E33" s="203" t="s">
        <v>42</v>
      </c>
      <c r="F33" s="203" t="s">
        <v>228</v>
      </c>
      <c r="G33" s="203"/>
      <c r="H33" s="203"/>
      <c r="I33" s="203"/>
    </row>
    <row r="34" spans="2:9" x14ac:dyDescent="0.2">
      <c r="B34" s="203" t="s">
        <v>115</v>
      </c>
      <c r="C34" s="203" t="s">
        <v>279</v>
      </c>
      <c r="D34" s="203" t="s">
        <v>280</v>
      </c>
      <c r="E34" s="203" t="s">
        <v>42</v>
      </c>
      <c r="F34" s="203" t="s">
        <v>228</v>
      </c>
      <c r="G34" s="203"/>
      <c r="H34" s="203"/>
      <c r="I34" s="203"/>
    </row>
    <row r="35" spans="2:9" x14ac:dyDescent="0.2">
      <c r="B35" s="203" t="s">
        <v>115</v>
      </c>
      <c r="C35" s="203" t="s">
        <v>281</v>
      </c>
      <c r="D35" s="203" t="s">
        <v>282</v>
      </c>
      <c r="E35" s="203" t="s">
        <v>42</v>
      </c>
      <c r="F35" s="203" t="s">
        <v>228</v>
      </c>
      <c r="G35" s="203"/>
      <c r="H35" s="203"/>
      <c r="I35" s="203"/>
    </row>
    <row r="36" spans="2:9" x14ac:dyDescent="0.2">
      <c r="B36" s="203" t="s">
        <v>891</v>
      </c>
      <c r="C36" s="203" t="s">
        <v>283</v>
      </c>
      <c r="D36" s="203" t="s">
        <v>284</v>
      </c>
      <c r="E36" s="203" t="s">
        <v>42</v>
      </c>
      <c r="F36" s="203" t="s">
        <v>228</v>
      </c>
      <c r="G36" s="203"/>
      <c r="H36" s="203"/>
      <c r="I36" s="203"/>
    </row>
    <row r="37" spans="2:9" x14ac:dyDescent="0.2">
      <c r="B37" s="203" t="s">
        <v>891</v>
      </c>
      <c r="C37" s="203" t="s">
        <v>392</v>
      </c>
      <c r="D37" s="203" t="s">
        <v>436</v>
      </c>
      <c r="E37" s="203" t="s">
        <v>42</v>
      </c>
      <c r="F37" s="203" t="s">
        <v>228</v>
      </c>
      <c r="G37" s="203"/>
      <c r="H37" s="203"/>
      <c r="I37" s="203"/>
    </row>
    <row r="38" spans="2:9" x14ac:dyDescent="0.2">
      <c r="B38" s="203" t="s">
        <v>891</v>
      </c>
      <c r="C38" s="203" t="s">
        <v>394</v>
      </c>
      <c r="D38" s="203" t="s">
        <v>395</v>
      </c>
      <c r="E38" s="203" t="s">
        <v>42</v>
      </c>
      <c r="F38" s="203" t="s">
        <v>228</v>
      </c>
      <c r="G38" s="203"/>
      <c r="H38" s="203"/>
      <c r="I38" s="203"/>
    </row>
    <row r="39" spans="2:9" x14ac:dyDescent="0.2">
      <c r="B39" s="203" t="s">
        <v>115</v>
      </c>
      <c r="C39" s="203" t="s">
        <v>397</v>
      </c>
      <c r="D39" s="203" t="s">
        <v>398</v>
      </c>
      <c r="E39" s="203" t="s">
        <v>42</v>
      </c>
      <c r="F39" s="203" t="s">
        <v>228</v>
      </c>
      <c r="G39" s="203"/>
      <c r="H39" s="203"/>
      <c r="I39" s="203"/>
    </row>
    <row r="40" spans="2:9" x14ac:dyDescent="0.2">
      <c r="B40" s="203" t="s">
        <v>115</v>
      </c>
      <c r="C40" s="203" t="s">
        <v>400</v>
      </c>
      <c r="D40" s="203" t="s">
        <v>401</v>
      </c>
      <c r="E40" s="203" t="s">
        <v>42</v>
      </c>
      <c r="F40" s="203" t="s">
        <v>228</v>
      </c>
      <c r="G40" s="203"/>
      <c r="H40" s="203"/>
      <c r="I40" s="203"/>
    </row>
    <row r="41" spans="2:9" x14ac:dyDescent="0.2">
      <c r="B41" s="203" t="s">
        <v>891</v>
      </c>
      <c r="C41" s="203" t="s">
        <v>403</v>
      </c>
      <c r="D41" s="203" t="s">
        <v>404</v>
      </c>
      <c r="E41" s="203" t="s">
        <v>42</v>
      </c>
      <c r="F41" s="203" t="s">
        <v>228</v>
      </c>
      <c r="G41" s="203"/>
      <c r="H41" s="203"/>
      <c r="I41" s="203"/>
    </row>
    <row r="42" spans="2:9" x14ac:dyDescent="0.2">
      <c r="B42" s="203" t="s">
        <v>115</v>
      </c>
      <c r="C42" s="203" t="s">
        <v>406</v>
      </c>
      <c r="D42" s="203" t="s">
        <v>407</v>
      </c>
      <c r="E42" s="203" t="s">
        <v>42</v>
      </c>
      <c r="F42" s="203" t="s">
        <v>228</v>
      </c>
      <c r="G42" s="203"/>
      <c r="H42" s="203"/>
      <c r="I42" s="203"/>
    </row>
    <row r="43" spans="2:9" x14ac:dyDescent="0.2">
      <c r="B43" s="203" t="s">
        <v>115</v>
      </c>
      <c r="C43" s="203" t="s">
        <v>409</v>
      </c>
      <c r="D43" s="203" t="s">
        <v>410</v>
      </c>
      <c r="E43" s="203" t="s">
        <v>42</v>
      </c>
      <c r="F43" s="203" t="s">
        <v>228</v>
      </c>
      <c r="G43" s="203"/>
      <c r="H43" s="203"/>
      <c r="I43" s="203"/>
    </row>
    <row r="44" spans="2:9" x14ac:dyDescent="0.2">
      <c r="B44" s="203" t="s">
        <v>891</v>
      </c>
      <c r="C44" s="203" t="s">
        <v>412</v>
      </c>
      <c r="D44" s="203" t="s">
        <v>413</v>
      </c>
      <c r="E44" s="203" t="s">
        <v>42</v>
      </c>
      <c r="F44" s="203" t="s">
        <v>228</v>
      </c>
      <c r="G44" s="203"/>
      <c r="H44" s="203"/>
      <c r="I44" s="203"/>
    </row>
    <row r="45" spans="2:9" x14ac:dyDescent="0.2">
      <c r="B45" s="203" t="s">
        <v>891</v>
      </c>
      <c r="C45" s="203" t="s">
        <v>415</v>
      </c>
      <c r="D45" s="203" t="s">
        <v>416</v>
      </c>
      <c r="E45" s="203" t="s">
        <v>42</v>
      </c>
      <c r="F45" s="203" t="s">
        <v>228</v>
      </c>
      <c r="G45" s="203"/>
      <c r="H45" s="203"/>
      <c r="I45" s="203"/>
    </row>
    <row r="46" spans="2:9" x14ac:dyDescent="0.2">
      <c r="B46" s="203" t="s">
        <v>891</v>
      </c>
      <c r="C46" s="203" t="s">
        <v>418</v>
      </c>
      <c r="D46" s="203" t="s">
        <v>419</v>
      </c>
      <c r="E46" s="203" t="s">
        <v>42</v>
      </c>
      <c r="F46" s="203" t="s">
        <v>228</v>
      </c>
      <c r="G46" s="203"/>
      <c r="H46" s="203"/>
      <c r="I46" s="203"/>
    </row>
    <row r="47" spans="2:9" x14ac:dyDescent="0.2">
      <c r="B47" s="203" t="s">
        <v>891</v>
      </c>
      <c r="C47" s="203" t="s">
        <v>421</v>
      </c>
      <c r="D47" s="203" t="s">
        <v>422</v>
      </c>
      <c r="E47" s="203" t="s">
        <v>42</v>
      </c>
      <c r="F47" s="203" t="s">
        <v>228</v>
      </c>
      <c r="G47" s="203"/>
      <c r="H47" s="203"/>
      <c r="I47" s="203"/>
    </row>
    <row r="48" spans="2:9" x14ac:dyDescent="0.2">
      <c r="B48" s="203" t="s">
        <v>115</v>
      </c>
      <c r="C48" s="203" t="s">
        <v>424</v>
      </c>
      <c r="D48" s="203" t="s">
        <v>425</v>
      </c>
      <c r="E48" s="203" t="s">
        <v>42</v>
      </c>
      <c r="F48" s="203" t="s">
        <v>228</v>
      </c>
      <c r="G48" s="203"/>
      <c r="H48" s="203"/>
      <c r="I48" s="203"/>
    </row>
    <row r="49" spans="2:9" x14ac:dyDescent="0.2">
      <c r="B49" s="203" t="s">
        <v>115</v>
      </c>
      <c r="C49" s="203" t="s">
        <v>427</v>
      </c>
      <c r="D49" s="203" t="s">
        <v>428</v>
      </c>
      <c r="E49" s="203" t="s">
        <v>42</v>
      </c>
      <c r="F49" s="203" t="s">
        <v>228</v>
      </c>
      <c r="G49" s="203"/>
      <c r="H49" s="203"/>
      <c r="I49" s="203"/>
    </row>
    <row r="50" spans="2:9" x14ac:dyDescent="0.2">
      <c r="B50" s="203" t="s">
        <v>891</v>
      </c>
      <c r="C50" s="203" t="s">
        <v>430</v>
      </c>
      <c r="D50" s="203" t="s">
        <v>431</v>
      </c>
      <c r="E50" s="203" t="s">
        <v>42</v>
      </c>
      <c r="F50" s="203" t="s">
        <v>228</v>
      </c>
      <c r="G50" s="203"/>
      <c r="H50" s="203"/>
      <c r="I50" s="203"/>
    </row>
    <row r="56" spans="2:9" x14ac:dyDescent="0.2">
      <c r="B56" s="203" t="s">
        <v>115</v>
      </c>
      <c r="C56" s="203" t="s">
        <v>229</v>
      </c>
      <c r="D56" s="203" t="s">
        <v>230</v>
      </c>
      <c r="E56" s="203" t="s">
        <v>42</v>
      </c>
      <c r="F56" s="203" t="s">
        <v>228</v>
      </c>
      <c r="G56" s="203"/>
      <c r="H56" s="203"/>
      <c r="I56" s="203"/>
    </row>
    <row r="57" spans="2:9" x14ac:dyDescent="0.2">
      <c r="B57" s="203" t="s">
        <v>115</v>
      </c>
      <c r="C57" s="203" t="s">
        <v>387</v>
      </c>
      <c r="D57" s="203" t="s">
        <v>388</v>
      </c>
      <c r="E57" s="203" t="s">
        <v>42</v>
      </c>
      <c r="F57" s="203" t="s">
        <v>228</v>
      </c>
      <c r="G57" s="203"/>
      <c r="H57" s="203"/>
      <c r="I57" s="203"/>
    </row>
    <row r="72" spans="3:7" x14ac:dyDescent="0.2">
      <c r="C72" s="200"/>
      <c r="E72" s="12"/>
      <c r="F72" s="201"/>
      <c r="G72" s="12"/>
    </row>
    <row r="74" spans="3:7" x14ac:dyDescent="0.2">
      <c r="G74" s="12"/>
    </row>
    <row r="75" spans="3:7" x14ac:dyDescent="0.2">
      <c r="G75" s="12"/>
    </row>
  </sheetData>
  <phoneticPr fontId="0" type="noConversion"/>
  <conditionalFormatting sqref="B8:H8 B56:H57">
    <cfRule type="expression" dxfId="3" priority="1">
      <formula>LEFT($B8,1)=""</formula>
    </cfRule>
    <cfRule type="expression" dxfId="2" priority="2">
      <formula>LEFT($B8,1)="*"</formula>
    </cfRule>
  </conditionalFormatting>
  <pageMargins left="0.75" right="0.75" top="1" bottom="1" header="0.5" footer="0.5"/>
  <pageSetup paperSize="9" orientation="portrait" horizont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AL136"/>
  <sheetViews>
    <sheetView showFormulas="1" zoomScale="80" zoomScaleNormal="80" workbookViewId="0">
      <pane ySplit="5" topLeftCell="A48" activePane="bottomLeft" state="frozen"/>
      <selection pane="bottomLeft" activeCell="I65" sqref="I65"/>
    </sheetView>
  </sheetViews>
  <sheetFormatPr defaultColWidth="9.140625" defaultRowHeight="12.75" x14ac:dyDescent="0.2"/>
  <cols>
    <col min="1" max="1" width="12.7109375" style="192" bestFit="1" customWidth="1"/>
    <col min="2" max="2" width="21" style="192" customWidth="1"/>
    <col min="3" max="3" width="32.85546875" style="192" bestFit="1" customWidth="1"/>
    <col min="4" max="4" width="11.7109375" style="193" customWidth="1"/>
    <col min="5" max="5" width="11.7109375" style="193" bestFit="1" customWidth="1"/>
    <col min="6" max="6" width="13" style="193" bestFit="1" customWidth="1"/>
    <col min="7" max="7" width="16" style="193" bestFit="1" customWidth="1"/>
    <col min="8" max="11" width="17.42578125" style="193" bestFit="1" customWidth="1"/>
    <col min="12" max="12" width="13" style="193" bestFit="1" customWidth="1"/>
    <col min="13" max="19" width="17.42578125" style="193" bestFit="1" customWidth="1"/>
    <col min="20" max="20" width="17.140625" style="193" bestFit="1" customWidth="1"/>
    <col min="21" max="22" width="19.5703125" style="193" bestFit="1" customWidth="1"/>
    <col min="23" max="23" width="17.140625" style="193" bestFit="1" customWidth="1"/>
    <col min="24" max="24" width="19.5703125" style="192" bestFit="1" customWidth="1"/>
    <col min="25" max="25" width="10.85546875" style="192" bestFit="1" customWidth="1"/>
    <col min="26" max="26" width="10.85546875" style="193" bestFit="1" customWidth="1"/>
    <col min="27" max="28" width="9.140625" style="192"/>
    <col min="29" max="30" width="13" style="192" bestFit="1" customWidth="1"/>
    <col min="31" max="16384" width="9.140625" style="192"/>
  </cols>
  <sheetData>
    <row r="1" spans="1:26" x14ac:dyDescent="0.2">
      <c r="A1" s="187" t="s">
        <v>285</v>
      </c>
      <c r="B1" s="192" t="s">
        <v>887</v>
      </c>
      <c r="Z1" s="193" t="s">
        <v>437</v>
      </c>
    </row>
    <row r="4" spans="1:26" x14ac:dyDescent="0.2">
      <c r="E4" s="211" t="s">
        <v>924</v>
      </c>
    </row>
    <row r="5" spans="1:26" x14ac:dyDescent="0.2">
      <c r="A5" s="196" t="s">
        <v>382</v>
      </c>
      <c r="B5" s="196" t="s">
        <v>24</v>
      </c>
      <c r="C5" s="196" t="s">
        <v>908</v>
      </c>
      <c r="D5" s="196" t="s">
        <v>27</v>
      </c>
      <c r="E5" s="196" t="s">
        <v>28</v>
      </c>
      <c r="F5" s="196" t="s">
        <v>925</v>
      </c>
      <c r="G5" s="196" t="s">
        <v>914</v>
      </c>
      <c r="H5" s="196" t="s">
        <v>915</v>
      </c>
      <c r="I5" s="196" t="s">
        <v>916</v>
      </c>
      <c r="J5" s="196" t="s">
        <v>917</v>
      </c>
      <c r="K5" s="196" t="s">
        <v>918</v>
      </c>
      <c r="L5" s="196" t="s">
        <v>919</v>
      </c>
      <c r="M5" s="196" t="s">
        <v>920</v>
      </c>
      <c r="N5" s="196" t="s">
        <v>921</v>
      </c>
      <c r="O5" s="196" t="s">
        <v>922</v>
      </c>
      <c r="P5" s="196" t="s">
        <v>923</v>
      </c>
      <c r="Q5" s="192"/>
      <c r="R5" s="192"/>
      <c r="S5" s="205"/>
      <c r="T5" s="192"/>
      <c r="U5" s="192"/>
      <c r="V5" s="192"/>
      <c r="W5" s="192"/>
      <c r="Z5" s="192"/>
    </row>
    <row r="6" spans="1:26" x14ac:dyDescent="0.2">
      <c r="A6" s="199" t="s">
        <v>287</v>
      </c>
      <c r="B6" s="212"/>
      <c r="C6" s="212"/>
      <c r="D6" s="213"/>
      <c r="E6" s="213"/>
      <c r="F6" s="214"/>
      <c r="G6" s="215"/>
      <c r="H6" s="213"/>
      <c r="I6" s="213"/>
      <c r="J6" s="213"/>
      <c r="K6" s="213"/>
      <c r="L6" s="213"/>
      <c r="M6" s="213"/>
      <c r="N6" s="213"/>
      <c r="O6" s="213"/>
      <c r="P6" s="213"/>
      <c r="Q6" s="192"/>
      <c r="R6" s="192"/>
      <c r="S6" s="206"/>
      <c r="T6" s="192"/>
      <c r="U6" s="192"/>
      <c r="V6" s="192"/>
      <c r="W6" s="192"/>
      <c r="Z6" s="192"/>
    </row>
    <row r="7" spans="1:26" x14ac:dyDescent="0.2">
      <c r="A7" s="197" t="str">
        <f>Technologies!B10</f>
        <v>*R1</v>
      </c>
      <c r="B7" s="197" t="str">
        <f>Technologies!C10</f>
        <v>SCLPG_E</v>
      </c>
      <c r="C7" s="197" t="str">
        <f>Technologies!D10</f>
        <v>Collector: LPG from REF_E</v>
      </c>
      <c r="D7" s="197" t="s">
        <v>197</v>
      </c>
      <c r="E7" s="197" t="str">
        <f>Commodities!C8</f>
        <v>LPG</v>
      </c>
      <c r="F7" s="197">
        <v>1</v>
      </c>
      <c r="G7" s="197"/>
      <c r="H7" s="197">
        <v>1E-3</v>
      </c>
      <c r="I7" s="197">
        <v>1E-3</v>
      </c>
      <c r="J7" s="197">
        <v>1E-3</v>
      </c>
      <c r="K7" s="197">
        <v>1E-3</v>
      </c>
      <c r="L7" s="197">
        <v>1E-3</v>
      </c>
      <c r="M7" s="197">
        <f>L7</f>
        <v>1E-3</v>
      </c>
      <c r="N7" s="197"/>
      <c r="O7" s="197"/>
      <c r="P7" s="197"/>
      <c r="Q7" s="192"/>
      <c r="R7" s="192"/>
      <c r="S7" s="192"/>
      <c r="T7" s="192"/>
      <c r="U7" s="192"/>
      <c r="V7" s="192"/>
      <c r="W7" s="192"/>
      <c r="Z7" s="192"/>
    </row>
    <row r="8" spans="1:26" x14ac:dyDescent="0.2">
      <c r="A8" s="197" t="str">
        <f>Technologies!B11</f>
        <v>R1</v>
      </c>
      <c r="B8" s="197" t="str">
        <f>Technologies!C11</f>
        <v>SCGSC_E</v>
      </c>
      <c r="C8" s="197" t="str">
        <f>Technologies!D11</f>
        <v>Collector: GSC from REF_E</v>
      </c>
      <c r="D8" s="197" t="s">
        <v>198</v>
      </c>
      <c r="E8" s="197" t="str">
        <f>Commodities!C76</f>
        <v>GSC</v>
      </c>
      <c r="F8" s="197">
        <v>1</v>
      </c>
      <c r="G8" s="197"/>
      <c r="H8" s="197">
        <v>1E-3</v>
      </c>
      <c r="I8" s="197">
        <v>1E-3</v>
      </c>
      <c r="J8" s="197">
        <v>1E-3</v>
      </c>
      <c r="K8" s="197">
        <v>1E-3</v>
      </c>
      <c r="L8" s="197">
        <v>1E-3</v>
      </c>
      <c r="M8" s="197">
        <f t="shared" ref="M8:U54" si="0">L8</f>
        <v>1E-3</v>
      </c>
      <c r="N8" s="197"/>
      <c r="O8" s="197"/>
      <c r="P8" s="197"/>
      <c r="Q8" s="192"/>
      <c r="R8" s="192"/>
      <c r="S8" s="192"/>
      <c r="T8" s="192"/>
      <c r="U8" s="192"/>
      <c r="V8" s="192"/>
      <c r="W8" s="192"/>
      <c r="Z8" s="192"/>
    </row>
    <row r="9" spans="1:26" x14ac:dyDescent="0.2">
      <c r="A9" s="197" t="str">
        <f>Technologies!B12</f>
        <v>R1</v>
      </c>
      <c r="B9" s="197" t="str">
        <f>Technologies!C12</f>
        <v>SCGSR_E</v>
      </c>
      <c r="C9" s="197" t="str">
        <f>Technologies!D12</f>
        <v>Collector: GSR from REF_E</v>
      </c>
      <c r="D9" s="197" t="s">
        <v>199</v>
      </c>
      <c r="E9" s="197" t="str">
        <f>Commodities!C77</f>
        <v>GSR</v>
      </c>
      <c r="F9" s="197">
        <v>1</v>
      </c>
      <c r="G9" s="197"/>
      <c r="H9" s="197">
        <v>1E-3</v>
      </c>
      <c r="I9" s="197">
        <v>1E-3</v>
      </c>
      <c r="J9" s="197">
        <v>1E-3</v>
      </c>
      <c r="K9" s="197">
        <v>1E-3</v>
      </c>
      <c r="L9" s="197">
        <v>1E-3</v>
      </c>
      <c r="M9" s="197">
        <f t="shared" si="0"/>
        <v>1E-3</v>
      </c>
      <c r="N9" s="197"/>
      <c r="O9" s="197"/>
      <c r="P9" s="197"/>
      <c r="Q9" s="192"/>
      <c r="R9" s="192"/>
      <c r="S9" s="192"/>
      <c r="T9" s="192"/>
      <c r="U9" s="192"/>
      <c r="V9" s="192"/>
      <c r="W9" s="192"/>
      <c r="Z9" s="192"/>
    </row>
    <row r="10" spans="1:26" x14ac:dyDescent="0.2">
      <c r="A10" s="197" t="str">
        <f>Technologies!B13</f>
        <v>*R1</v>
      </c>
      <c r="B10" s="197" t="str">
        <f>Technologies!C13</f>
        <v>SCJTF_E</v>
      </c>
      <c r="C10" s="197" t="str">
        <f>Technologies!D13</f>
        <v>Collector: JTF from REF_E</v>
      </c>
      <c r="D10" s="197" t="s">
        <v>200</v>
      </c>
      <c r="E10" s="197" t="str">
        <f>Commodities!C9</f>
        <v>JTF</v>
      </c>
      <c r="F10" s="197">
        <v>1</v>
      </c>
      <c r="G10" s="197"/>
      <c r="H10" s="197">
        <v>1E-3</v>
      </c>
      <c r="I10" s="197">
        <v>1E-3</v>
      </c>
      <c r="J10" s="197">
        <v>1E-3</v>
      </c>
      <c r="K10" s="197">
        <v>1E-3</v>
      </c>
      <c r="L10" s="197">
        <v>1E-3</v>
      </c>
      <c r="M10" s="197">
        <f t="shared" si="0"/>
        <v>1E-3</v>
      </c>
      <c r="N10" s="197"/>
      <c r="O10" s="197"/>
      <c r="P10" s="197"/>
      <c r="Q10" s="192"/>
      <c r="R10" s="192"/>
      <c r="S10" s="192"/>
      <c r="T10" s="192"/>
      <c r="U10" s="192"/>
      <c r="V10" s="192"/>
      <c r="W10" s="192"/>
      <c r="Z10" s="192"/>
    </row>
    <row r="11" spans="1:26" x14ac:dyDescent="0.2">
      <c r="A11" s="197" t="str">
        <f>Technologies!B14</f>
        <v>R1</v>
      </c>
      <c r="B11" s="197" t="str">
        <f>Technologies!C14</f>
        <v>SCDSH_E</v>
      </c>
      <c r="C11" s="197" t="str">
        <f>Technologies!D14</f>
        <v>Collector: DSH from REF_E</v>
      </c>
      <c r="D11" s="197" t="s">
        <v>201</v>
      </c>
      <c r="E11" s="197" t="str">
        <f>Commodities!C78</f>
        <v>DSH</v>
      </c>
      <c r="F11" s="197">
        <v>1</v>
      </c>
      <c r="G11" s="197"/>
      <c r="H11" s="197">
        <v>1E-3</v>
      </c>
      <c r="I11" s="197">
        <v>1E-3</v>
      </c>
      <c r="J11" s="197">
        <v>1E-3</v>
      </c>
      <c r="K11" s="197">
        <v>1E-3</v>
      </c>
      <c r="L11" s="197">
        <v>1E-3</v>
      </c>
      <c r="M11" s="197">
        <f t="shared" si="0"/>
        <v>1E-3</v>
      </c>
      <c r="N11" s="197"/>
      <c r="O11" s="197"/>
      <c r="P11" s="197"/>
      <c r="Q11" s="192"/>
      <c r="R11" s="192"/>
      <c r="S11" s="192"/>
      <c r="T11" s="192"/>
      <c r="U11" s="192"/>
      <c r="V11" s="192"/>
      <c r="W11" s="192"/>
      <c r="Z11" s="192"/>
    </row>
    <row r="12" spans="1:26" x14ac:dyDescent="0.2">
      <c r="A12" s="197" t="str">
        <f>Technologies!B15</f>
        <v>R1</v>
      </c>
      <c r="B12" s="197" t="str">
        <f>Technologies!C15</f>
        <v>SCRFL_E</v>
      </c>
      <c r="C12" s="197" t="str">
        <f>Technologies!D15</f>
        <v>Collector: RFL from REF_E</v>
      </c>
      <c r="D12" s="197" t="s">
        <v>202</v>
      </c>
      <c r="E12" s="197" t="str">
        <f>Commodities!C79</f>
        <v>RFL</v>
      </c>
      <c r="F12" s="197">
        <v>1</v>
      </c>
      <c r="G12" s="197"/>
      <c r="H12" s="197">
        <v>1E-3</v>
      </c>
      <c r="I12" s="197">
        <v>1E-3</v>
      </c>
      <c r="J12" s="197">
        <v>1E-3</v>
      </c>
      <c r="K12" s="197">
        <v>1E-3</v>
      </c>
      <c r="L12" s="197">
        <v>1E-3</v>
      </c>
      <c r="M12" s="197">
        <f t="shared" si="0"/>
        <v>1E-3</v>
      </c>
      <c r="N12" s="197"/>
      <c r="O12" s="197"/>
      <c r="P12" s="197"/>
      <c r="Q12" s="192"/>
      <c r="R12" s="192"/>
      <c r="S12" s="192"/>
      <c r="T12" s="192"/>
      <c r="U12" s="192"/>
      <c r="V12" s="192"/>
      <c r="W12" s="192"/>
      <c r="Z12" s="192"/>
    </row>
    <row r="13" spans="1:26" x14ac:dyDescent="0.2">
      <c r="A13" s="197" t="str">
        <f>Technologies!B16</f>
        <v>*R1</v>
      </c>
      <c r="B13" s="197" t="str">
        <f>Technologies!C16</f>
        <v>SCRFH_E</v>
      </c>
      <c r="C13" s="197" t="str">
        <f>Technologies!D16</f>
        <v>Collector: RFH from REF_E</v>
      </c>
      <c r="D13" s="197" t="s">
        <v>203</v>
      </c>
      <c r="E13" s="197" t="str">
        <f>Commodities!C10</f>
        <v>RFH</v>
      </c>
      <c r="F13" s="197">
        <v>1</v>
      </c>
      <c r="G13" s="197"/>
      <c r="H13" s="197">
        <v>1E-3</v>
      </c>
      <c r="I13" s="197">
        <v>1E-3</v>
      </c>
      <c r="J13" s="197">
        <v>1E-3</v>
      </c>
      <c r="K13" s="197">
        <v>1E-3</v>
      </c>
      <c r="L13" s="197">
        <v>1E-3</v>
      </c>
      <c r="M13" s="197">
        <f t="shared" si="0"/>
        <v>1E-3</v>
      </c>
      <c r="N13" s="197"/>
      <c r="O13" s="197"/>
      <c r="P13" s="197"/>
      <c r="Q13" s="192"/>
      <c r="R13" s="192"/>
      <c r="S13" s="192"/>
      <c r="T13" s="192"/>
      <c r="U13" s="192"/>
      <c r="V13" s="192"/>
      <c r="W13" s="192"/>
      <c r="Z13" s="192"/>
    </row>
    <row r="14" spans="1:26" x14ac:dyDescent="0.2">
      <c r="A14" s="197" t="str">
        <f>Technologies!B17</f>
        <v>*R1</v>
      </c>
      <c r="B14" s="197" t="str">
        <f>Technologies!C17</f>
        <v>SCKER_E</v>
      </c>
      <c r="C14" s="197" t="str">
        <f>Technologies!D17</f>
        <v>Collector: KER from REF_E</v>
      </c>
      <c r="D14" s="197" t="s">
        <v>204</v>
      </c>
      <c r="E14" s="197" t="str">
        <f>Commodities!C11</f>
        <v>KER</v>
      </c>
      <c r="F14" s="197">
        <v>1</v>
      </c>
      <c r="G14" s="197"/>
      <c r="H14" s="197">
        <v>1E-3</v>
      </c>
      <c r="I14" s="197">
        <v>1E-3</v>
      </c>
      <c r="J14" s="197">
        <v>1E-3</v>
      </c>
      <c r="K14" s="197">
        <v>1E-3</v>
      </c>
      <c r="L14" s="197">
        <v>1E-3</v>
      </c>
      <c r="M14" s="197">
        <f t="shared" si="0"/>
        <v>1E-3</v>
      </c>
      <c r="N14" s="197"/>
      <c r="O14" s="197"/>
      <c r="P14" s="197"/>
      <c r="Q14" s="192"/>
      <c r="R14" s="192"/>
      <c r="S14" s="192"/>
      <c r="T14" s="192"/>
      <c r="U14" s="192"/>
      <c r="V14" s="192"/>
      <c r="W14" s="192"/>
      <c r="Z14" s="192"/>
    </row>
    <row r="15" spans="1:26" x14ac:dyDescent="0.2">
      <c r="A15" s="197" t="str">
        <f>Technologies!B18</f>
        <v>*R1</v>
      </c>
      <c r="B15" s="197" t="str">
        <f>Technologies!C18</f>
        <v>SCPFS_E</v>
      </c>
      <c r="C15" s="197" t="str">
        <f>Technologies!D18</f>
        <v>Collector: PFS from REF_E</v>
      </c>
      <c r="D15" s="197" t="s">
        <v>205</v>
      </c>
      <c r="E15" s="197" t="str">
        <f>Commodities!C12</f>
        <v>PFS</v>
      </c>
      <c r="F15" s="197">
        <v>1</v>
      </c>
      <c r="G15" s="197"/>
      <c r="H15" s="197">
        <v>1E-3</v>
      </c>
      <c r="I15" s="197">
        <v>1E-3</v>
      </c>
      <c r="J15" s="197">
        <v>1E-3</v>
      </c>
      <c r="K15" s="197">
        <v>1E-3</v>
      </c>
      <c r="L15" s="197">
        <v>1E-3</v>
      </c>
      <c r="M15" s="197">
        <f t="shared" si="0"/>
        <v>1E-3</v>
      </c>
      <c r="N15" s="197"/>
      <c r="O15" s="197"/>
      <c r="P15" s="197"/>
      <c r="Q15" s="192"/>
      <c r="R15" s="192"/>
      <c r="S15" s="192"/>
      <c r="T15" s="192"/>
      <c r="U15" s="192"/>
      <c r="V15" s="192"/>
      <c r="W15" s="192"/>
      <c r="Z15" s="192"/>
    </row>
    <row r="16" spans="1:26" x14ac:dyDescent="0.2">
      <c r="A16" s="197" t="str">
        <f>Technologies!B19</f>
        <v>*R1</v>
      </c>
      <c r="B16" s="197" t="str">
        <f>Technologies!C19</f>
        <v>SCASP_E</v>
      </c>
      <c r="C16" s="197" t="str">
        <f>Technologies!D19</f>
        <v>Collector: ASP from REF_E</v>
      </c>
      <c r="D16" s="197" t="s">
        <v>206</v>
      </c>
      <c r="E16" s="197" t="str">
        <f>Commodities!C13</f>
        <v>ASP</v>
      </c>
      <c r="F16" s="197">
        <v>1</v>
      </c>
      <c r="G16" s="197"/>
      <c r="H16" s="197">
        <v>1E-3</v>
      </c>
      <c r="I16" s="197">
        <v>1E-3</v>
      </c>
      <c r="J16" s="197">
        <v>1E-3</v>
      </c>
      <c r="K16" s="197">
        <v>1E-3</v>
      </c>
      <c r="L16" s="197">
        <v>1E-3</v>
      </c>
      <c r="M16" s="197">
        <f t="shared" si="0"/>
        <v>1E-3</v>
      </c>
      <c r="N16" s="197"/>
      <c r="O16" s="197"/>
      <c r="P16" s="197"/>
      <c r="Q16" s="192"/>
      <c r="R16" s="192"/>
      <c r="S16" s="192"/>
      <c r="T16" s="192"/>
      <c r="U16" s="192"/>
      <c r="V16" s="192"/>
      <c r="W16" s="192"/>
      <c r="Z16" s="192"/>
    </row>
    <row r="17" spans="1:26" x14ac:dyDescent="0.2">
      <c r="A17" s="197" t="str">
        <f>Technologies!B20</f>
        <v>R1</v>
      </c>
      <c r="B17" s="197" t="str">
        <f>Technologies!C20</f>
        <v>SCDSL_E</v>
      </c>
      <c r="C17" s="197" t="str">
        <f>Technologies!D20</f>
        <v>Collector: DSL from REF_E</v>
      </c>
      <c r="D17" s="197" t="s">
        <v>207</v>
      </c>
      <c r="E17" s="197" t="str">
        <f>Commodities!C80</f>
        <v>DSL</v>
      </c>
      <c r="F17" s="197">
        <v>1</v>
      </c>
      <c r="G17" s="197"/>
      <c r="H17" s="197">
        <v>1E-3</v>
      </c>
      <c r="I17" s="197">
        <v>1E-3</v>
      </c>
      <c r="J17" s="197">
        <v>1E-3</v>
      </c>
      <c r="K17" s="197">
        <v>1E-3</v>
      </c>
      <c r="L17" s="197">
        <v>1E-3</v>
      </c>
      <c r="M17" s="197">
        <f t="shared" si="0"/>
        <v>1E-3</v>
      </c>
      <c r="N17" s="197"/>
      <c r="O17" s="197"/>
      <c r="P17" s="197"/>
      <c r="Q17" s="192"/>
      <c r="R17" s="192"/>
      <c r="S17" s="192"/>
      <c r="T17" s="192"/>
      <c r="U17" s="192"/>
      <c r="V17" s="192"/>
      <c r="W17" s="192"/>
      <c r="Z17" s="192"/>
    </row>
    <row r="18" spans="1:26" x14ac:dyDescent="0.2">
      <c r="A18" s="197" t="str">
        <f>Technologies!B21</f>
        <v>R1</v>
      </c>
      <c r="B18" s="197" t="str">
        <f>Technologies!C21</f>
        <v>SCDSU_E</v>
      </c>
      <c r="C18" s="197" t="str">
        <f>Technologies!D21</f>
        <v>Collector: DSU from REF_E</v>
      </c>
      <c r="D18" s="197" t="s">
        <v>208</v>
      </c>
      <c r="E18" s="197" t="str">
        <f>Commodities!C81</f>
        <v>DSU</v>
      </c>
      <c r="F18" s="197">
        <v>1</v>
      </c>
      <c r="G18" s="197"/>
      <c r="H18" s="197">
        <v>1E-3</v>
      </c>
      <c r="I18" s="197">
        <v>1E-3</v>
      </c>
      <c r="J18" s="197">
        <v>1E-3</v>
      </c>
      <c r="K18" s="197">
        <v>1E-3</v>
      </c>
      <c r="L18" s="197">
        <v>1E-3</v>
      </c>
      <c r="M18" s="197">
        <f t="shared" si="0"/>
        <v>1E-3</v>
      </c>
      <c r="N18" s="197"/>
      <c r="O18" s="197"/>
      <c r="P18" s="197"/>
      <c r="Q18" s="192"/>
      <c r="R18" s="192"/>
      <c r="S18" s="192"/>
      <c r="T18" s="192"/>
      <c r="U18" s="192"/>
      <c r="V18" s="192"/>
      <c r="W18" s="192"/>
      <c r="Z18" s="192"/>
    </row>
    <row r="19" spans="1:26" x14ac:dyDescent="0.2">
      <c r="A19" s="197" t="str">
        <f>Technologies!B22</f>
        <v>*R1</v>
      </c>
      <c r="B19" s="197" t="str">
        <f>Technologies!C22</f>
        <v>SCPTC_E</v>
      </c>
      <c r="C19" s="197" t="str">
        <f>Technologies!D22</f>
        <v>Collector: PTC from REF_E</v>
      </c>
      <c r="D19" s="197" t="s">
        <v>209</v>
      </c>
      <c r="E19" s="197" t="str">
        <f>Commodities!C14</f>
        <v>PTC</v>
      </c>
      <c r="F19" s="197">
        <v>1</v>
      </c>
      <c r="G19" s="197"/>
      <c r="H19" s="197">
        <v>1E-3</v>
      </c>
      <c r="I19" s="197">
        <v>1E-3</v>
      </c>
      <c r="J19" s="197">
        <v>1E-3</v>
      </c>
      <c r="K19" s="197">
        <v>1E-3</v>
      </c>
      <c r="L19" s="197">
        <v>1E-3</v>
      </c>
      <c r="M19" s="197">
        <f t="shared" si="0"/>
        <v>1E-3</v>
      </c>
      <c r="N19" s="197"/>
      <c r="O19" s="197"/>
      <c r="P19" s="197"/>
      <c r="Q19" s="192"/>
      <c r="R19" s="192"/>
      <c r="S19" s="192"/>
      <c r="T19" s="192"/>
      <c r="U19" s="192"/>
      <c r="V19" s="192"/>
      <c r="W19" s="192"/>
      <c r="Z19" s="192"/>
    </row>
    <row r="20" spans="1:26" x14ac:dyDescent="0.2">
      <c r="A20" s="197" t="str">
        <f>Technologies!B23</f>
        <v>*R1</v>
      </c>
      <c r="B20" s="197" t="str">
        <f>Technologies!C23</f>
        <v>SCDLG_E</v>
      </c>
      <c r="C20" s="197" t="str">
        <f>Technologies!D23</f>
        <v>Collector: DLG from REF_E</v>
      </c>
      <c r="D20" s="197" t="s">
        <v>385</v>
      </c>
      <c r="E20" s="197" t="str">
        <f>Commodities!C15</f>
        <v>DLG</v>
      </c>
      <c r="F20" s="197">
        <v>1</v>
      </c>
      <c r="G20" s="197"/>
      <c r="H20" s="197">
        <v>1E-3</v>
      </c>
      <c r="I20" s="197">
        <v>1E-3</v>
      </c>
      <c r="J20" s="197">
        <v>1E-3</v>
      </c>
      <c r="K20" s="197">
        <v>1E-3</v>
      </c>
      <c r="L20" s="197">
        <v>1E-3</v>
      </c>
      <c r="M20" s="197">
        <f t="shared" si="0"/>
        <v>1E-3</v>
      </c>
      <c r="N20" s="197"/>
      <c r="O20" s="197"/>
      <c r="P20" s="197"/>
      <c r="Q20" s="192"/>
      <c r="R20" s="192"/>
      <c r="S20" s="192"/>
      <c r="T20" s="192"/>
      <c r="U20" s="192"/>
      <c r="V20" s="192"/>
      <c r="W20" s="192"/>
      <c r="Z20" s="192"/>
    </row>
    <row r="21" spans="1:26" x14ac:dyDescent="0.2">
      <c r="A21" s="197" t="str">
        <f>Technologies!B24</f>
        <v>*R1</v>
      </c>
      <c r="B21" s="197" t="str">
        <f>Technologies!C24</f>
        <v>SCLPG_N</v>
      </c>
      <c r="C21" s="197" t="str">
        <f>Technologies!D24</f>
        <v>Collector: LPG from REF_N</v>
      </c>
      <c r="D21" s="197" t="s">
        <v>211</v>
      </c>
      <c r="E21" s="197" t="str">
        <f>E7</f>
        <v>LPG</v>
      </c>
      <c r="F21" s="197">
        <v>1</v>
      </c>
      <c r="G21" s="197"/>
      <c r="H21" s="197">
        <v>1E-3</v>
      </c>
      <c r="I21" s="197">
        <v>1E-3</v>
      </c>
      <c r="J21" s="197">
        <v>1E-3</v>
      </c>
      <c r="K21" s="197">
        <v>1E-3</v>
      </c>
      <c r="L21" s="197">
        <v>1E-3</v>
      </c>
      <c r="M21" s="197">
        <f t="shared" si="0"/>
        <v>1E-3</v>
      </c>
      <c r="N21" s="197"/>
      <c r="O21" s="197"/>
      <c r="P21" s="197"/>
      <c r="Q21" s="192"/>
      <c r="R21" s="192"/>
      <c r="S21" s="192"/>
      <c r="T21" s="192"/>
      <c r="U21" s="192"/>
      <c r="V21" s="192"/>
      <c r="W21" s="192"/>
      <c r="Z21" s="192"/>
    </row>
    <row r="22" spans="1:26" x14ac:dyDescent="0.2">
      <c r="A22" s="197" t="str">
        <f>Technologies!B25</f>
        <v>R1</v>
      </c>
      <c r="B22" s="197" t="str">
        <f>Technologies!C25</f>
        <v>SCGSC_N</v>
      </c>
      <c r="C22" s="197" t="str">
        <f>Technologies!D25</f>
        <v>Collector: GSC from REF_N</v>
      </c>
      <c r="D22" s="197" t="s">
        <v>212</v>
      </c>
      <c r="E22" s="197" t="str">
        <f t="shared" ref="E22:E47" si="1">E8</f>
        <v>GSC</v>
      </c>
      <c r="F22" s="197">
        <v>1</v>
      </c>
      <c r="G22" s="197"/>
      <c r="H22" s="197">
        <v>1E-3</v>
      </c>
      <c r="I22" s="197">
        <v>1E-3</v>
      </c>
      <c r="J22" s="197">
        <v>1E-3</v>
      </c>
      <c r="K22" s="197">
        <v>1E-3</v>
      </c>
      <c r="L22" s="197">
        <v>1E-3</v>
      </c>
      <c r="M22" s="197">
        <f t="shared" si="0"/>
        <v>1E-3</v>
      </c>
      <c r="N22" s="197"/>
      <c r="O22" s="197"/>
      <c r="P22" s="197"/>
      <c r="Q22" s="192"/>
      <c r="R22" s="192"/>
      <c r="S22" s="192"/>
      <c r="T22" s="192"/>
      <c r="U22" s="192"/>
      <c r="V22" s="192"/>
      <c r="W22" s="192"/>
      <c r="Z22" s="192"/>
    </row>
    <row r="23" spans="1:26" x14ac:dyDescent="0.2">
      <c r="A23" s="197" t="str">
        <f>Technologies!B26</f>
        <v>R1</v>
      </c>
      <c r="B23" s="197" t="str">
        <f>Technologies!C26</f>
        <v>SCGSR_N</v>
      </c>
      <c r="C23" s="197" t="str">
        <f>Technologies!D26</f>
        <v>Collector: GSR from REF_N</v>
      </c>
      <c r="D23" s="197" t="s">
        <v>213</v>
      </c>
      <c r="E23" s="197" t="str">
        <f t="shared" si="1"/>
        <v>GSR</v>
      </c>
      <c r="F23" s="197">
        <v>1</v>
      </c>
      <c r="G23" s="197"/>
      <c r="H23" s="197">
        <v>1E-3</v>
      </c>
      <c r="I23" s="197">
        <v>1E-3</v>
      </c>
      <c r="J23" s="197">
        <v>1E-3</v>
      </c>
      <c r="K23" s="197">
        <v>1E-3</v>
      </c>
      <c r="L23" s="197">
        <v>1E-3</v>
      </c>
      <c r="M23" s="197">
        <f t="shared" si="0"/>
        <v>1E-3</v>
      </c>
      <c r="N23" s="197"/>
      <c r="O23" s="197"/>
      <c r="P23" s="197"/>
      <c r="Q23" s="192"/>
      <c r="R23" s="192"/>
      <c r="S23" s="192"/>
      <c r="T23" s="192"/>
      <c r="U23" s="192"/>
      <c r="V23" s="192"/>
      <c r="W23" s="192"/>
      <c r="Z23" s="192"/>
    </row>
    <row r="24" spans="1:26" x14ac:dyDescent="0.2">
      <c r="A24" s="197" t="str">
        <f>Technologies!B27</f>
        <v>*R1</v>
      </c>
      <c r="B24" s="197" t="str">
        <f>Technologies!C27</f>
        <v>SCJTF_N</v>
      </c>
      <c r="C24" s="197" t="str">
        <f>Technologies!D27</f>
        <v>Collector: JTF from REF_N</v>
      </c>
      <c r="D24" s="197" t="s">
        <v>214</v>
      </c>
      <c r="E24" s="197" t="str">
        <f t="shared" si="1"/>
        <v>JTF</v>
      </c>
      <c r="F24" s="197">
        <v>1</v>
      </c>
      <c r="G24" s="197"/>
      <c r="H24" s="197">
        <v>1E-3</v>
      </c>
      <c r="I24" s="197">
        <v>1E-3</v>
      </c>
      <c r="J24" s="197">
        <v>1E-3</v>
      </c>
      <c r="K24" s="197">
        <v>1E-3</v>
      </c>
      <c r="L24" s="197">
        <v>1E-3</v>
      </c>
      <c r="M24" s="197">
        <f t="shared" si="0"/>
        <v>1E-3</v>
      </c>
      <c r="N24" s="197"/>
      <c r="O24" s="197"/>
      <c r="P24" s="197"/>
      <c r="Q24" s="192"/>
      <c r="R24" s="192"/>
      <c r="S24" s="192"/>
      <c r="T24" s="192"/>
      <c r="U24" s="192"/>
      <c r="V24" s="192"/>
      <c r="W24" s="192"/>
      <c r="Z24" s="192"/>
    </row>
    <row r="25" spans="1:26" x14ac:dyDescent="0.2">
      <c r="A25" s="197" t="str">
        <f>Technologies!B28</f>
        <v>R1</v>
      </c>
      <c r="B25" s="197" t="str">
        <f>Technologies!C28</f>
        <v>SCDSH_N</v>
      </c>
      <c r="C25" s="197" t="str">
        <f>Technologies!D28</f>
        <v>Collector: DSH from REF_N</v>
      </c>
      <c r="D25" s="197" t="s">
        <v>215</v>
      </c>
      <c r="E25" s="197" t="str">
        <f t="shared" si="1"/>
        <v>DSH</v>
      </c>
      <c r="F25" s="197">
        <v>1</v>
      </c>
      <c r="G25" s="197"/>
      <c r="H25" s="197">
        <v>1E-3</v>
      </c>
      <c r="I25" s="197">
        <v>1E-3</v>
      </c>
      <c r="J25" s="197">
        <v>1E-3</v>
      </c>
      <c r="K25" s="197">
        <v>1E-3</v>
      </c>
      <c r="L25" s="197">
        <v>1E-3</v>
      </c>
      <c r="M25" s="197">
        <f t="shared" si="0"/>
        <v>1E-3</v>
      </c>
      <c r="N25" s="197"/>
      <c r="O25" s="197"/>
      <c r="P25" s="197"/>
      <c r="Q25" s="192"/>
      <c r="R25" s="192"/>
      <c r="S25" s="192"/>
      <c r="T25" s="192"/>
      <c r="U25" s="192"/>
      <c r="V25" s="192"/>
      <c r="W25" s="192"/>
      <c r="Z25" s="192"/>
    </row>
    <row r="26" spans="1:26" x14ac:dyDescent="0.2">
      <c r="A26" s="197" t="str">
        <f>Technologies!B29</f>
        <v>R1</v>
      </c>
      <c r="B26" s="197" t="str">
        <f>Technologies!C29</f>
        <v>SCRFL_N</v>
      </c>
      <c r="C26" s="197" t="str">
        <f>Technologies!D29</f>
        <v>Collector: RFL from REF_N</v>
      </c>
      <c r="D26" s="197" t="s">
        <v>216</v>
      </c>
      <c r="E26" s="197" t="str">
        <f t="shared" si="1"/>
        <v>RFL</v>
      </c>
      <c r="F26" s="197">
        <v>1</v>
      </c>
      <c r="G26" s="197"/>
      <c r="H26" s="197">
        <v>1E-3</v>
      </c>
      <c r="I26" s="197">
        <v>1E-3</v>
      </c>
      <c r="J26" s="197">
        <v>1E-3</v>
      </c>
      <c r="K26" s="197">
        <v>1E-3</v>
      </c>
      <c r="L26" s="197">
        <v>1E-3</v>
      </c>
      <c r="M26" s="197">
        <f t="shared" si="0"/>
        <v>1E-3</v>
      </c>
      <c r="N26" s="197"/>
      <c r="O26" s="197"/>
      <c r="P26" s="197"/>
      <c r="Q26" s="192"/>
      <c r="R26" s="192"/>
      <c r="S26" s="192"/>
      <c r="T26" s="192"/>
      <c r="U26" s="192"/>
      <c r="V26" s="192"/>
      <c r="W26" s="192"/>
      <c r="Z26" s="192"/>
    </row>
    <row r="27" spans="1:26" x14ac:dyDescent="0.2">
      <c r="A27" s="197" t="str">
        <f>Technologies!B30</f>
        <v>*R1</v>
      </c>
      <c r="B27" s="197" t="str">
        <f>Technologies!C30</f>
        <v>SCRFH_N</v>
      </c>
      <c r="C27" s="197" t="str">
        <f>Technologies!D30</f>
        <v>Collector: RFH from REF_N</v>
      </c>
      <c r="D27" s="197" t="s">
        <v>217</v>
      </c>
      <c r="E27" s="197" t="str">
        <f t="shared" si="1"/>
        <v>RFH</v>
      </c>
      <c r="F27" s="197">
        <v>1</v>
      </c>
      <c r="G27" s="197"/>
      <c r="H27" s="197">
        <v>1E-3</v>
      </c>
      <c r="I27" s="197">
        <v>1E-3</v>
      </c>
      <c r="J27" s="197">
        <v>1E-3</v>
      </c>
      <c r="K27" s="197">
        <v>1E-3</v>
      </c>
      <c r="L27" s="197">
        <v>1E-3</v>
      </c>
      <c r="M27" s="197">
        <f t="shared" si="0"/>
        <v>1E-3</v>
      </c>
      <c r="N27" s="197"/>
      <c r="O27" s="197"/>
      <c r="P27" s="197"/>
      <c r="Q27" s="192"/>
      <c r="R27" s="192"/>
      <c r="S27" s="192"/>
      <c r="T27" s="192"/>
      <c r="U27" s="192"/>
      <c r="V27" s="192"/>
      <c r="W27" s="192"/>
      <c r="Z27" s="192"/>
    </row>
    <row r="28" spans="1:26" x14ac:dyDescent="0.2">
      <c r="A28" s="197" t="str">
        <f>Technologies!B31</f>
        <v>*R1</v>
      </c>
      <c r="B28" s="197" t="str">
        <f>Technologies!C31</f>
        <v>SCKER_N</v>
      </c>
      <c r="C28" s="197" t="str">
        <f>Technologies!D31</f>
        <v>Collector: KER from REF_N</v>
      </c>
      <c r="D28" s="197" t="s">
        <v>218</v>
      </c>
      <c r="E28" s="197" t="str">
        <f t="shared" si="1"/>
        <v>KER</v>
      </c>
      <c r="F28" s="197">
        <v>1</v>
      </c>
      <c r="G28" s="197"/>
      <c r="H28" s="197">
        <v>1E-3</v>
      </c>
      <c r="I28" s="197">
        <v>1E-3</v>
      </c>
      <c r="J28" s="197">
        <v>1E-3</v>
      </c>
      <c r="K28" s="197">
        <v>1E-3</v>
      </c>
      <c r="L28" s="197">
        <v>1E-3</v>
      </c>
      <c r="M28" s="197">
        <f t="shared" si="0"/>
        <v>1E-3</v>
      </c>
      <c r="N28" s="197"/>
      <c r="O28" s="197"/>
      <c r="P28" s="197"/>
      <c r="Q28" s="192"/>
      <c r="R28" s="192"/>
      <c r="S28" s="192"/>
      <c r="T28" s="192"/>
      <c r="U28" s="192"/>
      <c r="V28" s="192"/>
      <c r="W28" s="192"/>
      <c r="Z28" s="192"/>
    </row>
    <row r="29" spans="1:26" x14ac:dyDescent="0.2">
      <c r="A29" s="197" t="str">
        <f>Technologies!B32</f>
        <v>*R1</v>
      </c>
      <c r="B29" s="197" t="str">
        <f>Technologies!C32</f>
        <v>SCPFS_N</v>
      </c>
      <c r="C29" s="197" t="str">
        <f>Technologies!D32</f>
        <v>Collector: PFS from REF_N</v>
      </c>
      <c r="D29" s="197" t="s">
        <v>219</v>
      </c>
      <c r="E29" s="197" t="str">
        <f t="shared" si="1"/>
        <v>PFS</v>
      </c>
      <c r="F29" s="197">
        <v>1</v>
      </c>
      <c r="G29" s="197"/>
      <c r="H29" s="197">
        <v>1E-3</v>
      </c>
      <c r="I29" s="197">
        <v>1E-3</v>
      </c>
      <c r="J29" s="197">
        <v>1E-3</v>
      </c>
      <c r="K29" s="197">
        <v>1E-3</v>
      </c>
      <c r="L29" s="197">
        <v>1E-3</v>
      </c>
      <c r="M29" s="197">
        <f t="shared" si="0"/>
        <v>1E-3</v>
      </c>
      <c r="N29" s="197"/>
      <c r="O29" s="197"/>
      <c r="P29" s="197"/>
      <c r="Q29" s="192"/>
      <c r="R29" s="192"/>
      <c r="S29" s="192"/>
      <c r="T29" s="192"/>
      <c r="U29" s="192"/>
      <c r="V29" s="192"/>
      <c r="W29" s="192"/>
      <c r="Z29" s="192"/>
    </row>
    <row r="30" spans="1:26" x14ac:dyDescent="0.2">
      <c r="A30" s="197" t="str">
        <f>Technologies!B33</f>
        <v>*R1</v>
      </c>
      <c r="B30" s="197" t="str">
        <f>Technologies!C33</f>
        <v>SCASP_N</v>
      </c>
      <c r="C30" s="197" t="str">
        <f>Technologies!D33</f>
        <v>Collector: ASP from REF_N</v>
      </c>
      <c r="D30" s="197" t="s">
        <v>220</v>
      </c>
      <c r="E30" s="197" t="str">
        <f t="shared" si="1"/>
        <v>ASP</v>
      </c>
      <c r="F30" s="197">
        <v>1</v>
      </c>
      <c r="G30" s="197"/>
      <c r="H30" s="197">
        <v>1E-3</v>
      </c>
      <c r="I30" s="197">
        <v>1E-3</v>
      </c>
      <c r="J30" s="197">
        <v>1E-3</v>
      </c>
      <c r="K30" s="197">
        <v>1E-3</v>
      </c>
      <c r="L30" s="197">
        <v>1E-3</v>
      </c>
      <c r="M30" s="197">
        <f t="shared" si="0"/>
        <v>1E-3</v>
      </c>
      <c r="N30" s="197"/>
      <c r="O30" s="197"/>
      <c r="P30" s="197"/>
      <c r="Q30" s="192"/>
      <c r="R30" s="192"/>
      <c r="S30" s="192"/>
      <c r="T30" s="192"/>
      <c r="U30" s="192"/>
      <c r="V30" s="192"/>
      <c r="W30" s="192"/>
      <c r="Z30" s="192"/>
    </row>
    <row r="31" spans="1:26" x14ac:dyDescent="0.2">
      <c r="A31" s="197" t="str">
        <f>Technologies!B34</f>
        <v>R1</v>
      </c>
      <c r="B31" s="197" t="str">
        <f>Technologies!C34</f>
        <v>SCDSL_N</v>
      </c>
      <c r="C31" s="197" t="str">
        <f>Technologies!D34</f>
        <v>Collector: DSL from REF_N</v>
      </c>
      <c r="D31" s="197" t="s">
        <v>221</v>
      </c>
      <c r="E31" s="197" t="str">
        <f t="shared" si="1"/>
        <v>DSL</v>
      </c>
      <c r="F31" s="197">
        <v>1</v>
      </c>
      <c r="G31" s="197"/>
      <c r="H31" s="197">
        <v>1E-3</v>
      </c>
      <c r="I31" s="197">
        <v>1E-3</v>
      </c>
      <c r="J31" s="197">
        <v>1E-3</v>
      </c>
      <c r="K31" s="197">
        <v>1E-3</v>
      </c>
      <c r="L31" s="197">
        <v>1E-3</v>
      </c>
      <c r="M31" s="197">
        <f t="shared" si="0"/>
        <v>1E-3</v>
      </c>
      <c r="N31" s="197"/>
      <c r="O31" s="197"/>
      <c r="P31" s="197"/>
      <c r="Q31" s="192"/>
      <c r="R31" s="192"/>
      <c r="S31" s="192"/>
      <c r="T31" s="192"/>
      <c r="U31" s="192"/>
      <c r="V31" s="192"/>
      <c r="W31" s="192"/>
      <c r="Z31" s="192"/>
    </row>
    <row r="32" spans="1:26" x14ac:dyDescent="0.2">
      <c r="A32" s="197" t="str">
        <f>Technologies!B35</f>
        <v>R1</v>
      </c>
      <c r="B32" s="197" t="str">
        <f>Technologies!C35</f>
        <v>SCDSU_N</v>
      </c>
      <c r="C32" s="197" t="str">
        <f>Technologies!D35</f>
        <v>Collector: DSU from REF_N</v>
      </c>
      <c r="D32" s="197" t="s">
        <v>222</v>
      </c>
      <c r="E32" s="197" t="str">
        <f t="shared" si="1"/>
        <v>DSU</v>
      </c>
      <c r="F32" s="197">
        <v>1</v>
      </c>
      <c r="G32" s="197"/>
      <c r="H32" s="197">
        <v>1E-3</v>
      </c>
      <c r="I32" s="197">
        <v>1E-3</v>
      </c>
      <c r="J32" s="197">
        <v>1E-3</v>
      </c>
      <c r="K32" s="197">
        <v>1E-3</v>
      </c>
      <c r="L32" s="197">
        <v>1E-3</v>
      </c>
      <c r="M32" s="197">
        <f t="shared" si="0"/>
        <v>1E-3</v>
      </c>
      <c r="N32" s="197"/>
      <c r="O32" s="197"/>
      <c r="P32" s="197"/>
      <c r="Q32" s="192"/>
      <c r="R32" s="192"/>
      <c r="S32" s="192"/>
      <c r="T32" s="192"/>
      <c r="U32" s="192"/>
      <c r="V32" s="192"/>
      <c r="W32" s="192"/>
      <c r="Z32" s="192"/>
    </row>
    <row r="33" spans="1:26" x14ac:dyDescent="0.2">
      <c r="A33" s="197" t="str">
        <f>Technologies!B36</f>
        <v>*R1</v>
      </c>
      <c r="B33" s="197" t="str">
        <f>Technologies!C36</f>
        <v>SCPTC_N</v>
      </c>
      <c r="C33" s="197" t="str">
        <f>Technologies!D36</f>
        <v>Collector: PTC from REF_N</v>
      </c>
      <c r="D33" s="197" t="s">
        <v>223</v>
      </c>
      <c r="E33" s="197" t="str">
        <f t="shared" si="1"/>
        <v>PTC</v>
      </c>
      <c r="F33" s="197">
        <v>1</v>
      </c>
      <c r="G33" s="197"/>
      <c r="H33" s="197">
        <v>1E-3</v>
      </c>
      <c r="I33" s="197">
        <v>1E-3</v>
      </c>
      <c r="J33" s="197">
        <v>1E-3</v>
      </c>
      <c r="K33" s="197">
        <v>1E-3</v>
      </c>
      <c r="L33" s="197">
        <v>1E-3</v>
      </c>
      <c r="M33" s="197">
        <f t="shared" si="0"/>
        <v>1E-3</v>
      </c>
      <c r="N33" s="197"/>
      <c r="O33" s="197"/>
      <c r="P33" s="197"/>
      <c r="Q33" s="192"/>
      <c r="R33" s="192"/>
      <c r="S33" s="192"/>
      <c r="T33" s="192"/>
      <c r="U33" s="192"/>
      <c r="V33" s="192"/>
      <c r="W33" s="192"/>
      <c r="Z33" s="192"/>
    </row>
    <row r="34" spans="1:26" x14ac:dyDescent="0.2">
      <c r="A34" s="197" t="str">
        <f>Technologies!B37</f>
        <v>*R1</v>
      </c>
      <c r="B34" s="197" t="str">
        <f>Technologies!C37</f>
        <v>SCDLG_N</v>
      </c>
      <c r="C34" s="197" t="str">
        <f>Technologies!D37</f>
        <v>Collector: DLG from REF_N</v>
      </c>
      <c r="D34" s="197" t="s">
        <v>386</v>
      </c>
      <c r="E34" s="197" t="str">
        <f t="shared" si="1"/>
        <v>DLG</v>
      </c>
      <c r="F34" s="197">
        <v>1</v>
      </c>
      <c r="G34" s="197"/>
      <c r="H34" s="197">
        <v>1E-3</v>
      </c>
      <c r="I34" s="197">
        <v>1E-3</v>
      </c>
      <c r="J34" s="197">
        <v>1E-3</v>
      </c>
      <c r="K34" s="197">
        <v>1E-3</v>
      </c>
      <c r="L34" s="197">
        <v>1E-3</v>
      </c>
      <c r="M34" s="197">
        <f t="shared" si="0"/>
        <v>1E-3</v>
      </c>
      <c r="N34" s="197"/>
      <c r="O34" s="197"/>
      <c r="P34" s="197"/>
      <c r="Q34" s="192"/>
      <c r="R34" s="192"/>
      <c r="S34" s="192"/>
      <c r="T34" s="192"/>
      <c r="U34" s="192"/>
      <c r="V34" s="192"/>
      <c r="W34" s="192"/>
      <c r="Z34" s="192"/>
    </row>
    <row r="35" spans="1:26" x14ac:dyDescent="0.2">
      <c r="A35" s="197" t="str">
        <f>Technologies!B38</f>
        <v>*R1</v>
      </c>
      <c r="B35" s="197" t="str">
        <f>Technologies!C38</f>
        <v>SCLPG_L</v>
      </c>
      <c r="C35" s="197" t="str">
        <f>Technologies!D38</f>
        <v>Collector: LPG from REF_L</v>
      </c>
      <c r="D35" s="197" t="s">
        <v>396</v>
      </c>
      <c r="E35" s="197" t="str">
        <f t="shared" si="1"/>
        <v>LPG</v>
      </c>
      <c r="F35" s="197">
        <v>1</v>
      </c>
      <c r="G35" s="197"/>
      <c r="H35" s="197">
        <v>1E-3</v>
      </c>
      <c r="I35" s="197">
        <v>1E-3</v>
      </c>
      <c r="J35" s="197">
        <v>1E-3</v>
      </c>
      <c r="K35" s="197">
        <v>1E-3</v>
      </c>
      <c r="L35" s="197">
        <v>1E-3</v>
      </c>
      <c r="M35" s="197">
        <f t="shared" si="0"/>
        <v>1E-3</v>
      </c>
      <c r="N35" s="197"/>
      <c r="O35" s="197"/>
      <c r="P35" s="197"/>
      <c r="Q35" s="192"/>
      <c r="R35" s="192"/>
      <c r="S35" s="192"/>
      <c r="T35" s="192"/>
      <c r="U35" s="192"/>
      <c r="V35" s="192"/>
      <c r="W35" s="192"/>
      <c r="Z35" s="192"/>
    </row>
    <row r="36" spans="1:26" x14ac:dyDescent="0.2">
      <c r="A36" s="197" t="str">
        <f>Technologies!B39</f>
        <v>R1</v>
      </c>
      <c r="B36" s="197" t="str">
        <f>Technologies!C39</f>
        <v>SCGSC_L</v>
      </c>
      <c r="C36" s="197" t="str">
        <f>Technologies!D39</f>
        <v>Collector: GSC from REF_L</v>
      </c>
      <c r="D36" s="197" t="s">
        <v>399</v>
      </c>
      <c r="E36" s="197" t="str">
        <f t="shared" si="1"/>
        <v>GSC</v>
      </c>
      <c r="F36" s="197">
        <v>1</v>
      </c>
      <c r="G36" s="197"/>
      <c r="H36" s="197">
        <v>1E-3</v>
      </c>
      <c r="I36" s="197">
        <v>1E-3</v>
      </c>
      <c r="J36" s="197">
        <v>1E-3</v>
      </c>
      <c r="K36" s="197">
        <v>1E-3</v>
      </c>
      <c r="L36" s="197">
        <v>1E-3</v>
      </c>
      <c r="M36" s="197">
        <f t="shared" si="0"/>
        <v>1E-3</v>
      </c>
      <c r="N36" s="197"/>
      <c r="O36" s="197"/>
      <c r="P36" s="197"/>
      <c r="Q36" s="192"/>
      <c r="R36" s="192"/>
      <c r="S36" s="192"/>
      <c r="T36" s="192"/>
      <c r="U36" s="192"/>
      <c r="V36" s="192"/>
      <c r="W36" s="192"/>
      <c r="Z36" s="192"/>
    </row>
    <row r="37" spans="1:26" x14ac:dyDescent="0.2">
      <c r="A37" s="197" t="str">
        <f>Technologies!B40</f>
        <v>R1</v>
      </c>
      <c r="B37" s="197" t="str">
        <f>Technologies!C40</f>
        <v>SCGSR_L</v>
      </c>
      <c r="C37" s="197" t="str">
        <f>Technologies!D40</f>
        <v>Collector: GSR from REF_L</v>
      </c>
      <c r="D37" s="197" t="s">
        <v>402</v>
      </c>
      <c r="E37" s="197" t="str">
        <f t="shared" si="1"/>
        <v>GSR</v>
      </c>
      <c r="F37" s="197">
        <v>1</v>
      </c>
      <c r="G37" s="197"/>
      <c r="H37" s="197">
        <v>1E-3</v>
      </c>
      <c r="I37" s="197">
        <v>1E-3</v>
      </c>
      <c r="J37" s="197">
        <v>1E-3</v>
      </c>
      <c r="K37" s="197">
        <v>1E-3</v>
      </c>
      <c r="L37" s="197">
        <v>1E-3</v>
      </c>
      <c r="M37" s="197">
        <f t="shared" si="0"/>
        <v>1E-3</v>
      </c>
      <c r="N37" s="197"/>
      <c r="O37" s="197"/>
      <c r="P37" s="197"/>
      <c r="Q37" s="192"/>
      <c r="R37" s="192"/>
      <c r="S37" s="192"/>
      <c r="T37" s="192"/>
      <c r="U37" s="192"/>
      <c r="V37" s="192"/>
      <c r="W37" s="192"/>
      <c r="Z37" s="192"/>
    </row>
    <row r="38" spans="1:26" x14ac:dyDescent="0.2">
      <c r="A38" s="197" t="str">
        <f>Technologies!B41</f>
        <v>*R1</v>
      </c>
      <c r="B38" s="197" t="str">
        <f>Technologies!C41</f>
        <v>SCJTF_L</v>
      </c>
      <c r="C38" s="197" t="str">
        <f>Technologies!D41</f>
        <v>Collector: JTF from REF_L</v>
      </c>
      <c r="D38" s="197" t="s">
        <v>405</v>
      </c>
      <c r="E38" s="197" t="str">
        <f t="shared" si="1"/>
        <v>JTF</v>
      </c>
      <c r="F38" s="197">
        <v>1</v>
      </c>
      <c r="G38" s="197"/>
      <c r="H38" s="197">
        <v>1E-3</v>
      </c>
      <c r="I38" s="197">
        <v>1E-3</v>
      </c>
      <c r="J38" s="197">
        <v>1E-3</v>
      </c>
      <c r="K38" s="197">
        <v>1E-3</v>
      </c>
      <c r="L38" s="197">
        <v>1E-3</v>
      </c>
      <c r="M38" s="197">
        <f t="shared" si="0"/>
        <v>1E-3</v>
      </c>
      <c r="N38" s="197"/>
      <c r="O38" s="197"/>
      <c r="P38" s="197"/>
      <c r="Q38" s="192"/>
      <c r="R38" s="192"/>
      <c r="S38" s="192"/>
      <c r="T38" s="192"/>
      <c r="U38" s="192"/>
      <c r="V38" s="192"/>
      <c r="W38" s="192"/>
      <c r="Z38" s="192"/>
    </row>
    <row r="39" spans="1:26" x14ac:dyDescent="0.2">
      <c r="A39" s="197" t="str">
        <f>Technologies!B42</f>
        <v>R1</v>
      </c>
      <c r="B39" s="197" t="str">
        <f>Technologies!C42</f>
        <v>SCDSH_L</v>
      </c>
      <c r="C39" s="197" t="str">
        <f>Technologies!D42</f>
        <v>Collector: DSH from REF_L</v>
      </c>
      <c r="D39" s="197" t="s">
        <v>408</v>
      </c>
      <c r="E39" s="197" t="str">
        <f t="shared" si="1"/>
        <v>DSH</v>
      </c>
      <c r="F39" s="197">
        <v>1</v>
      </c>
      <c r="G39" s="197"/>
      <c r="H39" s="197">
        <v>1E-3</v>
      </c>
      <c r="I39" s="197">
        <v>1E-3</v>
      </c>
      <c r="J39" s="197">
        <v>1E-3</v>
      </c>
      <c r="K39" s="197">
        <v>1E-3</v>
      </c>
      <c r="L39" s="197">
        <v>1E-3</v>
      </c>
      <c r="M39" s="197">
        <f t="shared" si="0"/>
        <v>1E-3</v>
      </c>
      <c r="N39" s="197"/>
      <c r="O39" s="197"/>
      <c r="P39" s="197"/>
      <c r="Q39" s="192"/>
      <c r="R39" s="192"/>
      <c r="S39" s="192"/>
      <c r="T39" s="192"/>
      <c r="U39" s="192"/>
      <c r="V39" s="192"/>
      <c r="W39" s="192"/>
      <c r="Z39" s="192"/>
    </row>
    <row r="40" spans="1:26" x14ac:dyDescent="0.2">
      <c r="A40" s="197" t="str">
        <f>Technologies!B43</f>
        <v>R1</v>
      </c>
      <c r="B40" s="197" t="str">
        <f>Technologies!C43</f>
        <v>SCRFL_L</v>
      </c>
      <c r="C40" s="197" t="str">
        <f>Technologies!D43</f>
        <v>Collector: RFL from REF_L</v>
      </c>
      <c r="D40" s="197" t="s">
        <v>411</v>
      </c>
      <c r="E40" s="197" t="str">
        <f t="shared" si="1"/>
        <v>RFL</v>
      </c>
      <c r="F40" s="197">
        <v>1</v>
      </c>
      <c r="G40" s="197"/>
      <c r="H40" s="197">
        <v>1E-3</v>
      </c>
      <c r="I40" s="197">
        <v>1E-3</v>
      </c>
      <c r="J40" s="197">
        <v>1E-3</v>
      </c>
      <c r="K40" s="197">
        <v>1E-3</v>
      </c>
      <c r="L40" s="197">
        <v>1E-3</v>
      </c>
      <c r="M40" s="197">
        <f t="shared" si="0"/>
        <v>1E-3</v>
      </c>
      <c r="N40" s="197"/>
      <c r="O40" s="197"/>
      <c r="P40" s="197"/>
      <c r="Q40" s="192"/>
      <c r="R40" s="192"/>
      <c r="S40" s="192"/>
      <c r="T40" s="192"/>
      <c r="U40" s="192"/>
      <c r="V40" s="192"/>
      <c r="W40" s="192"/>
      <c r="Z40" s="192"/>
    </row>
    <row r="41" spans="1:26" x14ac:dyDescent="0.2">
      <c r="A41" s="197" t="str">
        <f>Technologies!B44</f>
        <v>*R1</v>
      </c>
      <c r="B41" s="197" t="str">
        <f>Technologies!C44</f>
        <v>SCRFH_L</v>
      </c>
      <c r="C41" s="197" t="str">
        <f>Technologies!D44</f>
        <v>Collector: RFH from REF_L</v>
      </c>
      <c r="D41" s="197" t="s">
        <v>414</v>
      </c>
      <c r="E41" s="197" t="str">
        <f t="shared" si="1"/>
        <v>RFH</v>
      </c>
      <c r="F41" s="197">
        <v>1</v>
      </c>
      <c r="G41" s="197"/>
      <c r="H41" s="197">
        <v>1E-3</v>
      </c>
      <c r="I41" s="197">
        <v>1E-3</v>
      </c>
      <c r="J41" s="197">
        <v>1E-3</v>
      </c>
      <c r="K41" s="197">
        <v>1E-3</v>
      </c>
      <c r="L41" s="197">
        <v>1E-3</v>
      </c>
      <c r="M41" s="197">
        <f t="shared" si="0"/>
        <v>1E-3</v>
      </c>
      <c r="N41" s="197"/>
      <c r="O41" s="197"/>
      <c r="P41" s="197"/>
      <c r="Q41" s="192"/>
      <c r="R41" s="192"/>
      <c r="S41" s="192"/>
      <c r="T41" s="192"/>
      <c r="U41" s="192"/>
      <c r="V41" s="192"/>
      <c r="W41" s="192"/>
      <c r="Z41" s="192"/>
    </row>
    <row r="42" spans="1:26" x14ac:dyDescent="0.2">
      <c r="A42" s="197" t="str">
        <f>Technologies!B45</f>
        <v>*R1</v>
      </c>
      <c r="B42" s="197" t="str">
        <f>Technologies!C45</f>
        <v>SCKER_L</v>
      </c>
      <c r="C42" s="197" t="str">
        <f>Technologies!D45</f>
        <v>Collector: KER from REF_L</v>
      </c>
      <c r="D42" s="197" t="s">
        <v>417</v>
      </c>
      <c r="E42" s="197" t="str">
        <f t="shared" si="1"/>
        <v>KER</v>
      </c>
      <c r="F42" s="197">
        <v>1</v>
      </c>
      <c r="G42" s="197"/>
      <c r="H42" s="197">
        <v>1E-3</v>
      </c>
      <c r="I42" s="197">
        <v>1E-3</v>
      </c>
      <c r="J42" s="197">
        <v>1E-3</v>
      </c>
      <c r="K42" s="197">
        <v>1E-3</v>
      </c>
      <c r="L42" s="197">
        <v>1E-3</v>
      </c>
      <c r="M42" s="197">
        <f t="shared" si="0"/>
        <v>1E-3</v>
      </c>
      <c r="N42" s="197"/>
      <c r="O42" s="197"/>
      <c r="P42" s="197"/>
      <c r="Q42" s="192"/>
      <c r="R42" s="192"/>
      <c r="S42" s="192"/>
      <c r="T42" s="192"/>
      <c r="U42" s="192"/>
      <c r="V42" s="192"/>
      <c r="W42" s="192"/>
      <c r="Z42" s="192"/>
    </row>
    <row r="43" spans="1:26" x14ac:dyDescent="0.2">
      <c r="A43" s="197" t="str">
        <f>Technologies!B46</f>
        <v>*R1</v>
      </c>
      <c r="B43" s="197" t="str">
        <f>Technologies!C46</f>
        <v>SCPFS_L</v>
      </c>
      <c r="C43" s="197" t="str">
        <f>Technologies!D46</f>
        <v>Collector: PFS from REF_L</v>
      </c>
      <c r="D43" s="197" t="s">
        <v>420</v>
      </c>
      <c r="E43" s="197" t="str">
        <f t="shared" si="1"/>
        <v>PFS</v>
      </c>
      <c r="F43" s="197">
        <v>1</v>
      </c>
      <c r="G43" s="197"/>
      <c r="H43" s="197">
        <v>1E-3</v>
      </c>
      <c r="I43" s="197">
        <v>1E-3</v>
      </c>
      <c r="J43" s="197">
        <v>1E-3</v>
      </c>
      <c r="K43" s="197">
        <v>1E-3</v>
      </c>
      <c r="L43" s="197">
        <v>1E-3</v>
      </c>
      <c r="M43" s="197">
        <f t="shared" si="0"/>
        <v>1E-3</v>
      </c>
      <c r="N43" s="197"/>
      <c r="O43" s="197"/>
      <c r="P43" s="197"/>
      <c r="Q43" s="192"/>
      <c r="R43" s="192"/>
      <c r="S43" s="192"/>
      <c r="T43" s="192"/>
      <c r="U43" s="192"/>
      <c r="V43" s="192"/>
      <c r="W43" s="192"/>
      <c r="Z43" s="192"/>
    </row>
    <row r="44" spans="1:26" x14ac:dyDescent="0.2">
      <c r="A44" s="197" t="str">
        <f>Technologies!B47</f>
        <v>*R1</v>
      </c>
      <c r="B44" s="197" t="str">
        <f>Technologies!C47</f>
        <v>SCASP_L</v>
      </c>
      <c r="C44" s="197" t="str">
        <f>Technologies!D47</f>
        <v>Collector: ASP from REF_L</v>
      </c>
      <c r="D44" s="197" t="s">
        <v>423</v>
      </c>
      <c r="E44" s="197" t="str">
        <f t="shared" si="1"/>
        <v>ASP</v>
      </c>
      <c r="F44" s="197">
        <v>1</v>
      </c>
      <c r="G44" s="197"/>
      <c r="H44" s="197">
        <v>1E-3</v>
      </c>
      <c r="I44" s="197">
        <v>1E-3</v>
      </c>
      <c r="J44" s="197">
        <v>1E-3</v>
      </c>
      <c r="K44" s="197">
        <v>1E-3</v>
      </c>
      <c r="L44" s="197">
        <v>1E-3</v>
      </c>
      <c r="M44" s="197">
        <f t="shared" si="0"/>
        <v>1E-3</v>
      </c>
      <c r="N44" s="197"/>
      <c r="O44" s="197"/>
      <c r="P44" s="197"/>
      <c r="Q44" s="192"/>
      <c r="R44" s="192"/>
      <c r="S44" s="192"/>
      <c r="T44" s="192"/>
      <c r="U44" s="192"/>
      <c r="V44" s="192"/>
      <c r="W44" s="192"/>
      <c r="Z44" s="192"/>
    </row>
    <row r="45" spans="1:26" x14ac:dyDescent="0.2">
      <c r="A45" s="197" t="str">
        <f>Technologies!B48</f>
        <v>R1</v>
      </c>
      <c r="B45" s="197" t="str">
        <f>Technologies!C48</f>
        <v>SCDSL_L</v>
      </c>
      <c r="C45" s="197" t="str">
        <f>Technologies!D48</f>
        <v>Collector: DSL from REF_L</v>
      </c>
      <c r="D45" s="197" t="s">
        <v>426</v>
      </c>
      <c r="E45" s="197" t="str">
        <f t="shared" si="1"/>
        <v>DSL</v>
      </c>
      <c r="F45" s="197">
        <v>1</v>
      </c>
      <c r="G45" s="197"/>
      <c r="H45" s="197">
        <v>1E-3</v>
      </c>
      <c r="I45" s="197">
        <v>1E-3</v>
      </c>
      <c r="J45" s="197">
        <v>1E-3</v>
      </c>
      <c r="K45" s="197">
        <v>1E-3</v>
      </c>
      <c r="L45" s="197">
        <v>1E-3</v>
      </c>
      <c r="M45" s="197">
        <f t="shared" si="0"/>
        <v>1E-3</v>
      </c>
      <c r="N45" s="197"/>
      <c r="O45" s="197"/>
      <c r="P45" s="197"/>
      <c r="Q45" s="192"/>
      <c r="R45" s="192"/>
      <c r="S45" s="192"/>
      <c r="T45" s="192"/>
      <c r="U45" s="192"/>
      <c r="V45" s="192"/>
      <c r="W45" s="192"/>
      <c r="Z45" s="192"/>
    </row>
    <row r="46" spans="1:26" x14ac:dyDescent="0.2">
      <c r="A46" s="197" t="str">
        <f>Technologies!B49</f>
        <v>R1</v>
      </c>
      <c r="B46" s="197" t="str">
        <f>Technologies!C49</f>
        <v>SCDSU_L</v>
      </c>
      <c r="C46" s="197" t="str">
        <f>Technologies!D49</f>
        <v>Collector: DSU from REF_L</v>
      </c>
      <c r="D46" s="197" t="s">
        <v>429</v>
      </c>
      <c r="E46" s="197" t="str">
        <f t="shared" si="1"/>
        <v>DSU</v>
      </c>
      <c r="F46" s="197">
        <v>1</v>
      </c>
      <c r="G46" s="197"/>
      <c r="H46" s="197">
        <v>1E-3</v>
      </c>
      <c r="I46" s="197">
        <v>1E-3</v>
      </c>
      <c r="J46" s="197">
        <v>1E-3</v>
      </c>
      <c r="K46" s="197">
        <v>1E-3</v>
      </c>
      <c r="L46" s="197">
        <v>1E-3</v>
      </c>
      <c r="M46" s="197">
        <f t="shared" si="0"/>
        <v>1E-3</v>
      </c>
      <c r="N46" s="197"/>
      <c r="O46" s="197"/>
      <c r="P46" s="197"/>
      <c r="Q46" s="192"/>
      <c r="R46" s="192"/>
      <c r="S46" s="192"/>
      <c r="T46" s="192"/>
      <c r="U46" s="192"/>
      <c r="V46" s="192"/>
      <c r="W46" s="192"/>
      <c r="Z46" s="192"/>
    </row>
    <row r="47" spans="1:26" x14ac:dyDescent="0.2">
      <c r="A47" s="197" t="str">
        <f>Technologies!B50</f>
        <v>*R1</v>
      </c>
      <c r="B47" s="197" t="str">
        <f>Technologies!C50</f>
        <v>SCPTC_L</v>
      </c>
      <c r="C47" s="197" t="str">
        <f>Technologies!D50</f>
        <v>Collector: PTC from REF_L</v>
      </c>
      <c r="D47" s="197" t="s">
        <v>432</v>
      </c>
      <c r="E47" s="197" t="str">
        <f t="shared" si="1"/>
        <v>PTC</v>
      </c>
      <c r="F47" s="197">
        <v>1</v>
      </c>
      <c r="G47" s="197"/>
      <c r="H47" s="197">
        <v>1E-3</v>
      </c>
      <c r="I47" s="197">
        <v>1E-3</v>
      </c>
      <c r="J47" s="197">
        <v>1E-3</v>
      </c>
      <c r="K47" s="197">
        <v>1E-3</v>
      </c>
      <c r="L47" s="197">
        <v>1E-3</v>
      </c>
      <c r="M47" s="197">
        <f t="shared" si="0"/>
        <v>1E-3</v>
      </c>
      <c r="N47" s="197"/>
      <c r="O47" s="197"/>
      <c r="P47" s="197"/>
      <c r="Q47" s="192"/>
      <c r="R47" s="192"/>
      <c r="S47" s="192"/>
      <c r="T47" s="192"/>
      <c r="U47" s="192"/>
      <c r="V47" s="192"/>
      <c r="W47" s="192"/>
      <c r="Z47" s="192"/>
    </row>
    <row r="48" spans="1:26" x14ac:dyDescent="0.2">
      <c r="D48" s="192"/>
      <c r="E48" s="192"/>
      <c r="F48" s="192"/>
      <c r="G48" s="192"/>
      <c r="H48" s="192"/>
      <c r="I48" s="192"/>
      <c r="J48" s="192"/>
      <c r="K48" s="192"/>
      <c r="L48" s="192"/>
      <c r="M48" s="192"/>
      <c r="N48" s="192"/>
      <c r="O48" s="192"/>
      <c r="P48" s="192"/>
      <c r="Q48" s="192"/>
      <c r="R48" s="192"/>
      <c r="S48" s="192"/>
      <c r="T48" s="192"/>
      <c r="U48" s="192"/>
      <c r="V48" s="192"/>
      <c r="W48" s="192"/>
      <c r="Z48" s="192"/>
    </row>
    <row r="49" spans="1:38" x14ac:dyDescent="0.2">
      <c r="D49" s="192"/>
      <c r="E49" s="192"/>
      <c r="F49" s="192"/>
      <c r="G49" s="192"/>
      <c r="H49" s="192"/>
      <c r="I49" s="192"/>
      <c r="J49" s="192"/>
      <c r="K49" s="192"/>
      <c r="L49" s="192"/>
      <c r="M49" s="192"/>
      <c r="N49" s="192"/>
      <c r="O49" s="192"/>
      <c r="P49" s="192"/>
      <c r="Q49" s="192"/>
      <c r="R49" s="192"/>
      <c r="S49" s="192"/>
      <c r="T49" s="192"/>
      <c r="U49" s="192"/>
      <c r="V49" s="192"/>
      <c r="W49" s="192"/>
      <c r="Z49" s="192"/>
    </row>
    <row r="50" spans="1:38" x14ac:dyDescent="0.2">
      <c r="D50" s="192"/>
      <c r="E50" s="192"/>
      <c r="F50" s="192"/>
      <c r="G50" s="192"/>
      <c r="H50" s="192"/>
      <c r="I50" s="192"/>
      <c r="J50" s="192"/>
      <c r="K50" s="192"/>
      <c r="L50" s="192"/>
      <c r="M50" s="192"/>
      <c r="N50" s="192"/>
      <c r="O50" s="192"/>
      <c r="P50" s="192"/>
      <c r="Q50" s="192"/>
      <c r="R50" s="192"/>
      <c r="S50" s="192"/>
      <c r="T50" s="192"/>
      <c r="U50" s="192"/>
      <c r="V50" s="192"/>
      <c r="W50" s="192"/>
      <c r="Z50" s="192"/>
    </row>
    <row r="51" spans="1:38" x14ac:dyDescent="0.2">
      <c r="D51" s="192"/>
      <c r="E51" s="192"/>
      <c r="F51" s="192"/>
      <c r="G51" s="192"/>
      <c r="H51" s="192"/>
      <c r="I51" s="192"/>
      <c r="J51" s="192"/>
      <c r="K51" s="192"/>
      <c r="L51" s="192"/>
      <c r="M51" s="192"/>
      <c r="N51" s="192"/>
      <c r="O51" s="192"/>
      <c r="P51" s="192"/>
      <c r="Q51" s="192"/>
      <c r="R51" s="192"/>
      <c r="S51" s="192"/>
      <c r="T51" s="192"/>
      <c r="U51" s="192"/>
      <c r="V51" s="192"/>
      <c r="W51" s="192"/>
      <c r="Z51" s="192"/>
    </row>
    <row r="52" spans="1:38" x14ac:dyDescent="0.2">
      <c r="E52" s="211" t="s">
        <v>924</v>
      </c>
    </row>
    <row r="53" spans="1:38" x14ac:dyDescent="0.2">
      <c r="A53" s="196" t="s">
        <v>382</v>
      </c>
      <c r="B53" s="196" t="s">
        <v>24</v>
      </c>
      <c r="C53" s="196" t="s">
        <v>908</v>
      </c>
      <c r="D53" s="196" t="s">
        <v>27</v>
      </c>
      <c r="E53" s="196" t="s">
        <v>28</v>
      </c>
      <c r="F53" s="196" t="s">
        <v>925</v>
      </c>
      <c r="G53" s="196" t="s">
        <v>932</v>
      </c>
      <c r="H53" s="196" t="s">
        <v>933</v>
      </c>
      <c r="I53" s="196" t="s">
        <v>932</v>
      </c>
      <c r="J53" s="196" t="s">
        <v>933</v>
      </c>
      <c r="K53" s="196" t="s">
        <v>926</v>
      </c>
      <c r="L53" s="196" t="s">
        <v>931</v>
      </c>
      <c r="M53" s="196" t="s">
        <v>912</v>
      </c>
      <c r="N53" s="196" t="s">
        <v>913</v>
      </c>
      <c r="O53" s="196" t="s">
        <v>914</v>
      </c>
      <c r="P53" s="196" t="s">
        <v>915</v>
      </c>
      <c r="Q53" s="196" t="s">
        <v>916</v>
      </c>
      <c r="R53" s="196" t="s">
        <v>917</v>
      </c>
      <c r="S53" s="196" t="s">
        <v>918</v>
      </c>
      <c r="T53" s="196" t="s">
        <v>919</v>
      </c>
      <c r="U53" s="196" t="s">
        <v>920</v>
      </c>
      <c r="V53" s="196" t="s">
        <v>921</v>
      </c>
      <c r="W53" s="196" t="s">
        <v>922</v>
      </c>
      <c r="X53" s="196" t="s">
        <v>927</v>
      </c>
      <c r="Y53" s="196" t="s">
        <v>928</v>
      </c>
      <c r="Z53" s="192"/>
      <c r="AA53" s="196" t="s">
        <v>909</v>
      </c>
      <c r="AB53" s="196" t="s">
        <v>910</v>
      </c>
      <c r="AD53" s="205" t="s">
        <v>298</v>
      </c>
      <c r="AK53" s="13"/>
    </row>
    <row r="54" spans="1:38" x14ac:dyDescent="0.2">
      <c r="A54" s="197" t="s">
        <v>115</v>
      </c>
      <c r="B54" s="197" t="str">
        <f>Technologies!C8</f>
        <v>PREFE</v>
      </c>
      <c r="C54" s="197" t="str">
        <f>Technologies!D8</f>
        <v>Refinery-existing conversion</v>
      </c>
      <c r="D54" s="197" t="str">
        <f>Commodities!C74</f>
        <v>OIL</v>
      </c>
      <c r="E54" s="197"/>
      <c r="F54" s="216">
        <f>SUM(AB58:AB64)/SUM(AA54:AA57)</f>
        <v>0.92083406350810104</v>
      </c>
      <c r="G54" s="216">
        <f>AA54/SUM(AA$54:AA$57)</f>
        <v>0.95569213531282438</v>
      </c>
      <c r="H54" s="216">
        <f>G54</f>
        <v>0.95569213531282438</v>
      </c>
      <c r="I54" s="216"/>
      <c r="J54" s="216"/>
      <c r="K54" s="197">
        <v>2010</v>
      </c>
      <c r="L54" s="197">
        <v>40</v>
      </c>
      <c r="M54" s="197">
        <v>1</v>
      </c>
      <c r="N54" s="197">
        <v>1</v>
      </c>
      <c r="O54" s="197"/>
      <c r="P54" s="197">
        <v>0.1289873645020293</v>
      </c>
      <c r="Q54" s="197">
        <v>0.14403589036059938</v>
      </c>
      <c r="R54" s="197">
        <v>0.14704559553231339</v>
      </c>
      <c r="S54" s="197">
        <v>0.1483354691773337</v>
      </c>
      <c r="T54" s="197">
        <v>0.14145614307055882</v>
      </c>
      <c r="U54" s="197">
        <f t="shared" si="0"/>
        <v>0.14145614307055882</v>
      </c>
      <c r="V54" s="197">
        <f>RESID!K21</f>
        <v>2074.6654545209508</v>
      </c>
      <c r="W54" s="197">
        <f>V54</f>
        <v>2074.6654545209508</v>
      </c>
      <c r="X54" s="197">
        <f>0.1*V54</f>
        <v>207.46654545209509</v>
      </c>
      <c r="Y54" s="197">
        <f>X54</f>
        <v>207.46654545209509</v>
      </c>
      <c r="Z54" s="192"/>
      <c r="AA54" s="216">
        <f>EPAUS9RTechData!G50</f>
        <v>1.0378548895899056</v>
      </c>
      <c r="AB54" s="197"/>
      <c r="AD54" s="192">
        <v>0</v>
      </c>
      <c r="AE54" s="197"/>
      <c r="AF54" s="197"/>
      <c r="AG54" s="217"/>
      <c r="AK54" s="13"/>
    </row>
    <row r="55" spans="1:38" x14ac:dyDescent="0.2">
      <c r="A55" s="197" t="str">
        <f>A54</f>
        <v>R1</v>
      </c>
      <c r="B55" s="197"/>
      <c r="C55" s="197"/>
      <c r="D55" s="197" t="str">
        <f>Commodities!C75</f>
        <v>NGA</v>
      </c>
      <c r="E55" s="197"/>
      <c r="F55" s="197"/>
      <c r="G55" s="216">
        <f t="shared" ref="G55:G57" si="2">AA55/SUM(AA$54:AA$57)</f>
        <v>3.9891907924006001E-2</v>
      </c>
      <c r="H55" s="216">
        <f t="shared" ref="H55:H57" si="3">G55</f>
        <v>3.9891907924006001E-2</v>
      </c>
      <c r="I55" s="216"/>
      <c r="J55" s="216"/>
      <c r="K55" s="197"/>
      <c r="L55" s="197"/>
      <c r="M55" s="197"/>
      <c r="N55" s="197"/>
      <c r="O55" s="197"/>
      <c r="P55" s="197"/>
      <c r="Q55" s="197"/>
      <c r="R55" s="197"/>
      <c r="S55" s="197"/>
      <c r="T55" s="197"/>
      <c r="U55" s="197"/>
      <c r="V55" s="197"/>
      <c r="W55" s="197"/>
      <c r="X55" s="197"/>
      <c r="Y55" s="197"/>
      <c r="Z55" s="192"/>
      <c r="AA55" s="216">
        <f>EPAUS9RTechData!G51</f>
        <v>4.3321494615468303E-2</v>
      </c>
      <c r="AB55" s="197"/>
      <c r="AE55" s="197"/>
      <c r="AF55" s="197"/>
      <c r="AG55" s="217"/>
      <c r="AK55" s="13"/>
    </row>
    <row r="56" spans="1:38" x14ac:dyDescent="0.2">
      <c r="A56" s="197" t="str">
        <f t="shared" ref="A56:A64" si="4">A55</f>
        <v>R1</v>
      </c>
      <c r="B56" s="197"/>
      <c r="C56" s="197"/>
      <c r="D56" s="197" t="str">
        <f>Commodities!C73</f>
        <v>ELC</v>
      </c>
      <c r="E56" s="197"/>
      <c r="F56" s="197"/>
      <c r="G56" s="216">
        <f t="shared" si="2"/>
        <v>4.4159567631696017E-3</v>
      </c>
      <c r="H56" s="216">
        <f t="shared" si="3"/>
        <v>4.4159567631696017E-3</v>
      </c>
      <c r="I56" s="216"/>
      <c r="J56" s="216"/>
      <c r="K56" s="197"/>
      <c r="L56" s="197"/>
      <c r="M56" s="197"/>
      <c r="N56" s="197"/>
      <c r="O56" s="197"/>
      <c r="P56" s="197"/>
      <c r="Q56" s="197"/>
      <c r="R56" s="197"/>
      <c r="S56" s="197"/>
      <c r="T56" s="197"/>
      <c r="U56" s="197"/>
      <c r="V56" s="197"/>
      <c r="W56" s="197"/>
      <c r="X56" s="197"/>
      <c r="Y56" s="197"/>
      <c r="Z56" s="192"/>
      <c r="AA56" s="216">
        <f>EPAUS9RTechData!G52</f>
        <v>4.7956053518981839E-3</v>
      </c>
      <c r="AB56" s="197"/>
      <c r="AE56" s="197"/>
      <c r="AF56" s="197"/>
      <c r="AG56" s="217"/>
    </row>
    <row r="57" spans="1:38" x14ac:dyDescent="0.2">
      <c r="A57" s="197" t="str">
        <f t="shared" si="4"/>
        <v>R1</v>
      </c>
      <c r="B57" s="197"/>
      <c r="C57" s="197"/>
      <c r="D57" s="197" t="str">
        <f>Commodities!$C$82</f>
        <v>NGL</v>
      </c>
      <c r="E57" s="197"/>
      <c r="F57" s="197"/>
      <c r="G57" s="216">
        <f t="shared" si="2"/>
        <v>0</v>
      </c>
      <c r="H57" s="216">
        <f t="shared" si="3"/>
        <v>0</v>
      </c>
      <c r="I57" s="216"/>
      <c r="J57" s="216"/>
      <c r="K57" s="197"/>
      <c r="L57" s="197"/>
      <c r="M57" s="197"/>
      <c r="N57" s="197"/>
      <c r="O57" s="197"/>
      <c r="P57" s="197"/>
      <c r="Q57" s="197"/>
      <c r="R57" s="197"/>
      <c r="S57" s="197"/>
      <c r="T57" s="197"/>
      <c r="U57" s="197"/>
      <c r="V57" s="197"/>
      <c r="W57" s="197"/>
      <c r="X57" s="197"/>
      <c r="Y57" s="197"/>
      <c r="Z57" s="192"/>
      <c r="AA57" s="216">
        <f>EPAUS9RTechData!G53</f>
        <v>0</v>
      </c>
      <c r="AB57" s="197"/>
      <c r="AE57" s="197"/>
      <c r="AF57" s="197"/>
      <c r="AG57" s="217"/>
      <c r="AK57" s="13"/>
      <c r="AL57" s="13"/>
    </row>
    <row r="58" spans="1:38" x14ac:dyDescent="0.2">
      <c r="A58" s="197" t="str">
        <f t="shared" si="4"/>
        <v>R1</v>
      </c>
      <c r="B58" s="197"/>
      <c r="C58" s="197"/>
      <c r="D58" s="197"/>
      <c r="E58" s="197" t="s">
        <v>201</v>
      </c>
      <c r="F58" s="197"/>
      <c r="G58" s="219"/>
      <c r="H58" s="219"/>
      <c r="I58" s="216">
        <f t="shared" ref="I58:I64" si="5">AB58/SUM(AB$58:AB$64)</f>
        <v>0.11618676265581279</v>
      </c>
      <c r="J58" s="216">
        <f>I58*0.2</f>
        <v>2.3237352531162561E-2</v>
      </c>
      <c r="K58" s="197"/>
      <c r="L58" s="197"/>
      <c r="M58" s="197"/>
      <c r="N58" s="197"/>
      <c r="O58" s="197"/>
      <c r="P58" s="197"/>
      <c r="Q58" s="197"/>
      <c r="R58" s="197"/>
      <c r="S58" s="197"/>
      <c r="T58" s="197"/>
      <c r="U58" s="197"/>
      <c r="V58" s="197"/>
      <c r="W58" s="197"/>
      <c r="X58" s="197"/>
      <c r="Y58" s="197"/>
      <c r="Z58" s="192"/>
      <c r="AA58" s="197"/>
      <c r="AB58" s="216">
        <f>'PADD Products'!I10/100</f>
        <v>0.11618676265581279</v>
      </c>
      <c r="AE58" s="197"/>
      <c r="AF58" s="197"/>
      <c r="AH58" s="217"/>
      <c r="AK58" s="13"/>
      <c r="AL58" s="13"/>
    </row>
    <row r="59" spans="1:38" x14ac:dyDescent="0.2">
      <c r="A59" s="197" t="str">
        <f t="shared" si="4"/>
        <v>R1</v>
      </c>
      <c r="B59" s="197"/>
      <c r="C59" s="197"/>
      <c r="D59" s="197"/>
      <c r="E59" s="197" t="s">
        <v>202</v>
      </c>
      <c r="F59" s="197"/>
      <c r="G59" s="219"/>
      <c r="H59" s="219"/>
      <c r="I59" s="216">
        <f t="shared" si="5"/>
        <v>6.4152000000000001E-2</v>
      </c>
      <c r="J59" s="216">
        <f>I59*0.8</f>
        <v>5.1321600000000002E-2</v>
      </c>
      <c r="K59" s="197"/>
      <c r="L59" s="197"/>
      <c r="M59" s="197"/>
      <c r="N59" s="197"/>
      <c r="O59" s="197"/>
      <c r="P59" s="197"/>
      <c r="Q59" s="197"/>
      <c r="R59" s="197"/>
      <c r="S59" s="197"/>
      <c r="T59" s="197"/>
      <c r="U59" s="197"/>
      <c r="V59" s="197"/>
      <c r="W59" s="197"/>
      <c r="X59" s="197"/>
      <c r="Y59" s="197"/>
      <c r="Z59" s="192"/>
      <c r="AA59" s="197"/>
      <c r="AB59" s="216">
        <f>'PADD Products'!I11/100</f>
        <v>6.4152000000000001E-2</v>
      </c>
      <c r="AE59" s="197"/>
      <c r="AF59" s="197"/>
      <c r="AH59" s="217"/>
      <c r="AK59" s="13"/>
      <c r="AL59" s="13"/>
    </row>
    <row r="60" spans="1:38" x14ac:dyDescent="0.2">
      <c r="A60" s="197" t="str">
        <f t="shared" si="4"/>
        <v>R1</v>
      </c>
      <c r="B60" s="197"/>
      <c r="C60" s="197"/>
      <c r="D60" s="197"/>
      <c r="E60" s="197" t="str">
        <f>Commodities!$C$19</f>
        <v>GSC_E</v>
      </c>
      <c r="F60" s="197"/>
      <c r="G60" s="219"/>
      <c r="H60" s="219"/>
      <c r="I60" s="216">
        <f t="shared" si="5"/>
        <v>0</v>
      </c>
      <c r="J60" s="216">
        <f t="shared" ref="J60:J64" si="6">I60</f>
        <v>0</v>
      </c>
      <c r="K60" s="197"/>
      <c r="L60" s="197"/>
      <c r="M60" s="197"/>
      <c r="N60" s="197"/>
      <c r="O60" s="197"/>
      <c r="P60" s="197"/>
      <c r="Q60" s="197"/>
      <c r="R60" s="197"/>
      <c r="S60" s="197"/>
      <c r="T60" s="197"/>
      <c r="U60" s="197"/>
      <c r="V60" s="197"/>
      <c r="W60" s="197"/>
      <c r="X60" s="197"/>
      <c r="Y60" s="197"/>
      <c r="Z60" s="192"/>
      <c r="AA60" s="197"/>
      <c r="AB60" s="216">
        <f>EPAUS9RTechData!H52</f>
        <v>0</v>
      </c>
      <c r="AE60" s="197"/>
      <c r="AF60" s="197"/>
      <c r="AH60" s="217"/>
      <c r="AK60" s="13"/>
      <c r="AL60" s="13"/>
    </row>
    <row r="61" spans="1:38" x14ac:dyDescent="0.2">
      <c r="A61" s="197" t="str">
        <f t="shared" si="4"/>
        <v>R1</v>
      </c>
      <c r="B61" s="197"/>
      <c r="C61" s="197"/>
      <c r="D61" s="197"/>
      <c r="E61" s="197" t="str">
        <f>Commodities!$C$20</f>
        <v>GSR_E</v>
      </c>
      <c r="F61" s="197"/>
      <c r="G61" s="219"/>
      <c r="H61" s="219"/>
      <c r="I61" s="216">
        <f t="shared" si="5"/>
        <v>0.54445200000000005</v>
      </c>
      <c r="J61" s="216">
        <f t="shared" si="6"/>
        <v>0.54445200000000005</v>
      </c>
      <c r="K61" s="197"/>
      <c r="L61" s="197"/>
      <c r="M61" s="197"/>
      <c r="N61" s="197"/>
      <c r="O61" s="197"/>
      <c r="P61" s="197"/>
      <c r="Q61" s="197"/>
      <c r="R61" s="197"/>
      <c r="S61" s="197"/>
      <c r="T61" s="197"/>
      <c r="U61" s="197"/>
      <c r="V61" s="197"/>
      <c r="W61" s="197"/>
      <c r="X61" s="197"/>
      <c r="Y61" s="197"/>
      <c r="Z61" s="192"/>
      <c r="AA61" s="197"/>
      <c r="AB61" s="216">
        <f>EPAUS9RTechData!H51</f>
        <v>0.54445200000000005</v>
      </c>
      <c r="AE61" s="197"/>
      <c r="AF61" s="197"/>
      <c r="AH61" s="217"/>
    </row>
    <row r="62" spans="1:38" x14ac:dyDescent="0.2">
      <c r="A62" s="197" t="str">
        <f t="shared" si="4"/>
        <v>R1</v>
      </c>
      <c r="B62" s="197"/>
      <c r="C62" s="197"/>
      <c r="D62" s="197"/>
      <c r="E62" s="197" t="str">
        <f>Commodities!$C$28</f>
        <v>DSL_E</v>
      </c>
      <c r="F62" s="197"/>
      <c r="G62" s="219"/>
      <c r="H62" s="219"/>
      <c r="I62" s="216">
        <f>AB62/SUM(AB$58:AB$64)</f>
        <v>0</v>
      </c>
      <c r="J62" s="216">
        <f t="shared" si="6"/>
        <v>0</v>
      </c>
      <c r="K62" s="197"/>
      <c r="L62" s="197"/>
      <c r="M62" s="197"/>
      <c r="N62" s="197"/>
      <c r="O62" s="197"/>
      <c r="P62" s="197"/>
      <c r="Q62" s="197"/>
      <c r="R62" s="197"/>
      <c r="S62" s="197"/>
      <c r="T62" s="197"/>
      <c r="U62" s="197"/>
      <c r="V62" s="197"/>
      <c r="W62" s="197"/>
      <c r="X62" s="197"/>
      <c r="Y62" s="197"/>
      <c r="Z62" s="192"/>
      <c r="AA62" s="197"/>
      <c r="AB62" s="216">
        <f>EPAUS9RTechData!H56</f>
        <v>0</v>
      </c>
      <c r="AE62" s="197"/>
      <c r="AF62" s="197"/>
      <c r="AH62" s="217"/>
    </row>
    <row r="63" spans="1:38" x14ac:dyDescent="0.2">
      <c r="A63" s="197" t="str">
        <f t="shared" si="4"/>
        <v>R1</v>
      </c>
      <c r="B63" s="197"/>
      <c r="C63" s="197"/>
      <c r="D63" s="197"/>
      <c r="E63" s="197" t="str">
        <f>Commodities!$C$29</f>
        <v>DSU_E</v>
      </c>
      <c r="F63" s="197"/>
      <c r="G63" s="219"/>
      <c r="H63" s="219"/>
      <c r="I63" s="216">
        <f t="shared" si="5"/>
        <v>0.21783261383871788</v>
      </c>
      <c r="J63" s="216">
        <f>1-SUM(J58:J62,J64)</f>
        <v>0.32361242396336798</v>
      </c>
      <c r="K63" s="197"/>
      <c r="L63" s="197"/>
      <c r="M63" s="197"/>
      <c r="N63" s="197"/>
      <c r="O63" s="197"/>
      <c r="P63" s="197"/>
      <c r="Q63" s="197"/>
      <c r="R63" s="197"/>
      <c r="S63" s="197"/>
      <c r="T63" s="197"/>
      <c r="U63" s="197"/>
      <c r="V63" s="197"/>
      <c r="W63" s="197"/>
      <c r="X63" s="197"/>
      <c r="Y63" s="197"/>
      <c r="Z63" s="192"/>
      <c r="AA63" s="197"/>
      <c r="AB63" s="216">
        <f>EPAUS9RTechData!H55</f>
        <v>0.21783261383871788</v>
      </c>
      <c r="AE63" s="197"/>
      <c r="AF63" s="197"/>
      <c r="AH63" s="217"/>
      <c r="AK63" s="13"/>
      <c r="AL63" s="220"/>
    </row>
    <row r="64" spans="1:38" x14ac:dyDescent="0.2">
      <c r="A64" s="197" t="str">
        <f t="shared" si="4"/>
        <v>R1</v>
      </c>
      <c r="B64" s="197"/>
      <c r="C64" s="197"/>
      <c r="D64" s="197"/>
      <c r="E64" s="197" t="s">
        <v>929</v>
      </c>
      <c r="F64" s="197"/>
      <c r="G64" s="219"/>
      <c r="H64" s="219"/>
      <c r="I64" s="216">
        <f t="shared" si="5"/>
        <v>5.7376623505469349E-2</v>
      </c>
      <c r="J64" s="216">
        <f t="shared" si="6"/>
        <v>5.7376623505469349E-2</v>
      </c>
      <c r="K64" s="197"/>
      <c r="L64" s="197"/>
      <c r="M64" s="197"/>
      <c r="N64" s="197"/>
      <c r="O64" s="197"/>
      <c r="P64" s="197"/>
      <c r="Q64" s="197"/>
      <c r="R64" s="197"/>
      <c r="S64" s="197"/>
      <c r="T64" s="197"/>
      <c r="U64" s="197"/>
      <c r="V64" s="197"/>
      <c r="W64" s="197"/>
      <c r="X64" s="197"/>
      <c r="Y64" s="197"/>
      <c r="Z64" s="192"/>
      <c r="AA64" s="197"/>
      <c r="AB64" s="216">
        <f>1-SUM(AB58:AB63)</f>
        <v>5.7376623505469349E-2</v>
      </c>
      <c r="AE64" s="197"/>
      <c r="AF64" s="197"/>
      <c r="AH64" s="217"/>
      <c r="AK64" s="13"/>
      <c r="AL64" s="220"/>
    </row>
    <row r="65" spans="1:38" x14ac:dyDescent="0.2">
      <c r="D65" s="192"/>
      <c r="E65" s="192"/>
      <c r="F65" s="192"/>
      <c r="G65" s="192"/>
      <c r="H65" s="192"/>
      <c r="I65" s="192"/>
      <c r="J65" s="192"/>
      <c r="K65" s="192"/>
      <c r="L65" s="192"/>
      <c r="M65" s="192"/>
      <c r="N65" s="192"/>
      <c r="O65" s="192"/>
      <c r="P65" s="192"/>
      <c r="Q65" s="192"/>
      <c r="R65" s="192"/>
      <c r="S65" s="192"/>
      <c r="T65" s="192"/>
      <c r="U65" s="192"/>
      <c r="V65" s="192"/>
      <c r="W65" s="192"/>
      <c r="Z65" s="192"/>
      <c r="AK65" s="13"/>
      <c r="AL65" s="220"/>
    </row>
    <row r="66" spans="1:38" x14ac:dyDescent="0.2">
      <c r="D66" s="192"/>
      <c r="E66" s="192"/>
      <c r="F66" s="192"/>
      <c r="G66" s="192"/>
      <c r="H66" s="192"/>
      <c r="I66" s="192"/>
      <c r="J66" s="192"/>
      <c r="K66" s="192"/>
      <c r="L66" s="192"/>
      <c r="M66" s="192"/>
      <c r="N66" s="192"/>
      <c r="O66" s="192"/>
      <c r="P66" s="192"/>
      <c r="Q66" s="192"/>
      <c r="R66" s="192"/>
      <c r="S66" s="192"/>
      <c r="T66" s="192"/>
      <c r="U66" s="192"/>
      <c r="V66" s="192"/>
      <c r="W66" s="192"/>
      <c r="Z66" s="192"/>
      <c r="AK66" s="13"/>
      <c r="AL66" s="220"/>
    </row>
    <row r="67" spans="1:38" x14ac:dyDescent="0.2">
      <c r="D67" s="192"/>
      <c r="E67" s="192"/>
      <c r="F67" s="192"/>
      <c r="G67" s="192"/>
      <c r="H67" s="192"/>
      <c r="I67" s="192"/>
      <c r="J67" s="192"/>
      <c r="K67" s="192"/>
      <c r="L67" s="192"/>
      <c r="M67" s="192"/>
      <c r="N67" s="192"/>
      <c r="O67" s="192"/>
      <c r="P67" s="192"/>
      <c r="Q67" s="192"/>
      <c r="R67" s="192"/>
      <c r="S67" s="192"/>
      <c r="T67" s="192"/>
      <c r="U67" s="192"/>
      <c r="V67" s="192"/>
      <c r="W67" s="192"/>
      <c r="Z67" s="192"/>
      <c r="AL67" s="220"/>
    </row>
    <row r="68" spans="1:38" x14ac:dyDescent="0.2">
      <c r="E68" s="211"/>
      <c r="W68" s="192"/>
      <c r="Y68" s="193"/>
      <c r="Z68" s="192"/>
      <c r="AK68" s="13"/>
      <c r="AL68" s="220"/>
    </row>
    <row r="69" spans="1:38" x14ac:dyDescent="0.2">
      <c r="A69" s="196" t="s">
        <v>382</v>
      </c>
      <c r="B69" s="196" t="s">
        <v>24</v>
      </c>
      <c r="C69" s="196" t="s">
        <v>908</v>
      </c>
      <c r="D69" s="196" t="s">
        <v>27</v>
      </c>
      <c r="E69" s="196" t="s">
        <v>28</v>
      </c>
      <c r="F69" s="196" t="s">
        <v>909</v>
      </c>
      <c r="G69" s="196" t="s">
        <v>910</v>
      </c>
      <c r="H69" s="196" t="s">
        <v>911</v>
      </c>
      <c r="I69" s="196" t="s">
        <v>931</v>
      </c>
      <c r="J69" s="196" t="s">
        <v>912</v>
      </c>
      <c r="K69" s="196" t="s">
        <v>913</v>
      </c>
      <c r="L69" s="196" t="s">
        <v>914</v>
      </c>
      <c r="M69" s="196" t="s">
        <v>915</v>
      </c>
      <c r="N69" s="196" t="s">
        <v>916</v>
      </c>
      <c r="O69" s="196" t="s">
        <v>917</v>
      </c>
      <c r="P69" s="196" t="s">
        <v>918</v>
      </c>
      <c r="Q69" s="196" t="s">
        <v>919</v>
      </c>
      <c r="R69" s="196" t="s">
        <v>920</v>
      </c>
      <c r="S69" s="196" t="s">
        <v>921</v>
      </c>
      <c r="T69" s="196" t="s">
        <v>922</v>
      </c>
      <c r="U69" s="196" t="s">
        <v>923</v>
      </c>
      <c r="V69" s="218"/>
      <c r="W69" s="192"/>
      <c r="Y69" s="205" t="s">
        <v>298</v>
      </c>
      <c r="Z69" s="192"/>
      <c r="AK69" s="13"/>
      <c r="AL69" s="220"/>
    </row>
    <row r="70" spans="1:38" x14ac:dyDescent="0.2">
      <c r="A70" s="197" t="s">
        <v>115</v>
      </c>
      <c r="B70" s="197" t="str">
        <f>Technologies!C56</f>
        <v>PREFN</v>
      </c>
      <c r="C70" s="197" t="str">
        <f>Technologies!D56</f>
        <v>Refinery-new conversion</v>
      </c>
      <c r="D70" s="197" t="str">
        <f>Commodities!C74</f>
        <v>OIL</v>
      </c>
      <c r="E70" s="197"/>
      <c r="F70" s="216">
        <f>EPAUS9RTechData!G64</f>
        <v>1.0378548895899056</v>
      </c>
      <c r="G70" s="216"/>
      <c r="H70" s="197">
        <v>2010</v>
      </c>
      <c r="I70" s="197">
        <v>40</v>
      </c>
      <c r="J70" s="197">
        <v>1</v>
      </c>
      <c r="K70" s="197">
        <v>1</v>
      </c>
      <c r="L70" s="197">
        <f>'RTI Costs'!F7*Conv!J32</f>
        <v>8.8465027778212519</v>
      </c>
      <c r="M70" s="197">
        <v>0.1289873645020293</v>
      </c>
      <c r="N70" s="197">
        <v>0.14403589036059938</v>
      </c>
      <c r="O70" s="197">
        <v>0.14704559553231339</v>
      </c>
      <c r="P70" s="197">
        <v>0.1483354691773337</v>
      </c>
      <c r="Q70" s="197">
        <v>0.14145614307055882</v>
      </c>
      <c r="R70" s="197">
        <f>Q70</f>
        <v>0.14145614307055882</v>
      </c>
      <c r="S70" s="197"/>
      <c r="T70" s="197"/>
      <c r="U70" s="197"/>
      <c r="V70" s="197"/>
      <c r="W70" s="192"/>
      <c r="Z70" s="192"/>
      <c r="AK70" s="13"/>
      <c r="AL70" s="220"/>
    </row>
    <row r="71" spans="1:38" x14ac:dyDescent="0.2">
      <c r="A71" s="197"/>
      <c r="B71" s="197"/>
      <c r="C71" s="197"/>
      <c r="D71" s="197" t="str">
        <f>Commodities!C75</f>
        <v>NGA</v>
      </c>
      <c r="E71" s="197"/>
      <c r="F71" s="216">
        <f>EPAUS9RTechData!G65</f>
        <v>4.3321494615468303E-2</v>
      </c>
      <c r="G71" s="216"/>
      <c r="H71" s="197"/>
      <c r="I71" s="197"/>
      <c r="J71" s="197"/>
      <c r="K71" s="197"/>
      <c r="L71" s="197"/>
      <c r="M71" s="197"/>
      <c r="N71" s="197"/>
      <c r="O71" s="197"/>
      <c r="P71" s="197"/>
      <c r="Q71" s="197"/>
      <c r="R71" s="197"/>
      <c r="S71" s="197"/>
      <c r="T71" s="197"/>
      <c r="U71" s="197"/>
      <c r="V71" s="197"/>
      <c r="W71" s="192"/>
      <c r="Z71" s="192"/>
      <c r="AK71" s="13"/>
      <c r="AL71" s="220"/>
    </row>
    <row r="72" spans="1:38" x14ac:dyDescent="0.2">
      <c r="A72" s="197"/>
      <c r="B72" s="197"/>
      <c r="C72" s="197"/>
      <c r="D72" s="197" t="str">
        <f>Commodities!C73</f>
        <v>ELC</v>
      </c>
      <c r="E72" s="197"/>
      <c r="F72" s="216">
        <f>EPAUS9RTechData!G66</f>
        <v>4.7956053518981839E-3</v>
      </c>
      <c r="G72" s="216"/>
      <c r="H72" s="197"/>
      <c r="I72" s="197"/>
      <c r="J72" s="197"/>
      <c r="K72" s="197"/>
      <c r="L72" s="197"/>
      <c r="M72" s="197"/>
      <c r="N72" s="197"/>
      <c r="O72" s="197"/>
      <c r="P72" s="197"/>
      <c r="Q72" s="197"/>
      <c r="R72" s="197"/>
      <c r="S72" s="197"/>
      <c r="T72" s="197"/>
      <c r="U72" s="197"/>
      <c r="V72" s="197"/>
      <c r="W72" s="192"/>
      <c r="Z72" s="192"/>
    </row>
    <row r="73" spans="1:38" x14ac:dyDescent="0.2">
      <c r="A73" s="197"/>
      <c r="B73" s="197"/>
      <c r="C73" s="197"/>
      <c r="D73" s="197" t="str">
        <f>Commodities!$C$82</f>
        <v>NGL</v>
      </c>
      <c r="E73" s="197"/>
      <c r="F73" s="216">
        <f>EPAUS9RTechData!G67</f>
        <v>0</v>
      </c>
      <c r="G73" s="216"/>
      <c r="H73" s="197"/>
      <c r="I73" s="197"/>
      <c r="J73" s="197"/>
      <c r="K73" s="197"/>
      <c r="L73" s="197"/>
      <c r="M73" s="197"/>
      <c r="N73" s="197"/>
      <c r="O73" s="197"/>
      <c r="P73" s="197"/>
      <c r="Q73" s="197"/>
      <c r="R73" s="197"/>
      <c r="S73" s="197"/>
      <c r="T73" s="197"/>
      <c r="U73" s="197"/>
      <c r="V73" s="197"/>
      <c r="W73" s="192"/>
      <c r="Z73" s="192"/>
    </row>
    <row r="74" spans="1:38" x14ac:dyDescent="0.2">
      <c r="A74" s="197"/>
      <c r="B74" s="197"/>
      <c r="C74" s="197"/>
      <c r="D74" s="197"/>
      <c r="E74" s="197" t="s">
        <v>215</v>
      </c>
      <c r="F74" s="216"/>
      <c r="G74" s="216">
        <f>AB58</f>
        <v>0.11618676265581279</v>
      </c>
      <c r="H74" s="197"/>
      <c r="I74" s="197"/>
      <c r="J74" s="197"/>
      <c r="K74" s="197"/>
      <c r="L74" s="197"/>
      <c r="M74" s="197"/>
      <c r="N74" s="197"/>
      <c r="O74" s="197"/>
      <c r="P74" s="197"/>
      <c r="Q74" s="197"/>
      <c r="R74" s="197"/>
      <c r="S74" s="197"/>
      <c r="T74" s="197"/>
      <c r="U74" s="197"/>
      <c r="V74" s="197"/>
      <c r="W74" s="192"/>
      <c r="Z74" s="192"/>
    </row>
    <row r="75" spans="1:38" x14ac:dyDescent="0.2">
      <c r="A75" s="197"/>
      <c r="B75" s="197"/>
      <c r="C75" s="197"/>
      <c r="D75" s="197"/>
      <c r="E75" s="197" t="s">
        <v>216</v>
      </c>
      <c r="F75" s="216"/>
      <c r="G75" s="216">
        <f>AB59</f>
        <v>6.4152000000000001E-2</v>
      </c>
      <c r="H75" s="197"/>
      <c r="I75" s="197"/>
      <c r="J75" s="197"/>
      <c r="K75" s="197"/>
      <c r="L75" s="197"/>
      <c r="M75" s="197"/>
      <c r="N75" s="197"/>
      <c r="O75" s="197"/>
      <c r="P75" s="197"/>
      <c r="Q75" s="197"/>
      <c r="R75" s="197"/>
      <c r="S75" s="197"/>
      <c r="T75" s="197"/>
      <c r="U75" s="197"/>
      <c r="V75" s="197"/>
      <c r="W75" s="192"/>
      <c r="Z75" s="192"/>
    </row>
    <row r="76" spans="1:38" x14ac:dyDescent="0.2">
      <c r="A76" s="197"/>
      <c r="B76" s="197"/>
      <c r="C76" s="197"/>
      <c r="D76" s="197"/>
      <c r="E76" s="197" t="str">
        <f>Commodities!$C$34</f>
        <v>GSC_N</v>
      </c>
      <c r="F76" s="216"/>
      <c r="G76" s="216">
        <f>EPAUS9RTechData!H66</f>
        <v>0</v>
      </c>
      <c r="H76" s="197"/>
      <c r="I76" s="197"/>
      <c r="J76" s="197"/>
      <c r="K76" s="197"/>
      <c r="L76" s="197"/>
      <c r="M76" s="197"/>
      <c r="N76" s="197"/>
      <c r="O76" s="197"/>
      <c r="P76" s="197"/>
      <c r="Q76" s="197"/>
      <c r="R76" s="197"/>
      <c r="S76" s="197"/>
      <c r="T76" s="197"/>
      <c r="U76" s="197"/>
      <c r="V76" s="197"/>
      <c r="W76" s="192"/>
      <c r="Z76" s="192"/>
    </row>
    <row r="77" spans="1:38" x14ac:dyDescent="0.2">
      <c r="A77" s="197"/>
      <c r="B77" s="197"/>
      <c r="C77" s="197"/>
      <c r="D77" s="197"/>
      <c r="E77" s="197" t="str">
        <f>Commodities!$C$35</f>
        <v>GSR_N</v>
      </c>
      <c r="F77" s="216"/>
      <c r="G77" s="216">
        <f>EPAUS9RTechData!H65</f>
        <v>0.54445200000000005</v>
      </c>
      <c r="H77" s="197"/>
      <c r="I77" s="197"/>
      <c r="J77" s="197"/>
      <c r="K77" s="197"/>
      <c r="L77" s="197"/>
      <c r="M77" s="197"/>
      <c r="N77" s="197"/>
      <c r="O77" s="197"/>
      <c r="P77" s="197"/>
      <c r="Q77" s="197"/>
      <c r="R77" s="197"/>
      <c r="S77" s="197"/>
      <c r="T77" s="197"/>
      <c r="U77" s="197"/>
      <c r="V77" s="197"/>
      <c r="W77" s="192"/>
      <c r="Z77" s="192"/>
    </row>
    <row r="78" spans="1:38" x14ac:dyDescent="0.2">
      <c r="A78" s="197"/>
      <c r="B78" s="197"/>
      <c r="C78" s="197"/>
      <c r="D78" s="197"/>
      <c r="E78" s="197" t="str">
        <f>Commodities!$C$43</f>
        <v>DSL_N</v>
      </c>
      <c r="F78" s="216"/>
      <c r="G78" s="216">
        <f>EPAUS9RTechData!H70</f>
        <v>0</v>
      </c>
      <c r="H78" s="197"/>
      <c r="I78" s="197"/>
      <c r="J78" s="197"/>
      <c r="K78" s="197"/>
      <c r="L78" s="197"/>
      <c r="M78" s="197"/>
      <c r="N78" s="197"/>
      <c r="O78" s="197"/>
      <c r="P78" s="197"/>
      <c r="Q78" s="197"/>
      <c r="R78" s="197"/>
      <c r="S78" s="197"/>
      <c r="T78" s="197"/>
      <c r="U78" s="197"/>
      <c r="V78" s="197"/>
      <c r="W78" s="192"/>
      <c r="Z78" s="192"/>
    </row>
    <row r="79" spans="1:38" x14ac:dyDescent="0.2">
      <c r="A79" s="197"/>
      <c r="B79" s="197"/>
      <c r="C79" s="197"/>
      <c r="D79" s="197"/>
      <c r="E79" s="197" t="str">
        <f>Commodities!$C$44</f>
        <v>DSU_N</v>
      </c>
      <c r="F79" s="216"/>
      <c r="G79" s="216">
        <f>EPAUS9RTechData!H71</f>
        <v>0.11618676265581279</v>
      </c>
      <c r="H79" s="197"/>
      <c r="I79" s="197"/>
      <c r="J79" s="197"/>
      <c r="K79" s="197"/>
      <c r="L79" s="197"/>
      <c r="M79" s="197"/>
      <c r="N79" s="197"/>
      <c r="O79" s="197"/>
      <c r="P79" s="197"/>
      <c r="Q79" s="197"/>
      <c r="R79" s="197"/>
      <c r="S79" s="197"/>
      <c r="T79" s="197"/>
      <c r="U79" s="197"/>
      <c r="V79" s="197"/>
      <c r="W79" s="192"/>
      <c r="Z79" s="192"/>
    </row>
    <row r="80" spans="1:38" x14ac:dyDescent="0.2">
      <c r="A80" s="197" t="s">
        <v>891</v>
      </c>
      <c r="B80" s="197" t="s">
        <v>387</v>
      </c>
      <c r="C80" s="197" t="s">
        <v>388</v>
      </c>
      <c r="D80" s="197" t="s">
        <v>389</v>
      </c>
      <c r="E80" s="197" t="s">
        <v>408</v>
      </c>
      <c r="F80" s="197">
        <v>1</v>
      </c>
      <c r="G80" s="197">
        <f>AB58*1.25</f>
        <v>0.145233453319766</v>
      </c>
      <c r="H80" s="197">
        <v>2010</v>
      </c>
      <c r="I80" s="197">
        <v>40</v>
      </c>
      <c r="J80" s="197">
        <v>1</v>
      </c>
      <c r="K80" s="197">
        <v>1</v>
      </c>
      <c r="L80" s="197">
        <f>4.4</f>
        <v>4.4000000000000004</v>
      </c>
      <c r="M80" s="197"/>
      <c r="N80" s="197"/>
      <c r="O80" s="197"/>
      <c r="P80" s="197"/>
      <c r="Q80" s="197"/>
      <c r="R80" s="197"/>
      <c r="S80" s="197"/>
      <c r="T80" s="197"/>
      <c r="U80" s="197"/>
      <c r="V80" s="197"/>
      <c r="W80" s="192"/>
      <c r="Z80" s="192"/>
    </row>
    <row r="81" spans="1:26" x14ac:dyDescent="0.2">
      <c r="A81" s="197" t="str">
        <f>IF(LEFT(A80,1)="*","*","")</f>
        <v>*</v>
      </c>
      <c r="B81" s="197"/>
      <c r="C81" s="197"/>
      <c r="D81" s="197"/>
      <c r="E81" s="197" t="s">
        <v>411</v>
      </c>
      <c r="F81" s="197"/>
      <c r="G81" s="197">
        <f>AB59*1.25</f>
        <v>8.0189999999999997E-2</v>
      </c>
      <c r="H81" s="197"/>
      <c r="I81" s="197"/>
      <c r="J81" s="197"/>
      <c r="K81" s="197"/>
      <c r="L81" s="197"/>
      <c r="M81" s="197"/>
      <c r="N81" s="197"/>
      <c r="O81" s="197"/>
      <c r="P81" s="197"/>
      <c r="Q81" s="197"/>
      <c r="R81" s="197"/>
      <c r="S81" s="197"/>
      <c r="T81" s="197"/>
      <c r="U81" s="197"/>
      <c r="V81" s="197"/>
      <c r="W81" s="192"/>
      <c r="Z81" s="192"/>
    </row>
    <row r="82" spans="1:26" x14ac:dyDescent="0.2">
      <c r="A82" s="197" t="str">
        <f>IF(LEFT(A81,1)="*","*","")</f>
        <v>*</v>
      </c>
      <c r="B82" s="197"/>
      <c r="C82" s="197"/>
      <c r="D82" s="197"/>
      <c r="E82" s="197" t="str">
        <f>Commodities!C49</f>
        <v>GSC_L</v>
      </c>
      <c r="F82" s="197"/>
      <c r="G82" s="197">
        <f>EPAUS9RTechData!H80</f>
        <v>0</v>
      </c>
      <c r="H82" s="197"/>
      <c r="I82" s="197"/>
      <c r="J82" s="197"/>
      <c r="K82" s="197"/>
      <c r="L82" s="197"/>
      <c r="M82" s="197"/>
      <c r="N82" s="197"/>
      <c r="O82" s="197"/>
      <c r="P82" s="197"/>
      <c r="Q82" s="197"/>
      <c r="R82" s="197"/>
      <c r="S82" s="197"/>
      <c r="T82" s="197"/>
      <c r="U82" s="197"/>
      <c r="V82" s="197"/>
      <c r="W82" s="192"/>
      <c r="Z82" s="192"/>
    </row>
    <row r="83" spans="1:26" x14ac:dyDescent="0.2">
      <c r="A83" s="197" t="str">
        <f>IF(LEFT(A82,1)="*","*","")</f>
        <v>*</v>
      </c>
      <c r="B83" s="197"/>
      <c r="C83" s="197"/>
      <c r="D83" s="197"/>
      <c r="E83" s="197" t="str">
        <f>Commodities!C50</f>
        <v>GSR_L</v>
      </c>
      <c r="F83" s="197"/>
      <c r="G83" s="197">
        <f>EPAUS9RTechData!H79</f>
        <v>0.76223280000000004</v>
      </c>
      <c r="H83" s="197"/>
      <c r="I83" s="197"/>
      <c r="J83" s="197"/>
      <c r="K83" s="197"/>
      <c r="L83" s="197"/>
      <c r="M83" s="197"/>
      <c r="N83" s="197"/>
      <c r="O83" s="197"/>
      <c r="P83" s="197"/>
      <c r="Q83" s="197"/>
      <c r="R83" s="197"/>
      <c r="S83" s="197"/>
      <c r="T83" s="197"/>
      <c r="U83" s="197"/>
      <c r="V83" s="197"/>
      <c r="W83" s="192"/>
      <c r="Z83" s="192"/>
    </row>
    <row r="84" spans="1:26" x14ac:dyDescent="0.2">
      <c r="A84" s="197" t="str">
        <f>IF(LEFT(A83,1)="*","*","")</f>
        <v>*</v>
      </c>
      <c r="B84" s="197"/>
      <c r="C84" s="197"/>
      <c r="D84" s="197"/>
      <c r="E84" s="197" t="str">
        <f>Commodities!C58</f>
        <v>DSL_L</v>
      </c>
      <c r="F84" s="197"/>
      <c r="G84" s="197">
        <f>EPAUS9RTechData!H84</f>
        <v>0</v>
      </c>
      <c r="H84" s="197"/>
      <c r="I84" s="197"/>
      <c r="J84" s="197"/>
      <c r="K84" s="197"/>
      <c r="L84" s="197"/>
      <c r="M84" s="197"/>
      <c r="N84" s="197"/>
      <c r="O84" s="197"/>
      <c r="P84" s="197"/>
      <c r="Q84" s="197"/>
      <c r="R84" s="197"/>
      <c r="S84" s="197"/>
      <c r="T84" s="197"/>
      <c r="U84" s="197"/>
      <c r="V84" s="197"/>
      <c r="W84" s="192"/>
      <c r="Z84" s="192"/>
    </row>
    <row r="85" spans="1:26" x14ac:dyDescent="0.2">
      <c r="A85" s="197" t="str">
        <f>IF(LEFT(A84,1)="*","*","")</f>
        <v>*</v>
      </c>
      <c r="B85" s="197"/>
      <c r="C85" s="197"/>
      <c r="D85" s="197"/>
      <c r="E85" s="197" t="str">
        <f>Commodities!C59</f>
        <v>DSU_L</v>
      </c>
      <c r="F85" s="197"/>
      <c r="G85" s="197">
        <f>EPAUS9RTechData!H83</f>
        <v>0.304965659374205</v>
      </c>
      <c r="H85" s="197"/>
      <c r="I85" s="197"/>
      <c r="J85" s="197"/>
      <c r="K85" s="197"/>
      <c r="L85" s="197"/>
      <c r="M85" s="197"/>
      <c r="N85" s="197"/>
      <c r="O85" s="197"/>
      <c r="P85" s="197"/>
      <c r="Q85" s="197"/>
      <c r="R85" s="197"/>
      <c r="S85" s="197"/>
      <c r="T85" s="197"/>
      <c r="U85" s="197"/>
      <c r="V85" s="197"/>
      <c r="W85" s="192"/>
      <c r="Z85" s="192"/>
    </row>
    <row r="86" spans="1:26" x14ac:dyDescent="0.2">
      <c r="D86" s="192"/>
      <c r="E86" s="192"/>
      <c r="F86" s="192"/>
      <c r="G86" s="192"/>
      <c r="H86" s="192"/>
      <c r="I86" s="192"/>
      <c r="J86" s="192"/>
      <c r="K86" s="192"/>
      <c r="L86" s="192"/>
      <c r="M86" s="192"/>
      <c r="N86" s="192"/>
      <c r="O86" s="192"/>
      <c r="P86" s="192"/>
      <c r="Q86" s="192"/>
      <c r="R86" s="192"/>
      <c r="S86" s="192"/>
      <c r="T86" s="192"/>
      <c r="U86" s="192"/>
      <c r="V86" s="192"/>
      <c r="W86" s="192"/>
      <c r="Z86" s="192"/>
    </row>
    <row r="87" spans="1:26" x14ac:dyDescent="0.2">
      <c r="D87" s="192"/>
      <c r="E87" s="192"/>
      <c r="F87" s="192"/>
      <c r="G87" s="192"/>
      <c r="H87" s="192"/>
      <c r="I87" s="192"/>
      <c r="J87" s="192"/>
      <c r="K87" s="192"/>
      <c r="L87" s="192"/>
      <c r="M87" s="192"/>
      <c r="N87" s="192"/>
      <c r="O87" s="192"/>
      <c r="P87" s="192"/>
      <c r="Q87" s="192"/>
      <c r="R87" s="192"/>
      <c r="S87" s="192"/>
      <c r="T87" s="192"/>
      <c r="U87" s="192"/>
      <c r="V87" s="192"/>
      <c r="W87" s="192"/>
      <c r="Z87" s="192"/>
    </row>
    <row r="88" spans="1:26" x14ac:dyDescent="0.2">
      <c r="D88" s="192"/>
      <c r="E88" s="192"/>
      <c r="F88" s="192"/>
      <c r="G88" s="192"/>
      <c r="H88" s="192"/>
      <c r="I88" s="192"/>
      <c r="J88" s="192"/>
      <c r="K88" s="192"/>
      <c r="L88" s="192"/>
      <c r="M88" s="192"/>
      <c r="N88" s="192"/>
      <c r="O88" s="192"/>
      <c r="P88" s="192"/>
      <c r="Q88" s="192"/>
      <c r="R88" s="192"/>
      <c r="S88" s="192"/>
      <c r="T88" s="192"/>
      <c r="U88" s="192"/>
      <c r="V88" s="192"/>
      <c r="W88" s="192"/>
      <c r="Z88" s="192"/>
    </row>
    <row r="89" spans="1:26" x14ac:dyDescent="0.2">
      <c r="D89" s="192"/>
      <c r="E89" s="192"/>
      <c r="F89" s="192"/>
      <c r="G89" s="192"/>
      <c r="H89" s="192"/>
      <c r="I89" s="192"/>
      <c r="J89" s="192"/>
      <c r="K89" s="192"/>
      <c r="L89" s="192"/>
      <c r="M89" s="192"/>
      <c r="N89" s="192"/>
      <c r="O89" s="192"/>
      <c r="P89" s="192"/>
      <c r="Q89" s="192"/>
      <c r="R89" s="192"/>
      <c r="S89" s="192"/>
      <c r="T89" s="192"/>
      <c r="U89" s="192"/>
      <c r="V89" s="192"/>
      <c r="W89" s="192"/>
      <c r="Z89" s="192"/>
    </row>
    <row r="90" spans="1:26" x14ac:dyDescent="0.2">
      <c r="D90" s="192"/>
      <c r="E90" s="192"/>
      <c r="F90" s="192"/>
      <c r="G90" s="192"/>
      <c r="H90" s="192"/>
      <c r="I90" s="192"/>
      <c r="J90" s="192"/>
      <c r="K90" s="192"/>
      <c r="L90" s="192"/>
      <c r="M90" s="192"/>
      <c r="N90" s="192"/>
      <c r="O90" s="192"/>
      <c r="P90" s="192"/>
      <c r="Q90" s="192"/>
      <c r="R90" s="192"/>
      <c r="S90" s="192"/>
      <c r="T90" s="192"/>
      <c r="U90" s="192"/>
      <c r="V90" s="192"/>
      <c r="W90" s="192"/>
      <c r="Z90" s="192"/>
    </row>
    <row r="91" spans="1:26" x14ac:dyDescent="0.2">
      <c r="D91" s="192"/>
      <c r="E91" s="192"/>
      <c r="F91" s="192"/>
      <c r="G91" s="192"/>
      <c r="H91" s="192"/>
      <c r="I91" s="192"/>
      <c r="J91" s="192"/>
      <c r="K91" s="192"/>
      <c r="L91" s="192"/>
      <c r="M91" s="192"/>
      <c r="N91" s="192"/>
      <c r="O91" s="192"/>
      <c r="P91" s="192"/>
      <c r="Q91" s="192"/>
      <c r="R91" s="192"/>
      <c r="S91" s="192"/>
      <c r="T91" s="192"/>
      <c r="U91" s="192"/>
      <c r="V91" s="192"/>
      <c r="W91" s="192"/>
      <c r="Z91" s="192"/>
    </row>
    <row r="92" spans="1:26" x14ac:dyDescent="0.2">
      <c r="D92" s="192"/>
      <c r="E92" s="192"/>
      <c r="F92" s="192"/>
      <c r="G92" s="192"/>
      <c r="H92" s="192"/>
      <c r="I92" s="192"/>
      <c r="J92" s="192"/>
      <c r="K92" s="192"/>
      <c r="L92" s="192"/>
      <c r="M92" s="192"/>
      <c r="N92" s="192"/>
      <c r="O92" s="192"/>
      <c r="P92" s="192"/>
      <c r="Q92" s="192"/>
      <c r="R92" s="192"/>
      <c r="S92" s="192"/>
      <c r="T92" s="192"/>
      <c r="U92" s="192"/>
      <c r="V92" s="192"/>
      <c r="W92" s="192"/>
      <c r="Z92" s="192"/>
    </row>
    <row r="93" spans="1:26" x14ac:dyDescent="0.2">
      <c r="D93" s="192"/>
      <c r="E93" s="192"/>
      <c r="F93" s="192"/>
      <c r="G93" s="192"/>
      <c r="H93" s="192"/>
      <c r="I93" s="192"/>
      <c r="J93" s="192"/>
      <c r="K93" s="192"/>
      <c r="L93" s="192"/>
      <c r="M93" s="192"/>
      <c r="N93" s="192"/>
      <c r="O93" s="192"/>
      <c r="P93" s="192"/>
      <c r="Q93" s="192"/>
      <c r="R93" s="192"/>
      <c r="S93" s="192"/>
      <c r="T93" s="192"/>
      <c r="U93" s="192"/>
      <c r="V93" s="192"/>
      <c r="W93" s="192"/>
      <c r="Z93" s="192"/>
    </row>
    <row r="94" spans="1:26" x14ac:dyDescent="0.2">
      <c r="D94" s="192"/>
      <c r="E94" s="192"/>
      <c r="F94" s="192"/>
      <c r="G94" s="192"/>
      <c r="H94" s="192"/>
      <c r="I94" s="192"/>
      <c r="J94" s="192"/>
      <c r="K94" s="192"/>
      <c r="L94" s="192"/>
      <c r="M94" s="192"/>
      <c r="N94" s="192"/>
      <c r="O94" s="192"/>
      <c r="P94" s="192"/>
      <c r="Q94" s="192"/>
      <c r="R94" s="192"/>
      <c r="S94" s="192"/>
      <c r="T94" s="192"/>
      <c r="U94" s="192"/>
      <c r="V94" s="192"/>
      <c r="W94" s="192"/>
      <c r="Z94" s="192"/>
    </row>
    <row r="95" spans="1:26" x14ac:dyDescent="0.2">
      <c r="D95" s="192"/>
      <c r="E95" s="192"/>
      <c r="F95" s="192"/>
      <c r="G95" s="192"/>
      <c r="H95" s="192"/>
      <c r="I95" s="192"/>
      <c r="J95" s="192"/>
      <c r="K95" s="192"/>
      <c r="L95" s="192"/>
      <c r="M95" s="192"/>
      <c r="N95" s="192"/>
      <c r="O95" s="192"/>
      <c r="P95" s="192"/>
      <c r="Q95" s="192"/>
      <c r="R95" s="192"/>
      <c r="S95" s="192"/>
      <c r="T95" s="192"/>
      <c r="U95" s="192"/>
      <c r="V95" s="192"/>
      <c r="W95" s="192"/>
      <c r="Z95" s="192"/>
    </row>
    <row r="96" spans="1:26" x14ac:dyDescent="0.2">
      <c r="D96" s="192"/>
      <c r="E96" s="192"/>
      <c r="F96" s="192"/>
      <c r="G96" s="192"/>
      <c r="H96" s="192"/>
      <c r="I96" s="192"/>
      <c r="J96" s="192"/>
      <c r="K96" s="192"/>
      <c r="L96" s="192"/>
      <c r="M96" s="192"/>
      <c r="N96" s="192"/>
      <c r="O96" s="192"/>
      <c r="P96" s="192"/>
      <c r="Q96" s="192"/>
      <c r="R96" s="192"/>
      <c r="S96" s="192"/>
      <c r="T96" s="192"/>
      <c r="U96" s="192"/>
      <c r="V96" s="192"/>
      <c r="W96" s="192"/>
      <c r="Z96" s="192"/>
    </row>
    <row r="97" spans="4:26" x14ac:dyDescent="0.2">
      <c r="D97" s="192"/>
      <c r="E97" s="192"/>
      <c r="F97" s="192"/>
      <c r="G97" s="192"/>
      <c r="H97" s="192"/>
      <c r="I97" s="192"/>
      <c r="J97" s="192"/>
      <c r="K97" s="192"/>
      <c r="L97" s="192"/>
      <c r="M97" s="192"/>
      <c r="N97" s="192"/>
      <c r="O97" s="192"/>
      <c r="P97" s="192"/>
      <c r="Q97" s="192"/>
      <c r="R97" s="192"/>
      <c r="S97" s="192"/>
      <c r="T97" s="192"/>
      <c r="U97" s="192"/>
      <c r="V97" s="192"/>
      <c r="W97" s="192"/>
      <c r="Z97" s="192"/>
    </row>
    <row r="98" spans="4:26" x14ac:dyDescent="0.2">
      <c r="F98" s="209"/>
      <c r="G98" s="209"/>
      <c r="I98" s="208"/>
      <c r="N98" s="207"/>
      <c r="O98" s="207"/>
      <c r="P98" s="207"/>
      <c r="Q98" s="207"/>
      <c r="R98" s="207"/>
      <c r="S98" s="207"/>
    </row>
    <row r="99" spans="4:26" x14ac:dyDescent="0.2">
      <c r="F99" s="209"/>
      <c r="G99" s="209"/>
      <c r="I99" s="208"/>
      <c r="N99" s="207"/>
      <c r="O99" s="207"/>
      <c r="P99" s="207"/>
      <c r="Q99" s="207"/>
      <c r="R99" s="207"/>
      <c r="S99" s="207"/>
    </row>
    <row r="100" spans="4:26" x14ac:dyDescent="0.2">
      <c r="F100" s="209"/>
      <c r="G100" s="209"/>
      <c r="I100" s="208"/>
      <c r="N100" s="207"/>
      <c r="O100" s="207"/>
      <c r="P100" s="207"/>
      <c r="Q100" s="207"/>
      <c r="R100" s="207"/>
      <c r="S100" s="207"/>
    </row>
    <row r="101" spans="4:26" x14ac:dyDescent="0.2">
      <c r="F101" s="209"/>
      <c r="G101" s="209"/>
      <c r="I101" s="208"/>
      <c r="N101" s="207"/>
      <c r="O101" s="207"/>
      <c r="P101" s="207"/>
      <c r="Q101" s="207"/>
      <c r="R101" s="207"/>
      <c r="S101" s="207"/>
    </row>
    <row r="102" spans="4:26" x14ac:dyDescent="0.2">
      <c r="F102" s="209"/>
      <c r="G102" s="209"/>
      <c r="I102" s="208"/>
      <c r="N102" s="207"/>
      <c r="O102" s="207"/>
      <c r="P102" s="207"/>
      <c r="Q102" s="207"/>
      <c r="R102" s="207"/>
      <c r="S102" s="207"/>
    </row>
    <row r="103" spans="4:26" x14ac:dyDescent="0.2">
      <c r="F103" s="209"/>
      <c r="G103" s="209"/>
      <c r="I103" s="208"/>
      <c r="N103" s="207"/>
      <c r="O103" s="207"/>
      <c r="P103" s="207"/>
      <c r="Q103" s="207"/>
      <c r="R103" s="207"/>
      <c r="S103" s="207"/>
    </row>
    <row r="104" spans="4:26" x14ac:dyDescent="0.2">
      <c r="F104" s="209"/>
      <c r="G104" s="209"/>
      <c r="I104" s="208"/>
      <c r="N104" s="207"/>
      <c r="O104" s="207"/>
      <c r="P104" s="207"/>
      <c r="Q104" s="207"/>
      <c r="R104" s="207"/>
      <c r="S104" s="207"/>
    </row>
    <row r="105" spans="4:26" x14ac:dyDescent="0.2">
      <c r="F105" s="209"/>
      <c r="G105" s="209"/>
      <c r="I105" s="208"/>
      <c r="N105" s="207"/>
      <c r="O105" s="207"/>
      <c r="P105" s="207"/>
      <c r="Q105" s="207"/>
      <c r="R105" s="207"/>
      <c r="S105" s="207"/>
    </row>
    <row r="106" spans="4:26" x14ac:dyDescent="0.2">
      <c r="F106" s="209"/>
      <c r="G106" s="209"/>
      <c r="I106" s="208"/>
      <c r="N106" s="207"/>
      <c r="O106" s="207"/>
      <c r="P106" s="207"/>
      <c r="Q106" s="207"/>
      <c r="R106" s="207"/>
      <c r="S106" s="207"/>
    </row>
    <row r="107" spans="4:26" x14ac:dyDescent="0.2">
      <c r="F107" s="209"/>
      <c r="G107" s="209"/>
      <c r="I107" s="208"/>
      <c r="N107" s="207"/>
      <c r="O107" s="207"/>
      <c r="P107" s="207"/>
      <c r="Q107" s="207"/>
      <c r="R107" s="207"/>
      <c r="S107" s="207"/>
    </row>
    <row r="108" spans="4:26" x14ac:dyDescent="0.2">
      <c r="F108" s="209"/>
      <c r="G108" s="209"/>
      <c r="I108" s="208"/>
      <c r="N108" s="207"/>
      <c r="O108" s="207"/>
      <c r="P108" s="207"/>
      <c r="Q108" s="207"/>
      <c r="R108" s="207"/>
      <c r="S108" s="207"/>
    </row>
    <row r="109" spans="4:26" x14ac:dyDescent="0.2">
      <c r="F109" s="209"/>
      <c r="G109" s="209"/>
      <c r="I109" s="208"/>
      <c r="N109" s="207"/>
      <c r="O109" s="207"/>
      <c r="P109" s="207"/>
      <c r="Q109" s="207"/>
      <c r="R109" s="207"/>
      <c r="S109" s="207"/>
    </row>
    <row r="110" spans="4:26" x14ac:dyDescent="0.2">
      <c r="F110" s="209"/>
      <c r="G110" s="209"/>
      <c r="I110" s="208"/>
      <c r="N110" s="207"/>
      <c r="O110" s="207"/>
      <c r="P110" s="207"/>
      <c r="Q110" s="207"/>
      <c r="R110" s="207"/>
      <c r="S110" s="207"/>
    </row>
    <row r="111" spans="4:26" x14ac:dyDescent="0.2">
      <c r="I111" s="208"/>
      <c r="N111" s="210"/>
      <c r="O111" s="210"/>
      <c r="P111" s="210"/>
      <c r="Q111" s="210"/>
      <c r="R111" s="210"/>
      <c r="S111" s="210"/>
    </row>
    <row r="114" spans="9:9" x14ac:dyDescent="0.2">
      <c r="I114" s="208"/>
    </row>
    <row r="115" spans="9:9" x14ac:dyDescent="0.2">
      <c r="I115" s="208"/>
    </row>
    <row r="116" spans="9:9" x14ac:dyDescent="0.2">
      <c r="I116" s="208"/>
    </row>
    <row r="117" spans="9:9" x14ac:dyDescent="0.2">
      <c r="I117" s="208"/>
    </row>
    <row r="118" spans="9:9" x14ac:dyDescent="0.2">
      <c r="I118" s="208"/>
    </row>
    <row r="119" spans="9:9" x14ac:dyDescent="0.2">
      <c r="I119" s="208"/>
    </row>
    <row r="120" spans="9:9" x14ac:dyDescent="0.2">
      <c r="I120" s="208"/>
    </row>
    <row r="121" spans="9:9" x14ac:dyDescent="0.2">
      <c r="I121" s="208"/>
    </row>
    <row r="122" spans="9:9" x14ac:dyDescent="0.2">
      <c r="I122" s="208"/>
    </row>
    <row r="123" spans="9:9" x14ac:dyDescent="0.2">
      <c r="I123" s="208"/>
    </row>
    <row r="124" spans="9:9" x14ac:dyDescent="0.2">
      <c r="I124" s="208"/>
    </row>
    <row r="125" spans="9:9" x14ac:dyDescent="0.2">
      <c r="I125" s="208"/>
    </row>
    <row r="126" spans="9:9" x14ac:dyDescent="0.2">
      <c r="I126" s="208"/>
    </row>
    <row r="127" spans="9:9" x14ac:dyDescent="0.2">
      <c r="I127" s="208"/>
    </row>
    <row r="128" spans="9:9" x14ac:dyDescent="0.2">
      <c r="I128" s="208"/>
    </row>
    <row r="129" spans="9:9" x14ac:dyDescent="0.2">
      <c r="I129" s="208"/>
    </row>
    <row r="130" spans="9:9" x14ac:dyDescent="0.2">
      <c r="I130" s="208"/>
    </row>
    <row r="131" spans="9:9" x14ac:dyDescent="0.2">
      <c r="I131" s="208"/>
    </row>
    <row r="133" spans="9:9" x14ac:dyDescent="0.2">
      <c r="I133" s="208"/>
    </row>
    <row r="135" spans="9:9" x14ac:dyDescent="0.2">
      <c r="I135" s="208"/>
    </row>
    <row r="136" spans="9:9" x14ac:dyDescent="0.2">
      <c r="I136" s="208"/>
    </row>
  </sheetData>
  <phoneticPr fontId="42"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54"/>
  <sheetViews>
    <sheetView zoomScale="80" zoomScaleNormal="80" workbookViewId="0">
      <pane ySplit="1" topLeftCell="A2" activePane="bottomLeft" state="frozen"/>
      <selection pane="bottomLeft" activeCell="B13" sqref="B13"/>
    </sheetView>
  </sheetViews>
  <sheetFormatPr defaultColWidth="9.140625" defaultRowHeight="12.75" x14ac:dyDescent="0.2"/>
  <cols>
    <col min="1" max="1" width="16.140625" style="16" customWidth="1"/>
    <col min="2" max="2" width="14" style="16" customWidth="1"/>
    <col min="3" max="3" width="10.140625" style="16" bestFit="1" customWidth="1"/>
    <col min="4" max="9" width="9.140625" style="16"/>
    <col min="10" max="10" width="14.42578125" style="16" customWidth="1"/>
    <col min="11" max="11" width="15.42578125" style="16" customWidth="1"/>
    <col min="12" max="16384" width="9.140625" style="16"/>
  </cols>
  <sheetData>
    <row r="1" spans="1:12" ht="15.75" x14ac:dyDescent="0.2">
      <c r="A1" s="43" t="s">
        <v>383</v>
      </c>
    </row>
    <row r="2" spans="1:12" x14ac:dyDescent="0.2">
      <c r="A2" s="14" t="s">
        <v>0</v>
      </c>
    </row>
    <row r="3" spans="1:12" x14ac:dyDescent="0.2">
      <c r="A3" s="14" t="s">
        <v>1</v>
      </c>
    </row>
    <row r="4" spans="1:12" x14ac:dyDescent="0.2">
      <c r="A4" s="44"/>
    </row>
    <row r="5" spans="1:12" x14ac:dyDescent="0.2">
      <c r="A5" s="45" t="s">
        <v>886</v>
      </c>
    </row>
    <row r="7" spans="1:12" x14ac:dyDescent="0.2">
      <c r="A7" s="16" t="s">
        <v>105</v>
      </c>
      <c r="D7" s="46" t="s">
        <v>106</v>
      </c>
      <c r="E7" s="46"/>
      <c r="F7" s="46"/>
    </row>
    <row r="8" spans="1:12" x14ac:dyDescent="0.2">
      <c r="A8" s="16" t="s">
        <v>107</v>
      </c>
      <c r="D8" s="46" t="s">
        <v>108</v>
      </c>
      <c r="E8" s="46" t="s">
        <v>109</v>
      </c>
      <c r="F8" s="46"/>
      <c r="G8" s="46" t="s">
        <v>110</v>
      </c>
      <c r="H8" s="46"/>
    </row>
    <row r="9" spans="1:12" ht="22.5" x14ac:dyDescent="0.2">
      <c r="A9" s="47" t="s">
        <v>111</v>
      </c>
      <c r="B9" s="48" t="s">
        <v>2</v>
      </c>
      <c r="C9" s="16" t="s">
        <v>382</v>
      </c>
      <c r="I9" s="49" t="s">
        <v>382</v>
      </c>
      <c r="J9" s="50" t="s">
        <v>112</v>
      </c>
      <c r="K9" s="45" t="s">
        <v>113</v>
      </c>
    </row>
    <row r="10" spans="1:12" x14ac:dyDescent="0.2">
      <c r="A10" s="16" t="s">
        <v>114</v>
      </c>
      <c r="B10" s="51">
        <v>1713100</v>
      </c>
      <c r="C10" s="52"/>
      <c r="I10" s="53" t="s">
        <v>115</v>
      </c>
      <c r="J10" s="54"/>
      <c r="K10" s="55"/>
    </row>
    <row r="11" spans="1:12" x14ac:dyDescent="0.2">
      <c r="A11" s="16" t="s">
        <v>116</v>
      </c>
      <c r="B11" s="56">
        <v>181500</v>
      </c>
      <c r="C11" s="16">
        <v>5</v>
      </c>
      <c r="I11" s="53" t="s">
        <v>117</v>
      </c>
      <c r="J11" s="57">
        <f>SUM(B13,B14)</f>
        <v>1425000</v>
      </c>
      <c r="K11" s="55">
        <f>J11*365*Conv!$C$47*10^-9*Conv!$I$6</f>
        <v>3248.4927000000007</v>
      </c>
      <c r="L11" s="58" t="s">
        <v>118</v>
      </c>
    </row>
    <row r="12" spans="1:12" x14ac:dyDescent="0.2">
      <c r="A12" s="16" t="s">
        <v>119</v>
      </c>
      <c r="B12" s="56">
        <v>28000</v>
      </c>
      <c r="C12" s="16">
        <v>5</v>
      </c>
      <c r="I12" s="53" t="s">
        <v>120</v>
      </c>
      <c r="J12" s="57">
        <f>IF(A5="EPAUS9R",SUM(B18,B19,B22,B25,B28),0)</f>
        <v>0</v>
      </c>
      <c r="K12" s="55">
        <f>J12*365*Conv!$C$47*10^-9*Conv!$I$6</f>
        <v>0</v>
      </c>
    </row>
    <row r="13" spans="1:12" x14ac:dyDescent="0.2">
      <c r="A13" s="16" t="s">
        <v>121</v>
      </c>
      <c r="B13" s="56">
        <v>655000</v>
      </c>
      <c r="C13" s="16">
        <v>2</v>
      </c>
      <c r="I13" s="53" t="s">
        <v>122</v>
      </c>
      <c r="J13" s="57">
        <f>IF(A5="EPAUS9R",SUM(B23,B24,B20),0)</f>
        <v>0</v>
      </c>
      <c r="K13" s="55">
        <f>J13*365*Conv!$C$47*10^-9*Conv!$I$6</f>
        <v>0</v>
      </c>
    </row>
    <row r="14" spans="1:12" x14ac:dyDescent="0.2">
      <c r="A14" s="16" t="s">
        <v>123</v>
      </c>
      <c r="B14" s="56">
        <v>770000</v>
      </c>
      <c r="C14" s="16">
        <v>2</v>
      </c>
      <c r="I14" s="53" t="s">
        <v>124</v>
      </c>
      <c r="J14" s="57">
        <f>IF(A5="EPAUS9R",SUM(B12,B15,B16,B11),0)</f>
        <v>0</v>
      </c>
      <c r="K14" s="55">
        <f>J14*365*Conv!$C$47*10^-9*Conv!$I$6</f>
        <v>0</v>
      </c>
    </row>
    <row r="15" spans="1:12" x14ac:dyDescent="0.2">
      <c r="A15" s="16" t="s">
        <v>125</v>
      </c>
      <c r="B15" s="56">
        <v>58600</v>
      </c>
      <c r="C15" s="16">
        <v>5</v>
      </c>
      <c r="I15" s="53" t="s">
        <v>126</v>
      </c>
      <c r="J15" s="57">
        <f>IF(A5="EPAUS9R",SUM(B21,B27,B33,B30),0)</f>
        <v>0</v>
      </c>
      <c r="K15" s="55">
        <f>J15*365*Conv!$C$47*10^-9*Conv!$I$6</f>
        <v>0</v>
      </c>
    </row>
    <row r="16" spans="1:12" x14ac:dyDescent="0.2">
      <c r="A16" s="16" t="s">
        <v>127</v>
      </c>
      <c r="B16" s="56">
        <v>20000</v>
      </c>
      <c r="C16" s="16">
        <v>5</v>
      </c>
      <c r="I16" s="53" t="s">
        <v>128</v>
      </c>
      <c r="J16" s="57">
        <f>IF(A5="EPAUS9R",SUM(B26,B31,B32,B35),0)</f>
        <v>0</v>
      </c>
      <c r="K16" s="55">
        <f>J16*365*Conv!$C$47*10^-9*Conv!$I$6</f>
        <v>0</v>
      </c>
    </row>
    <row r="17" spans="1:17" x14ac:dyDescent="0.2">
      <c r="A17" s="16" t="s">
        <v>129</v>
      </c>
      <c r="B17" s="51">
        <v>3582640</v>
      </c>
      <c r="C17" s="52"/>
      <c r="D17" s="46">
        <v>2025</v>
      </c>
      <c r="E17" s="46">
        <f>Capacity!E23/Capacity!E22</f>
        <v>2.7027027027027029E-2</v>
      </c>
      <c r="F17" s="59">
        <f>B17*E17</f>
        <v>96828.108108108107</v>
      </c>
      <c r="G17" s="60">
        <f>F17*5*Conv!$C$47*10^-9*Conv!$I$6</f>
        <v>3.0237481600000007</v>
      </c>
      <c r="H17" s="60"/>
      <c r="I17" s="53" t="s">
        <v>130</v>
      </c>
      <c r="J17" s="57">
        <f>IF(A5="EPAUS9R",SUM(B37:B40,B45,B34),0)</f>
        <v>0</v>
      </c>
      <c r="K17" s="55">
        <f>J17*365*Conv!$C$47*10^-9*Conv!$I$6</f>
        <v>0</v>
      </c>
    </row>
    <row r="18" spans="1:17" x14ac:dyDescent="0.2">
      <c r="A18" s="16" t="s">
        <v>131</v>
      </c>
      <c r="B18" s="56">
        <v>903500</v>
      </c>
      <c r="C18" s="16">
        <v>3</v>
      </c>
      <c r="D18" s="46"/>
      <c r="E18" s="46"/>
      <c r="F18" s="59"/>
      <c r="G18" s="60"/>
      <c r="H18" s="60"/>
      <c r="I18" s="61" t="s">
        <v>132</v>
      </c>
      <c r="J18" s="62">
        <f>IF(A5="EPAUS9R",SUM(B42:B44,B47),0)</f>
        <v>0</v>
      </c>
      <c r="K18" s="63">
        <f>J18*365*Conv!$C$47*10^-9*Conv!$I$6</f>
        <v>0</v>
      </c>
    </row>
    <row r="19" spans="1:17" x14ac:dyDescent="0.2">
      <c r="A19" s="16" t="s">
        <v>133</v>
      </c>
      <c r="B19" s="56">
        <v>433000</v>
      </c>
      <c r="C19" s="16">
        <v>3</v>
      </c>
      <c r="D19" s="46"/>
      <c r="E19" s="46"/>
      <c r="F19" s="59" t="s">
        <v>120</v>
      </c>
      <c r="G19" s="60">
        <f>G17*J24</f>
        <v>0</v>
      </c>
      <c r="H19" s="60"/>
      <c r="I19" s="61" t="s">
        <v>858</v>
      </c>
      <c r="J19" s="64">
        <f>SUM(J10:J18)</f>
        <v>1425000</v>
      </c>
      <c r="K19" s="65">
        <f>SUM(K11:K18)</f>
        <v>3248.4927000000007</v>
      </c>
      <c r="M19" s="66" t="s">
        <v>484</v>
      </c>
      <c r="N19" s="67" t="s">
        <v>485</v>
      </c>
      <c r="O19" s="67" t="s">
        <v>486</v>
      </c>
      <c r="P19" s="67" t="s">
        <v>130</v>
      </c>
      <c r="Q19" s="68" t="s">
        <v>132</v>
      </c>
    </row>
    <row r="20" spans="1:17" ht="13.5" thickBot="1" x14ac:dyDescent="0.25">
      <c r="A20" s="16" t="s">
        <v>134</v>
      </c>
      <c r="B20" s="56">
        <v>299200</v>
      </c>
      <c r="C20" s="16">
        <v>4</v>
      </c>
      <c r="D20" s="46"/>
      <c r="E20" s="46"/>
      <c r="F20" s="59" t="s">
        <v>122</v>
      </c>
      <c r="G20" s="60">
        <f>G17*J25</f>
        <v>0</v>
      </c>
      <c r="H20" s="60"/>
      <c r="M20" s="49" t="s">
        <v>484</v>
      </c>
      <c r="N20" s="69" t="s">
        <v>485</v>
      </c>
      <c r="O20" s="69" t="s">
        <v>486</v>
      </c>
      <c r="P20" s="69" t="s">
        <v>488</v>
      </c>
      <c r="Q20" s="50" t="s">
        <v>487</v>
      </c>
    </row>
    <row r="21" spans="1:17" ht="13.5" thickBot="1" x14ac:dyDescent="0.25">
      <c r="A21" s="16" t="s">
        <v>135</v>
      </c>
      <c r="B21" s="56">
        <v>227500</v>
      </c>
      <c r="C21" s="16">
        <v>6</v>
      </c>
      <c r="D21" s="46"/>
      <c r="E21" s="46"/>
      <c r="F21" s="59"/>
      <c r="G21" s="60"/>
      <c r="H21" s="60"/>
      <c r="I21" s="70" t="s">
        <v>117</v>
      </c>
      <c r="J21" s="71">
        <f>J11/(J11+SUM(B12,B15,B16,B11))</f>
        <v>0.83182534586422274</v>
      </c>
      <c r="K21" s="72">
        <f>J21*M21</f>
        <v>2074.6654545209508</v>
      </c>
      <c r="M21" s="73">
        <f>Capacity!F3</f>
        <v>2494.1118527297131</v>
      </c>
      <c r="N21" s="74">
        <f>Capacity!F4</f>
        <v>6901.1863907557145</v>
      </c>
      <c r="O21" s="74">
        <f>Capacity!F5</f>
        <v>14663.504643555978</v>
      </c>
      <c r="P21" s="74">
        <f>Capacity!F6</f>
        <v>1086.8569601495908</v>
      </c>
      <c r="Q21" s="75">
        <f>Capacity!F7</f>
        <v>4892.5751768157543</v>
      </c>
    </row>
    <row r="22" spans="1:17" x14ac:dyDescent="0.2">
      <c r="A22" s="16" t="s">
        <v>136</v>
      </c>
      <c r="B22" s="56">
        <v>100000</v>
      </c>
      <c r="C22" s="16">
        <v>3</v>
      </c>
      <c r="D22" s="46"/>
      <c r="E22" s="46"/>
      <c r="F22" s="59"/>
      <c r="G22" s="60"/>
      <c r="H22" s="60"/>
      <c r="I22" s="76" t="s">
        <v>124</v>
      </c>
      <c r="J22" s="77">
        <f>J14/(J11+J14)</f>
        <v>0</v>
      </c>
      <c r="K22" s="78">
        <f>J22*M21</f>
        <v>0</v>
      </c>
    </row>
    <row r="23" spans="1:17" x14ac:dyDescent="0.2">
      <c r="A23" s="16" t="s">
        <v>137</v>
      </c>
      <c r="B23" s="56">
        <v>349300</v>
      </c>
      <c r="C23" s="16">
        <v>4</v>
      </c>
      <c r="D23" s="46"/>
      <c r="E23" s="46"/>
      <c r="F23" s="59"/>
      <c r="G23" s="60"/>
      <c r="H23" s="60"/>
      <c r="I23" s="76"/>
      <c r="J23" s="77"/>
      <c r="K23" s="78"/>
    </row>
    <row r="24" spans="1:17" x14ac:dyDescent="0.2">
      <c r="A24" s="16" t="s">
        <v>138</v>
      </c>
      <c r="B24" s="56">
        <v>58000</v>
      </c>
      <c r="C24" s="16">
        <v>4</v>
      </c>
      <c r="D24" s="46"/>
      <c r="E24" s="46"/>
      <c r="F24" s="59"/>
      <c r="G24" s="60"/>
      <c r="H24" s="60"/>
      <c r="I24" s="76" t="s">
        <v>120</v>
      </c>
      <c r="J24" s="77">
        <f>IF(A5="EPAUS9R",J12/(J12+J13),0)</f>
        <v>0</v>
      </c>
      <c r="K24" s="78">
        <f>J24*N21</f>
        <v>0</v>
      </c>
    </row>
    <row r="25" spans="1:17" x14ac:dyDescent="0.2">
      <c r="A25" s="16" t="s">
        <v>139</v>
      </c>
      <c r="B25" s="56">
        <v>510900</v>
      </c>
      <c r="C25" s="16">
        <v>3</v>
      </c>
      <c r="D25" s="46"/>
      <c r="E25" s="46"/>
      <c r="F25" s="59"/>
      <c r="G25" s="60"/>
      <c r="H25" s="60"/>
      <c r="I25" s="76" t="s">
        <v>122</v>
      </c>
      <c r="J25" s="77">
        <f>IF(A5="EPAUS9R",J13/(J12+J13),0)</f>
        <v>0</v>
      </c>
      <c r="K25" s="78">
        <f>J25*N21</f>
        <v>0</v>
      </c>
    </row>
    <row r="26" spans="1:17" x14ac:dyDescent="0.2">
      <c r="A26" s="16" t="s">
        <v>140</v>
      </c>
      <c r="B26" s="56">
        <v>486940</v>
      </c>
      <c r="C26" s="16">
        <v>7</v>
      </c>
      <c r="D26" s="46"/>
      <c r="E26" s="46"/>
      <c r="F26" s="59"/>
      <c r="G26" s="60"/>
      <c r="H26" s="60"/>
      <c r="I26" s="76"/>
      <c r="J26" s="77"/>
      <c r="K26" s="78"/>
    </row>
    <row r="27" spans="1:17" x14ac:dyDescent="0.2">
      <c r="A27" s="16" t="s">
        <v>141</v>
      </c>
      <c r="B27" s="56">
        <v>180000</v>
      </c>
      <c r="C27" s="16">
        <v>6</v>
      </c>
      <c r="D27" s="46"/>
      <c r="E27" s="46"/>
      <c r="F27" s="59"/>
      <c r="G27" s="60"/>
      <c r="H27" s="60"/>
      <c r="I27" s="76" t="s">
        <v>126</v>
      </c>
      <c r="J27" s="77">
        <f>IF(A5="EPAUS9R",J15/(J15+J16),0)</f>
        <v>0</v>
      </c>
      <c r="K27" s="78">
        <f>J27*O21</f>
        <v>0</v>
      </c>
    </row>
    <row r="28" spans="1:17" x14ac:dyDescent="0.2">
      <c r="A28" s="16" t="s">
        <v>142</v>
      </c>
      <c r="B28" s="56">
        <v>34300</v>
      </c>
      <c r="C28" s="16">
        <v>3</v>
      </c>
      <c r="D28" s="46"/>
      <c r="E28" s="46"/>
      <c r="F28" s="59"/>
      <c r="G28" s="60"/>
      <c r="H28" s="60"/>
      <c r="I28" s="76" t="s">
        <v>128</v>
      </c>
      <c r="J28" s="77">
        <f>IF(A5="EPAUS9R",J16/(J15+J16),0)</f>
        <v>0</v>
      </c>
      <c r="K28" s="78">
        <f>J28*O21</f>
        <v>0</v>
      </c>
    </row>
    <row r="29" spans="1:17" x14ac:dyDescent="0.2">
      <c r="A29" s="16" t="s">
        <v>143</v>
      </c>
      <c r="B29" s="51">
        <v>8274086</v>
      </c>
      <c r="C29" s="52"/>
      <c r="D29" s="46">
        <v>2010</v>
      </c>
      <c r="E29" s="46">
        <f>Capacity!E29/Capacity!E28</f>
        <v>3.4883720930232558E-2</v>
      </c>
      <c r="F29" s="59">
        <f>B29*E29</f>
        <v>288630.90697674418</v>
      </c>
      <c r="G29" s="60">
        <f>F29*5*Conv!$C$47*10^-9*Conv!$I$6</f>
        <v>9.0133659630697682</v>
      </c>
      <c r="H29" s="60"/>
      <c r="I29" s="76" t="s">
        <v>130</v>
      </c>
      <c r="J29" s="77">
        <f>IF(A7="EPAUS9R",J17/(J17+J18),0)</f>
        <v>0</v>
      </c>
      <c r="K29" s="78">
        <f>J29*O23</f>
        <v>0</v>
      </c>
    </row>
    <row r="30" spans="1:17" ht="13.5" thickBot="1" x14ac:dyDescent="0.25">
      <c r="A30" s="16" t="s">
        <v>144</v>
      </c>
      <c r="B30" s="56">
        <v>135300</v>
      </c>
      <c r="C30" s="16">
        <v>6</v>
      </c>
      <c r="D30" s="46"/>
      <c r="E30" s="46"/>
      <c r="F30" s="59"/>
      <c r="G30" s="60"/>
      <c r="H30" s="60"/>
      <c r="I30" s="79" t="s">
        <v>132</v>
      </c>
      <c r="J30" s="80">
        <f>IF(A8="EPAUS9R",J18/(J18+J19),0)</f>
        <v>0</v>
      </c>
      <c r="K30" s="81">
        <f>J30*O24</f>
        <v>0</v>
      </c>
    </row>
    <row r="31" spans="1:17" x14ac:dyDescent="0.2">
      <c r="A31" s="16" t="s">
        <v>145</v>
      </c>
      <c r="B31" s="56">
        <v>77200</v>
      </c>
      <c r="C31" s="16">
        <v>7</v>
      </c>
      <c r="D31" s="46"/>
      <c r="E31" s="46"/>
      <c r="F31" s="59" t="s">
        <v>126</v>
      </c>
      <c r="G31" s="60">
        <f>G29*J27</f>
        <v>0</v>
      </c>
      <c r="H31" s="60"/>
      <c r="I31" s="15"/>
    </row>
    <row r="32" spans="1:17" x14ac:dyDescent="0.2">
      <c r="A32" s="16" t="s">
        <v>146</v>
      </c>
      <c r="B32" s="56">
        <v>2900883</v>
      </c>
      <c r="C32" s="16">
        <v>7</v>
      </c>
      <c r="D32" s="46"/>
      <c r="E32" s="46"/>
      <c r="F32" s="59" t="s">
        <v>128</v>
      </c>
      <c r="G32" s="60">
        <f>G29*J28</f>
        <v>0</v>
      </c>
      <c r="H32" s="60"/>
    </row>
    <row r="33" spans="1:8" x14ac:dyDescent="0.2">
      <c r="A33" s="16" t="s">
        <v>147</v>
      </c>
      <c r="B33" s="56">
        <v>369800</v>
      </c>
      <c r="C33" s="16">
        <v>6</v>
      </c>
      <c r="D33" s="46"/>
      <c r="E33" s="46"/>
      <c r="F33" s="59"/>
      <c r="G33" s="60"/>
      <c r="H33" s="60"/>
    </row>
    <row r="34" spans="1:8" x14ac:dyDescent="0.2">
      <c r="A34" s="16" t="s">
        <v>148</v>
      </c>
      <c r="B34" s="56">
        <v>112600</v>
      </c>
      <c r="C34" s="16">
        <v>8</v>
      </c>
      <c r="D34" s="46"/>
      <c r="E34" s="46"/>
      <c r="F34" s="59"/>
      <c r="G34" s="60"/>
      <c r="H34" s="60"/>
    </row>
    <row r="35" spans="1:8" x14ac:dyDescent="0.2">
      <c r="A35" s="16" t="s">
        <v>149</v>
      </c>
      <c r="B35" s="56">
        <v>4678303</v>
      </c>
      <c r="C35" s="16">
        <v>7</v>
      </c>
      <c r="D35" s="46"/>
      <c r="E35" s="46"/>
      <c r="F35" s="59"/>
      <c r="G35" s="60"/>
      <c r="H35" s="60"/>
    </row>
    <row r="36" spans="1:8" x14ac:dyDescent="0.2">
      <c r="A36" s="16" t="s">
        <v>150</v>
      </c>
      <c r="B36" s="51">
        <v>595550</v>
      </c>
      <c r="C36" s="52"/>
      <c r="D36" s="46">
        <v>2010</v>
      </c>
      <c r="E36" s="46">
        <v>0</v>
      </c>
      <c r="F36" s="59">
        <f>B36*E36</f>
        <v>0</v>
      </c>
      <c r="G36" s="60">
        <f>F36*5*Conv!$C$47*10^-9*Conv!$I$6</f>
        <v>0</v>
      </c>
      <c r="H36" s="60"/>
    </row>
    <row r="37" spans="1:8" x14ac:dyDescent="0.2">
      <c r="A37" s="16" t="s">
        <v>151</v>
      </c>
      <c r="B37" s="56">
        <v>94000</v>
      </c>
      <c r="C37" s="16">
        <v>8</v>
      </c>
      <c r="D37" s="46"/>
      <c r="E37" s="46"/>
      <c r="F37" s="59"/>
      <c r="G37" s="60"/>
      <c r="H37" s="60"/>
    </row>
    <row r="38" spans="1:8" x14ac:dyDescent="0.2">
      <c r="A38" s="16" t="s">
        <v>152</v>
      </c>
      <c r="B38" s="56">
        <v>181200</v>
      </c>
      <c r="C38" s="16">
        <v>8</v>
      </c>
      <c r="D38" s="46"/>
      <c r="E38" s="46"/>
      <c r="F38" s="59"/>
      <c r="G38" s="60"/>
      <c r="H38" s="60"/>
    </row>
    <row r="39" spans="1:8" x14ac:dyDescent="0.2">
      <c r="A39" s="16" t="s">
        <v>153</v>
      </c>
      <c r="B39" s="56">
        <v>167350</v>
      </c>
      <c r="C39" s="16">
        <v>8</v>
      </c>
      <c r="D39" s="46"/>
      <c r="E39" s="46"/>
      <c r="F39" s="59"/>
      <c r="G39" s="60"/>
      <c r="H39" s="60"/>
    </row>
    <row r="40" spans="1:8" x14ac:dyDescent="0.2">
      <c r="A40" s="16" t="s">
        <v>154</v>
      </c>
      <c r="B40" s="56">
        <v>153000</v>
      </c>
      <c r="C40" s="16">
        <v>8</v>
      </c>
      <c r="D40" s="46"/>
      <c r="E40" s="46"/>
      <c r="F40" s="59"/>
      <c r="G40" s="60"/>
      <c r="H40" s="60"/>
    </row>
    <row r="41" spans="1:8" x14ac:dyDescent="0.2">
      <c r="A41" s="16" t="s">
        <v>155</v>
      </c>
      <c r="B41" s="51">
        <v>3173438</v>
      </c>
      <c r="D41" s="46">
        <v>2020</v>
      </c>
      <c r="E41" s="46">
        <v>0</v>
      </c>
      <c r="F41" s="59">
        <f>B41*E41</f>
        <v>0</v>
      </c>
      <c r="G41" s="60">
        <f>F41*5*Conv!$C$47*10^-9*Conv!$I$6</f>
        <v>0</v>
      </c>
      <c r="H41" s="60"/>
    </row>
    <row r="42" spans="1:8" x14ac:dyDescent="0.2">
      <c r="A42" s="16" t="s">
        <v>156</v>
      </c>
      <c r="B42" s="56">
        <v>373500</v>
      </c>
      <c r="C42" s="16">
        <v>9</v>
      </c>
    </row>
    <row r="43" spans="1:8" x14ac:dyDescent="0.2">
      <c r="A43" s="16" t="s">
        <v>157</v>
      </c>
      <c r="B43" s="56">
        <v>2026588</v>
      </c>
      <c r="C43" s="16">
        <v>9</v>
      </c>
    </row>
    <row r="44" spans="1:8" x14ac:dyDescent="0.2">
      <c r="A44" s="16" t="s">
        <v>158</v>
      </c>
      <c r="B44" s="56">
        <v>147500</v>
      </c>
      <c r="C44" s="16">
        <v>9</v>
      </c>
    </row>
    <row r="45" spans="1:8" x14ac:dyDescent="0.2">
      <c r="A45" s="16" t="s">
        <v>159</v>
      </c>
      <c r="B45" s="56">
        <v>2000</v>
      </c>
      <c r="C45" s="16">
        <v>8</v>
      </c>
    </row>
    <row r="46" spans="1:8" x14ac:dyDescent="0.2">
      <c r="A46" s="16" t="s">
        <v>160</v>
      </c>
      <c r="B46" s="82">
        <v>0</v>
      </c>
      <c r="C46" s="16">
        <v>9</v>
      </c>
    </row>
    <row r="47" spans="1:8" x14ac:dyDescent="0.2">
      <c r="A47" s="16" t="s">
        <v>161</v>
      </c>
      <c r="B47" s="56">
        <v>623850</v>
      </c>
      <c r="C47" s="16">
        <v>9</v>
      </c>
    </row>
    <row r="48" spans="1:8" x14ac:dyDescent="0.2">
      <c r="A48" s="16" t="s">
        <v>162</v>
      </c>
      <c r="B48" s="51">
        <f>B10+B17+B29+B36+B41</f>
        <v>17338814</v>
      </c>
      <c r="C48" s="52"/>
    </row>
    <row r="49" spans="1:2" x14ac:dyDescent="0.2">
      <c r="A49" s="16" t="s">
        <v>163</v>
      </c>
      <c r="B49" s="56">
        <v>77900</v>
      </c>
    </row>
    <row r="50" spans="1:2" x14ac:dyDescent="0.2">
      <c r="A50" s="16" t="s">
        <v>164</v>
      </c>
      <c r="B50" s="56">
        <v>495000</v>
      </c>
    </row>
    <row r="52" spans="1:2" x14ac:dyDescent="0.2">
      <c r="A52" s="16" t="s">
        <v>165</v>
      </c>
      <c r="B52" s="56">
        <v>149</v>
      </c>
    </row>
    <row r="54" spans="1:2" x14ac:dyDescent="0.2">
      <c r="B54" s="83"/>
    </row>
  </sheetData>
  <phoneticPr fontId="11" type="noConversion"/>
  <dataValidations count="1">
    <dataValidation type="list" allowBlank="1" showInputMessage="1" showErrorMessage="1" sqref="A5" xr:uid="{00000000-0002-0000-0800-000000000000}">
      <formula1>"NYC, EPAUS9R"</formula1>
    </dataValidation>
  </dataValidations>
  <pageMargins left="0.75" right="0.75" top="1" bottom="1" header="0.5" footer="0.5"/>
  <pageSetup orientation="portrait" horizontalDpi="4294967293" vertic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58"/>
  <sheetViews>
    <sheetView zoomScale="80" zoomScaleNormal="80" workbookViewId="0">
      <selection activeCell="E5" sqref="E5"/>
    </sheetView>
  </sheetViews>
  <sheetFormatPr defaultColWidth="9.140625" defaultRowHeight="12.75" x14ac:dyDescent="0.2"/>
  <cols>
    <col min="1" max="1" width="18.5703125" style="13" bestFit="1" customWidth="1"/>
    <col min="2" max="5" width="10.42578125" style="13" customWidth="1"/>
    <col min="6" max="6" width="7.85546875" style="13" customWidth="1"/>
    <col min="7" max="8" width="6.7109375" style="13" customWidth="1"/>
    <col min="9" max="9" width="13.140625" style="13" customWidth="1"/>
    <col min="10" max="28" width="6.7109375" style="13" customWidth="1"/>
    <col min="29" max="29" width="12.42578125" style="13" customWidth="1"/>
    <col min="30" max="16384" width="9.140625" style="13"/>
  </cols>
  <sheetData>
    <row r="1" spans="1:29" ht="15.75" x14ac:dyDescent="0.25">
      <c r="A1" s="84" t="s">
        <v>664</v>
      </c>
    </row>
    <row r="2" spans="1:29" ht="38.25" x14ac:dyDescent="0.2">
      <c r="A2" s="85" t="s">
        <v>667</v>
      </c>
      <c r="B2" s="86" t="s">
        <v>112</v>
      </c>
      <c r="C2" s="87" t="s">
        <v>671</v>
      </c>
      <c r="D2" s="86" t="s">
        <v>668</v>
      </c>
      <c r="E2" s="86" t="s">
        <v>669</v>
      </c>
      <c r="F2" s="88" t="s">
        <v>672</v>
      </c>
      <c r="H2" s="86" t="s">
        <v>860</v>
      </c>
      <c r="I2" s="86" t="s">
        <v>862</v>
      </c>
    </row>
    <row r="3" spans="1:29" x14ac:dyDescent="0.2">
      <c r="A3" s="22" t="s">
        <v>100</v>
      </c>
      <c r="B3" s="89">
        <f>E19*Conv!$C$47*Conv!$I$6*365/1000</f>
        <v>3647.4304000000002</v>
      </c>
      <c r="C3" s="89">
        <f>B3*Utilization!G4/100</f>
        <v>2622.6202447210444</v>
      </c>
      <c r="D3" s="89">
        <f>C3*(1+(Yields!S31)/100)</f>
        <v>2494.1118527297131</v>
      </c>
      <c r="E3" s="89">
        <f>C3*(Yields!T31)/100</f>
        <v>0</v>
      </c>
      <c r="F3" s="90">
        <f>D3-E3</f>
        <v>2494.1118527297131</v>
      </c>
      <c r="G3" s="91"/>
      <c r="H3" s="13">
        <f>C3/F3</f>
        <v>1.0515247108307046</v>
      </c>
      <c r="I3" s="92">
        <f>H3*0.987</f>
        <v>1.0378548895899056</v>
      </c>
    </row>
    <row r="4" spans="1:29" x14ac:dyDescent="0.2">
      <c r="A4" s="22" t="s">
        <v>101</v>
      </c>
      <c r="B4" s="89">
        <f>E25*Conv!$C$47*Conv!$I$6*365/1000</f>
        <v>8434.6828000000023</v>
      </c>
      <c r="C4" s="89">
        <f>B4*Utilization!G7/100</f>
        <v>7712.977245885123</v>
      </c>
      <c r="D4" s="89">
        <f>C4*(1+(Yields!S48)/100)</f>
        <v>7267.5528099352578</v>
      </c>
      <c r="E4" s="89">
        <f>C4*(Yields!T48)/100</f>
        <v>366.36641917954336</v>
      </c>
      <c r="F4" s="90">
        <f t="shared" ref="F4:F7" si="0">D4-E4</f>
        <v>6901.1863907557145</v>
      </c>
      <c r="G4" s="91"/>
      <c r="H4" s="13">
        <f t="shared" ref="H4:H7" si="1">C4/F4</f>
        <v>1.1176306230790722</v>
      </c>
      <c r="I4" s="92">
        <f t="shared" ref="I4:I7" si="2">H4*0.987</f>
        <v>1.1031014249790443</v>
      </c>
    </row>
    <row r="5" spans="1:29" x14ac:dyDescent="0.2">
      <c r="A5" s="22" t="s">
        <v>102</v>
      </c>
      <c r="B5" s="89">
        <f>E31*Conv!$C$47*Conv!$I$6*365/1000</f>
        <v>19604.938400000003</v>
      </c>
      <c r="C5" s="89">
        <f>B5*Utilization!G10/100</f>
        <v>17225.84980153419</v>
      </c>
      <c r="D5" s="89">
        <f>C5*(1+(Yields!S65)/100)</f>
        <v>15938.217528869509</v>
      </c>
      <c r="E5" s="89">
        <f>C5*(Yields!T65)/100</f>
        <v>1274.71288531353</v>
      </c>
      <c r="F5" s="90">
        <f t="shared" si="0"/>
        <v>14663.504643555978</v>
      </c>
      <c r="G5" s="91"/>
      <c r="H5" s="13">
        <f t="shared" si="1"/>
        <v>1.1747430249632893</v>
      </c>
      <c r="I5" s="92">
        <f t="shared" si="2"/>
        <v>1.1594713656387665</v>
      </c>
    </row>
    <row r="6" spans="1:29" x14ac:dyDescent="0.2">
      <c r="A6" s="22" t="s">
        <v>103</v>
      </c>
      <c r="B6" s="89">
        <f>E37*Conv!$C$47*Conv!$I$6*365/1000</f>
        <v>1367.7864000000002</v>
      </c>
      <c r="C6" s="89">
        <f>B6*Utilization!G13/100</f>
        <v>1199.9524815341881</v>
      </c>
      <c r="D6" s="89">
        <f>C6*(1+(Yields!S82)/100)</f>
        <v>1150.1544535505193</v>
      </c>
      <c r="E6" s="89">
        <f>C6*(Yields!T82)/100</f>
        <v>63.297493400928424</v>
      </c>
      <c r="F6" s="90">
        <f t="shared" si="0"/>
        <v>1086.8569601495908</v>
      </c>
      <c r="G6" s="91"/>
      <c r="H6" s="13">
        <f t="shared" si="1"/>
        <v>1.1040574109853714</v>
      </c>
      <c r="I6" s="92">
        <f t="shared" si="2"/>
        <v>1.0897046646425614</v>
      </c>
    </row>
    <row r="7" spans="1:29" x14ac:dyDescent="0.2">
      <c r="A7" s="22" t="s">
        <v>104</v>
      </c>
      <c r="B7" s="89">
        <f>E43*Conv!$C$47*Conv!$I$6*365/1000</f>
        <v>7066.8964000000014</v>
      </c>
      <c r="C7" s="89">
        <f>B7*Utilization!G16/100</f>
        <v>5672.5509296414548</v>
      </c>
      <c r="D7" s="89">
        <f>C7*(1+(Yields!S99)/100)</f>
        <v>5262.7091249748592</v>
      </c>
      <c r="E7" s="89">
        <f>C7*(Yields!T99)/100</f>
        <v>370.13394815910493</v>
      </c>
      <c r="F7" s="90">
        <f t="shared" si="0"/>
        <v>4892.5751768157543</v>
      </c>
      <c r="G7" s="91"/>
      <c r="H7" s="13">
        <f t="shared" si="1"/>
        <v>1.1594202898550725</v>
      </c>
      <c r="I7" s="92">
        <f t="shared" si="2"/>
        <v>1.1443478260869566</v>
      </c>
    </row>
    <row r="8" spans="1:29" x14ac:dyDescent="0.2">
      <c r="A8" s="22"/>
      <c r="I8" s="92"/>
    </row>
    <row r="9" spans="1:29" x14ac:dyDescent="0.2">
      <c r="A9" s="22"/>
    </row>
    <row r="10" spans="1:29" x14ac:dyDescent="0.2">
      <c r="A10" s="20" t="s">
        <v>666</v>
      </c>
    </row>
    <row r="11" spans="1:29" ht="18" customHeight="1" x14ac:dyDescent="0.2">
      <c r="A11" s="227" t="s">
        <v>600</v>
      </c>
      <c r="B11" s="227"/>
      <c r="C11" s="227"/>
      <c r="D11" s="227"/>
      <c r="E11" s="227"/>
      <c r="F11" s="227"/>
      <c r="G11" s="227"/>
      <c r="H11" s="227"/>
      <c r="I11" s="227"/>
      <c r="J11" s="227"/>
      <c r="K11" s="227"/>
      <c r="L11" s="227"/>
      <c r="M11" s="227"/>
      <c r="N11" s="227"/>
      <c r="O11" s="227"/>
      <c r="P11" s="227"/>
      <c r="Q11" s="227"/>
      <c r="R11" s="227"/>
      <c r="S11" s="227"/>
      <c r="T11" s="227"/>
      <c r="U11" s="227"/>
      <c r="V11" s="227"/>
      <c r="W11" s="227"/>
      <c r="X11" s="227"/>
      <c r="Y11" s="227"/>
      <c r="Z11" s="227"/>
      <c r="AA11" s="227"/>
      <c r="AB11" s="227"/>
      <c r="AC11" s="227"/>
    </row>
    <row r="12" spans="1:29" ht="18" customHeight="1" x14ac:dyDescent="0.2">
      <c r="A12" s="227" t="s">
        <v>307</v>
      </c>
      <c r="B12" s="227"/>
      <c r="C12" s="227"/>
      <c r="D12" s="227"/>
      <c r="E12" s="227"/>
      <c r="F12" s="227"/>
      <c r="G12" s="227"/>
      <c r="H12" s="227"/>
      <c r="I12" s="227"/>
      <c r="J12" s="227"/>
      <c r="K12" s="227"/>
      <c r="L12" s="227"/>
      <c r="M12" s="227"/>
      <c r="N12" s="227"/>
      <c r="O12" s="227"/>
      <c r="P12" s="227"/>
      <c r="Q12" s="227"/>
      <c r="R12" s="227"/>
      <c r="S12" s="227"/>
      <c r="T12" s="227"/>
      <c r="U12" s="227"/>
      <c r="V12" s="227"/>
      <c r="W12" s="227"/>
      <c r="X12" s="227"/>
      <c r="Y12" s="227"/>
      <c r="Z12" s="227"/>
      <c r="AA12" s="227"/>
      <c r="AB12" s="227"/>
      <c r="AC12" s="227"/>
    </row>
    <row r="13" spans="1:29" x14ac:dyDescent="0.2">
      <c r="A13" s="228"/>
      <c r="B13" s="228"/>
      <c r="C13" s="228"/>
      <c r="D13" s="228"/>
      <c r="E13" s="228"/>
      <c r="F13" s="228"/>
      <c r="G13" s="228"/>
      <c r="H13" s="228"/>
      <c r="I13" s="228"/>
      <c r="J13" s="228"/>
      <c r="K13" s="228"/>
      <c r="L13" s="228"/>
      <c r="M13" s="228"/>
      <c r="N13" s="228"/>
      <c r="O13" s="228"/>
      <c r="P13" s="228"/>
      <c r="Q13" s="228"/>
      <c r="R13" s="228"/>
      <c r="S13" s="228"/>
      <c r="T13" s="228"/>
      <c r="U13" s="228"/>
      <c r="V13" s="228"/>
      <c r="W13" s="228"/>
      <c r="X13" s="228"/>
      <c r="Y13" s="228"/>
      <c r="Z13" s="228"/>
      <c r="AA13" s="228"/>
      <c r="AB13" s="228"/>
      <c r="AC13" s="228"/>
    </row>
    <row r="14" spans="1:29" ht="30" x14ac:dyDescent="0.25">
      <c r="A14" s="93" t="s">
        <v>382</v>
      </c>
      <c r="B14" s="94">
        <v>2009</v>
      </c>
      <c r="C14" s="94">
        <v>2010</v>
      </c>
      <c r="D14" s="94">
        <v>2011</v>
      </c>
      <c r="E14" s="94">
        <v>2012</v>
      </c>
      <c r="F14" s="94">
        <v>2013</v>
      </c>
      <c r="G14" s="94">
        <v>2014</v>
      </c>
      <c r="H14" s="94">
        <v>2015</v>
      </c>
      <c r="I14" s="94">
        <v>2016</v>
      </c>
      <c r="J14" s="94">
        <v>2017</v>
      </c>
      <c r="K14" s="94">
        <v>2018</v>
      </c>
      <c r="L14" s="94">
        <v>2019</v>
      </c>
      <c r="M14" s="94">
        <v>2020</v>
      </c>
      <c r="N14" s="94">
        <v>2021</v>
      </c>
      <c r="O14" s="94">
        <v>2022</v>
      </c>
      <c r="P14" s="94">
        <v>2023</v>
      </c>
      <c r="Q14" s="94">
        <v>2024</v>
      </c>
      <c r="R14" s="94">
        <v>2025</v>
      </c>
      <c r="S14" s="94">
        <v>2026</v>
      </c>
      <c r="T14" s="94">
        <v>2027</v>
      </c>
      <c r="U14" s="94">
        <v>2028</v>
      </c>
      <c r="V14" s="94">
        <v>2029</v>
      </c>
      <c r="W14" s="94">
        <v>2030</v>
      </c>
      <c r="X14" s="94">
        <v>2031</v>
      </c>
      <c r="Y14" s="94">
        <v>2032</v>
      </c>
      <c r="Z14" s="94">
        <v>2033</v>
      </c>
      <c r="AA14" s="94">
        <v>2034</v>
      </c>
      <c r="AB14" s="94">
        <v>2035</v>
      </c>
      <c r="AC14" s="94" t="s">
        <v>601</v>
      </c>
    </row>
    <row r="15" spans="1:29" ht="15" x14ac:dyDescent="0.25">
      <c r="A15" s="93" t="s">
        <v>602</v>
      </c>
    </row>
    <row r="16" spans="1:29" x14ac:dyDescent="0.2">
      <c r="A16" s="95" t="s">
        <v>603</v>
      </c>
      <c r="B16" s="95">
        <v>1.7</v>
      </c>
      <c r="C16" s="95">
        <v>1.4</v>
      </c>
      <c r="D16" s="95">
        <v>1.6</v>
      </c>
      <c r="E16" s="95">
        <v>1.6</v>
      </c>
      <c r="F16" s="95">
        <v>1.6</v>
      </c>
      <c r="G16" s="95">
        <v>1.6</v>
      </c>
      <c r="H16" s="95">
        <v>1.6</v>
      </c>
      <c r="I16" s="95">
        <v>1.6</v>
      </c>
      <c r="J16" s="95">
        <v>1.6</v>
      </c>
      <c r="K16" s="95">
        <v>1.6</v>
      </c>
      <c r="L16" s="95">
        <v>1.6</v>
      </c>
      <c r="M16" s="95">
        <v>1.6</v>
      </c>
      <c r="N16" s="95">
        <v>1.6</v>
      </c>
      <c r="O16" s="95">
        <v>1.6</v>
      </c>
      <c r="P16" s="95">
        <v>1.6</v>
      </c>
      <c r="Q16" s="95">
        <v>1.6</v>
      </c>
      <c r="R16" s="95">
        <v>1.6</v>
      </c>
      <c r="S16" s="95">
        <v>1.6</v>
      </c>
      <c r="T16" s="95">
        <v>1.6</v>
      </c>
      <c r="U16" s="95">
        <v>1.6</v>
      </c>
      <c r="V16" s="95">
        <v>1.6</v>
      </c>
      <c r="W16" s="95">
        <v>1.6</v>
      </c>
      <c r="X16" s="95">
        <v>1.6</v>
      </c>
      <c r="Y16" s="95">
        <v>1.6</v>
      </c>
      <c r="Z16" s="95">
        <v>1.6</v>
      </c>
      <c r="AA16" s="95">
        <v>1.6</v>
      </c>
      <c r="AB16" s="95">
        <v>1.6</v>
      </c>
      <c r="AC16" s="96">
        <v>4.0000000000000001E-3</v>
      </c>
    </row>
    <row r="17" spans="1:29" x14ac:dyDescent="0.2">
      <c r="A17" s="95" t="s">
        <v>604</v>
      </c>
      <c r="B17" s="95">
        <v>0</v>
      </c>
      <c r="C17" s="95">
        <v>0</v>
      </c>
      <c r="D17" s="95">
        <v>0</v>
      </c>
      <c r="E17" s="95">
        <v>0</v>
      </c>
      <c r="F17" s="95">
        <v>0</v>
      </c>
      <c r="G17" s="95">
        <v>0</v>
      </c>
      <c r="H17" s="95">
        <v>0</v>
      </c>
      <c r="I17" s="95">
        <v>0</v>
      </c>
      <c r="J17" s="95">
        <v>0</v>
      </c>
      <c r="K17" s="95">
        <v>0</v>
      </c>
      <c r="L17" s="95">
        <v>0</v>
      </c>
      <c r="M17" s="95">
        <v>0</v>
      </c>
      <c r="N17" s="95">
        <v>0</v>
      </c>
      <c r="O17" s="95">
        <v>0</v>
      </c>
      <c r="P17" s="95">
        <v>0</v>
      </c>
      <c r="Q17" s="95">
        <v>0</v>
      </c>
      <c r="R17" s="95">
        <v>0</v>
      </c>
      <c r="S17" s="95">
        <v>0</v>
      </c>
      <c r="T17" s="95">
        <v>0</v>
      </c>
      <c r="U17" s="95">
        <v>0</v>
      </c>
      <c r="V17" s="95">
        <v>0</v>
      </c>
      <c r="W17" s="95">
        <v>0</v>
      </c>
      <c r="X17" s="95">
        <v>0</v>
      </c>
      <c r="Y17" s="95">
        <v>0</v>
      </c>
      <c r="Z17" s="95">
        <v>0</v>
      </c>
      <c r="AA17" s="95">
        <v>0</v>
      </c>
      <c r="AB17" s="95">
        <v>0</v>
      </c>
      <c r="AC17" s="95" t="s">
        <v>311</v>
      </c>
    </row>
    <row r="18" spans="1:29" x14ac:dyDescent="0.2">
      <c r="A18" s="95" t="s">
        <v>605</v>
      </c>
      <c r="B18" s="95">
        <v>0</v>
      </c>
      <c r="C18" s="95">
        <v>0</v>
      </c>
      <c r="D18" s="95">
        <v>0</v>
      </c>
      <c r="E18" s="95">
        <v>0.1</v>
      </c>
      <c r="F18" s="95">
        <v>0.1</v>
      </c>
      <c r="G18" s="95">
        <v>0.1</v>
      </c>
      <c r="H18" s="95">
        <v>0.1</v>
      </c>
      <c r="I18" s="95">
        <v>0.1</v>
      </c>
      <c r="J18" s="95">
        <v>0.3</v>
      </c>
      <c r="K18" s="95">
        <v>0.4</v>
      </c>
      <c r="L18" s="95">
        <v>0.5</v>
      </c>
      <c r="M18" s="95">
        <v>0.5</v>
      </c>
      <c r="N18" s="95">
        <v>0.5</v>
      </c>
      <c r="O18" s="95">
        <v>0.6</v>
      </c>
      <c r="P18" s="95">
        <v>0.6</v>
      </c>
      <c r="Q18" s="95">
        <v>0.6</v>
      </c>
      <c r="R18" s="95">
        <v>0.6</v>
      </c>
      <c r="S18" s="95">
        <v>0.6</v>
      </c>
      <c r="T18" s="95">
        <v>0.6</v>
      </c>
      <c r="U18" s="95">
        <v>0.6</v>
      </c>
      <c r="V18" s="95">
        <v>0.6</v>
      </c>
      <c r="W18" s="95">
        <v>0.6</v>
      </c>
      <c r="X18" s="95">
        <v>0.6</v>
      </c>
      <c r="Y18" s="95">
        <v>0.6</v>
      </c>
      <c r="Z18" s="95">
        <v>0.6</v>
      </c>
      <c r="AA18" s="95">
        <v>0.6</v>
      </c>
      <c r="AB18" s="95">
        <v>0.7</v>
      </c>
      <c r="AC18" s="95" t="s">
        <v>311</v>
      </c>
    </row>
    <row r="19" spans="1:29" x14ac:dyDescent="0.2">
      <c r="A19" s="95" t="s">
        <v>606</v>
      </c>
      <c r="B19" s="95">
        <v>1.7</v>
      </c>
      <c r="C19" s="95">
        <v>1.4</v>
      </c>
      <c r="D19" s="95">
        <v>1.6</v>
      </c>
      <c r="E19" s="95">
        <v>1.6</v>
      </c>
      <c r="F19" s="95">
        <v>1.5</v>
      </c>
      <c r="G19" s="95">
        <v>1.5</v>
      </c>
      <c r="H19" s="95">
        <v>1.5</v>
      </c>
      <c r="I19" s="95">
        <v>1.5</v>
      </c>
      <c r="J19" s="95">
        <v>1.3</v>
      </c>
      <c r="K19" s="95">
        <v>1.2</v>
      </c>
      <c r="L19" s="95">
        <v>1.1000000000000001</v>
      </c>
      <c r="M19" s="95">
        <v>1.1000000000000001</v>
      </c>
      <c r="N19" s="95">
        <v>1</v>
      </c>
      <c r="O19" s="95">
        <v>1</v>
      </c>
      <c r="P19" s="95">
        <v>1</v>
      </c>
      <c r="Q19" s="95">
        <v>1</v>
      </c>
      <c r="R19" s="95">
        <v>1</v>
      </c>
      <c r="S19" s="95">
        <v>1</v>
      </c>
      <c r="T19" s="95">
        <v>1</v>
      </c>
      <c r="U19" s="95">
        <v>1</v>
      </c>
      <c r="V19" s="95">
        <v>1</v>
      </c>
      <c r="W19" s="95">
        <v>1</v>
      </c>
      <c r="X19" s="95">
        <v>1</v>
      </c>
      <c r="Y19" s="95">
        <v>1</v>
      </c>
      <c r="Z19" s="95">
        <v>1</v>
      </c>
      <c r="AA19" s="95">
        <v>1</v>
      </c>
      <c r="AB19" s="95">
        <v>0.9</v>
      </c>
      <c r="AC19" s="96">
        <v>-1.7999999999999999E-2</v>
      </c>
    </row>
    <row r="20" spans="1:29" x14ac:dyDescent="0.2">
      <c r="A20" s="95"/>
    </row>
    <row r="21" spans="1:29" ht="15" x14ac:dyDescent="0.25">
      <c r="A21" s="93" t="s">
        <v>607</v>
      </c>
    </row>
    <row r="22" spans="1:29" x14ac:dyDescent="0.2">
      <c r="A22" s="95" t="s">
        <v>603</v>
      </c>
      <c r="B22" s="95">
        <v>3.7</v>
      </c>
      <c r="C22" s="95">
        <v>3.7</v>
      </c>
      <c r="D22" s="95">
        <v>3.7</v>
      </c>
      <c r="E22" s="95">
        <v>3.7</v>
      </c>
      <c r="F22" s="95">
        <v>3.7</v>
      </c>
      <c r="G22" s="95">
        <v>3.7</v>
      </c>
      <c r="H22" s="95">
        <v>3.7</v>
      </c>
      <c r="I22" s="95">
        <v>3.7</v>
      </c>
      <c r="J22" s="95">
        <v>3.7</v>
      </c>
      <c r="K22" s="95">
        <v>3.7</v>
      </c>
      <c r="L22" s="95">
        <v>3.7</v>
      </c>
      <c r="M22" s="95">
        <v>3.7</v>
      </c>
      <c r="N22" s="95">
        <v>3.7</v>
      </c>
      <c r="O22" s="95">
        <v>3.7</v>
      </c>
      <c r="P22" s="95">
        <v>3.7</v>
      </c>
      <c r="Q22" s="95">
        <v>3.7</v>
      </c>
      <c r="R22" s="95">
        <v>3.7</v>
      </c>
      <c r="S22" s="95">
        <v>3.7</v>
      </c>
      <c r="T22" s="95">
        <v>3.7</v>
      </c>
      <c r="U22" s="95">
        <v>3.7</v>
      </c>
      <c r="V22" s="95">
        <v>3.7</v>
      </c>
      <c r="W22" s="95">
        <v>3.7</v>
      </c>
      <c r="X22" s="95">
        <v>3.7</v>
      </c>
      <c r="Y22" s="95">
        <v>3.7</v>
      </c>
      <c r="Z22" s="95">
        <v>3.7</v>
      </c>
      <c r="AA22" s="95">
        <v>3.7</v>
      </c>
      <c r="AB22" s="95">
        <v>3.7</v>
      </c>
      <c r="AC22" s="96">
        <v>0</v>
      </c>
    </row>
    <row r="23" spans="1:29" x14ac:dyDescent="0.2">
      <c r="A23" s="95" t="s">
        <v>604</v>
      </c>
      <c r="B23" s="95">
        <v>0</v>
      </c>
      <c r="C23" s="95">
        <v>0</v>
      </c>
      <c r="D23" s="95">
        <v>0</v>
      </c>
      <c r="E23" s="95">
        <v>0.1</v>
      </c>
      <c r="F23" s="95">
        <v>0.1</v>
      </c>
      <c r="G23" s="95">
        <v>0.1</v>
      </c>
      <c r="H23" s="95">
        <v>0.1</v>
      </c>
      <c r="I23" s="95">
        <v>0.1</v>
      </c>
      <c r="J23" s="95">
        <v>0.1</v>
      </c>
      <c r="K23" s="95">
        <v>0.1</v>
      </c>
      <c r="L23" s="95">
        <v>0.1</v>
      </c>
      <c r="M23" s="95">
        <v>0.1</v>
      </c>
      <c r="N23" s="95">
        <v>0.1</v>
      </c>
      <c r="O23" s="95">
        <v>0.1</v>
      </c>
      <c r="P23" s="95">
        <v>0.1</v>
      </c>
      <c r="Q23" s="95">
        <v>0.1</v>
      </c>
      <c r="R23" s="95">
        <v>0.1</v>
      </c>
      <c r="S23" s="95">
        <v>0.1</v>
      </c>
      <c r="T23" s="95">
        <v>0.1</v>
      </c>
      <c r="U23" s="95">
        <v>0.1</v>
      </c>
      <c r="V23" s="95">
        <v>0.1</v>
      </c>
      <c r="W23" s="95">
        <v>0.1</v>
      </c>
      <c r="X23" s="95">
        <v>0.1</v>
      </c>
      <c r="Y23" s="95">
        <v>0.1</v>
      </c>
      <c r="Z23" s="95">
        <v>0.1</v>
      </c>
      <c r="AA23" s="95">
        <v>0.1</v>
      </c>
      <c r="AB23" s="95">
        <v>0.1</v>
      </c>
      <c r="AC23" s="95" t="s">
        <v>311</v>
      </c>
    </row>
    <row r="24" spans="1:29" x14ac:dyDescent="0.2">
      <c r="A24" s="95" t="s">
        <v>605</v>
      </c>
      <c r="B24" s="95">
        <v>0</v>
      </c>
      <c r="C24" s="95">
        <v>0</v>
      </c>
      <c r="D24" s="95">
        <v>0.1</v>
      </c>
      <c r="E24" s="95">
        <v>0.1</v>
      </c>
      <c r="F24" s="95">
        <v>0.2</v>
      </c>
      <c r="G24" s="95">
        <v>0.2</v>
      </c>
      <c r="H24" s="95">
        <v>0.2</v>
      </c>
      <c r="I24" s="95">
        <v>0.3</v>
      </c>
      <c r="J24" s="95">
        <v>0.4</v>
      </c>
      <c r="K24" s="95">
        <v>0.5</v>
      </c>
      <c r="L24" s="95">
        <v>0.6</v>
      </c>
      <c r="M24" s="95">
        <v>0.8</v>
      </c>
      <c r="N24" s="95">
        <v>0.8</v>
      </c>
      <c r="O24" s="95">
        <v>0.8</v>
      </c>
      <c r="P24" s="95">
        <v>0.9</v>
      </c>
      <c r="Q24" s="95">
        <v>0.9</v>
      </c>
      <c r="R24" s="95">
        <v>0.9</v>
      </c>
      <c r="S24" s="95">
        <v>0.9</v>
      </c>
      <c r="T24" s="95">
        <v>0.9</v>
      </c>
      <c r="U24" s="95">
        <v>0.9</v>
      </c>
      <c r="V24" s="95">
        <v>0.9</v>
      </c>
      <c r="W24" s="95">
        <v>0.9</v>
      </c>
      <c r="X24" s="95">
        <v>0.9</v>
      </c>
      <c r="Y24" s="95">
        <v>0.9</v>
      </c>
      <c r="Z24" s="95">
        <v>0.9</v>
      </c>
      <c r="AA24" s="95">
        <v>0.9</v>
      </c>
      <c r="AB24" s="95">
        <v>0.9</v>
      </c>
      <c r="AC24" s="95" t="s">
        <v>311</v>
      </c>
    </row>
    <row r="25" spans="1:29" x14ac:dyDescent="0.2">
      <c r="A25" s="95" t="s">
        <v>606</v>
      </c>
      <c r="B25" s="95">
        <v>3.7</v>
      </c>
      <c r="C25" s="95">
        <v>3.7</v>
      </c>
      <c r="D25" s="95">
        <v>3.7</v>
      </c>
      <c r="E25" s="95">
        <v>3.7</v>
      </c>
      <c r="F25" s="95">
        <v>3.7</v>
      </c>
      <c r="G25" s="95">
        <v>3.6</v>
      </c>
      <c r="H25" s="95">
        <v>3.6</v>
      </c>
      <c r="I25" s="95">
        <v>3.5</v>
      </c>
      <c r="J25" s="95">
        <v>3.4</v>
      </c>
      <c r="K25" s="95">
        <v>3.3</v>
      </c>
      <c r="L25" s="95">
        <v>3.2</v>
      </c>
      <c r="M25" s="95">
        <v>3</v>
      </c>
      <c r="N25" s="95">
        <v>3</v>
      </c>
      <c r="O25" s="95">
        <v>3</v>
      </c>
      <c r="P25" s="95">
        <v>3</v>
      </c>
      <c r="Q25" s="95">
        <v>2.9</v>
      </c>
      <c r="R25" s="95">
        <v>2.9</v>
      </c>
      <c r="S25" s="95">
        <v>2.9</v>
      </c>
      <c r="T25" s="95">
        <v>2.9</v>
      </c>
      <c r="U25" s="95">
        <v>2.9</v>
      </c>
      <c r="V25" s="95">
        <v>2.9</v>
      </c>
      <c r="W25" s="95">
        <v>2.9</v>
      </c>
      <c r="X25" s="95">
        <v>2.9</v>
      </c>
      <c r="Y25" s="95">
        <v>2.9</v>
      </c>
      <c r="Z25" s="95">
        <v>2.9</v>
      </c>
      <c r="AA25" s="95">
        <v>2.9</v>
      </c>
      <c r="AB25" s="95">
        <v>2.9</v>
      </c>
      <c r="AC25" s="96">
        <v>-0.01</v>
      </c>
    </row>
    <row r="26" spans="1:29" x14ac:dyDescent="0.2">
      <c r="A26" s="95"/>
    </row>
    <row r="27" spans="1:29" ht="15" x14ac:dyDescent="0.25">
      <c r="A27" s="93" t="s">
        <v>608</v>
      </c>
    </row>
    <row r="28" spans="1:29" x14ac:dyDescent="0.2">
      <c r="A28" s="95" t="s">
        <v>603</v>
      </c>
      <c r="B28" s="95">
        <v>8.4</v>
      </c>
      <c r="C28" s="95">
        <v>8.6</v>
      </c>
      <c r="D28" s="95">
        <v>8.6</v>
      </c>
      <c r="E28" s="95">
        <v>8.6</v>
      </c>
      <c r="F28" s="95">
        <v>8.6</v>
      </c>
      <c r="G28" s="95">
        <v>8.6</v>
      </c>
      <c r="H28" s="95">
        <v>8.6</v>
      </c>
      <c r="I28" s="95">
        <v>8.6</v>
      </c>
      <c r="J28" s="95">
        <v>8.6</v>
      </c>
      <c r="K28" s="95">
        <v>8.6</v>
      </c>
      <c r="L28" s="95">
        <v>8.6</v>
      </c>
      <c r="M28" s="95">
        <v>8.6</v>
      </c>
      <c r="N28" s="95">
        <v>8.6</v>
      </c>
      <c r="O28" s="95">
        <v>8.6</v>
      </c>
      <c r="P28" s="95">
        <v>8.6</v>
      </c>
      <c r="Q28" s="95">
        <v>8.6</v>
      </c>
      <c r="R28" s="95">
        <v>8.6</v>
      </c>
      <c r="S28" s="95">
        <v>8.6</v>
      </c>
      <c r="T28" s="95">
        <v>8.6</v>
      </c>
      <c r="U28" s="95">
        <v>8.6</v>
      </c>
      <c r="V28" s="95">
        <v>8.6</v>
      </c>
      <c r="W28" s="95">
        <v>8.6</v>
      </c>
      <c r="X28" s="95">
        <v>8.6</v>
      </c>
      <c r="Y28" s="95">
        <v>8.6</v>
      </c>
      <c r="Z28" s="95">
        <v>8.6</v>
      </c>
      <c r="AA28" s="95">
        <v>8.6</v>
      </c>
      <c r="AB28" s="95">
        <v>8.6</v>
      </c>
      <c r="AC28" s="96">
        <v>0</v>
      </c>
    </row>
    <row r="29" spans="1:29" x14ac:dyDescent="0.2">
      <c r="A29" s="95" t="s">
        <v>604</v>
      </c>
      <c r="B29" s="95">
        <v>0</v>
      </c>
      <c r="C29" s="95">
        <v>0</v>
      </c>
      <c r="D29" s="95">
        <v>0</v>
      </c>
      <c r="E29" s="95">
        <v>0.3</v>
      </c>
      <c r="F29" s="95">
        <v>0.3</v>
      </c>
      <c r="G29" s="95">
        <v>0.3</v>
      </c>
      <c r="H29" s="95">
        <v>0.3</v>
      </c>
      <c r="I29" s="95">
        <v>0.3</v>
      </c>
      <c r="J29" s="95">
        <v>0.3</v>
      </c>
      <c r="K29" s="95">
        <v>0.3</v>
      </c>
      <c r="L29" s="95">
        <v>0.3</v>
      </c>
      <c r="M29" s="95">
        <v>0.3</v>
      </c>
      <c r="N29" s="95">
        <v>0.3</v>
      </c>
      <c r="O29" s="95">
        <v>0.3</v>
      </c>
      <c r="P29" s="95">
        <v>0.3</v>
      </c>
      <c r="Q29" s="95">
        <v>0.3</v>
      </c>
      <c r="R29" s="95">
        <v>0.3</v>
      </c>
      <c r="S29" s="95">
        <v>0.3</v>
      </c>
      <c r="T29" s="95">
        <v>0.3</v>
      </c>
      <c r="U29" s="95">
        <v>0.3</v>
      </c>
      <c r="V29" s="95">
        <v>0.3</v>
      </c>
      <c r="W29" s="95">
        <v>0.3</v>
      </c>
      <c r="X29" s="95">
        <v>0.3</v>
      </c>
      <c r="Y29" s="95">
        <v>0.3</v>
      </c>
      <c r="Z29" s="95">
        <v>0.3</v>
      </c>
      <c r="AA29" s="95">
        <v>0.3</v>
      </c>
      <c r="AB29" s="95">
        <v>0.3</v>
      </c>
      <c r="AC29" s="95" t="s">
        <v>311</v>
      </c>
    </row>
    <row r="30" spans="1:29" x14ac:dyDescent="0.2">
      <c r="A30" s="95" t="s">
        <v>605</v>
      </c>
      <c r="B30" s="95">
        <v>0</v>
      </c>
      <c r="C30" s="95">
        <v>0</v>
      </c>
      <c r="D30" s="95">
        <v>0.1</v>
      </c>
      <c r="E30" s="95">
        <v>0.1</v>
      </c>
      <c r="F30" s="95">
        <v>0.2</v>
      </c>
      <c r="G30" s="95">
        <v>0.2</v>
      </c>
      <c r="H30" s="95">
        <v>0.2</v>
      </c>
      <c r="I30" s="95">
        <v>0.3</v>
      </c>
      <c r="J30" s="95">
        <v>0.4</v>
      </c>
      <c r="K30" s="95">
        <v>0.5</v>
      </c>
      <c r="L30" s="95">
        <v>0.5</v>
      </c>
      <c r="M30" s="95">
        <v>0.9</v>
      </c>
      <c r="N30" s="95">
        <v>0.9</v>
      </c>
      <c r="O30" s="95">
        <v>0.9</v>
      </c>
      <c r="P30" s="95">
        <v>0.9</v>
      </c>
      <c r="Q30" s="95">
        <v>0.9</v>
      </c>
      <c r="R30" s="95">
        <v>0.9</v>
      </c>
      <c r="S30" s="95">
        <v>0.9</v>
      </c>
      <c r="T30" s="95">
        <v>0.9</v>
      </c>
      <c r="U30" s="95">
        <v>1</v>
      </c>
      <c r="V30" s="95">
        <v>1</v>
      </c>
      <c r="W30" s="95">
        <v>1.1000000000000001</v>
      </c>
      <c r="X30" s="95">
        <v>1.2</v>
      </c>
      <c r="Y30" s="95">
        <v>1.3</v>
      </c>
      <c r="Z30" s="95">
        <v>1.3</v>
      </c>
      <c r="AA30" s="95">
        <v>1.3</v>
      </c>
      <c r="AB30" s="95">
        <v>1.3</v>
      </c>
      <c r="AC30" s="95" t="s">
        <v>311</v>
      </c>
    </row>
    <row r="31" spans="1:29" x14ac:dyDescent="0.2">
      <c r="A31" s="95" t="s">
        <v>606</v>
      </c>
      <c r="B31" s="95">
        <v>8.4</v>
      </c>
      <c r="C31" s="95">
        <v>8.6</v>
      </c>
      <c r="D31" s="95">
        <v>8.6</v>
      </c>
      <c r="E31" s="95">
        <v>8.6</v>
      </c>
      <c r="F31" s="95">
        <v>8.8000000000000007</v>
      </c>
      <c r="G31" s="95">
        <v>8.8000000000000007</v>
      </c>
      <c r="H31" s="95">
        <v>8.6999999999999993</v>
      </c>
      <c r="I31" s="95">
        <v>8.6999999999999993</v>
      </c>
      <c r="J31" s="95">
        <v>8.5</v>
      </c>
      <c r="K31" s="95">
        <v>8.4</v>
      </c>
      <c r="L31" s="95">
        <v>8.4</v>
      </c>
      <c r="M31" s="95">
        <v>8.1</v>
      </c>
      <c r="N31" s="95">
        <v>8.1</v>
      </c>
      <c r="O31" s="95">
        <v>8.1</v>
      </c>
      <c r="P31" s="95">
        <v>8.1</v>
      </c>
      <c r="Q31" s="95">
        <v>8.1</v>
      </c>
      <c r="R31" s="95">
        <v>8</v>
      </c>
      <c r="S31" s="95">
        <v>8</v>
      </c>
      <c r="T31" s="95">
        <v>8</v>
      </c>
      <c r="U31" s="95">
        <v>8</v>
      </c>
      <c r="V31" s="95">
        <v>7.9</v>
      </c>
      <c r="W31" s="95">
        <v>7.8</v>
      </c>
      <c r="X31" s="95">
        <v>7.8</v>
      </c>
      <c r="Y31" s="95">
        <v>7.7</v>
      </c>
      <c r="Z31" s="95">
        <v>7.7</v>
      </c>
      <c r="AA31" s="95">
        <v>7.7</v>
      </c>
      <c r="AB31" s="95">
        <v>7.7</v>
      </c>
      <c r="AC31" s="96">
        <v>-5.0000000000000001E-3</v>
      </c>
    </row>
    <row r="32" spans="1:29" x14ac:dyDescent="0.2">
      <c r="A32" s="95"/>
    </row>
    <row r="33" spans="1:29" ht="15" x14ac:dyDescent="0.25">
      <c r="A33" s="93" t="s">
        <v>609</v>
      </c>
    </row>
    <row r="34" spans="1:29" x14ac:dyDescent="0.2">
      <c r="A34" s="95" t="s">
        <v>603</v>
      </c>
      <c r="B34" s="95">
        <v>0.6</v>
      </c>
      <c r="C34" s="95">
        <v>0.6</v>
      </c>
      <c r="D34" s="95">
        <v>0.6</v>
      </c>
      <c r="E34" s="95">
        <v>0.6</v>
      </c>
      <c r="F34" s="95">
        <v>0.6</v>
      </c>
      <c r="G34" s="95">
        <v>0.6</v>
      </c>
      <c r="H34" s="95">
        <v>0.6</v>
      </c>
      <c r="I34" s="95">
        <v>0.6</v>
      </c>
      <c r="J34" s="95">
        <v>0.6</v>
      </c>
      <c r="K34" s="95">
        <v>0.6</v>
      </c>
      <c r="L34" s="95">
        <v>0.6</v>
      </c>
      <c r="M34" s="95">
        <v>0.6</v>
      </c>
      <c r="N34" s="95">
        <v>0.6</v>
      </c>
      <c r="O34" s="95">
        <v>0.6</v>
      </c>
      <c r="P34" s="95">
        <v>0.6</v>
      </c>
      <c r="Q34" s="95">
        <v>0.6</v>
      </c>
      <c r="R34" s="95">
        <v>0.6</v>
      </c>
      <c r="S34" s="95">
        <v>0.6</v>
      </c>
      <c r="T34" s="95">
        <v>0.6</v>
      </c>
      <c r="U34" s="95">
        <v>0.6</v>
      </c>
      <c r="V34" s="95">
        <v>0.6</v>
      </c>
      <c r="W34" s="95">
        <v>0.6</v>
      </c>
      <c r="X34" s="95">
        <v>0.6</v>
      </c>
      <c r="Y34" s="95">
        <v>0.6</v>
      </c>
      <c r="Z34" s="95">
        <v>0.6</v>
      </c>
      <c r="AA34" s="95">
        <v>0.6</v>
      </c>
      <c r="AB34" s="95">
        <v>0.6</v>
      </c>
      <c r="AC34" s="96">
        <v>0</v>
      </c>
    </row>
    <row r="35" spans="1:29" x14ac:dyDescent="0.2">
      <c r="A35" s="95" t="s">
        <v>604</v>
      </c>
      <c r="B35" s="95">
        <v>0</v>
      </c>
      <c r="C35" s="95">
        <v>0</v>
      </c>
      <c r="D35" s="95">
        <v>0</v>
      </c>
      <c r="E35" s="95">
        <v>0</v>
      </c>
      <c r="F35" s="95">
        <v>0</v>
      </c>
      <c r="G35" s="95">
        <v>0</v>
      </c>
      <c r="H35" s="95">
        <v>0</v>
      </c>
      <c r="I35" s="95">
        <v>0</v>
      </c>
      <c r="J35" s="95">
        <v>0</v>
      </c>
      <c r="K35" s="95">
        <v>0</v>
      </c>
      <c r="L35" s="95">
        <v>0</v>
      </c>
      <c r="M35" s="95">
        <v>0</v>
      </c>
      <c r="N35" s="95">
        <v>0</v>
      </c>
      <c r="O35" s="95">
        <v>0</v>
      </c>
      <c r="P35" s="95">
        <v>0</v>
      </c>
      <c r="Q35" s="95">
        <v>0</v>
      </c>
      <c r="R35" s="95">
        <v>0</v>
      </c>
      <c r="S35" s="95">
        <v>0</v>
      </c>
      <c r="T35" s="95">
        <v>0</v>
      </c>
      <c r="U35" s="95">
        <v>0</v>
      </c>
      <c r="V35" s="95">
        <v>0</v>
      </c>
      <c r="W35" s="95">
        <v>0</v>
      </c>
      <c r="X35" s="95">
        <v>0</v>
      </c>
      <c r="Y35" s="95">
        <v>0</v>
      </c>
      <c r="Z35" s="95">
        <v>0</v>
      </c>
      <c r="AA35" s="95">
        <v>0</v>
      </c>
      <c r="AB35" s="95">
        <v>0</v>
      </c>
      <c r="AC35" s="95" t="s">
        <v>311</v>
      </c>
    </row>
    <row r="36" spans="1:29" x14ac:dyDescent="0.2">
      <c r="A36" s="95" t="s">
        <v>605</v>
      </c>
      <c r="B36" s="95">
        <v>0</v>
      </c>
      <c r="C36" s="95">
        <v>0</v>
      </c>
      <c r="D36" s="95">
        <v>0</v>
      </c>
      <c r="E36" s="95">
        <v>0</v>
      </c>
      <c r="F36" s="95">
        <v>0</v>
      </c>
      <c r="G36" s="95">
        <v>0</v>
      </c>
      <c r="H36" s="95">
        <v>0</v>
      </c>
      <c r="I36" s="95">
        <v>0</v>
      </c>
      <c r="J36" s="95">
        <v>0.1</v>
      </c>
      <c r="K36" s="95">
        <v>0.1</v>
      </c>
      <c r="L36" s="95">
        <v>0.1</v>
      </c>
      <c r="M36" s="95">
        <v>0.1</v>
      </c>
      <c r="N36" s="95">
        <v>0.1</v>
      </c>
      <c r="O36" s="95">
        <v>0.1</v>
      </c>
      <c r="P36" s="95">
        <v>0.1</v>
      </c>
      <c r="Q36" s="95">
        <v>0.1</v>
      </c>
      <c r="R36" s="95">
        <v>0.1</v>
      </c>
      <c r="S36" s="95">
        <v>0.1</v>
      </c>
      <c r="T36" s="95">
        <v>0.1</v>
      </c>
      <c r="U36" s="95">
        <v>0.1</v>
      </c>
      <c r="V36" s="95">
        <v>0.1</v>
      </c>
      <c r="W36" s="95">
        <v>0.1</v>
      </c>
      <c r="X36" s="95">
        <v>0.1</v>
      </c>
      <c r="Y36" s="95">
        <v>0.1</v>
      </c>
      <c r="Z36" s="95">
        <v>0.1</v>
      </c>
      <c r="AA36" s="95">
        <v>0.1</v>
      </c>
      <c r="AB36" s="95">
        <v>0.1</v>
      </c>
      <c r="AC36" s="95" t="s">
        <v>311</v>
      </c>
    </row>
    <row r="37" spans="1:29" x14ac:dyDescent="0.2">
      <c r="A37" s="95" t="s">
        <v>606</v>
      </c>
      <c r="B37" s="95">
        <v>0.6</v>
      </c>
      <c r="C37" s="95">
        <v>0.6</v>
      </c>
      <c r="D37" s="95">
        <v>0.6</v>
      </c>
      <c r="E37" s="95">
        <v>0.6</v>
      </c>
      <c r="F37" s="95">
        <v>0.6</v>
      </c>
      <c r="G37" s="95">
        <v>0.6</v>
      </c>
      <c r="H37" s="95">
        <v>0.6</v>
      </c>
      <c r="I37" s="95">
        <v>0.6</v>
      </c>
      <c r="J37" s="95">
        <v>0.5</v>
      </c>
      <c r="K37" s="95">
        <v>0.5</v>
      </c>
      <c r="L37" s="95">
        <v>0.5</v>
      </c>
      <c r="M37" s="95">
        <v>0.5</v>
      </c>
      <c r="N37" s="95">
        <v>0.5</v>
      </c>
      <c r="O37" s="95">
        <v>0.5</v>
      </c>
      <c r="P37" s="95">
        <v>0.5</v>
      </c>
      <c r="Q37" s="95">
        <v>0.5</v>
      </c>
      <c r="R37" s="95">
        <v>0.5</v>
      </c>
      <c r="S37" s="95">
        <v>0.5</v>
      </c>
      <c r="T37" s="95">
        <v>0.5</v>
      </c>
      <c r="U37" s="95">
        <v>0.5</v>
      </c>
      <c r="V37" s="95">
        <v>0.5</v>
      </c>
      <c r="W37" s="95">
        <v>0.5</v>
      </c>
      <c r="X37" s="95">
        <v>0.5</v>
      </c>
      <c r="Y37" s="95">
        <v>0.5</v>
      </c>
      <c r="Z37" s="95">
        <v>0.5</v>
      </c>
      <c r="AA37" s="95">
        <v>0.5</v>
      </c>
      <c r="AB37" s="95">
        <v>0.5</v>
      </c>
      <c r="AC37" s="96">
        <v>-0.01</v>
      </c>
    </row>
    <row r="38" spans="1:29" x14ac:dyDescent="0.2">
      <c r="A38" s="95"/>
    </row>
    <row r="39" spans="1:29" ht="15" x14ac:dyDescent="0.25">
      <c r="A39" s="93" t="s">
        <v>610</v>
      </c>
    </row>
    <row r="40" spans="1:29" x14ac:dyDescent="0.2">
      <c r="A40" s="95" t="s">
        <v>603</v>
      </c>
      <c r="B40" s="95">
        <v>3.2</v>
      </c>
      <c r="C40" s="95">
        <v>3.2</v>
      </c>
      <c r="D40" s="95">
        <v>3.1</v>
      </c>
      <c r="E40" s="95">
        <v>3.1</v>
      </c>
      <c r="F40" s="95">
        <v>3.1</v>
      </c>
      <c r="G40" s="95">
        <v>3.1</v>
      </c>
      <c r="H40" s="95">
        <v>3.1</v>
      </c>
      <c r="I40" s="95">
        <v>3.1</v>
      </c>
      <c r="J40" s="95">
        <v>3.1</v>
      </c>
      <c r="K40" s="95">
        <v>3.1</v>
      </c>
      <c r="L40" s="95">
        <v>3.1</v>
      </c>
      <c r="M40" s="95">
        <v>3.1</v>
      </c>
      <c r="N40" s="95">
        <v>3.1</v>
      </c>
      <c r="O40" s="95">
        <v>3.1</v>
      </c>
      <c r="P40" s="95">
        <v>3.1</v>
      </c>
      <c r="Q40" s="95">
        <v>3.1</v>
      </c>
      <c r="R40" s="95">
        <v>3.1</v>
      </c>
      <c r="S40" s="95">
        <v>3.1</v>
      </c>
      <c r="T40" s="95">
        <v>3.1</v>
      </c>
      <c r="U40" s="95">
        <v>3.1</v>
      </c>
      <c r="V40" s="95">
        <v>3.1</v>
      </c>
      <c r="W40" s="95">
        <v>3.1</v>
      </c>
      <c r="X40" s="95">
        <v>3.1</v>
      </c>
      <c r="Y40" s="95">
        <v>3.1</v>
      </c>
      <c r="Z40" s="95">
        <v>3.1</v>
      </c>
      <c r="AA40" s="95">
        <v>3.1</v>
      </c>
      <c r="AB40" s="95">
        <v>3.1</v>
      </c>
      <c r="AC40" s="96">
        <v>-1E-3</v>
      </c>
    </row>
    <row r="41" spans="1:29" x14ac:dyDescent="0.2">
      <c r="A41" s="95" t="s">
        <v>604</v>
      </c>
      <c r="B41" s="95">
        <v>0</v>
      </c>
      <c r="C41" s="95">
        <v>0</v>
      </c>
      <c r="D41" s="95">
        <v>0</v>
      </c>
      <c r="E41" s="95">
        <v>0</v>
      </c>
      <c r="F41" s="95">
        <v>0</v>
      </c>
      <c r="G41" s="95">
        <v>0</v>
      </c>
      <c r="H41" s="95">
        <v>0</v>
      </c>
      <c r="I41" s="95">
        <v>0</v>
      </c>
      <c r="J41" s="95">
        <v>0</v>
      </c>
      <c r="K41" s="95">
        <v>0</v>
      </c>
      <c r="L41" s="95">
        <v>0</v>
      </c>
      <c r="M41" s="95">
        <v>0</v>
      </c>
      <c r="N41" s="95">
        <v>0</v>
      </c>
      <c r="O41" s="95">
        <v>0</v>
      </c>
      <c r="P41" s="95">
        <v>0</v>
      </c>
      <c r="Q41" s="95">
        <v>0</v>
      </c>
      <c r="R41" s="95">
        <v>0</v>
      </c>
      <c r="S41" s="95">
        <v>0</v>
      </c>
      <c r="T41" s="95">
        <v>0</v>
      </c>
      <c r="U41" s="95">
        <v>0</v>
      </c>
      <c r="V41" s="95">
        <v>0</v>
      </c>
      <c r="W41" s="95">
        <v>0.1</v>
      </c>
      <c r="X41" s="95">
        <v>0.1</v>
      </c>
      <c r="Y41" s="95">
        <v>0.1</v>
      </c>
      <c r="Z41" s="95">
        <v>0.1</v>
      </c>
      <c r="AA41" s="95">
        <v>0.1</v>
      </c>
      <c r="AB41" s="95">
        <v>0.2</v>
      </c>
      <c r="AC41" s="95" t="s">
        <v>311</v>
      </c>
    </row>
    <row r="42" spans="1:29" x14ac:dyDescent="0.2">
      <c r="A42" s="95" t="s">
        <v>605</v>
      </c>
      <c r="B42" s="95">
        <v>0</v>
      </c>
      <c r="C42" s="95">
        <v>0</v>
      </c>
      <c r="D42" s="95">
        <v>0</v>
      </c>
      <c r="E42" s="95">
        <v>0</v>
      </c>
      <c r="F42" s="95">
        <v>0</v>
      </c>
      <c r="G42" s="95">
        <v>0</v>
      </c>
      <c r="H42" s="95">
        <v>0</v>
      </c>
      <c r="I42" s="95">
        <v>0</v>
      </c>
      <c r="J42" s="95">
        <v>0</v>
      </c>
      <c r="K42" s="95">
        <v>0</v>
      </c>
      <c r="L42" s="95">
        <v>0</v>
      </c>
      <c r="M42" s="95">
        <v>0</v>
      </c>
      <c r="N42" s="95">
        <v>0</v>
      </c>
      <c r="O42" s="95">
        <v>0</v>
      </c>
      <c r="P42" s="95">
        <v>0</v>
      </c>
      <c r="Q42" s="95">
        <v>0</v>
      </c>
      <c r="R42" s="95">
        <v>0</v>
      </c>
      <c r="S42" s="95">
        <v>0</v>
      </c>
      <c r="T42" s="95">
        <v>0</v>
      </c>
      <c r="U42" s="95">
        <v>0</v>
      </c>
      <c r="V42" s="95">
        <v>0</v>
      </c>
      <c r="W42" s="95">
        <v>0</v>
      </c>
      <c r="X42" s="95">
        <v>0</v>
      </c>
      <c r="Y42" s="95">
        <v>0</v>
      </c>
      <c r="Z42" s="95">
        <v>0</v>
      </c>
      <c r="AA42" s="95">
        <v>0</v>
      </c>
      <c r="AB42" s="95">
        <v>0</v>
      </c>
      <c r="AC42" s="95" t="s">
        <v>311</v>
      </c>
    </row>
    <row r="43" spans="1:29" x14ac:dyDescent="0.2">
      <c r="A43" s="95" t="s">
        <v>606</v>
      </c>
      <c r="B43" s="95">
        <v>3.2</v>
      </c>
      <c r="C43" s="95">
        <v>3.2</v>
      </c>
      <c r="D43" s="95">
        <v>3.1</v>
      </c>
      <c r="E43" s="95">
        <v>3.1</v>
      </c>
      <c r="F43" s="95">
        <v>3.1</v>
      </c>
      <c r="G43" s="95">
        <v>3.1</v>
      </c>
      <c r="H43" s="95">
        <v>3.1</v>
      </c>
      <c r="I43" s="95">
        <v>3.1</v>
      </c>
      <c r="J43" s="95">
        <v>3.1</v>
      </c>
      <c r="K43" s="95">
        <v>3.1</v>
      </c>
      <c r="L43" s="95">
        <v>3.1</v>
      </c>
      <c r="M43" s="95">
        <v>3.1</v>
      </c>
      <c r="N43" s="95">
        <v>3.1</v>
      </c>
      <c r="O43" s="95">
        <v>3.1</v>
      </c>
      <c r="P43" s="95">
        <v>3.1</v>
      </c>
      <c r="Q43" s="95">
        <v>3.1</v>
      </c>
      <c r="R43" s="95">
        <v>3.1</v>
      </c>
      <c r="S43" s="95">
        <v>3.1</v>
      </c>
      <c r="T43" s="95">
        <v>3.1</v>
      </c>
      <c r="U43" s="95">
        <v>3.1</v>
      </c>
      <c r="V43" s="95">
        <v>3.1</v>
      </c>
      <c r="W43" s="95">
        <v>3.2</v>
      </c>
      <c r="X43" s="95">
        <v>3.2</v>
      </c>
      <c r="Y43" s="95">
        <v>3.2</v>
      </c>
      <c r="Z43" s="95">
        <v>3.2</v>
      </c>
      <c r="AA43" s="95">
        <v>3.2</v>
      </c>
      <c r="AB43" s="95">
        <v>3.2</v>
      </c>
      <c r="AC43" s="96">
        <v>0</v>
      </c>
    </row>
    <row r="44" spans="1:29" x14ac:dyDescent="0.2">
      <c r="A44" s="95"/>
    </row>
    <row r="45" spans="1:29" ht="15" x14ac:dyDescent="0.25">
      <c r="A45" s="93" t="s">
        <v>611</v>
      </c>
    </row>
    <row r="46" spans="1:29" x14ac:dyDescent="0.2">
      <c r="A46" s="95" t="s">
        <v>603</v>
      </c>
      <c r="B46" s="95">
        <v>17.7</v>
      </c>
      <c r="C46" s="95">
        <v>17.600000000000001</v>
      </c>
      <c r="D46" s="95">
        <v>17.7</v>
      </c>
      <c r="E46" s="95">
        <v>17.7</v>
      </c>
      <c r="F46" s="95">
        <v>17.7</v>
      </c>
      <c r="G46" s="95">
        <v>17.7</v>
      </c>
      <c r="H46" s="95">
        <v>17.7</v>
      </c>
      <c r="I46" s="95">
        <v>17.7</v>
      </c>
      <c r="J46" s="95">
        <v>17.7</v>
      </c>
      <c r="K46" s="95">
        <v>17.7</v>
      </c>
      <c r="L46" s="95">
        <v>17.7</v>
      </c>
      <c r="M46" s="95">
        <v>17.7</v>
      </c>
      <c r="N46" s="95">
        <v>17.7</v>
      </c>
      <c r="O46" s="95">
        <v>17.7</v>
      </c>
      <c r="P46" s="95">
        <v>17.7</v>
      </c>
      <c r="Q46" s="95">
        <v>17.7</v>
      </c>
      <c r="R46" s="95">
        <v>17.7</v>
      </c>
      <c r="S46" s="95">
        <v>17.7</v>
      </c>
      <c r="T46" s="95">
        <v>17.7</v>
      </c>
      <c r="U46" s="95">
        <v>17.7</v>
      </c>
      <c r="V46" s="95">
        <v>17.7</v>
      </c>
      <c r="W46" s="95">
        <v>17.7</v>
      </c>
      <c r="X46" s="95">
        <v>17.7</v>
      </c>
      <c r="Y46" s="95">
        <v>17.7</v>
      </c>
      <c r="Z46" s="95">
        <v>17.7</v>
      </c>
      <c r="AA46" s="95">
        <v>17.7</v>
      </c>
      <c r="AB46" s="95">
        <v>17.7</v>
      </c>
      <c r="AC46" s="96">
        <v>0</v>
      </c>
    </row>
    <row r="47" spans="1:29" x14ac:dyDescent="0.2">
      <c r="A47" s="95" t="s">
        <v>604</v>
      </c>
      <c r="B47" s="95">
        <v>0</v>
      </c>
      <c r="C47" s="95">
        <v>0</v>
      </c>
      <c r="D47" s="95">
        <v>0</v>
      </c>
      <c r="E47" s="95">
        <v>0.4</v>
      </c>
      <c r="F47" s="95">
        <v>0.4</v>
      </c>
      <c r="G47" s="95">
        <v>0.4</v>
      </c>
      <c r="H47" s="95">
        <v>0.4</v>
      </c>
      <c r="I47" s="95">
        <v>0.4</v>
      </c>
      <c r="J47" s="95">
        <v>0.4</v>
      </c>
      <c r="K47" s="95">
        <v>0.4</v>
      </c>
      <c r="L47" s="95">
        <v>0.4</v>
      </c>
      <c r="M47" s="95">
        <v>0.4</v>
      </c>
      <c r="N47" s="95">
        <v>0.4</v>
      </c>
      <c r="O47" s="95">
        <v>0.4</v>
      </c>
      <c r="P47" s="95">
        <v>0.4</v>
      </c>
      <c r="Q47" s="95">
        <v>0.4</v>
      </c>
      <c r="R47" s="95">
        <v>0.4</v>
      </c>
      <c r="S47" s="95">
        <v>0.4</v>
      </c>
      <c r="T47" s="95">
        <v>0.4</v>
      </c>
      <c r="U47" s="95">
        <v>0.4</v>
      </c>
      <c r="V47" s="95">
        <v>0.5</v>
      </c>
      <c r="W47" s="95">
        <v>0.6</v>
      </c>
      <c r="X47" s="95">
        <v>0.6</v>
      </c>
      <c r="Y47" s="95">
        <v>0.6</v>
      </c>
      <c r="Z47" s="95">
        <v>0.5</v>
      </c>
      <c r="AA47" s="95">
        <v>0.6</v>
      </c>
      <c r="AB47" s="95">
        <v>0.6</v>
      </c>
      <c r="AC47" s="95" t="s">
        <v>311</v>
      </c>
    </row>
    <row r="48" spans="1:29" x14ac:dyDescent="0.2">
      <c r="A48" s="95" t="s">
        <v>605</v>
      </c>
      <c r="B48" s="95">
        <v>0</v>
      </c>
      <c r="C48" s="95">
        <v>0</v>
      </c>
      <c r="D48" s="95">
        <v>0.3</v>
      </c>
      <c r="E48" s="95">
        <v>0.4</v>
      </c>
      <c r="F48" s="95">
        <v>0.4</v>
      </c>
      <c r="G48" s="95">
        <v>0.5</v>
      </c>
      <c r="H48" s="95">
        <v>0.6</v>
      </c>
      <c r="I48" s="95">
        <v>0.8</v>
      </c>
      <c r="J48" s="95">
        <v>1.3</v>
      </c>
      <c r="K48" s="95">
        <v>1.6</v>
      </c>
      <c r="L48" s="95">
        <v>1.8</v>
      </c>
      <c r="M48" s="95">
        <v>2.2999999999999998</v>
      </c>
      <c r="N48" s="95">
        <v>2.4</v>
      </c>
      <c r="O48" s="95">
        <v>2.4</v>
      </c>
      <c r="P48" s="95">
        <v>2.5</v>
      </c>
      <c r="Q48" s="95">
        <v>2.5</v>
      </c>
      <c r="R48" s="95">
        <v>2.6</v>
      </c>
      <c r="S48" s="95">
        <v>2.6</v>
      </c>
      <c r="T48" s="95">
        <v>2.6</v>
      </c>
      <c r="U48" s="95">
        <v>2.7</v>
      </c>
      <c r="V48" s="95">
        <v>2.7</v>
      </c>
      <c r="W48" s="95">
        <v>2.8</v>
      </c>
      <c r="X48" s="95">
        <v>2.9</v>
      </c>
      <c r="Y48" s="95">
        <v>2.9</v>
      </c>
      <c r="Z48" s="95">
        <v>2.9</v>
      </c>
      <c r="AA48" s="95">
        <v>2.9</v>
      </c>
      <c r="AB48" s="95">
        <v>3</v>
      </c>
      <c r="AC48" s="95" t="s">
        <v>311</v>
      </c>
    </row>
    <row r="49" spans="1:29" x14ac:dyDescent="0.2">
      <c r="A49" s="95" t="s">
        <v>606</v>
      </c>
      <c r="B49" s="95">
        <v>17.7</v>
      </c>
      <c r="C49" s="95">
        <v>17.600000000000001</v>
      </c>
      <c r="D49" s="95">
        <v>17.7</v>
      </c>
      <c r="E49" s="95">
        <v>17.7</v>
      </c>
      <c r="F49" s="95">
        <v>17.600000000000001</v>
      </c>
      <c r="G49" s="95">
        <v>17.600000000000001</v>
      </c>
      <c r="H49" s="95">
        <v>17.5</v>
      </c>
      <c r="I49" s="95">
        <v>17.3</v>
      </c>
      <c r="J49" s="95">
        <v>16.8</v>
      </c>
      <c r="K49" s="95">
        <v>16.5</v>
      </c>
      <c r="L49" s="95">
        <v>16.3</v>
      </c>
      <c r="M49" s="95">
        <v>15.8</v>
      </c>
      <c r="N49" s="95">
        <v>15.7</v>
      </c>
      <c r="O49" s="95">
        <v>15.7</v>
      </c>
      <c r="P49" s="95">
        <v>15.6</v>
      </c>
      <c r="Q49" s="95">
        <v>15.6</v>
      </c>
      <c r="R49" s="95">
        <v>15.5</v>
      </c>
      <c r="S49" s="95">
        <v>15.5</v>
      </c>
      <c r="T49" s="95">
        <v>15.5</v>
      </c>
      <c r="U49" s="95">
        <v>15.4</v>
      </c>
      <c r="V49" s="95">
        <v>15.4</v>
      </c>
      <c r="W49" s="95">
        <v>15.4</v>
      </c>
      <c r="X49" s="95">
        <v>15.4</v>
      </c>
      <c r="Y49" s="95">
        <v>15.3</v>
      </c>
      <c r="Z49" s="95">
        <v>15.3</v>
      </c>
      <c r="AA49" s="95">
        <v>15.3</v>
      </c>
      <c r="AB49" s="95">
        <v>15.2</v>
      </c>
      <c r="AC49" s="96">
        <v>-6.0000000000000001E-3</v>
      </c>
    </row>
    <row r="50" spans="1:29" x14ac:dyDescent="0.2">
      <c r="A50" s="95"/>
    </row>
    <row r="51" spans="1:29" ht="15" customHeight="1" x14ac:dyDescent="0.2">
      <c r="A51" s="226" t="s">
        <v>612</v>
      </c>
      <c r="B51" s="226"/>
      <c r="C51" s="226"/>
      <c r="D51" s="226"/>
      <c r="E51" s="226"/>
      <c r="F51" s="226"/>
      <c r="G51" s="226"/>
      <c r="H51" s="226"/>
      <c r="I51" s="226"/>
      <c r="J51" s="226"/>
      <c r="K51" s="226"/>
      <c r="L51" s="226"/>
      <c r="M51" s="226"/>
      <c r="N51" s="226"/>
      <c r="O51" s="226"/>
      <c r="P51" s="226"/>
      <c r="Q51" s="226"/>
      <c r="R51" s="226"/>
      <c r="S51" s="226"/>
      <c r="T51" s="226"/>
      <c r="U51" s="226"/>
      <c r="V51" s="226"/>
      <c r="W51" s="226"/>
      <c r="X51" s="226"/>
      <c r="Y51" s="226"/>
      <c r="Z51" s="226"/>
      <c r="AA51" s="226"/>
      <c r="AB51" s="226"/>
      <c r="AC51" s="226"/>
    </row>
    <row r="52" spans="1:29" ht="15" customHeight="1" x14ac:dyDescent="0.2">
      <c r="A52" s="226" t="s">
        <v>613</v>
      </c>
      <c r="B52" s="226"/>
      <c r="C52" s="226"/>
      <c r="D52" s="226"/>
      <c r="E52" s="226"/>
      <c r="F52" s="226"/>
      <c r="G52" s="226"/>
      <c r="H52" s="226"/>
      <c r="I52" s="226"/>
      <c r="J52" s="226"/>
      <c r="K52" s="226"/>
      <c r="L52" s="226"/>
      <c r="M52" s="226"/>
      <c r="N52" s="226"/>
      <c r="O52" s="226"/>
      <c r="P52" s="226"/>
      <c r="Q52" s="226"/>
      <c r="R52" s="226"/>
      <c r="S52" s="226"/>
      <c r="T52" s="226"/>
      <c r="U52" s="226"/>
      <c r="V52" s="226"/>
      <c r="W52" s="226"/>
      <c r="X52" s="226"/>
      <c r="Y52" s="226"/>
      <c r="Z52" s="226"/>
      <c r="AA52" s="226"/>
      <c r="AB52" s="226"/>
      <c r="AC52" s="226"/>
    </row>
    <row r="53" spans="1:29" ht="15" customHeight="1" x14ac:dyDescent="0.2">
      <c r="A53" s="226" t="s">
        <v>614</v>
      </c>
      <c r="B53" s="226"/>
      <c r="C53" s="226"/>
      <c r="D53" s="226"/>
      <c r="E53" s="226"/>
      <c r="F53" s="226"/>
      <c r="G53" s="226"/>
      <c r="H53" s="226"/>
      <c r="I53" s="226"/>
      <c r="J53" s="226"/>
      <c r="K53" s="226"/>
      <c r="L53" s="226"/>
      <c r="M53" s="226"/>
      <c r="N53" s="226"/>
      <c r="O53" s="226"/>
      <c r="P53" s="226"/>
      <c r="Q53" s="226"/>
      <c r="R53" s="226"/>
      <c r="S53" s="226"/>
      <c r="T53" s="226"/>
      <c r="U53" s="226"/>
      <c r="V53" s="226"/>
      <c r="W53" s="226"/>
      <c r="X53" s="226"/>
      <c r="Y53" s="226"/>
      <c r="Z53" s="226"/>
      <c r="AA53" s="226"/>
      <c r="AB53" s="226"/>
      <c r="AC53" s="226"/>
    </row>
    <row r="54" spans="1:29" ht="15" customHeight="1" x14ac:dyDescent="0.2">
      <c r="A54" s="226" t="s">
        <v>615</v>
      </c>
      <c r="B54" s="226"/>
      <c r="C54" s="226"/>
      <c r="D54" s="226"/>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row>
    <row r="55" spans="1:29" ht="15" customHeight="1" x14ac:dyDescent="0.2">
      <c r="A55" s="226" t="s">
        <v>616</v>
      </c>
      <c r="B55" s="226"/>
      <c r="C55" s="226"/>
      <c r="D55" s="226"/>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row>
    <row r="56" spans="1:29" ht="15" customHeight="1" x14ac:dyDescent="0.2">
      <c r="A56" s="226" t="s">
        <v>617</v>
      </c>
      <c r="B56" s="226"/>
      <c r="C56" s="226"/>
      <c r="D56" s="226"/>
      <c r="E56" s="226"/>
      <c r="F56" s="226"/>
      <c r="G56" s="226"/>
      <c r="H56" s="226"/>
      <c r="I56" s="226"/>
      <c r="J56" s="226"/>
      <c r="K56" s="226"/>
      <c r="L56" s="226"/>
      <c r="M56" s="226"/>
      <c r="N56" s="226"/>
      <c r="O56" s="226"/>
      <c r="P56" s="226"/>
      <c r="Q56" s="226"/>
      <c r="R56" s="226"/>
      <c r="S56" s="226"/>
      <c r="T56" s="226"/>
      <c r="U56" s="226"/>
      <c r="V56" s="226"/>
      <c r="W56" s="226"/>
      <c r="X56" s="226"/>
      <c r="Y56" s="226"/>
      <c r="Z56" s="226"/>
      <c r="AA56" s="226"/>
      <c r="AB56" s="226"/>
      <c r="AC56" s="226"/>
    </row>
    <row r="57" spans="1:29" ht="15" customHeight="1" x14ac:dyDescent="0.2">
      <c r="A57" s="226" t="s">
        <v>618</v>
      </c>
      <c r="B57" s="226"/>
      <c r="C57" s="226"/>
      <c r="D57" s="226"/>
      <c r="E57" s="226"/>
      <c r="F57" s="226"/>
      <c r="G57" s="226"/>
      <c r="H57" s="226"/>
      <c r="I57" s="226"/>
      <c r="J57" s="226"/>
      <c r="K57" s="226"/>
      <c r="L57" s="226"/>
      <c r="M57" s="226"/>
      <c r="N57" s="226"/>
      <c r="O57" s="226"/>
      <c r="P57" s="226"/>
      <c r="Q57" s="226"/>
      <c r="R57" s="226"/>
      <c r="S57" s="226"/>
      <c r="T57" s="226"/>
      <c r="U57" s="226"/>
      <c r="V57" s="226"/>
      <c r="W57" s="226"/>
      <c r="X57" s="226"/>
      <c r="Y57" s="226"/>
      <c r="Z57" s="226"/>
      <c r="AA57" s="226"/>
      <c r="AB57" s="226"/>
      <c r="AC57" s="226"/>
    </row>
    <row r="58" spans="1:29" ht="15" customHeight="1" x14ac:dyDescent="0.2">
      <c r="A58" s="226" t="s">
        <v>619</v>
      </c>
      <c r="B58" s="226"/>
      <c r="C58" s="226"/>
      <c r="D58" s="226"/>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row>
  </sheetData>
  <mergeCells count="11">
    <mergeCell ref="A53:AC53"/>
    <mergeCell ref="A11:AC11"/>
    <mergeCell ref="A12:AC12"/>
    <mergeCell ref="A13:AC13"/>
    <mergeCell ref="A51:AC51"/>
    <mergeCell ref="A52:AC52"/>
    <mergeCell ref="A54:AC54"/>
    <mergeCell ref="A55:AC55"/>
    <mergeCell ref="A56:AC56"/>
    <mergeCell ref="A57:AC57"/>
    <mergeCell ref="A58:AC5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6"/>
  <sheetViews>
    <sheetView zoomScale="80" zoomScaleNormal="80" workbookViewId="0">
      <selection activeCell="F14" sqref="F14"/>
    </sheetView>
  </sheetViews>
  <sheetFormatPr defaultColWidth="9.140625" defaultRowHeight="12.75" x14ac:dyDescent="0.2"/>
  <cols>
    <col min="1" max="16384" width="9.140625" style="22"/>
  </cols>
  <sheetData>
    <row r="1" spans="1:13" x14ac:dyDescent="0.2">
      <c r="B1" s="22">
        <v>1</v>
      </c>
      <c r="C1" s="22">
        <v>2</v>
      </c>
      <c r="D1" s="22">
        <v>3</v>
      </c>
      <c r="E1" s="22">
        <v>4</v>
      </c>
      <c r="F1" s="22">
        <v>5</v>
      </c>
      <c r="H1" s="97"/>
      <c r="I1" s="97">
        <v>1</v>
      </c>
      <c r="J1" s="97">
        <v>2</v>
      </c>
      <c r="K1" s="97">
        <v>3</v>
      </c>
      <c r="L1" s="97">
        <v>4</v>
      </c>
      <c r="M1" s="97">
        <v>5</v>
      </c>
    </row>
    <row r="2" spans="1:13" x14ac:dyDescent="0.2">
      <c r="B2" s="22" t="s">
        <v>665</v>
      </c>
      <c r="C2" s="22" t="s">
        <v>673</v>
      </c>
      <c r="D2" s="22" t="s">
        <v>674</v>
      </c>
      <c r="E2" s="22" t="s">
        <v>675</v>
      </c>
      <c r="F2" s="22" t="s">
        <v>676</v>
      </c>
      <c r="H2" s="97"/>
      <c r="I2" s="97" t="s">
        <v>665</v>
      </c>
      <c r="J2" s="97" t="s">
        <v>673</v>
      </c>
      <c r="K2" s="97" t="s">
        <v>674</v>
      </c>
      <c r="L2" s="97" t="s">
        <v>675</v>
      </c>
      <c r="M2" s="97" t="s">
        <v>676</v>
      </c>
    </row>
    <row r="3" spans="1:13" x14ac:dyDescent="0.2">
      <c r="A3" s="98" t="s">
        <v>197</v>
      </c>
      <c r="B3" s="22" cm="1">
        <f t="array" ref="B3">SUM(IF(Yields!$A$4:$A$99=1,Yields!$C$4:$C$99,0))</f>
        <v>3.46</v>
      </c>
      <c r="C3" s="22">
        <f t="array" ref="C3">SUM(IF(Yields!$A$4:$A$99=2,Yields!$C$4:$C$99,0))</f>
        <v>3.375</v>
      </c>
      <c r="D3" s="22">
        <f t="array" ref="D3">SUM(IF(Yields!$A$4:$A$99=3,Yields!$C$4:$C$99,0))</f>
        <v>5.2249999999999996</v>
      </c>
      <c r="E3" s="22">
        <f t="array" ref="E3">SUM(IF(Yields!$A$4:$A$99=4,Yields!$C$4:$C$99,0))</f>
        <v>1.75</v>
      </c>
      <c r="F3" s="22">
        <f t="array" ref="F3">SUM(IF(Yields!$A$4:$A$99=5,Yields!$C$4:$C$99,0))</f>
        <v>2.6749999999999998</v>
      </c>
      <c r="H3" s="97" t="s">
        <v>197</v>
      </c>
      <c r="I3" s="97">
        <f>B3*1.08</f>
        <v>3.7368000000000001</v>
      </c>
      <c r="J3" s="97">
        <f t="shared" ref="J3:M3" si="0">C3*1.08</f>
        <v>3.6450000000000005</v>
      </c>
      <c r="K3" s="97">
        <f t="shared" si="0"/>
        <v>5.6429999999999998</v>
      </c>
      <c r="L3" s="97">
        <f t="shared" si="0"/>
        <v>1.8900000000000001</v>
      </c>
      <c r="M3" s="97">
        <f t="shared" si="0"/>
        <v>2.8889999999999998</v>
      </c>
    </row>
    <row r="4" spans="1:13" x14ac:dyDescent="0.2">
      <c r="A4" s="98" t="s">
        <v>199</v>
      </c>
      <c r="B4" s="22">
        <f t="array" ref="B4">SUM(IF(Yields!$A$4:$A$99=1,Yields!$D$4:$D$99,0))</f>
        <v>46.14</v>
      </c>
      <c r="C4" s="22">
        <f t="array" ref="C4">SUM(IF(Yields!$A$4:$A$99=2,Yields!$D$4:$D$99,0))</f>
        <v>50.324999999999996</v>
      </c>
      <c r="D4" s="22">
        <f t="array" ref="D4">SUM(IF(Yields!$A$4:$A$99=3,Yields!$D$4:$D$99,0))</f>
        <v>42.15</v>
      </c>
      <c r="E4" s="22">
        <f t="array" ref="E4">SUM(IF(Yields!$A$4:$A$99=4,Yields!$D$4:$D$99,0))</f>
        <v>47.824999999999996</v>
      </c>
      <c r="F4" s="22">
        <f t="array" ref="F4">SUM(IF(Yields!$A$4:$A$99=5,Yields!$D$4:$D$99,0))</f>
        <v>47.199999999999996</v>
      </c>
      <c r="H4" s="97" t="s">
        <v>199</v>
      </c>
      <c r="I4" s="97">
        <f>B4*1.18</f>
        <v>54.4452</v>
      </c>
      <c r="J4" s="97">
        <f>C4*1.18</f>
        <v>59.383499999999991</v>
      </c>
      <c r="K4" s="97">
        <f t="shared" ref="K4:M4" si="1">D4*1.18</f>
        <v>49.736999999999995</v>
      </c>
      <c r="L4" s="97">
        <f t="shared" si="1"/>
        <v>56.433499999999995</v>
      </c>
      <c r="M4" s="97">
        <f t="shared" si="1"/>
        <v>55.695999999999991</v>
      </c>
    </row>
    <row r="5" spans="1:13" x14ac:dyDescent="0.2">
      <c r="A5" s="98" t="s">
        <v>198</v>
      </c>
      <c r="H5" s="97" t="s">
        <v>198</v>
      </c>
      <c r="I5" s="97">
        <f t="shared" ref="I5:I15" si="2">B5*1.08</f>
        <v>0</v>
      </c>
      <c r="J5" s="97">
        <f t="shared" ref="J5:J7" si="3">C5*1.08</f>
        <v>0</v>
      </c>
      <c r="K5" s="97">
        <f t="shared" ref="K5:K7" si="4">D5*1.08</f>
        <v>0</v>
      </c>
      <c r="L5" s="97">
        <f t="shared" ref="L5:L7" si="5">E5*1.08</f>
        <v>0</v>
      </c>
      <c r="M5" s="97">
        <f t="shared" ref="M5:M7" si="6">F5*1.08</f>
        <v>0</v>
      </c>
    </row>
    <row r="6" spans="1:13" x14ac:dyDescent="0.2">
      <c r="A6" s="98" t="s">
        <v>200</v>
      </c>
      <c r="B6" s="22">
        <f t="array" ref="B6">SUM(IF(Yields!$A$4:$A$99=1,Yields!$F$4:$F$99,0))</f>
        <v>5.66</v>
      </c>
      <c r="C6" s="22">
        <f t="array" ref="C6">SUM(IF(Yields!$A$4:$A$99=2,Yields!$F$4:$F$99,0))</f>
        <v>6.55</v>
      </c>
      <c r="D6" s="22">
        <f t="array" ref="D6">SUM(IF(Yields!$A$4:$A$99=3,Yields!$F$4:$F$99,0))</f>
        <v>9.2749999999999986</v>
      </c>
      <c r="E6" s="22">
        <f t="array" ref="E6">SUM(IF(Yields!$A$4:$A$99=4,Yields!$F$4:$F$99,0))</f>
        <v>4.9249999999999998</v>
      </c>
      <c r="F6" s="22">
        <f t="array" ref="F6">SUM(IF(Yields!$A$4:$A$99=5,Yields!$F$4:$F$99,0))</f>
        <v>16.799999999999997</v>
      </c>
      <c r="H6" s="97" t="s">
        <v>200</v>
      </c>
      <c r="I6" s="97">
        <f t="shared" si="2"/>
        <v>6.1128000000000009</v>
      </c>
      <c r="J6" s="97">
        <f t="shared" si="3"/>
        <v>7.0739999999999998</v>
      </c>
      <c r="K6" s="97">
        <f t="shared" si="4"/>
        <v>10.016999999999999</v>
      </c>
      <c r="L6" s="97">
        <f t="shared" si="5"/>
        <v>5.319</v>
      </c>
      <c r="M6" s="97">
        <f t="shared" si="6"/>
        <v>18.143999999999998</v>
      </c>
    </row>
    <row r="7" spans="1:13" x14ac:dyDescent="0.2">
      <c r="A7" s="98" t="s">
        <v>204</v>
      </c>
      <c r="B7" s="22">
        <f t="array" ref="B7">SUM(IF(Yields!$A$4:$A$99=1,Yields!$G$4:$G$99,0))</f>
        <v>0.38</v>
      </c>
      <c r="C7" s="22">
        <f t="array" ref="C7">SUM(IF(Yields!$A$4:$A$99=2,Yields!$G$4:$G$99,0))</f>
        <v>2.5000000000000001E-2</v>
      </c>
      <c r="D7" s="22">
        <f t="array" ref="D7">SUM(IF(Yields!$A$4:$A$99=3,Yields!$G$4:$G$99,0))</f>
        <v>7.5000000000000011E-2</v>
      </c>
      <c r="E7" s="22">
        <f t="array" ref="E7">SUM(IF(Yields!$A$4:$A$99=4,Yields!$G$4:$G$99,0))</f>
        <v>0.25</v>
      </c>
      <c r="F7" s="22">
        <f t="array" ref="F7">SUM(IF(Yields!$A$4:$A$99=5,Yields!$G$4:$G$99,0))</f>
        <v>2.5000000000000001E-2</v>
      </c>
      <c r="H7" s="97" t="s">
        <v>204</v>
      </c>
      <c r="I7" s="97">
        <f t="shared" si="2"/>
        <v>0.41040000000000004</v>
      </c>
      <c r="J7" s="97">
        <f t="shared" si="3"/>
        <v>2.7000000000000003E-2</v>
      </c>
      <c r="K7" s="97">
        <f t="shared" si="4"/>
        <v>8.1000000000000016E-2</v>
      </c>
      <c r="L7" s="97">
        <f t="shared" si="5"/>
        <v>0.27</v>
      </c>
      <c r="M7" s="97">
        <f t="shared" si="6"/>
        <v>2.7000000000000003E-2</v>
      </c>
    </row>
    <row r="8" spans="1:13" x14ac:dyDescent="0.2">
      <c r="A8" s="98" t="s">
        <v>208</v>
      </c>
      <c r="B8" s="99">
        <f t="array" ref="B8">SUM(IF(Yields!$A$4:$A$99=1,Yields!$H$4:$H$99,0))*(1-'DSH percent'!Q2)</f>
        <v>18.941966420758078</v>
      </c>
      <c r="C8" s="99">
        <f t="array" ref="C8">SUM(IF(Yields!$A$4:$A$99=2,Yields!$H$4:$H$99,0))*(1-'DSH percent'!Q3)</f>
        <v>28.80541677622929</v>
      </c>
      <c r="D8" s="99">
        <f t="array" ref="D8">SUM(IF(Yields!$A$4:$A$99=3,Yields!$H$4:$H$99,0))*(1-'DSH percent'!Q4)</f>
        <v>26.332062267282758</v>
      </c>
      <c r="E8" s="22">
        <f t="array" ref="E8">SUM(IF(Yields!$A$4:$A$99=4,Yields!$H$4:$H$99,0))</f>
        <v>32.025000000000006</v>
      </c>
      <c r="F8" s="99">
        <f t="array" ref="F8">SUM(IF(Yields!$A$4:$A$99=5,Yields!$H$4:$H$99,0))*(1-'DSH percent'!Q6)</f>
        <v>19.606298826444576</v>
      </c>
      <c r="H8" s="97" t="s">
        <v>208</v>
      </c>
      <c r="I8" s="97">
        <f>B8*1.15</f>
        <v>21.783261383871789</v>
      </c>
      <c r="J8" s="97">
        <f t="shared" ref="J8:M8" si="7">C8*1.15</f>
        <v>33.12622929266368</v>
      </c>
      <c r="K8" s="97">
        <f t="shared" si="7"/>
        <v>30.281871607375169</v>
      </c>
      <c r="L8" s="97">
        <f t="shared" si="7"/>
        <v>36.828750000000007</v>
      </c>
      <c r="M8" s="97">
        <f t="shared" si="7"/>
        <v>22.547243650411261</v>
      </c>
    </row>
    <row r="9" spans="1:13" x14ac:dyDescent="0.2">
      <c r="A9" s="98" t="s">
        <v>207</v>
      </c>
      <c r="H9" s="97" t="s">
        <v>207</v>
      </c>
      <c r="I9" s="97">
        <f t="shared" si="2"/>
        <v>0</v>
      </c>
      <c r="J9" s="97">
        <f t="shared" ref="J9:J15" si="8">C9*1.08</f>
        <v>0</v>
      </c>
      <c r="K9" s="97">
        <f t="shared" ref="K9:K15" si="9">D9*1.08</f>
        <v>0</v>
      </c>
      <c r="L9" s="97">
        <f t="shared" ref="L9:L15" si="10">E9*1.08</f>
        <v>0</v>
      </c>
      <c r="M9" s="97">
        <f t="shared" ref="M9:M15" si="11">F9*1.08</f>
        <v>0</v>
      </c>
    </row>
    <row r="10" spans="1:13" x14ac:dyDescent="0.2">
      <c r="A10" s="98" t="s">
        <v>201</v>
      </c>
      <c r="B10" s="99" cm="1">
        <f t="array" ref="B10">SUM(IF(Yields!$A$4:$A$99=1,Yields!$H$4:$H$99,0))*'DSH percent'!Q2</f>
        <v>10.758033579241923</v>
      </c>
      <c r="C10" s="99">
        <f t="array" ref="C10">SUM(IF(Yields!$A$4:$A$99=2,Yields!$H$4:$H$99,0))*'DSH percent'!Q3</f>
        <v>0.19458322377070733</v>
      </c>
      <c r="D10" s="99">
        <f t="array" ref="D10">SUM(IF(Yields!$A$4:$A$99=3,Yields!$H$4:$H$99,0))*'DSH percent'!Q4</f>
        <v>2.4679377327172403</v>
      </c>
      <c r="E10" s="22">
        <v>0</v>
      </c>
      <c r="F10" s="99">
        <f t="array" ref="F10">SUM(IF(Yields!$A$4:$A$99=5,Yields!$H$4:$H$99,0))*'DSH percent'!Q6</f>
        <v>1.6187011735554255</v>
      </c>
      <c r="H10" s="97" t="s">
        <v>201</v>
      </c>
      <c r="I10" s="97">
        <f t="shared" si="2"/>
        <v>11.618676265581279</v>
      </c>
      <c r="J10" s="97">
        <f t="shared" si="8"/>
        <v>0.21014988167236393</v>
      </c>
      <c r="K10" s="97">
        <f t="shared" si="9"/>
        <v>2.6653727513346195</v>
      </c>
      <c r="L10" s="97">
        <f t="shared" si="10"/>
        <v>0</v>
      </c>
      <c r="M10" s="97">
        <f t="shared" si="11"/>
        <v>1.7481972674398596</v>
      </c>
    </row>
    <row r="11" spans="1:13" x14ac:dyDescent="0.2">
      <c r="A11" s="98" t="s">
        <v>202</v>
      </c>
      <c r="B11" s="22">
        <f t="array" ref="B11">SUM(IF(Yields!$A$4:$A$99=1,Yields!$I$4:$I$99,0))</f>
        <v>5.9399999999999995</v>
      </c>
      <c r="C11" s="22">
        <f t="array" ref="C11">SUM(IF(Yields!$A$4:$A$99=2,Yields!$I$4:$I$99,0))</f>
        <v>1.4500000000000002</v>
      </c>
      <c r="D11" s="22">
        <f t="array" ref="D11">SUM(IF(Yields!$A$4:$A$99=3,Yields!$I$4:$I$99,0))</f>
        <v>3.9999999999999996</v>
      </c>
      <c r="E11" s="22">
        <f t="array" ref="E11">SUM(IF(Yields!$A$4:$A$99=4,Yields!$I$4:$I$99,0))</f>
        <v>1.8000000000000003</v>
      </c>
      <c r="F11" s="22">
        <f t="array" ref="F11">SUM(IF(Yields!$A$4:$A$99=5,Yields!$I$4:$I$99,0))</f>
        <v>5.3250000000000002</v>
      </c>
      <c r="H11" s="97" t="s">
        <v>202</v>
      </c>
      <c r="I11" s="97">
        <f t="shared" si="2"/>
        <v>6.4151999999999996</v>
      </c>
      <c r="J11" s="97">
        <f t="shared" si="8"/>
        <v>1.5660000000000003</v>
      </c>
      <c r="K11" s="97">
        <f t="shared" si="9"/>
        <v>4.3199999999999994</v>
      </c>
      <c r="L11" s="97">
        <f t="shared" si="10"/>
        <v>1.9440000000000004</v>
      </c>
      <c r="M11" s="97">
        <f t="shared" si="11"/>
        <v>5.7510000000000003</v>
      </c>
    </row>
    <row r="12" spans="1:13" x14ac:dyDescent="0.2">
      <c r="A12" s="98" t="s">
        <v>203</v>
      </c>
      <c r="H12" s="97" t="s">
        <v>203</v>
      </c>
      <c r="I12" s="97">
        <f>I11</f>
        <v>6.4151999999999996</v>
      </c>
      <c r="J12" s="97">
        <f t="shared" ref="J12:M12" si="12">J11</f>
        <v>1.5660000000000003</v>
      </c>
      <c r="K12" s="97">
        <f t="shared" si="12"/>
        <v>4.3199999999999994</v>
      </c>
      <c r="L12" s="97">
        <f t="shared" si="12"/>
        <v>1.9440000000000004</v>
      </c>
      <c r="M12" s="97">
        <f t="shared" si="12"/>
        <v>5.7510000000000003</v>
      </c>
    </row>
    <row r="13" spans="1:13" x14ac:dyDescent="0.2">
      <c r="A13" s="98" t="s">
        <v>205</v>
      </c>
      <c r="B13" s="22">
        <f t="array" ref="B13">SUM(IF(Yields!$A$4:$A$99=1,Yields!$J$4:$J$99,0))+SUM(IF(Yields!$A$4:$A$99=1,Yields!$K$4:$K$99,0))</f>
        <v>0.76</v>
      </c>
      <c r="C13" s="22">
        <f t="array" ref="C13">SUM(IF(Yields!$A$4:$A$99=2,Yields!$J$4:$J$99,0))+SUM(IF(Yields!$A$4:$A$99=2,Yields!$K$4:$K$99,0))</f>
        <v>1.0249999999999999</v>
      </c>
      <c r="D13" s="22">
        <f t="array" ref="D13">SUM(IF(Yields!$A$4:$A$99=3,Yields!$J$4:$J$99,0))+SUM(IF(Yields!$A$4:$A$99=3,Yields!$K$4:$K$99,0))</f>
        <v>3.6000000000000005</v>
      </c>
      <c r="E13" s="22">
        <f t="array" ref="E13">SUM(IF(Yields!$A$4:$A$99=4,Yields!$J$4:$J$99,0))+SUM(IF(Yields!$A$4:$A$99=4,Yields!$K$4:$K$99,0))</f>
        <v>0.15</v>
      </c>
      <c r="F13" s="22">
        <f t="array" ref="F13">SUM(IF(Yields!$A$4:$A$99=5,Yields!$J$4:$J$99,0))+SUM(IF(Yields!$A$4:$A$99=5,Yields!$K$4:$K$99,0))</f>
        <v>6.6666666666666666E-2</v>
      </c>
      <c r="H13" s="97" t="s">
        <v>205</v>
      </c>
      <c r="I13" s="97">
        <f t="shared" si="2"/>
        <v>0.82080000000000009</v>
      </c>
      <c r="J13" s="97">
        <f t="shared" si="8"/>
        <v>1.107</v>
      </c>
      <c r="K13" s="97">
        <f t="shared" si="9"/>
        <v>3.8880000000000008</v>
      </c>
      <c r="L13" s="97">
        <f t="shared" si="10"/>
        <v>0.16200000000000001</v>
      </c>
      <c r="M13" s="97">
        <f t="shared" si="11"/>
        <v>7.2000000000000008E-2</v>
      </c>
    </row>
    <row r="14" spans="1:13" x14ac:dyDescent="0.2">
      <c r="A14" s="98" t="s">
        <v>209</v>
      </c>
      <c r="B14" s="22">
        <f t="array" ref="B14">SUM(IF(Yields!$A$4:$A$99=1,Yields!$O$4:$O$99,0))</f>
        <v>3.1</v>
      </c>
      <c r="C14" s="22">
        <f t="array" ref="C14">SUM(IF(Yields!$A$4:$A$99=2,Yields!$O$4:$O$99,0))</f>
        <v>4.3499999999999996</v>
      </c>
      <c r="D14" s="22">
        <f t="array" ref="D14">SUM(IF(Yields!$A$4:$A$99=3,Yields!$O$4:$O$99,0))</f>
        <v>6</v>
      </c>
      <c r="E14" s="22">
        <f t="array" ref="E14">SUM(IF(Yields!$A$4:$A$99=4,Yields!$O$4:$O$99,0))</f>
        <v>4.375</v>
      </c>
      <c r="F14" s="22">
        <f t="array" ref="F14">SUM(IF(Yields!$A$4:$A$99=5,Yields!$O$4:$O$99,0))</f>
        <v>6.1499999999999995</v>
      </c>
      <c r="H14" s="97" t="s">
        <v>209</v>
      </c>
      <c r="I14" s="97">
        <f t="shared" si="2"/>
        <v>3.3480000000000003</v>
      </c>
      <c r="J14" s="97">
        <f t="shared" si="8"/>
        <v>4.6979999999999995</v>
      </c>
      <c r="K14" s="97">
        <f t="shared" si="9"/>
        <v>6.48</v>
      </c>
      <c r="L14" s="97">
        <f t="shared" si="10"/>
        <v>4.7250000000000005</v>
      </c>
      <c r="M14" s="97">
        <f t="shared" si="11"/>
        <v>6.6419999999999995</v>
      </c>
    </row>
    <row r="15" spans="1:13" x14ac:dyDescent="0.2">
      <c r="A15" s="98" t="s">
        <v>206</v>
      </c>
      <c r="B15" s="22">
        <f t="array" ref="B15">SUM(IF(Yields!$A$4:$A$99=1,Yields!$P$4:$P$99,0))</f>
        <v>4.9799999999999995</v>
      </c>
      <c r="C15" s="22">
        <f t="array" ref="C15">SUM(IF(Yields!$A$4:$A$99=2,Yields!$P$4:$P$99,0))</f>
        <v>4.9499999999999993</v>
      </c>
      <c r="D15" s="22">
        <f t="array" ref="D15">SUM(IF(Yields!$A$4:$A$99=3,Yields!$P$4:$P$99,0))</f>
        <v>1.125</v>
      </c>
      <c r="E15" s="22">
        <f t="array" ref="E15">SUM(IF(Yields!$A$4:$A$99=4,Yields!$P$4:$P$99,0))</f>
        <v>5.875</v>
      </c>
      <c r="F15" s="22">
        <f t="array" ref="F15">SUM(IF(Yields!$A$4:$A$99=5,Yields!$P$4:$P$99,0))</f>
        <v>1.2750000000000001</v>
      </c>
      <c r="H15" s="97" t="s">
        <v>206</v>
      </c>
      <c r="I15" s="97">
        <f t="shared" si="2"/>
        <v>5.3784000000000001</v>
      </c>
      <c r="J15" s="97">
        <f t="shared" si="8"/>
        <v>5.3459999999999992</v>
      </c>
      <c r="K15" s="97">
        <f t="shared" si="9"/>
        <v>1.2150000000000001</v>
      </c>
      <c r="L15" s="97">
        <f t="shared" si="10"/>
        <v>6.3450000000000006</v>
      </c>
      <c r="M15" s="97">
        <f t="shared" si="11"/>
        <v>1.3770000000000002</v>
      </c>
    </row>
    <row r="16" spans="1:13" x14ac:dyDescent="0.2">
      <c r="B16" s="22">
        <f>SUM(B3:B15)</f>
        <v>100.12</v>
      </c>
      <c r="C16" s="22">
        <f t="shared" ref="C16:F16" si="13">SUM(C3:C15)</f>
        <v>101.05</v>
      </c>
      <c r="D16" s="22">
        <f t="shared" si="13"/>
        <v>100.25</v>
      </c>
      <c r="E16" s="22">
        <f t="shared" si="13"/>
        <v>98.975000000000009</v>
      </c>
      <c r="F16" s="22">
        <f t="shared" si="13"/>
        <v>100.74166666666666</v>
      </c>
      <c r="H16" s="97"/>
      <c r="I16" s="97">
        <f>SUM(I3:I15)</f>
        <v>120.48473764945308</v>
      </c>
      <c r="J16" s="97">
        <f t="shared" ref="J16" si="14">SUM(J3:J15)</f>
        <v>117.74887917433604</v>
      </c>
      <c r="K16" s="97">
        <f t="shared" ref="K16" si="15">SUM(K3:K15)</f>
        <v>118.64824435870977</v>
      </c>
      <c r="L16" s="97">
        <f t="shared" ref="L16" si="16">SUM(L3:L15)</f>
        <v>115.86125000000001</v>
      </c>
      <c r="M16" s="97">
        <f t="shared" ref="M16" si="17">SUM(M3:M15)</f>
        <v>120.64444091785111</v>
      </c>
    </row>
  </sheetData>
  <pageMargins left="0.7" right="0.7" top="0.75" bottom="0.75" header="0.3" footer="0.3"/>
  <pageSetup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99"/>
  <sheetViews>
    <sheetView zoomScale="80" zoomScaleNormal="80" workbookViewId="0">
      <pane ySplit="1" topLeftCell="A2" activePane="bottomLeft" state="frozen"/>
      <selection pane="bottomLeft" activeCell="I9" sqref="I9"/>
    </sheetView>
  </sheetViews>
  <sheetFormatPr defaultColWidth="9.140625" defaultRowHeight="12.75" x14ac:dyDescent="0.2"/>
  <cols>
    <col min="1" max="1" width="9.140625" style="100"/>
    <col min="2" max="2" width="9.140625" style="22"/>
    <col min="3" max="4" width="14" style="22" customWidth="1"/>
    <col min="5" max="5" width="14" style="116" customWidth="1"/>
    <col min="6" max="11" width="14" style="22" customWidth="1"/>
    <col min="12" max="14" width="14" style="116" customWidth="1"/>
    <col min="15" max="16" width="14" style="22" customWidth="1"/>
    <col min="17" max="18" width="14" style="116" customWidth="1"/>
    <col min="19" max="19" width="14" style="22" customWidth="1"/>
    <col min="20" max="16384" width="9.140625" style="22"/>
  </cols>
  <sheetData>
    <row r="1" spans="1:20" x14ac:dyDescent="0.2">
      <c r="B1" s="101" t="s">
        <v>384</v>
      </c>
      <c r="C1" s="102" t="s">
        <v>489</v>
      </c>
      <c r="D1" s="103"/>
      <c r="E1" s="104"/>
      <c r="F1" s="103"/>
      <c r="G1" s="103"/>
      <c r="H1" s="103"/>
      <c r="I1" s="103"/>
      <c r="J1" s="103"/>
      <c r="K1" s="103"/>
      <c r="L1" s="104"/>
      <c r="M1" s="104"/>
      <c r="N1" s="104"/>
      <c r="O1" s="103"/>
      <c r="P1" s="103"/>
      <c r="Q1" s="104"/>
      <c r="R1" s="104"/>
      <c r="S1" s="103"/>
      <c r="T1" s="103"/>
    </row>
    <row r="2" spans="1:20" ht="25.5" x14ac:dyDescent="0.2">
      <c r="B2" s="105" t="s">
        <v>490</v>
      </c>
      <c r="C2" s="106" t="s">
        <v>491</v>
      </c>
      <c r="D2" s="106" t="s">
        <v>492</v>
      </c>
      <c r="E2" s="107" t="s">
        <v>493</v>
      </c>
      <c r="F2" s="106" t="s">
        <v>494</v>
      </c>
      <c r="G2" s="106" t="s">
        <v>495</v>
      </c>
      <c r="H2" s="106" t="s">
        <v>496</v>
      </c>
      <c r="I2" s="106" t="s">
        <v>497</v>
      </c>
      <c r="J2" s="106" t="s">
        <v>498</v>
      </c>
      <c r="K2" s="106" t="s">
        <v>499</v>
      </c>
      <c r="L2" s="107" t="s">
        <v>500</v>
      </c>
      <c r="M2" s="107" t="s">
        <v>501</v>
      </c>
      <c r="N2" s="107" t="s">
        <v>502</v>
      </c>
      <c r="O2" s="106" t="s">
        <v>503</v>
      </c>
      <c r="P2" s="106" t="s">
        <v>504</v>
      </c>
      <c r="Q2" s="107" t="s">
        <v>505</v>
      </c>
      <c r="R2" s="107" t="s">
        <v>506</v>
      </c>
      <c r="S2" s="106" t="s">
        <v>507</v>
      </c>
      <c r="T2" s="106"/>
    </row>
    <row r="3" spans="1:20" ht="102" x14ac:dyDescent="0.2">
      <c r="A3" s="100" t="s">
        <v>94</v>
      </c>
      <c r="B3" s="105" t="s">
        <v>508</v>
      </c>
      <c r="C3" s="108" t="s">
        <v>509</v>
      </c>
      <c r="D3" s="108" t="s">
        <v>510</v>
      </c>
      <c r="E3" s="109" t="s">
        <v>511</v>
      </c>
      <c r="F3" s="108" t="s">
        <v>512</v>
      </c>
      <c r="G3" s="108" t="s">
        <v>513</v>
      </c>
      <c r="H3" s="108" t="s">
        <v>514</v>
      </c>
      <c r="I3" s="108" t="s">
        <v>515</v>
      </c>
      <c r="J3" s="108" t="s">
        <v>516</v>
      </c>
      <c r="K3" s="108" t="s">
        <v>517</v>
      </c>
      <c r="L3" s="109" t="s">
        <v>518</v>
      </c>
      <c r="M3" s="109" t="s">
        <v>519</v>
      </c>
      <c r="N3" s="109" t="s">
        <v>520</v>
      </c>
      <c r="O3" s="108" t="s">
        <v>521</v>
      </c>
      <c r="P3" s="108" t="s">
        <v>522</v>
      </c>
      <c r="Q3" s="109" t="s">
        <v>523</v>
      </c>
      <c r="R3" s="109" t="s">
        <v>524</v>
      </c>
      <c r="S3" s="108" t="s">
        <v>525</v>
      </c>
      <c r="T3" s="108"/>
    </row>
    <row r="4" spans="1:20" x14ac:dyDescent="0.2">
      <c r="B4" s="105"/>
      <c r="C4" s="108" t="s">
        <v>85</v>
      </c>
      <c r="D4" s="108" t="s">
        <v>526</v>
      </c>
      <c r="E4" s="109"/>
      <c r="F4" s="108" t="s">
        <v>180</v>
      </c>
      <c r="G4" s="108" t="s">
        <v>187</v>
      </c>
      <c r="H4" s="108" t="s">
        <v>97</v>
      </c>
      <c r="I4" s="108" t="s">
        <v>184</v>
      </c>
      <c r="J4" s="108" t="s">
        <v>189</v>
      </c>
      <c r="K4" s="108" t="s">
        <v>189</v>
      </c>
      <c r="L4" s="109"/>
      <c r="M4" s="109"/>
      <c r="N4" s="109"/>
      <c r="O4" s="108" t="s">
        <v>193</v>
      </c>
      <c r="P4" s="108" t="s">
        <v>190</v>
      </c>
      <c r="Q4" s="109"/>
      <c r="R4" s="109"/>
      <c r="S4" s="108"/>
      <c r="T4" s="108"/>
    </row>
    <row r="5" spans="1:20" x14ac:dyDescent="0.2">
      <c r="B5" s="110">
        <v>37802</v>
      </c>
      <c r="C5" s="103">
        <v>3</v>
      </c>
      <c r="D5" s="103">
        <v>46.4</v>
      </c>
      <c r="E5" s="104">
        <v>0.2</v>
      </c>
      <c r="F5" s="103">
        <v>5.2</v>
      </c>
      <c r="G5" s="103">
        <v>0.8</v>
      </c>
      <c r="H5" s="103">
        <v>27.2</v>
      </c>
      <c r="I5" s="103">
        <v>7.8</v>
      </c>
      <c r="J5" s="103">
        <v>0.8</v>
      </c>
      <c r="K5" s="103"/>
      <c r="L5" s="104">
        <v>0.1</v>
      </c>
      <c r="M5" s="104">
        <v>1</v>
      </c>
      <c r="N5" s="104">
        <v>0</v>
      </c>
      <c r="O5" s="103">
        <v>2.9</v>
      </c>
      <c r="P5" s="103">
        <v>5.7</v>
      </c>
      <c r="Q5" s="104">
        <v>3.8</v>
      </c>
      <c r="R5" s="104">
        <v>0.1</v>
      </c>
      <c r="S5" s="103">
        <v>-5</v>
      </c>
      <c r="T5" s="111">
        <f t="shared" ref="T5:T13" si="0">SUM(C5:R5)</f>
        <v>104.99999999999999</v>
      </c>
    </row>
    <row r="6" spans="1:20" x14ac:dyDescent="0.2">
      <c r="B6" s="110">
        <v>38168</v>
      </c>
      <c r="C6" s="103">
        <v>2.6</v>
      </c>
      <c r="D6" s="103">
        <v>46.5</v>
      </c>
      <c r="E6" s="104">
        <v>0.4</v>
      </c>
      <c r="F6" s="103">
        <v>6.1</v>
      </c>
      <c r="G6" s="103">
        <v>0.7</v>
      </c>
      <c r="H6" s="103">
        <v>26.6</v>
      </c>
      <c r="I6" s="103">
        <v>6.9</v>
      </c>
      <c r="J6" s="103">
        <v>0.8</v>
      </c>
      <c r="K6" s="103"/>
      <c r="L6" s="104">
        <v>0.1</v>
      </c>
      <c r="M6" s="104">
        <v>1.1000000000000001</v>
      </c>
      <c r="N6" s="104">
        <v>0</v>
      </c>
      <c r="O6" s="103">
        <v>3.1</v>
      </c>
      <c r="P6" s="103">
        <v>6.2</v>
      </c>
      <c r="Q6" s="104">
        <v>3.9</v>
      </c>
      <c r="R6" s="104">
        <v>0.1</v>
      </c>
      <c r="S6" s="103">
        <v>-5.3</v>
      </c>
      <c r="T6" s="111">
        <f t="shared" si="0"/>
        <v>105.1</v>
      </c>
    </row>
    <row r="7" spans="1:20" x14ac:dyDescent="0.2">
      <c r="B7" s="110">
        <v>38533</v>
      </c>
      <c r="C7" s="103">
        <v>2.4</v>
      </c>
      <c r="D7" s="103">
        <v>46.6</v>
      </c>
      <c r="E7" s="104">
        <v>0.3</v>
      </c>
      <c r="F7" s="103">
        <v>5.7</v>
      </c>
      <c r="G7" s="103">
        <v>0.7</v>
      </c>
      <c r="H7" s="103">
        <v>28.8</v>
      </c>
      <c r="I7" s="103">
        <v>6.2</v>
      </c>
      <c r="J7" s="103">
        <v>0.8</v>
      </c>
      <c r="K7" s="103"/>
      <c r="L7" s="104">
        <v>0.1</v>
      </c>
      <c r="M7" s="104">
        <v>1</v>
      </c>
      <c r="N7" s="104">
        <v>0</v>
      </c>
      <c r="O7" s="103">
        <v>2.9</v>
      </c>
      <c r="P7" s="103">
        <v>5.7</v>
      </c>
      <c r="Q7" s="104">
        <v>3.8</v>
      </c>
      <c r="R7" s="104">
        <v>0.1</v>
      </c>
      <c r="S7" s="103">
        <v>-5.0999999999999996</v>
      </c>
      <c r="T7" s="111">
        <f t="shared" si="0"/>
        <v>105.1</v>
      </c>
    </row>
    <row r="8" spans="1:20" x14ac:dyDescent="0.2">
      <c r="B8" s="110">
        <v>38898</v>
      </c>
      <c r="C8" s="103">
        <v>2.6</v>
      </c>
      <c r="D8" s="103">
        <v>45.8</v>
      </c>
      <c r="E8" s="104"/>
      <c r="F8" s="103">
        <v>5.0999999999999996</v>
      </c>
      <c r="G8" s="103">
        <v>0.4</v>
      </c>
      <c r="H8" s="103">
        <v>29.2</v>
      </c>
      <c r="I8" s="103">
        <v>7.1</v>
      </c>
      <c r="J8" s="103">
        <v>1.1000000000000001</v>
      </c>
      <c r="K8" s="103"/>
      <c r="L8" s="104">
        <v>0.1</v>
      </c>
      <c r="M8" s="104">
        <v>1.1000000000000001</v>
      </c>
      <c r="N8" s="104">
        <v>0</v>
      </c>
      <c r="O8" s="103">
        <v>3</v>
      </c>
      <c r="P8" s="103">
        <v>5.6</v>
      </c>
      <c r="Q8" s="104">
        <v>3.6</v>
      </c>
      <c r="R8" s="104">
        <v>0.2</v>
      </c>
      <c r="S8" s="103">
        <v>-4.9000000000000004</v>
      </c>
      <c r="T8" s="111">
        <f t="shared" si="0"/>
        <v>104.89999999999996</v>
      </c>
    </row>
    <row r="9" spans="1:20" x14ac:dyDescent="0.2">
      <c r="B9" s="110">
        <v>39263</v>
      </c>
      <c r="C9" s="103">
        <v>3.2</v>
      </c>
      <c r="D9" s="103">
        <v>45.5</v>
      </c>
      <c r="E9" s="104">
        <v>0.1</v>
      </c>
      <c r="F9" s="103">
        <v>5</v>
      </c>
      <c r="G9" s="103">
        <v>0.5</v>
      </c>
      <c r="H9" s="103">
        <v>29.4</v>
      </c>
      <c r="I9" s="103">
        <v>7.2</v>
      </c>
      <c r="J9" s="103">
        <v>1.1000000000000001</v>
      </c>
      <c r="K9" s="103"/>
      <c r="L9" s="104">
        <v>0</v>
      </c>
      <c r="M9" s="104">
        <v>1</v>
      </c>
      <c r="N9" s="104">
        <v>0</v>
      </c>
      <c r="O9" s="103">
        <v>3.2</v>
      </c>
      <c r="P9" s="103">
        <v>5</v>
      </c>
      <c r="Q9" s="104">
        <v>3.9</v>
      </c>
      <c r="R9" s="104">
        <v>0.2</v>
      </c>
      <c r="S9" s="103">
        <v>-5.0999999999999996</v>
      </c>
      <c r="T9" s="111">
        <f t="shared" si="0"/>
        <v>105.30000000000001</v>
      </c>
    </row>
    <row r="10" spans="1:20" x14ac:dyDescent="0.2">
      <c r="B10" s="110">
        <v>39629</v>
      </c>
      <c r="C10" s="103">
        <v>3.3</v>
      </c>
      <c r="D10" s="103">
        <v>44.6</v>
      </c>
      <c r="E10" s="104">
        <v>0.1</v>
      </c>
      <c r="F10" s="103">
        <v>5.7</v>
      </c>
      <c r="G10" s="103">
        <v>0.6</v>
      </c>
      <c r="H10" s="103">
        <v>29.6</v>
      </c>
      <c r="I10" s="103">
        <v>7.1</v>
      </c>
      <c r="J10" s="103">
        <v>1.1000000000000001</v>
      </c>
      <c r="K10" s="103"/>
      <c r="L10" s="104">
        <v>0</v>
      </c>
      <c r="M10" s="104">
        <v>1.1000000000000001</v>
      </c>
      <c r="N10" s="104">
        <v>0.1</v>
      </c>
      <c r="O10" s="103">
        <v>3.3</v>
      </c>
      <c r="P10" s="103">
        <v>5.0999999999999996</v>
      </c>
      <c r="Q10" s="104">
        <v>3.8</v>
      </c>
      <c r="R10" s="104">
        <v>0.2</v>
      </c>
      <c r="S10" s="103">
        <v>-5.4</v>
      </c>
      <c r="T10" s="111">
        <f t="shared" si="0"/>
        <v>105.69999999999997</v>
      </c>
    </row>
    <row r="11" spans="1:20" x14ac:dyDescent="0.2">
      <c r="B11" s="110">
        <v>39994</v>
      </c>
      <c r="C11" s="103">
        <v>3.4</v>
      </c>
      <c r="D11" s="103">
        <v>47</v>
      </c>
      <c r="E11" s="104">
        <v>0.1</v>
      </c>
      <c r="F11" s="103">
        <v>5.3</v>
      </c>
      <c r="G11" s="103">
        <v>0.6</v>
      </c>
      <c r="H11" s="103">
        <v>27.7</v>
      </c>
      <c r="I11" s="103">
        <v>7.4</v>
      </c>
      <c r="J11" s="103">
        <v>0.9</v>
      </c>
      <c r="K11" s="103">
        <v>0</v>
      </c>
      <c r="L11" s="104">
        <v>0.1</v>
      </c>
      <c r="M11" s="104">
        <v>1</v>
      </c>
      <c r="N11" s="104">
        <v>0.1</v>
      </c>
      <c r="O11" s="103">
        <v>2.9</v>
      </c>
      <c r="P11" s="103">
        <v>4.8</v>
      </c>
      <c r="Q11" s="104">
        <v>3.2</v>
      </c>
      <c r="R11" s="104">
        <v>0.1</v>
      </c>
      <c r="S11" s="103">
        <v>-4.3</v>
      </c>
      <c r="T11" s="111">
        <f t="shared" si="0"/>
        <v>104.6</v>
      </c>
    </row>
    <row r="12" spans="1:20" x14ac:dyDescent="0.2">
      <c r="B12" s="110">
        <v>40359</v>
      </c>
      <c r="C12" s="103">
        <v>3.3</v>
      </c>
      <c r="D12" s="103">
        <v>46.7</v>
      </c>
      <c r="E12" s="104">
        <v>0.1</v>
      </c>
      <c r="F12" s="103">
        <v>5.7</v>
      </c>
      <c r="G12" s="103">
        <v>0.4</v>
      </c>
      <c r="H12" s="103">
        <v>29.9</v>
      </c>
      <c r="I12" s="103">
        <v>5.4</v>
      </c>
      <c r="J12" s="103">
        <v>0.8</v>
      </c>
      <c r="K12" s="103">
        <v>0</v>
      </c>
      <c r="L12" s="104">
        <v>0.1</v>
      </c>
      <c r="M12" s="104">
        <v>1.1000000000000001</v>
      </c>
      <c r="N12" s="104">
        <v>0</v>
      </c>
      <c r="O12" s="103">
        <v>2.8</v>
      </c>
      <c r="P12" s="103">
        <v>5.0999999999999996</v>
      </c>
      <c r="Q12" s="104">
        <v>3.2</v>
      </c>
      <c r="R12" s="104">
        <v>0.1</v>
      </c>
      <c r="S12" s="103">
        <v>-4.7</v>
      </c>
      <c r="T12" s="111">
        <f t="shared" si="0"/>
        <v>104.69999999999997</v>
      </c>
    </row>
    <row r="13" spans="1:20" x14ac:dyDescent="0.2">
      <c r="B13" s="110">
        <v>40724</v>
      </c>
      <c r="C13" s="103">
        <v>3.7</v>
      </c>
      <c r="D13" s="103">
        <v>46.2</v>
      </c>
      <c r="E13" s="104">
        <v>0.1</v>
      </c>
      <c r="F13" s="103">
        <v>6.8</v>
      </c>
      <c r="G13" s="103">
        <v>0.2</v>
      </c>
      <c r="H13" s="103">
        <v>30</v>
      </c>
      <c r="I13" s="103">
        <v>4.9000000000000004</v>
      </c>
      <c r="J13" s="103">
        <v>0.6</v>
      </c>
      <c r="K13" s="103">
        <v>0</v>
      </c>
      <c r="L13" s="104">
        <v>0.1</v>
      </c>
      <c r="M13" s="104">
        <v>1.2</v>
      </c>
      <c r="N13" s="104">
        <v>0</v>
      </c>
      <c r="O13" s="103">
        <v>3.1</v>
      </c>
      <c r="P13" s="103">
        <v>4.8</v>
      </c>
      <c r="Q13" s="104">
        <v>3.3</v>
      </c>
      <c r="R13" s="104">
        <v>0.2</v>
      </c>
      <c r="S13" s="103">
        <v>-5</v>
      </c>
      <c r="T13" s="111">
        <f t="shared" si="0"/>
        <v>105.19999999999999</v>
      </c>
    </row>
    <row r="14" spans="1:20" x14ac:dyDescent="0.2">
      <c r="B14" s="225">
        <v>41090</v>
      </c>
      <c r="C14" s="224">
        <v>3.6</v>
      </c>
      <c r="D14" s="224">
        <v>46.2</v>
      </c>
      <c r="E14" s="104">
        <v>0.1</v>
      </c>
      <c r="F14" s="224">
        <v>4.8</v>
      </c>
      <c r="G14" s="224">
        <v>0.1</v>
      </c>
      <c r="H14" s="224">
        <v>31.3</v>
      </c>
      <c r="I14" s="224">
        <v>4.9000000000000004</v>
      </c>
      <c r="J14" s="224">
        <v>0.4</v>
      </c>
      <c r="K14" s="103">
        <v>0</v>
      </c>
      <c r="L14" s="224">
        <v>0.1</v>
      </c>
      <c r="M14" s="224">
        <v>1.3</v>
      </c>
      <c r="N14" s="224">
        <v>0</v>
      </c>
      <c r="O14" s="224">
        <v>3.4</v>
      </c>
      <c r="P14" s="224">
        <v>5.0999999999999996</v>
      </c>
      <c r="Q14" s="224">
        <v>3.6</v>
      </c>
      <c r="R14" s="224">
        <v>0.3</v>
      </c>
      <c r="S14" s="224">
        <v>-5.0999999999999996</v>
      </c>
      <c r="T14" s="111"/>
    </row>
    <row r="15" spans="1:20" x14ac:dyDescent="0.2">
      <c r="B15" s="225">
        <v>41455</v>
      </c>
      <c r="C15" s="224">
        <v>3.3</v>
      </c>
      <c r="D15" s="224">
        <v>45</v>
      </c>
      <c r="E15" s="104">
        <v>0.1</v>
      </c>
      <c r="F15" s="224">
        <v>6.4</v>
      </c>
      <c r="G15" s="224">
        <v>0.2</v>
      </c>
      <c r="H15" s="224">
        <v>31.3</v>
      </c>
      <c r="I15" s="224">
        <v>5.8</v>
      </c>
      <c r="J15" s="224">
        <v>0.3</v>
      </c>
      <c r="K15" s="103">
        <v>0</v>
      </c>
      <c r="L15" s="224">
        <v>0.1</v>
      </c>
      <c r="M15" s="224">
        <v>1.3</v>
      </c>
      <c r="N15" s="224">
        <v>0</v>
      </c>
      <c r="O15" s="224">
        <v>2.8</v>
      </c>
      <c r="P15" s="224">
        <v>4.5</v>
      </c>
      <c r="Q15" s="224">
        <v>3.4</v>
      </c>
      <c r="R15" s="224">
        <v>0.2</v>
      </c>
      <c r="S15" s="224">
        <v>-4.5</v>
      </c>
      <c r="T15" s="111"/>
    </row>
    <row r="16" spans="1:20" x14ac:dyDescent="0.2">
      <c r="B16" s="225">
        <v>41820</v>
      </c>
      <c r="C16" s="224">
        <v>3.5</v>
      </c>
      <c r="D16" s="224">
        <v>46.3</v>
      </c>
      <c r="E16" s="104">
        <v>0.1</v>
      </c>
      <c r="F16" s="224">
        <v>8</v>
      </c>
      <c r="G16" s="224">
        <v>0.5</v>
      </c>
      <c r="H16" s="224">
        <v>28.9</v>
      </c>
      <c r="I16" s="224">
        <v>4.8</v>
      </c>
      <c r="J16" s="224">
        <v>0.3</v>
      </c>
      <c r="K16" s="103">
        <v>0</v>
      </c>
      <c r="L16" s="224">
        <v>0.1</v>
      </c>
      <c r="M16" s="224">
        <v>1.1000000000000001</v>
      </c>
      <c r="N16" s="224">
        <v>0</v>
      </c>
      <c r="O16" s="224">
        <v>2.8</v>
      </c>
      <c r="P16" s="224">
        <v>4.4000000000000004</v>
      </c>
      <c r="Q16" s="224">
        <v>3.5</v>
      </c>
      <c r="R16" s="224">
        <v>0.3</v>
      </c>
      <c r="S16" s="224">
        <v>-4.5</v>
      </c>
      <c r="T16" s="111"/>
    </row>
    <row r="17" spans="1:20" x14ac:dyDescent="0.2">
      <c r="B17" s="225">
        <v>42185</v>
      </c>
      <c r="C17" s="224">
        <v>3.3</v>
      </c>
      <c r="D17" s="224">
        <v>46.7</v>
      </c>
      <c r="E17" s="104">
        <v>0.1</v>
      </c>
      <c r="F17" s="224">
        <v>8.1</v>
      </c>
      <c r="G17" s="224">
        <v>0.3</v>
      </c>
      <c r="H17" s="224">
        <v>28.8</v>
      </c>
      <c r="I17" s="224">
        <v>4.0999999999999996</v>
      </c>
      <c r="J17" s="224">
        <v>0.4</v>
      </c>
      <c r="K17" s="103">
        <v>0</v>
      </c>
      <c r="L17" s="224">
        <v>0.1</v>
      </c>
      <c r="M17" s="224">
        <v>1</v>
      </c>
      <c r="N17" s="224">
        <v>0</v>
      </c>
      <c r="O17" s="224">
        <v>3</v>
      </c>
      <c r="P17" s="224">
        <v>4.7</v>
      </c>
      <c r="Q17" s="224">
        <v>3.6</v>
      </c>
      <c r="R17" s="224">
        <v>0.2</v>
      </c>
      <c r="S17" s="224">
        <v>-4.3</v>
      </c>
      <c r="T17" s="111"/>
    </row>
    <row r="18" spans="1:20" x14ac:dyDescent="0.2">
      <c r="B18" s="225">
        <v>42551</v>
      </c>
      <c r="C18" s="224">
        <v>2.6</v>
      </c>
      <c r="D18" s="224">
        <v>47.5</v>
      </c>
      <c r="E18" s="104">
        <v>0.1</v>
      </c>
      <c r="F18" s="224">
        <v>7.6</v>
      </c>
      <c r="G18" s="224">
        <v>0.2</v>
      </c>
      <c r="H18" s="224">
        <v>29</v>
      </c>
      <c r="I18" s="224">
        <v>4.0999999999999996</v>
      </c>
      <c r="J18" s="224">
        <v>0.4</v>
      </c>
      <c r="K18" s="103">
        <v>0</v>
      </c>
      <c r="L18" s="224">
        <v>0.1</v>
      </c>
      <c r="M18" s="224">
        <v>1.1000000000000001</v>
      </c>
      <c r="N18" s="224">
        <v>0</v>
      </c>
      <c r="O18" s="224">
        <v>3.1</v>
      </c>
      <c r="P18" s="224">
        <v>4.5</v>
      </c>
      <c r="Q18" s="224">
        <v>3.6</v>
      </c>
      <c r="R18" s="224">
        <v>0.2</v>
      </c>
      <c r="S18" s="224">
        <v>-4</v>
      </c>
      <c r="T18" s="111"/>
    </row>
    <row r="19" spans="1:20" x14ac:dyDescent="0.2">
      <c r="B19" s="225">
        <v>42916</v>
      </c>
      <c r="C19" s="224">
        <v>2.8</v>
      </c>
      <c r="D19" s="224">
        <v>48.6</v>
      </c>
      <c r="E19" s="104">
        <v>0.1</v>
      </c>
      <c r="F19" s="224">
        <v>8.1</v>
      </c>
      <c r="G19" s="224">
        <v>0.3</v>
      </c>
      <c r="H19" s="224">
        <v>28.7</v>
      </c>
      <c r="I19" s="224">
        <v>3.9</v>
      </c>
      <c r="J19" s="224">
        <v>0.3</v>
      </c>
      <c r="K19" s="103">
        <v>0</v>
      </c>
      <c r="L19" s="224">
        <v>0.1</v>
      </c>
      <c r="M19" s="224">
        <v>1.1000000000000001</v>
      </c>
      <c r="N19" s="224">
        <v>0</v>
      </c>
      <c r="O19" s="224">
        <v>3.1</v>
      </c>
      <c r="P19" s="224">
        <v>3.4</v>
      </c>
      <c r="Q19" s="224">
        <v>3.7</v>
      </c>
      <c r="R19" s="224">
        <v>0.3</v>
      </c>
      <c r="S19" s="224">
        <v>-4.3</v>
      </c>
      <c r="T19" s="111"/>
    </row>
    <row r="20" spans="1:20" x14ac:dyDescent="0.2">
      <c r="B20" s="225">
        <v>43281</v>
      </c>
      <c r="C20" s="224">
        <v>3.3</v>
      </c>
      <c r="D20" s="224">
        <v>46.6</v>
      </c>
      <c r="E20" s="104">
        <v>0.1</v>
      </c>
      <c r="F20" s="224">
        <v>8.1999999999999993</v>
      </c>
      <c r="G20" s="224">
        <v>0.4</v>
      </c>
      <c r="H20" s="224">
        <v>29.5</v>
      </c>
      <c r="I20" s="224">
        <v>4.4000000000000004</v>
      </c>
      <c r="J20" s="224">
        <v>0.3</v>
      </c>
      <c r="K20" s="103">
        <v>0</v>
      </c>
      <c r="L20" s="224">
        <v>0.1</v>
      </c>
      <c r="M20" s="224">
        <v>1.2</v>
      </c>
      <c r="N20" s="224">
        <v>0.1</v>
      </c>
      <c r="O20" s="224">
        <v>3.1</v>
      </c>
      <c r="P20" s="224">
        <v>3.1</v>
      </c>
      <c r="Q20" s="224">
        <v>4</v>
      </c>
      <c r="R20" s="224">
        <v>0.3</v>
      </c>
      <c r="S20" s="224">
        <v>-4.4000000000000004</v>
      </c>
      <c r="T20" s="111"/>
    </row>
    <row r="21" spans="1:20" x14ac:dyDescent="0.2">
      <c r="B21" s="225">
        <v>43646</v>
      </c>
      <c r="C21" s="224">
        <v>3.3</v>
      </c>
      <c r="D21" s="224">
        <v>47.2</v>
      </c>
      <c r="E21" s="104">
        <v>0.1</v>
      </c>
      <c r="F21" s="224">
        <v>10.3</v>
      </c>
      <c r="G21" s="224">
        <v>0.3</v>
      </c>
      <c r="H21" s="224">
        <v>27.7</v>
      </c>
      <c r="I21" s="224">
        <v>3.6</v>
      </c>
      <c r="J21" s="224">
        <v>0.1</v>
      </c>
      <c r="K21" s="103">
        <v>0</v>
      </c>
      <c r="L21" s="224">
        <v>0.1</v>
      </c>
      <c r="M21" s="224">
        <v>1.3</v>
      </c>
      <c r="N21" s="224">
        <v>0</v>
      </c>
      <c r="O21" s="224">
        <v>2.8</v>
      </c>
      <c r="P21" s="224">
        <v>3.7</v>
      </c>
      <c r="Q21" s="224">
        <v>4.0999999999999996</v>
      </c>
      <c r="R21" s="224">
        <v>0.3</v>
      </c>
      <c r="S21" s="224">
        <v>-4.8</v>
      </c>
      <c r="T21" s="111"/>
    </row>
    <row r="22" spans="1:20" x14ac:dyDescent="0.2">
      <c r="B22" s="225">
        <v>44012</v>
      </c>
      <c r="C22" s="224">
        <v>2.8</v>
      </c>
      <c r="D22" s="224">
        <v>50.7</v>
      </c>
      <c r="E22" s="104">
        <v>0.1</v>
      </c>
      <c r="F22" s="224">
        <v>4.7</v>
      </c>
      <c r="G22" s="224">
        <v>0.4</v>
      </c>
      <c r="H22" s="224">
        <v>27.7</v>
      </c>
      <c r="I22" s="224">
        <v>4.5999999999999996</v>
      </c>
      <c r="J22" s="224">
        <v>0</v>
      </c>
      <c r="K22" s="103">
        <v>0</v>
      </c>
      <c r="L22" s="224">
        <v>0.1</v>
      </c>
      <c r="M22" s="224">
        <v>1.6</v>
      </c>
      <c r="N22" s="224">
        <v>-0.1</v>
      </c>
      <c r="O22" s="224">
        <v>3.2</v>
      </c>
      <c r="P22" s="224">
        <v>4.9000000000000004</v>
      </c>
      <c r="Q22" s="224">
        <v>4.2</v>
      </c>
      <c r="R22" s="224">
        <v>0.4</v>
      </c>
      <c r="S22" s="224">
        <v>-5.2</v>
      </c>
      <c r="T22" s="111"/>
    </row>
    <row r="23" spans="1:20" x14ac:dyDescent="0.2">
      <c r="B23" s="225">
        <v>44377</v>
      </c>
      <c r="C23" s="224">
        <v>2.9</v>
      </c>
      <c r="D23" s="224">
        <v>51.2</v>
      </c>
      <c r="E23" s="104">
        <v>0.1</v>
      </c>
      <c r="F23" s="224">
        <v>7.8</v>
      </c>
      <c r="G23" s="224">
        <v>0.2</v>
      </c>
      <c r="H23" s="224">
        <v>24.9</v>
      </c>
      <c r="I23" s="224">
        <v>5.6</v>
      </c>
      <c r="J23" s="224">
        <v>0</v>
      </c>
      <c r="K23" s="103">
        <v>0</v>
      </c>
      <c r="L23" s="224">
        <v>0.1</v>
      </c>
      <c r="M23" s="224">
        <v>1.6</v>
      </c>
      <c r="N23" s="224">
        <v>-0.1</v>
      </c>
      <c r="O23" s="224">
        <v>3</v>
      </c>
      <c r="P23" s="224">
        <v>4.3</v>
      </c>
      <c r="Q23" s="224">
        <v>3.9</v>
      </c>
      <c r="R23" s="224">
        <v>0.4</v>
      </c>
      <c r="S23" s="224">
        <v>-5.8</v>
      </c>
      <c r="T23" s="111"/>
    </row>
    <row r="24" spans="1:20" x14ac:dyDescent="0.2">
      <c r="B24" s="225">
        <v>44742</v>
      </c>
      <c r="C24" s="224">
        <v>2.7</v>
      </c>
      <c r="D24" s="224">
        <v>46.1</v>
      </c>
      <c r="E24" s="104">
        <v>0.1</v>
      </c>
      <c r="F24" s="224">
        <v>11.4</v>
      </c>
      <c r="G24" s="224">
        <v>0.3</v>
      </c>
      <c r="H24" s="224">
        <v>26.2</v>
      </c>
      <c r="I24" s="224">
        <v>5.4</v>
      </c>
      <c r="J24" s="224">
        <v>0</v>
      </c>
      <c r="K24" s="103">
        <v>0</v>
      </c>
      <c r="L24" s="224">
        <v>0</v>
      </c>
      <c r="M24" s="224">
        <v>1.6</v>
      </c>
      <c r="N24" s="224">
        <v>0</v>
      </c>
      <c r="O24" s="224">
        <v>2.9</v>
      </c>
      <c r="P24" s="224">
        <v>4.0999999999999996</v>
      </c>
      <c r="Q24" s="224">
        <v>3.5</v>
      </c>
      <c r="R24" s="224">
        <v>0.4</v>
      </c>
      <c r="S24" s="224">
        <v>-4.5999999999999996</v>
      </c>
      <c r="T24" s="111"/>
    </row>
    <row r="25" spans="1:20" x14ac:dyDescent="0.2">
      <c r="B25" s="110"/>
      <c r="C25" s="103"/>
      <c r="D25" s="103"/>
      <c r="E25" s="104"/>
      <c r="F25" s="103"/>
      <c r="G25" s="103"/>
      <c r="H25" s="103"/>
      <c r="I25" s="103"/>
      <c r="J25" s="103"/>
      <c r="K25" s="103"/>
      <c r="L25" s="104"/>
      <c r="M25" s="104"/>
      <c r="N25" s="104"/>
      <c r="O25" s="103"/>
      <c r="P25" s="103"/>
      <c r="Q25" s="104"/>
      <c r="R25" s="104"/>
      <c r="S25" s="103"/>
      <c r="T25" s="111"/>
    </row>
    <row r="26" spans="1:20" x14ac:dyDescent="0.2">
      <c r="B26" s="110"/>
      <c r="C26" s="103"/>
      <c r="D26" s="103"/>
      <c r="E26" s="104"/>
      <c r="F26" s="103"/>
      <c r="G26" s="103"/>
      <c r="H26" s="103"/>
      <c r="I26" s="103"/>
      <c r="J26" s="103"/>
      <c r="K26" s="103"/>
      <c r="L26" s="104"/>
      <c r="M26" s="104"/>
      <c r="N26" s="104"/>
      <c r="O26" s="103"/>
      <c r="P26" s="103"/>
      <c r="Q26" s="104"/>
      <c r="R26" s="104"/>
      <c r="S26" s="103"/>
      <c r="T26" s="111"/>
    </row>
    <row r="27" spans="1:20" x14ac:dyDescent="0.2">
      <c r="B27" s="110"/>
      <c r="C27" s="103"/>
      <c r="D27" s="103"/>
      <c r="E27" s="104"/>
      <c r="F27" s="103"/>
      <c r="G27" s="103"/>
      <c r="H27" s="103"/>
      <c r="I27" s="103"/>
      <c r="J27" s="103"/>
      <c r="K27" s="103"/>
      <c r="L27" s="104"/>
      <c r="M27" s="104"/>
      <c r="N27" s="104"/>
      <c r="O27" s="103"/>
      <c r="P27" s="103"/>
      <c r="Q27" s="104"/>
      <c r="R27" s="104"/>
      <c r="S27" s="103"/>
      <c r="T27" s="111"/>
    </row>
    <row r="28" spans="1:20" x14ac:dyDescent="0.2">
      <c r="B28" s="110"/>
      <c r="C28" s="103"/>
      <c r="D28" s="103"/>
      <c r="E28" s="104"/>
      <c r="F28" s="103"/>
      <c r="G28" s="103"/>
      <c r="H28" s="103"/>
      <c r="I28" s="103"/>
      <c r="J28" s="103"/>
      <c r="K28" s="103"/>
      <c r="L28" s="104"/>
      <c r="M28" s="104"/>
      <c r="N28" s="104"/>
      <c r="O28" s="103"/>
      <c r="P28" s="103"/>
      <c r="Q28" s="104"/>
      <c r="R28" s="104"/>
      <c r="S28" s="103"/>
      <c r="T28" s="111"/>
    </row>
    <row r="29" spans="1:20" x14ac:dyDescent="0.2">
      <c r="B29" s="110"/>
      <c r="C29" s="103"/>
      <c r="D29" s="103"/>
      <c r="E29" s="104"/>
      <c r="F29" s="103"/>
      <c r="G29" s="103"/>
      <c r="H29" s="103"/>
      <c r="I29" s="103"/>
      <c r="J29" s="103"/>
      <c r="K29" s="103"/>
      <c r="L29" s="104"/>
      <c r="M29" s="104"/>
      <c r="N29" s="104"/>
      <c r="O29" s="103"/>
      <c r="P29" s="103"/>
      <c r="Q29" s="104"/>
      <c r="R29" s="104"/>
      <c r="S29" s="103"/>
      <c r="T29" s="111"/>
    </row>
    <row r="30" spans="1:20" x14ac:dyDescent="0.2">
      <c r="B30" s="222" t="s">
        <v>527</v>
      </c>
      <c r="C30" s="113">
        <f>AVERAGE(C5:C9)</f>
        <v>2.7600000000000002</v>
      </c>
      <c r="D30" s="103">
        <f t="shared" ref="D30:S30" si="1">AVERAGE(D5:D9)</f>
        <v>46.160000000000004</v>
      </c>
      <c r="E30" s="104">
        <f t="shared" si="1"/>
        <v>0.25000000000000006</v>
      </c>
      <c r="F30" s="103">
        <f t="shared" si="1"/>
        <v>5.42</v>
      </c>
      <c r="G30" s="103">
        <f t="shared" si="1"/>
        <v>0.62</v>
      </c>
      <c r="H30" s="103">
        <f t="shared" si="1"/>
        <v>28.24</v>
      </c>
      <c r="I30" s="103">
        <f t="shared" si="1"/>
        <v>7.0400000000000009</v>
      </c>
      <c r="J30" s="103">
        <f t="shared" si="1"/>
        <v>0.92000000000000015</v>
      </c>
      <c r="K30" s="103"/>
      <c r="L30" s="104">
        <f t="shared" si="1"/>
        <v>0.08</v>
      </c>
      <c r="M30" s="104">
        <f t="shared" si="1"/>
        <v>1.04</v>
      </c>
      <c r="N30" s="104">
        <f t="shared" si="1"/>
        <v>0</v>
      </c>
      <c r="O30" s="103">
        <f t="shared" si="1"/>
        <v>3.0200000000000005</v>
      </c>
      <c r="P30" s="103">
        <f t="shared" si="1"/>
        <v>5.6400000000000006</v>
      </c>
      <c r="Q30" s="104">
        <f t="shared" si="1"/>
        <v>3.8</v>
      </c>
      <c r="R30" s="104">
        <f t="shared" si="1"/>
        <v>0.13999999999999999</v>
      </c>
      <c r="S30" s="103">
        <f t="shared" si="1"/>
        <v>-5.08</v>
      </c>
      <c r="T30" s="114">
        <f>E30+L30+M30+N30+Q30+R30</f>
        <v>5.31</v>
      </c>
    </row>
    <row r="31" spans="1:20" x14ac:dyDescent="0.2">
      <c r="A31" s="100">
        <v>1</v>
      </c>
      <c r="B31" s="222" t="s">
        <v>166</v>
      </c>
      <c r="C31" s="113">
        <f>AVERAGE(C10:C14)</f>
        <v>3.46</v>
      </c>
      <c r="D31" s="113">
        <f t="shared" ref="D31:S31" si="2">AVERAGE(D10:D14)</f>
        <v>46.14</v>
      </c>
      <c r="E31" s="113">
        <f>AVERAGE(E10:E14)</f>
        <v>0.1</v>
      </c>
      <c r="F31" s="113">
        <f t="shared" si="2"/>
        <v>5.66</v>
      </c>
      <c r="G31" s="113">
        <f t="shared" si="2"/>
        <v>0.38</v>
      </c>
      <c r="H31" s="113">
        <f t="shared" si="2"/>
        <v>29.7</v>
      </c>
      <c r="I31" s="113">
        <f t="shared" si="2"/>
        <v>5.9399999999999995</v>
      </c>
      <c r="J31" s="113">
        <f t="shared" si="2"/>
        <v>0.76</v>
      </c>
      <c r="K31" s="113">
        <f t="shared" si="2"/>
        <v>0</v>
      </c>
      <c r="L31" s="113">
        <f t="shared" si="2"/>
        <v>0.08</v>
      </c>
      <c r="M31" s="113">
        <f t="shared" si="2"/>
        <v>1.1400000000000001</v>
      </c>
      <c r="N31" s="113">
        <f t="shared" si="2"/>
        <v>0.04</v>
      </c>
      <c r="O31" s="113">
        <f t="shared" si="2"/>
        <v>3.1</v>
      </c>
      <c r="P31" s="113">
        <f t="shared" si="2"/>
        <v>4.9799999999999995</v>
      </c>
      <c r="Q31" s="113">
        <f t="shared" si="2"/>
        <v>3.4200000000000004</v>
      </c>
      <c r="R31" s="113">
        <f t="shared" si="2"/>
        <v>0.18000000000000002</v>
      </c>
      <c r="S31" s="113">
        <f t="shared" si="2"/>
        <v>-4.9000000000000004</v>
      </c>
      <c r="T31" s="113"/>
    </row>
    <row r="32" spans="1:20" x14ac:dyDescent="0.2">
      <c r="B32" s="223">
        <v>2015</v>
      </c>
      <c r="C32" s="113">
        <f>AVERAGE(C15:C19)</f>
        <v>3.1</v>
      </c>
      <c r="D32" s="113">
        <f>AVERAGE(D15:D19)</f>
        <v>46.82</v>
      </c>
      <c r="E32" s="113">
        <f t="shared" ref="E32" si="3">AVERAGE(E15:E19)</f>
        <v>0.1</v>
      </c>
      <c r="F32" s="113">
        <f t="shared" ref="F32:S32" si="4">AVERAGE(F15:F19)</f>
        <v>7.6400000000000006</v>
      </c>
      <c r="G32" s="113">
        <f t="shared" si="4"/>
        <v>0.3</v>
      </c>
      <c r="H32" s="113">
        <f t="shared" si="4"/>
        <v>29.339999999999996</v>
      </c>
      <c r="I32" s="113">
        <f t="shared" si="4"/>
        <v>4.5399999999999991</v>
      </c>
      <c r="J32" s="113">
        <f t="shared" si="4"/>
        <v>0.33999999999999997</v>
      </c>
      <c r="K32" s="113">
        <f t="shared" si="4"/>
        <v>0</v>
      </c>
      <c r="L32" s="113">
        <f t="shared" si="4"/>
        <v>0.1</v>
      </c>
      <c r="M32" s="113">
        <f t="shared" si="4"/>
        <v>1.1199999999999999</v>
      </c>
      <c r="N32" s="113">
        <f t="shared" si="4"/>
        <v>0</v>
      </c>
      <c r="O32" s="113">
        <f t="shared" si="4"/>
        <v>2.96</v>
      </c>
      <c r="P32" s="113">
        <f t="shared" si="4"/>
        <v>4.3</v>
      </c>
      <c r="Q32" s="113">
        <f t="shared" si="4"/>
        <v>3.56</v>
      </c>
      <c r="R32" s="113">
        <f t="shared" si="4"/>
        <v>0.24</v>
      </c>
      <c r="S32" s="113">
        <f t="shared" si="4"/>
        <v>-4.32</v>
      </c>
      <c r="T32" s="113"/>
    </row>
    <row r="33" spans="1:20" x14ac:dyDescent="0.2">
      <c r="B33" s="223">
        <v>2020</v>
      </c>
      <c r="C33" s="113">
        <f>AVERAGE(C20:C24)</f>
        <v>3</v>
      </c>
      <c r="D33" s="113">
        <f>AVERAGE(D20:D24)</f>
        <v>48.36</v>
      </c>
      <c r="E33" s="113">
        <f>AVERAGE(E20:E24)</f>
        <v>0.1</v>
      </c>
      <c r="F33" s="113">
        <f t="shared" ref="F33:S33" si="5">AVERAGE(F20:F24)</f>
        <v>8.48</v>
      </c>
      <c r="G33" s="113">
        <f t="shared" si="5"/>
        <v>0.32</v>
      </c>
      <c r="H33" s="113">
        <f t="shared" si="5"/>
        <v>27.2</v>
      </c>
      <c r="I33" s="113">
        <f t="shared" si="5"/>
        <v>4.7200000000000006</v>
      </c>
      <c r="J33" s="113">
        <f t="shared" si="5"/>
        <v>0.08</v>
      </c>
      <c r="K33" s="113">
        <f t="shared" si="5"/>
        <v>0</v>
      </c>
      <c r="L33" s="113">
        <f t="shared" si="5"/>
        <v>0.08</v>
      </c>
      <c r="M33" s="113">
        <f t="shared" si="5"/>
        <v>1.4599999999999997</v>
      </c>
      <c r="N33" s="113">
        <f t="shared" si="5"/>
        <v>-0.02</v>
      </c>
      <c r="O33" s="113">
        <f t="shared" si="5"/>
        <v>3.0000000000000004</v>
      </c>
      <c r="P33" s="113">
        <f t="shared" si="5"/>
        <v>4.0200000000000005</v>
      </c>
      <c r="Q33" s="113">
        <f t="shared" si="5"/>
        <v>3.94</v>
      </c>
      <c r="R33" s="113">
        <f t="shared" si="5"/>
        <v>0.36</v>
      </c>
      <c r="S33" s="113">
        <f t="shared" si="5"/>
        <v>-4.9599999999999991</v>
      </c>
      <c r="T33" s="113"/>
    </row>
    <row r="34" spans="1:20" x14ac:dyDescent="0.2">
      <c r="B34" s="101" t="s">
        <v>384</v>
      </c>
      <c r="C34" s="102" t="s">
        <v>528</v>
      </c>
      <c r="D34" s="103"/>
      <c r="E34" s="104"/>
      <c r="F34" s="103"/>
      <c r="G34" s="103"/>
      <c r="H34" s="103"/>
      <c r="I34" s="103"/>
      <c r="J34" s="103"/>
      <c r="K34" s="103"/>
      <c r="L34" s="104"/>
      <c r="M34" s="104"/>
      <c r="N34" s="104"/>
      <c r="O34" s="103"/>
      <c r="P34" s="103"/>
      <c r="Q34" s="104"/>
      <c r="R34" s="104"/>
      <c r="S34" s="103"/>
      <c r="T34" s="103"/>
    </row>
    <row r="35" spans="1:20" ht="25.5" x14ac:dyDescent="0.2">
      <c r="B35" s="105" t="s">
        <v>490</v>
      </c>
      <c r="C35" s="106" t="s">
        <v>529</v>
      </c>
      <c r="D35" s="106" t="s">
        <v>530</v>
      </c>
      <c r="E35" s="107" t="s">
        <v>531</v>
      </c>
      <c r="F35" s="106" t="s">
        <v>532</v>
      </c>
      <c r="G35" s="106" t="s">
        <v>533</v>
      </c>
      <c r="H35" s="106" t="s">
        <v>534</v>
      </c>
      <c r="I35" s="106" t="s">
        <v>535</v>
      </c>
      <c r="J35" s="106" t="s">
        <v>536</v>
      </c>
      <c r="K35" s="106" t="s">
        <v>537</v>
      </c>
      <c r="L35" s="107" t="s">
        <v>538</v>
      </c>
      <c r="M35" s="107" t="s">
        <v>539</v>
      </c>
      <c r="N35" s="107" t="s">
        <v>540</v>
      </c>
      <c r="O35" s="106" t="s">
        <v>541</v>
      </c>
      <c r="P35" s="106" t="s">
        <v>542</v>
      </c>
      <c r="Q35" s="107" t="s">
        <v>543</v>
      </c>
      <c r="R35" s="107" t="s">
        <v>544</v>
      </c>
      <c r="S35" s="106" t="s">
        <v>545</v>
      </c>
      <c r="T35" s="106"/>
    </row>
    <row r="36" spans="1:20" x14ac:dyDescent="0.2">
      <c r="B36" s="110">
        <v>37437</v>
      </c>
      <c r="C36" s="103">
        <v>3.5</v>
      </c>
      <c r="D36" s="103">
        <v>52</v>
      </c>
      <c r="E36" s="104">
        <v>0.1</v>
      </c>
      <c r="F36" s="103">
        <v>6.7</v>
      </c>
      <c r="G36" s="103">
        <v>0.3</v>
      </c>
      <c r="H36" s="103">
        <v>25.4</v>
      </c>
      <c r="I36" s="103">
        <v>1.8</v>
      </c>
      <c r="J36" s="103">
        <v>0.6</v>
      </c>
      <c r="K36" s="103">
        <v>0</v>
      </c>
      <c r="L36" s="104">
        <v>0.5</v>
      </c>
      <c r="M36" s="104">
        <v>0.5</v>
      </c>
      <c r="N36" s="104">
        <v>0.1</v>
      </c>
      <c r="O36" s="103">
        <v>4.0999999999999996</v>
      </c>
      <c r="P36" s="103">
        <v>5.3</v>
      </c>
      <c r="Q36" s="104">
        <v>4</v>
      </c>
      <c r="R36" s="104">
        <v>0.4</v>
      </c>
      <c r="S36" s="103">
        <v>-5.2</v>
      </c>
      <c r="T36" s="103"/>
    </row>
    <row r="37" spans="1:20" x14ac:dyDescent="0.2">
      <c r="B37" s="110">
        <v>37802</v>
      </c>
      <c r="C37" s="103">
        <v>3.3</v>
      </c>
      <c r="D37" s="103">
        <v>51.5</v>
      </c>
      <c r="E37" s="104">
        <v>0.1</v>
      </c>
      <c r="F37" s="103">
        <v>6.2</v>
      </c>
      <c r="G37" s="103">
        <v>0.3</v>
      </c>
      <c r="H37" s="103">
        <v>26</v>
      </c>
      <c r="I37" s="103">
        <v>1.7</v>
      </c>
      <c r="J37" s="103">
        <v>0.5</v>
      </c>
      <c r="K37" s="103">
        <v>0</v>
      </c>
      <c r="L37" s="104">
        <v>0.6</v>
      </c>
      <c r="M37" s="104">
        <v>0.5</v>
      </c>
      <c r="N37" s="104">
        <v>0.1</v>
      </c>
      <c r="O37" s="103">
        <v>4.2</v>
      </c>
      <c r="P37" s="103">
        <v>5.6</v>
      </c>
      <c r="Q37" s="104">
        <v>4.0999999999999996</v>
      </c>
      <c r="R37" s="104">
        <v>0.4</v>
      </c>
      <c r="S37" s="103">
        <v>-5.0999999999999996</v>
      </c>
      <c r="T37" s="103"/>
    </row>
    <row r="38" spans="1:20" x14ac:dyDescent="0.2">
      <c r="B38" s="110">
        <v>38168</v>
      </c>
      <c r="C38" s="103">
        <v>3.3</v>
      </c>
      <c r="D38" s="103">
        <v>51.6</v>
      </c>
      <c r="E38" s="104">
        <v>0.1</v>
      </c>
      <c r="F38" s="103">
        <v>6.4</v>
      </c>
      <c r="G38" s="103">
        <v>0.3</v>
      </c>
      <c r="H38" s="103">
        <v>25.7</v>
      </c>
      <c r="I38" s="103">
        <v>1.8</v>
      </c>
      <c r="J38" s="103">
        <v>0.8</v>
      </c>
      <c r="K38" s="103">
        <v>0.3</v>
      </c>
      <c r="L38" s="104">
        <v>0.1</v>
      </c>
      <c r="M38" s="104">
        <v>0.4</v>
      </c>
      <c r="N38" s="104">
        <v>0.1</v>
      </c>
      <c r="O38" s="103">
        <v>4.3</v>
      </c>
      <c r="P38" s="103">
        <v>5.7</v>
      </c>
      <c r="Q38" s="104">
        <v>4.0999999999999996</v>
      </c>
      <c r="R38" s="104">
        <v>0.4</v>
      </c>
      <c r="S38" s="103">
        <v>-5.4</v>
      </c>
      <c r="T38" s="103"/>
    </row>
    <row r="39" spans="1:20" x14ac:dyDescent="0.2">
      <c r="B39" s="110">
        <v>38533</v>
      </c>
      <c r="C39" s="103">
        <v>3.1</v>
      </c>
      <c r="D39" s="103">
        <v>50.4</v>
      </c>
      <c r="E39" s="104">
        <v>0.1</v>
      </c>
      <c r="F39" s="103">
        <v>6.5</v>
      </c>
      <c r="G39" s="103">
        <v>0.3</v>
      </c>
      <c r="H39" s="103">
        <v>27.1</v>
      </c>
      <c r="I39" s="103">
        <v>1.6</v>
      </c>
      <c r="J39" s="103">
        <v>0.8</v>
      </c>
      <c r="K39" s="103">
        <v>0.3</v>
      </c>
      <c r="L39" s="104">
        <v>0.2</v>
      </c>
      <c r="M39" s="104">
        <v>0.4</v>
      </c>
      <c r="N39" s="104">
        <v>0.1</v>
      </c>
      <c r="O39" s="103">
        <v>4.5</v>
      </c>
      <c r="P39" s="103">
        <v>5.7</v>
      </c>
      <c r="Q39" s="104">
        <v>4.0999999999999996</v>
      </c>
      <c r="R39" s="104">
        <v>0.5</v>
      </c>
      <c r="S39" s="103">
        <v>-5.8</v>
      </c>
      <c r="T39" s="103"/>
    </row>
    <row r="40" spans="1:20" x14ac:dyDescent="0.2">
      <c r="B40" s="110">
        <v>38898</v>
      </c>
      <c r="C40" s="103">
        <v>4</v>
      </c>
      <c r="D40" s="103">
        <v>49.4</v>
      </c>
      <c r="E40" s="104">
        <v>0.1</v>
      </c>
      <c r="F40" s="103">
        <v>6.2</v>
      </c>
      <c r="G40" s="103">
        <v>0.3</v>
      </c>
      <c r="H40" s="103">
        <v>27.3</v>
      </c>
      <c r="I40" s="103">
        <v>1.7</v>
      </c>
      <c r="J40" s="103">
        <v>0.9</v>
      </c>
      <c r="K40" s="103">
        <v>0.2</v>
      </c>
      <c r="L40" s="104">
        <v>0.2</v>
      </c>
      <c r="M40" s="104">
        <v>0.5</v>
      </c>
      <c r="N40" s="104">
        <v>0.1</v>
      </c>
      <c r="O40" s="103">
        <v>4.4000000000000004</v>
      </c>
      <c r="P40" s="103">
        <v>6.1</v>
      </c>
      <c r="Q40" s="104">
        <v>4.0999999999999996</v>
      </c>
      <c r="R40" s="104">
        <v>0.5</v>
      </c>
      <c r="S40" s="103">
        <v>-5.9</v>
      </c>
    </row>
    <row r="41" spans="1:20" x14ac:dyDescent="0.2">
      <c r="B41" s="110">
        <v>39263</v>
      </c>
      <c r="C41" s="103">
        <v>3.9</v>
      </c>
      <c r="D41" s="103">
        <v>49.8</v>
      </c>
      <c r="E41" s="104">
        <v>0.1</v>
      </c>
      <c r="F41" s="103">
        <v>6.1</v>
      </c>
      <c r="G41" s="103">
        <v>0.1</v>
      </c>
      <c r="H41" s="103">
        <v>28.2</v>
      </c>
      <c r="I41" s="103">
        <v>1.7</v>
      </c>
      <c r="J41" s="103">
        <v>0.9</v>
      </c>
      <c r="K41" s="103">
        <v>0.2</v>
      </c>
      <c r="L41" s="104">
        <v>0.1</v>
      </c>
      <c r="M41" s="104">
        <v>0.4</v>
      </c>
      <c r="N41" s="104">
        <v>0.1</v>
      </c>
      <c r="O41" s="103">
        <v>4.3</v>
      </c>
      <c r="P41" s="103">
        <v>5.3</v>
      </c>
      <c r="Q41" s="104">
        <v>4.2</v>
      </c>
      <c r="R41" s="104">
        <v>0.4</v>
      </c>
      <c r="S41" s="103">
        <v>-5.8</v>
      </c>
    </row>
    <row r="42" spans="1:20" x14ac:dyDescent="0.2">
      <c r="B42" s="110">
        <v>39629</v>
      </c>
      <c r="C42" s="103">
        <v>3.5</v>
      </c>
      <c r="D42" s="103">
        <v>48.5</v>
      </c>
      <c r="E42" s="104">
        <v>0.1</v>
      </c>
      <c r="F42" s="103">
        <v>6.3</v>
      </c>
      <c r="G42" s="103">
        <v>0</v>
      </c>
      <c r="H42" s="103">
        <v>30</v>
      </c>
      <c r="I42" s="103">
        <v>1.6</v>
      </c>
      <c r="J42" s="103">
        <v>0.8</v>
      </c>
      <c r="K42" s="103">
        <v>0.2</v>
      </c>
      <c r="L42" s="104">
        <v>0.1</v>
      </c>
      <c r="M42" s="104">
        <v>0.4</v>
      </c>
      <c r="N42" s="104">
        <v>0.1</v>
      </c>
      <c r="O42" s="103">
        <v>4.3</v>
      </c>
      <c r="P42" s="103">
        <v>5.3</v>
      </c>
      <c r="Q42" s="104">
        <v>4</v>
      </c>
      <c r="R42" s="104">
        <v>0.4</v>
      </c>
      <c r="S42" s="103">
        <v>-5.6</v>
      </c>
    </row>
    <row r="43" spans="1:20" x14ac:dyDescent="0.2">
      <c r="B43" s="110">
        <v>39994</v>
      </c>
      <c r="C43" s="103">
        <v>3.3</v>
      </c>
      <c r="D43" s="103">
        <v>51.6</v>
      </c>
      <c r="E43" s="104">
        <v>0.1</v>
      </c>
      <c r="F43" s="103">
        <v>6.5</v>
      </c>
      <c r="G43" s="103">
        <v>0</v>
      </c>
      <c r="H43" s="103">
        <v>28.1</v>
      </c>
      <c r="I43" s="103">
        <v>1.5</v>
      </c>
      <c r="J43" s="103">
        <v>0.7</v>
      </c>
      <c r="K43" s="103">
        <v>0.2</v>
      </c>
      <c r="L43" s="104">
        <v>0</v>
      </c>
      <c r="M43" s="104">
        <v>0.2</v>
      </c>
      <c r="N43" s="104">
        <v>0</v>
      </c>
      <c r="O43" s="103">
        <v>4.4000000000000004</v>
      </c>
      <c r="P43" s="103">
        <v>4.5999999999999996</v>
      </c>
      <c r="Q43" s="104">
        <v>4.0999999999999996</v>
      </c>
      <c r="R43" s="104">
        <v>0.4</v>
      </c>
      <c r="S43" s="103">
        <v>-5.7</v>
      </c>
    </row>
    <row r="44" spans="1:20" x14ac:dyDescent="0.2">
      <c r="B44" s="110">
        <v>40359</v>
      </c>
      <c r="C44" s="103">
        <v>3.4</v>
      </c>
      <c r="D44" s="103">
        <v>50.6</v>
      </c>
      <c r="E44" s="104">
        <v>0.1</v>
      </c>
      <c r="F44" s="103">
        <v>6.6</v>
      </c>
      <c r="G44" s="103">
        <v>0</v>
      </c>
      <c r="H44" s="103">
        <v>28.9</v>
      </c>
      <c r="I44" s="103">
        <v>1.3</v>
      </c>
      <c r="J44" s="103">
        <v>0.8</v>
      </c>
      <c r="K44" s="103">
        <v>0.3</v>
      </c>
      <c r="L44" s="104">
        <v>0</v>
      </c>
      <c r="M44" s="104">
        <v>0.2</v>
      </c>
      <c r="N44" s="104">
        <v>0.1</v>
      </c>
      <c r="O44" s="103">
        <v>4.3</v>
      </c>
      <c r="P44" s="103">
        <v>5</v>
      </c>
      <c r="Q44" s="104">
        <v>3.8</v>
      </c>
      <c r="R44" s="104">
        <v>0.4</v>
      </c>
      <c r="S44" s="103">
        <v>-5.9</v>
      </c>
    </row>
    <row r="45" spans="1:20" x14ac:dyDescent="0.2">
      <c r="B45" s="110">
        <v>40724</v>
      </c>
      <c r="C45" s="103">
        <v>3.3</v>
      </c>
      <c r="D45" s="103">
        <v>50.6</v>
      </c>
      <c r="E45" s="104">
        <v>0.1</v>
      </c>
      <c r="F45" s="103">
        <v>6.8</v>
      </c>
      <c r="G45" s="103">
        <v>0.1</v>
      </c>
      <c r="H45" s="103">
        <v>29</v>
      </c>
      <c r="I45" s="103">
        <v>1.4</v>
      </c>
      <c r="J45" s="103">
        <v>0.8</v>
      </c>
      <c r="K45" s="103">
        <v>0.3</v>
      </c>
      <c r="L45" s="104">
        <v>0</v>
      </c>
      <c r="M45" s="104">
        <v>0.2</v>
      </c>
      <c r="N45" s="104">
        <v>0</v>
      </c>
      <c r="O45" s="103">
        <v>4.4000000000000004</v>
      </c>
      <c r="P45" s="103">
        <v>4.9000000000000004</v>
      </c>
      <c r="Q45" s="104">
        <v>3.8</v>
      </c>
      <c r="R45" s="104">
        <v>0.4</v>
      </c>
      <c r="S45" s="103">
        <v>-5.9</v>
      </c>
    </row>
    <row r="47" spans="1:20" x14ac:dyDescent="0.2">
      <c r="B47" s="112" t="s">
        <v>527</v>
      </c>
      <c r="C47" s="113">
        <f>AVERAGE(C37:C41)</f>
        <v>3.5199999999999996</v>
      </c>
      <c r="D47" s="103">
        <f t="shared" ref="D47:S47" si="6">AVERAGE(D37:D41)</f>
        <v>50.54</v>
      </c>
      <c r="E47" s="104">
        <f t="shared" si="6"/>
        <v>0.1</v>
      </c>
      <c r="F47" s="103">
        <f t="shared" si="6"/>
        <v>6.2799999999999994</v>
      </c>
      <c r="G47" s="103">
        <f t="shared" si="6"/>
        <v>0.26</v>
      </c>
      <c r="H47" s="103">
        <f t="shared" si="6"/>
        <v>26.860000000000003</v>
      </c>
      <c r="I47" s="103">
        <f t="shared" si="6"/>
        <v>1.7</v>
      </c>
      <c r="J47" s="103">
        <f t="shared" si="6"/>
        <v>0.78</v>
      </c>
      <c r="K47" s="103">
        <f t="shared" si="6"/>
        <v>0.2</v>
      </c>
      <c r="L47" s="104">
        <f t="shared" si="6"/>
        <v>0.24</v>
      </c>
      <c r="M47" s="104">
        <f t="shared" si="6"/>
        <v>0.44000000000000006</v>
      </c>
      <c r="N47" s="104">
        <f t="shared" si="6"/>
        <v>0.1</v>
      </c>
      <c r="O47" s="103">
        <f t="shared" si="6"/>
        <v>4.34</v>
      </c>
      <c r="P47" s="103">
        <f t="shared" si="6"/>
        <v>5.6800000000000006</v>
      </c>
      <c r="Q47" s="104">
        <f t="shared" si="6"/>
        <v>4.1199999999999992</v>
      </c>
      <c r="R47" s="104">
        <f t="shared" si="6"/>
        <v>0.44000000000000006</v>
      </c>
      <c r="S47" s="103">
        <f t="shared" si="6"/>
        <v>-5.6000000000000005</v>
      </c>
      <c r="T47" s="114">
        <f>E47+L47+M47+N47+Q47+R47</f>
        <v>5.4399999999999995</v>
      </c>
    </row>
    <row r="48" spans="1:20" x14ac:dyDescent="0.2">
      <c r="A48" s="100">
        <v>2</v>
      </c>
      <c r="B48" s="112" t="s">
        <v>166</v>
      </c>
      <c r="C48" s="113">
        <f>AVERAGE(C42:C45)</f>
        <v>3.375</v>
      </c>
      <c r="D48" s="113">
        <f t="shared" ref="D48:S48" si="7">AVERAGE(D42:D45)</f>
        <v>50.324999999999996</v>
      </c>
      <c r="E48" s="115">
        <f t="shared" si="7"/>
        <v>0.1</v>
      </c>
      <c r="F48" s="113">
        <f t="shared" si="7"/>
        <v>6.55</v>
      </c>
      <c r="G48" s="113">
        <f t="shared" si="7"/>
        <v>2.5000000000000001E-2</v>
      </c>
      <c r="H48" s="113">
        <f t="shared" si="7"/>
        <v>29</v>
      </c>
      <c r="I48" s="113">
        <f t="shared" si="7"/>
        <v>1.4500000000000002</v>
      </c>
      <c r="J48" s="113">
        <f t="shared" si="7"/>
        <v>0.77499999999999991</v>
      </c>
      <c r="K48" s="113">
        <f t="shared" si="7"/>
        <v>0.25</v>
      </c>
      <c r="L48" s="115">
        <f t="shared" si="7"/>
        <v>2.5000000000000001E-2</v>
      </c>
      <c r="M48" s="115">
        <f t="shared" si="7"/>
        <v>0.25</v>
      </c>
      <c r="N48" s="115">
        <f t="shared" si="7"/>
        <v>0.05</v>
      </c>
      <c r="O48" s="113">
        <f t="shared" si="7"/>
        <v>4.3499999999999996</v>
      </c>
      <c r="P48" s="113">
        <f t="shared" si="7"/>
        <v>4.9499999999999993</v>
      </c>
      <c r="Q48" s="115">
        <f t="shared" si="7"/>
        <v>3.9249999999999998</v>
      </c>
      <c r="R48" s="115">
        <f t="shared" si="7"/>
        <v>0.4</v>
      </c>
      <c r="S48" s="113">
        <f t="shared" si="7"/>
        <v>-5.7750000000000004</v>
      </c>
      <c r="T48" s="114">
        <f>E48+L48+M48+N48+Q48+R48</f>
        <v>4.75</v>
      </c>
    </row>
    <row r="51" spans="2:20" x14ac:dyDescent="0.2">
      <c r="B51" s="101" t="s">
        <v>384</v>
      </c>
      <c r="C51" s="102" t="s">
        <v>546</v>
      </c>
      <c r="D51" s="103"/>
      <c r="E51" s="104"/>
      <c r="F51" s="103"/>
      <c r="G51" s="103"/>
      <c r="H51" s="103"/>
      <c r="I51" s="103"/>
      <c r="J51" s="103"/>
      <c r="K51" s="103"/>
      <c r="L51" s="104"/>
      <c r="M51" s="104"/>
      <c r="N51" s="104"/>
      <c r="O51" s="103"/>
      <c r="P51" s="103"/>
      <c r="Q51" s="104"/>
      <c r="R51" s="104"/>
      <c r="S51" s="103"/>
      <c r="T51" s="103"/>
    </row>
    <row r="52" spans="2:20" ht="25.5" x14ac:dyDescent="0.2">
      <c r="B52" s="105" t="s">
        <v>490</v>
      </c>
      <c r="C52" s="106" t="s">
        <v>547</v>
      </c>
      <c r="D52" s="106" t="s">
        <v>548</v>
      </c>
      <c r="E52" s="107" t="s">
        <v>549</v>
      </c>
      <c r="F52" s="106" t="s">
        <v>550</v>
      </c>
      <c r="G52" s="106" t="s">
        <v>551</v>
      </c>
      <c r="H52" s="106" t="s">
        <v>552</v>
      </c>
      <c r="I52" s="106" t="s">
        <v>553</v>
      </c>
      <c r="J52" s="106" t="s">
        <v>554</v>
      </c>
      <c r="K52" s="106" t="s">
        <v>555</v>
      </c>
      <c r="L52" s="107" t="s">
        <v>556</v>
      </c>
      <c r="M52" s="107" t="s">
        <v>557</v>
      </c>
      <c r="N52" s="107" t="s">
        <v>558</v>
      </c>
      <c r="O52" s="106" t="s">
        <v>559</v>
      </c>
      <c r="P52" s="106" t="s">
        <v>560</v>
      </c>
      <c r="Q52" s="107" t="s">
        <v>561</v>
      </c>
      <c r="R52" s="107" t="s">
        <v>562</v>
      </c>
      <c r="S52" s="106" t="s">
        <v>563</v>
      </c>
      <c r="T52" s="106"/>
    </row>
    <row r="53" spans="2:20" x14ac:dyDescent="0.2">
      <c r="B53" s="110">
        <v>37437</v>
      </c>
      <c r="C53" s="103">
        <v>5.8</v>
      </c>
      <c r="D53" s="103">
        <v>45.4</v>
      </c>
      <c r="E53" s="104">
        <v>0.1</v>
      </c>
      <c r="F53" s="103">
        <v>10.3</v>
      </c>
      <c r="G53" s="103">
        <v>0.4</v>
      </c>
      <c r="H53" s="103">
        <v>22.3</v>
      </c>
      <c r="I53" s="103">
        <v>3.7</v>
      </c>
      <c r="J53" s="103">
        <v>2.7</v>
      </c>
      <c r="K53" s="103">
        <v>1.9</v>
      </c>
      <c r="L53" s="104">
        <v>0.4</v>
      </c>
      <c r="M53" s="104">
        <v>1.6</v>
      </c>
      <c r="N53" s="104">
        <v>0.1</v>
      </c>
      <c r="O53" s="103">
        <v>5.7</v>
      </c>
      <c r="P53" s="103">
        <v>1.6</v>
      </c>
      <c r="Q53" s="104">
        <v>4.2</v>
      </c>
      <c r="R53" s="104">
        <v>0.5</v>
      </c>
      <c r="S53" s="103">
        <v>-6.9</v>
      </c>
      <c r="T53" s="103"/>
    </row>
    <row r="54" spans="2:20" x14ac:dyDescent="0.2">
      <c r="B54" s="110">
        <v>37802</v>
      </c>
      <c r="C54" s="103">
        <v>5.5</v>
      </c>
      <c r="D54" s="103">
        <v>44.8</v>
      </c>
      <c r="E54" s="104">
        <v>0.1</v>
      </c>
      <c r="F54" s="103">
        <v>9.9</v>
      </c>
      <c r="G54" s="103">
        <v>0.4</v>
      </c>
      <c r="H54" s="103">
        <v>23</v>
      </c>
      <c r="I54" s="103">
        <v>4.0999999999999996</v>
      </c>
      <c r="J54" s="103">
        <v>2.6</v>
      </c>
      <c r="K54" s="103">
        <v>2.2999999999999998</v>
      </c>
      <c r="L54" s="104">
        <v>0.4</v>
      </c>
      <c r="M54" s="104">
        <v>1.5</v>
      </c>
      <c r="N54" s="104">
        <v>0.1</v>
      </c>
      <c r="O54" s="103">
        <v>5.7</v>
      </c>
      <c r="P54" s="103">
        <v>1.6</v>
      </c>
      <c r="Q54" s="104">
        <v>4.4000000000000004</v>
      </c>
      <c r="R54" s="104">
        <v>0.5</v>
      </c>
      <c r="S54" s="103">
        <v>-6.9</v>
      </c>
      <c r="T54" s="103"/>
    </row>
    <row r="55" spans="2:20" x14ac:dyDescent="0.2">
      <c r="B55" s="110">
        <v>38168</v>
      </c>
      <c r="C55" s="103">
        <v>5.3</v>
      </c>
      <c r="D55" s="103">
        <v>44.6</v>
      </c>
      <c r="E55" s="104">
        <v>0.1</v>
      </c>
      <c r="F55" s="103">
        <v>10</v>
      </c>
      <c r="G55" s="103">
        <v>0.5</v>
      </c>
      <c r="H55" s="103">
        <v>23.5</v>
      </c>
      <c r="I55" s="103">
        <v>3.9</v>
      </c>
      <c r="J55" s="103">
        <v>2.8</v>
      </c>
      <c r="K55" s="103">
        <v>2.4</v>
      </c>
      <c r="L55" s="104">
        <v>0.5</v>
      </c>
      <c r="M55" s="104">
        <v>1.6</v>
      </c>
      <c r="N55" s="104">
        <v>0.1</v>
      </c>
      <c r="O55" s="103">
        <v>5.9</v>
      </c>
      <c r="P55" s="103">
        <v>1.5</v>
      </c>
      <c r="Q55" s="104">
        <v>4.3</v>
      </c>
      <c r="R55" s="104">
        <v>0.4</v>
      </c>
      <c r="S55" s="103">
        <v>-7.6</v>
      </c>
      <c r="T55" s="103"/>
    </row>
    <row r="56" spans="2:20" x14ac:dyDescent="0.2">
      <c r="B56" s="110">
        <v>38533</v>
      </c>
      <c r="C56" s="103">
        <v>4.7</v>
      </c>
      <c r="D56" s="103">
        <v>43.8</v>
      </c>
      <c r="E56" s="104">
        <v>0.1</v>
      </c>
      <c r="F56" s="103">
        <v>10.199999999999999</v>
      </c>
      <c r="G56" s="103">
        <v>0.6</v>
      </c>
      <c r="H56" s="103">
        <v>24.5</v>
      </c>
      <c r="I56" s="103">
        <v>3.9</v>
      </c>
      <c r="J56" s="103">
        <v>2.2999999999999998</v>
      </c>
      <c r="K56" s="103">
        <v>2.1</v>
      </c>
      <c r="L56" s="104">
        <v>0.4</v>
      </c>
      <c r="M56" s="104">
        <v>1.6</v>
      </c>
      <c r="N56" s="104">
        <v>0.1</v>
      </c>
      <c r="O56" s="103">
        <v>6</v>
      </c>
      <c r="P56" s="103">
        <v>1.6</v>
      </c>
      <c r="Q56" s="104">
        <v>4.3</v>
      </c>
      <c r="R56" s="104">
        <v>0.4</v>
      </c>
      <c r="S56" s="103">
        <v>-6.8</v>
      </c>
      <c r="T56" s="103"/>
    </row>
    <row r="57" spans="2:20" x14ac:dyDescent="0.2">
      <c r="B57" s="110">
        <v>38898</v>
      </c>
      <c r="C57" s="103">
        <v>4.8</v>
      </c>
      <c r="D57" s="103">
        <v>43.5</v>
      </c>
      <c r="E57" s="104">
        <v>0.2</v>
      </c>
      <c r="F57" s="103">
        <v>9.6999999999999993</v>
      </c>
      <c r="G57" s="103">
        <v>0.4</v>
      </c>
      <c r="H57" s="103">
        <v>25.2</v>
      </c>
      <c r="I57" s="103">
        <v>3.8</v>
      </c>
      <c r="J57" s="103">
        <v>1.9</v>
      </c>
      <c r="K57" s="103">
        <v>2.4</v>
      </c>
      <c r="L57" s="104">
        <v>0.4</v>
      </c>
      <c r="M57" s="104">
        <v>1.7</v>
      </c>
      <c r="N57" s="104">
        <v>0.1</v>
      </c>
      <c r="O57" s="103">
        <v>6.2</v>
      </c>
      <c r="P57" s="103">
        <v>1.5</v>
      </c>
      <c r="Q57" s="104">
        <v>4.5999999999999996</v>
      </c>
      <c r="R57" s="104">
        <v>0.5</v>
      </c>
      <c r="S57" s="103">
        <v>-6.8</v>
      </c>
    </row>
    <row r="58" spans="2:20" x14ac:dyDescent="0.2">
      <c r="B58" s="110">
        <v>39263</v>
      </c>
      <c r="C58" s="103">
        <v>5</v>
      </c>
      <c r="D58" s="103">
        <v>43.2</v>
      </c>
      <c r="E58" s="104">
        <v>0.1</v>
      </c>
      <c r="F58" s="103">
        <v>9.4</v>
      </c>
      <c r="G58" s="103">
        <v>0.3</v>
      </c>
      <c r="H58" s="103">
        <v>26</v>
      </c>
      <c r="I58" s="103">
        <v>4.0999999999999996</v>
      </c>
      <c r="J58" s="103">
        <v>1.9</v>
      </c>
      <c r="K58" s="103">
        <v>2.4</v>
      </c>
      <c r="L58" s="104">
        <v>0.5</v>
      </c>
      <c r="M58" s="104">
        <v>1.7</v>
      </c>
      <c r="N58" s="104">
        <v>0.1</v>
      </c>
      <c r="O58" s="103">
        <v>6</v>
      </c>
      <c r="P58" s="103">
        <v>1.3</v>
      </c>
      <c r="Q58" s="104">
        <v>4.3</v>
      </c>
      <c r="R58" s="104">
        <v>0.5</v>
      </c>
      <c r="S58" s="103">
        <v>-6.9</v>
      </c>
    </row>
    <row r="59" spans="2:20" x14ac:dyDescent="0.2">
      <c r="B59" s="110">
        <v>39629</v>
      </c>
      <c r="C59" s="103">
        <v>5.0999999999999996</v>
      </c>
      <c r="D59" s="103">
        <v>41.6</v>
      </c>
      <c r="E59" s="104">
        <v>0.1</v>
      </c>
      <c r="F59" s="103">
        <v>9.6</v>
      </c>
      <c r="G59" s="103">
        <v>0</v>
      </c>
      <c r="H59" s="103">
        <v>28.4</v>
      </c>
      <c r="I59" s="103">
        <v>4</v>
      </c>
      <c r="J59" s="103">
        <v>1.5</v>
      </c>
      <c r="K59" s="103">
        <v>2.2999999999999998</v>
      </c>
      <c r="L59" s="104">
        <v>0.5</v>
      </c>
      <c r="M59" s="104">
        <v>1.7</v>
      </c>
      <c r="N59" s="104">
        <v>0.1</v>
      </c>
      <c r="O59" s="103">
        <v>6</v>
      </c>
      <c r="P59" s="103">
        <v>1.1000000000000001</v>
      </c>
      <c r="Q59" s="104">
        <v>4.4000000000000004</v>
      </c>
      <c r="R59" s="104">
        <v>0.6</v>
      </c>
      <c r="S59" s="103">
        <v>-7</v>
      </c>
    </row>
    <row r="60" spans="2:20" x14ac:dyDescent="0.2">
      <c r="B60" s="110">
        <v>39994</v>
      </c>
      <c r="C60" s="103">
        <v>5.2</v>
      </c>
      <c r="D60" s="103">
        <v>42.9</v>
      </c>
      <c r="E60" s="104">
        <v>0.1</v>
      </c>
      <c r="F60" s="103">
        <v>9.3000000000000007</v>
      </c>
      <c r="G60" s="103">
        <v>0.1</v>
      </c>
      <c r="H60" s="103">
        <v>28</v>
      </c>
      <c r="I60" s="103">
        <v>4.0999999999999996</v>
      </c>
      <c r="J60" s="103">
        <v>2.2000000000000002</v>
      </c>
      <c r="K60" s="103">
        <v>1.4</v>
      </c>
      <c r="L60" s="104">
        <v>0.4</v>
      </c>
      <c r="M60" s="104">
        <v>1.5</v>
      </c>
      <c r="N60" s="104">
        <v>0.1</v>
      </c>
      <c r="O60" s="103">
        <v>5.9</v>
      </c>
      <c r="P60" s="103">
        <v>1.1000000000000001</v>
      </c>
      <c r="Q60" s="104">
        <v>4.5999999999999996</v>
      </c>
      <c r="R60" s="104">
        <v>0.6</v>
      </c>
      <c r="S60" s="103">
        <v>-7.3</v>
      </c>
    </row>
    <row r="61" spans="2:20" x14ac:dyDescent="0.2">
      <c r="B61" s="110">
        <v>40359</v>
      </c>
      <c r="C61" s="103">
        <v>5.5</v>
      </c>
      <c r="D61" s="103">
        <v>42.5</v>
      </c>
      <c r="E61" s="104">
        <v>0.1</v>
      </c>
      <c r="F61" s="103">
        <v>9.1999999999999993</v>
      </c>
      <c r="G61" s="103">
        <v>0.1</v>
      </c>
      <c r="H61" s="103">
        <v>28.3</v>
      </c>
      <c r="I61" s="103">
        <v>4.3</v>
      </c>
      <c r="J61" s="103">
        <v>2.2000000000000002</v>
      </c>
      <c r="K61" s="103">
        <v>1.4</v>
      </c>
      <c r="L61" s="104">
        <v>0.5</v>
      </c>
      <c r="M61" s="104">
        <v>1.6</v>
      </c>
      <c r="N61" s="104">
        <v>0.1</v>
      </c>
      <c r="O61" s="103">
        <v>6</v>
      </c>
      <c r="P61" s="103">
        <v>1.2</v>
      </c>
      <c r="Q61" s="104">
        <v>4.5</v>
      </c>
      <c r="R61" s="104">
        <v>0.6</v>
      </c>
      <c r="S61" s="103">
        <v>-7.8</v>
      </c>
    </row>
    <row r="62" spans="2:20" x14ac:dyDescent="0.2">
      <c r="B62" s="110">
        <v>40724</v>
      </c>
      <c r="C62" s="103">
        <v>5.0999999999999996</v>
      </c>
      <c r="D62" s="103">
        <v>41.6</v>
      </c>
      <c r="E62" s="104">
        <v>0.1</v>
      </c>
      <c r="F62" s="103">
        <v>9</v>
      </c>
      <c r="G62" s="103">
        <v>0.1</v>
      </c>
      <c r="H62" s="103">
        <v>30.5</v>
      </c>
      <c r="I62" s="103">
        <v>3.6</v>
      </c>
      <c r="J62" s="103">
        <v>2.2000000000000002</v>
      </c>
      <c r="K62" s="103">
        <v>1.2</v>
      </c>
      <c r="L62" s="104">
        <v>0.5</v>
      </c>
      <c r="M62" s="104">
        <v>1.6</v>
      </c>
      <c r="N62" s="104">
        <v>0.1</v>
      </c>
      <c r="O62" s="103">
        <v>6.1</v>
      </c>
      <c r="P62" s="103">
        <v>1.1000000000000001</v>
      </c>
      <c r="Q62" s="104">
        <v>4.5999999999999996</v>
      </c>
      <c r="R62" s="104">
        <v>0.6</v>
      </c>
      <c r="S62" s="103">
        <v>-7.8</v>
      </c>
    </row>
    <row r="64" spans="2:20" x14ac:dyDescent="0.2">
      <c r="B64" s="112" t="s">
        <v>527</v>
      </c>
      <c r="C64" s="113">
        <f>AVERAGE(C54:C58)</f>
        <v>5.0600000000000005</v>
      </c>
      <c r="D64" s="103">
        <f t="shared" ref="D64:S64" si="8">AVERAGE(D54:D58)</f>
        <v>43.98</v>
      </c>
      <c r="E64" s="104">
        <f t="shared" si="8"/>
        <v>0.12</v>
      </c>
      <c r="F64" s="103">
        <f t="shared" si="8"/>
        <v>9.84</v>
      </c>
      <c r="G64" s="103">
        <f t="shared" si="8"/>
        <v>0.43999999999999995</v>
      </c>
      <c r="H64" s="103">
        <f t="shared" si="8"/>
        <v>24.44</v>
      </c>
      <c r="I64" s="103">
        <f t="shared" si="8"/>
        <v>3.9599999999999995</v>
      </c>
      <c r="J64" s="103">
        <f t="shared" si="8"/>
        <v>2.2999999999999998</v>
      </c>
      <c r="K64" s="103">
        <f t="shared" si="8"/>
        <v>2.3199999999999998</v>
      </c>
      <c r="L64" s="104">
        <f t="shared" si="8"/>
        <v>0.44000000000000006</v>
      </c>
      <c r="M64" s="104">
        <f t="shared" si="8"/>
        <v>1.6199999999999999</v>
      </c>
      <c r="N64" s="104">
        <f t="shared" si="8"/>
        <v>0.1</v>
      </c>
      <c r="O64" s="103">
        <f t="shared" si="8"/>
        <v>5.96</v>
      </c>
      <c r="P64" s="103">
        <f t="shared" si="8"/>
        <v>1.5</v>
      </c>
      <c r="Q64" s="104">
        <f t="shared" si="8"/>
        <v>4.3800000000000008</v>
      </c>
      <c r="R64" s="104">
        <f t="shared" si="8"/>
        <v>0.45999999999999996</v>
      </c>
      <c r="S64" s="103">
        <f t="shared" si="8"/>
        <v>-7</v>
      </c>
      <c r="T64" s="114">
        <f>E64+L64+M64+N64+Q64+R64</f>
        <v>7.12</v>
      </c>
    </row>
    <row r="65" spans="1:20" x14ac:dyDescent="0.2">
      <c r="A65" s="100">
        <v>3</v>
      </c>
      <c r="B65" s="112" t="s">
        <v>166</v>
      </c>
      <c r="C65" s="113">
        <f>AVERAGE(C59:C62)</f>
        <v>5.2249999999999996</v>
      </c>
      <c r="D65" s="113">
        <f t="shared" ref="D65:S65" si="9">AVERAGE(D59:D62)</f>
        <v>42.15</v>
      </c>
      <c r="E65" s="115">
        <f t="shared" si="9"/>
        <v>0.1</v>
      </c>
      <c r="F65" s="113">
        <f t="shared" si="9"/>
        <v>9.2749999999999986</v>
      </c>
      <c r="G65" s="113">
        <f t="shared" si="9"/>
        <v>7.5000000000000011E-2</v>
      </c>
      <c r="H65" s="113">
        <f t="shared" si="9"/>
        <v>28.8</v>
      </c>
      <c r="I65" s="113">
        <f t="shared" si="9"/>
        <v>3.9999999999999996</v>
      </c>
      <c r="J65" s="113">
        <f t="shared" si="9"/>
        <v>2.0250000000000004</v>
      </c>
      <c r="K65" s="113">
        <f t="shared" si="9"/>
        <v>1.575</v>
      </c>
      <c r="L65" s="115">
        <f t="shared" si="9"/>
        <v>0.47499999999999998</v>
      </c>
      <c r="M65" s="115">
        <f t="shared" si="9"/>
        <v>1.6</v>
      </c>
      <c r="N65" s="115">
        <f t="shared" si="9"/>
        <v>0.1</v>
      </c>
      <c r="O65" s="113">
        <f t="shared" si="9"/>
        <v>6</v>
      </c>
      <c r="P65" s="113">
        <f t="shared" si="9"/>
        <v>1.125</v>
      </c>
      <c r="Q65" s="115">
        <f t="shared" si="9"/>
        <v>4.5250000000000004</v>
      </c>
      <c r="R65" s="115">
        <f t="shared" si="9"/>
        <v>0.6</v>
      </c>
      <c r="S65" s="113">
        <f t="shared" si="9"/>
        <v>-7.4750000000000005</v>
      </c>
      <c r="T65" s="114">
        <f>E65+L65+M65+N65+Q65+R65</f>
        <v>7.4</v>
      </c>
    </row>
    <row r="68" spans="1:20" x14ac:dyDescent="0.2">
      <c r="B68" s="101" t="s">
        <v>384</v>
      </c>
      <c r="C68" s="102" t="s">
        <v>564</v>
      </c>
      <c r="D68" s="103"/>
      <c r="E68" s="104"/>
      <c r="F68" s="103"/>
      <c r="G68" s="103"/>
      <c r="H68" s="103"/>
      <c r="I68" s="103"/>
      <c r="J68" s="103"/>
      <c r="K68" s="103"/>
      <c r="L68" s="104"/>
      <c r="M68" s="104"/>
      <c r="N68" s="104"/>
      <c r="O68" s="103"/>
      <c r="P68" s="103"/>
      <c r="Q68" s="104"/>
      <c r="R68" s="104"/>
      <c r="S68" s="103"/>
      <c r="T68" s="103"/>
    </row>
    <row r="69" spans="1:20" ht="25.5" x14ac:dyDescent="0.2">
      <c r="B69" s="105" t="s">
        <v>490</v>
      </c>
      <c r="C69" s="106" t="s">
        <v>565</v>
      </c>
      <c r="D69" s="106" t="s">
        <v>566</v>
      </c>
      <c r="E69" s="107" t="s">
        <v>567</v>
      </c>
      <c r="F69" s="106" t="s">
        <v>568</v>
      </c>
      <c r="G69" s="106" t="s">
        <v>569</v>
      </c>
      <c r="H69" s="106" t="s">
        <v>570</v>
      </c>
      <c r="I69" s="106" t="s">
        <v>571</v>
      </c>
      <c r="J69" s="106" t="s">
        <v>572</v>
      </c>
      <c r="K69" s="106" t="s">
        <v>573</v>
      </c>
      <c r="L69" s="107" t="s">
        <v>574</v>
      </c>
      <c r="M69" s="107" t="s">
        <v>575</v>
      </c>
      <c r="N69" s="107" t="s">
        <v>576</v>
      </c>
      <c r="O69" s="106" t="s">
        <v>577</v>
      </c>
      <c r="P69" s="106" t="s">
        <v>578</v>
      </c>
      <c r="Q69" s="107" t="s">
        <v>579</v>
      </c>
      <c r="R69" s="107" t="s">
        <v>580</v>
      </c>
      <c r="S69" s="106" t="s">
        <v>581</v>
      </c>
      <c r="T69" s="106"/>
    </row>
    <row r="70" spans="1:20" x14ac:dyDescent="0.2">
      <c r="B70" s="110">
        <v>37437</v>
      </c>
      <c r="C70" s="103">
        <v>1.1000000000000001</v>
      </c>
      <c r="D70" s="103">
        <v>48</v>
      </c>
      <c r="E70" s="104">
        <v>0.1</v>
      </c>
      <c r="F70" s="103">
        <v>4.8</v>
      </c>
      <c r="G70" s="103">
        <v>0.4</v>
      </c>
      <c r="H70" s="103">
        <v>29.9</v>
      </c>
      <c r="I70" s="103">
        <v>2.1</v>
      </c>
      <c r="J70" s="103"/>
      <c r="K70" s="103">
        <v>0.1</v>
      </c>
      <c r="L70" s="104"/>
      <c r="M70" s="104"/>
      <c r="N70" s="104">
        <v>0.5</v>
      </c>
      <c r="O70" s="103">
        <v>3.2</v>
      </c>
      <c r="P70" s="103">
        <v>9.1999999999999993</v>
      </c>
      <c r="Q70" s="104">
        <v>3.8</v>
      </c>
      <c r="R70" s="104">
        <v>0.4</v>
      </c>
      <c r="S70" s="103">
        <v>-3.6</v>
      </c>
      <c r="T70" s="103"/>
    </row>
    <row r="71" spans="1:20" x14ac:dyDescent="0.2">
      <c r="B71" s="110">
        <v>37802</v>
      </c>
      <c r="C71" s="103">
        <v>0.8</v>
      </c>
      <c r="D71" s="103">
        <v>47.9</v>
      </c>
      <c r="E71" s="104">
        <v>0.1</v>
      </c>
      <c r="F71" s="103">
        <v>4.9000000000000004</v>
      </c>
      <c r="G71" s="103">
        <v>0.4</v>
      </c>
      <c r="H71" s="103">
        <v>29.5</v>
      </c>
      <c r="I71" s="103">
        <v>2.4</v>
      </c>
      <c r="J71" s="103"/>
      <c r="K71" s="103">
        <v>0.1</v>
      </c>
      <c r="L71" s="104"/>
      <c r="M71" s="104"/>
      <c r="N71" s="104">
        <v>0.4</v>
      </c>
      <c r="O71" s="103">
        <v>3.2</v>
      </c>
      <c r="P71" s="103">
        <v>9.1</v>
      </c>
      <c r="Q71" s="104">
        <v>4.5</v>
      </c>
      <c r="R71" s="104">
        <v>0.4</v>
      </c>
      <c r="S71" s="103">
        <v>-3.7</v>
      </c>
      <c r="T71" s="103"/>
    </row>
    <row r="72" spans="1:20" x14ac:dyDescent="0.2">
      <c r="B72" s="110">
        <v>38168</v>
      </c>
      <c r="C72" s="103">
        <v>0.8</v>
      </c>
      <c r="D72" s="103">
        <v>47.5</v>
      </c>
      <c r="E72" s="104">
        <v>0.1</v>
      </c>
      <c r="F72" s="103">
        <v>4.9000000000000004</v>
      </c>
      <c r="G72" s="103">
        <v>0.3</v>
      </c>
      <c r="H72" s="103">
        <v>30.4</v>
      </c>
      <c r="I72" s="103">
        <v>2.5</v>
      </c>
      <c r="J72" s="103"/>
      <c r="K72" s="103">
        <v>0.1</v>
      </c>
      <c r="L72" s="104"/>
      <c r="M72" s="104"/>
      <c r="N72" s="104">
        <v>0.4</v>
      </c>
      <c r="O72" s="103">
        <v>3.2</v>
      </c>
      <c r="P72" s="103">
        <v>9.3000000000000007</v>
      </c>
      <c r="Q72" s="104">
        <v>4.2</v>
      </c>
      <c r="R72" s="104">
        <v>0.4</v>
      </c>
      <c r="S72" s="103">
        <v>-4.2</v>
      </c>
      <c r="T72" s="103"/>
    </row>
    <row r="73" spans="1:20" x14ac:dyDescent="0.2">
      <c r="B73" s="110">
        <v>38533</v>
      </c>
      <c r="C73" s="103">
        <v>0.7</v>
      </c>
      <c r="D73" s="103">
        <v>46</v>
      </c>
      <c r="E73" s="104">
        <v>0.1</v>
      </c>
      <c r="F73" s="103">
        <v>5.4</v>
      </c>
      <c r="G73" s="103">
        <v>0.3</v>
      </c>
      <c r="H73" s="103">
        <v>30.6</v>
      </c>
      <c r="I73" s="103">
        <v>2.7</v>
      </c>
      <c r="J73" s="103"/>
      <c r="K73" s="103">
        <v>0.1</v>
      </c>
      <c r="L73" s="104">
        <v>0</v>
      </c>
      <c r="M73" s="104"/>
      <c r="N73" s="104">
        <v>0.4</v>
      </c>
      <c r="O73" s="103">
        <v>3.3</v>
      </c>
      <c r="P73" s="103">
        <v>9.5</v>
      </c>
      <c r="Q73" s="104">
        <v>4.0999999999999996</v>
      </c>
      <c r="R73" s="104">
        <v>0.4</v>
      </c>
      <c r="S73" s="103">
        <v>-3.7</v>
      </c>
      <c r="T73" s="103"/>
    </row>
    <row r="74" spans="1:20" x14ac:dyDescent="0.2">
      <c r="B74" s="110">
        <v>38898</v>
      </c>
      <c r="C74" s="103">
        <v>1.3</v>
      </c>
      <c r="D74" s="103">
        <v>46.4</v>
      </c>
      <c r="E74" s="104">
        <v>0.1</v>
      </c>
      <c r="F74" s="103">
        <v>5.3</v>
      </c>
      <c r="G74" s="103">
        <v>0.4</v>
      </c>
      <c r="H74" s="103">
        <v>30.6</v>
      </c>
      <c r="I74" s="103">
        <v>2.8</v>
      </c>
      <c r="J74" s="103"/>
      <c r="K74" s="103">
        <v>0.1</v>
      </c>
      <c r="L74" s="104">
        <v>0</v>
      </c>
      <c r="M74" s="104"/>
      <c r="N74" s="104">
        <v>0.3</v>
      </c>
      <c r="O74" s="103">
        <v>3.3</v>
      </c>
      <c r="P74" s="103">
        <v>8.5</v>
      </c>
      <c r="Q74" s="104">
        <v>4.2</v>
      </c>
      <c r="R74" s="104">
        <v>0.4</v>
      </c>
      <c r="S74" s="103">
        <v>-3.6</v>
      </c>
    </row>
    <row r="75" spans="1:20" x14ac:dyDescent="0.2">
      <c r="B75" s="110">
        <v>39263</v>
      </c>
      <c r="C75" s="103">
        <v>1.5</v>
      </c>
      <c r="D75" s="103">
        <v>46.3</v>
      </c>
      <c r="E75" s="104">
        <v>0.1</v>
      </c>
      <c r="F75" s="103">
        <v>5.4</v>
      </c>
      <c r="G75" s="103">
        <v>0.3</v>
      </c>
      <c r="H75" s="103">
        <v>29.8</v>
      </c>
      <c r="I75" s="103">
        <v>2.6</v>
      </c>
      <c r="J75" s="103"/>
      <c r="K75" s="103">
        <v>0.1</v>
      </c>
      <c r="L75" s="104">
        <v>0</v>
      </c>
      <c r="M75" s="104"/>
      <c r="N75" s="104">
        <v>0</v>
      </c>
      <c r="O75" s="103">
        <v>3.4</v>
      </c>
      <c r="P75" s="103">
        <v>8.9</v>
      </c>
      <c r="Q75" s="104">
        <v>4.2</v>
      </c>
      <c r="R75" s="104">
        <v>0.3</v>
      </c>
      <c r="S75" s="103">
        <v>-3</v>
      </c>
    </row>
    <row r="76" spans="1:20" x14ac:dyDescent="0.2">
      <c r="B76" s="110">
        <v>39629</v>
      </c>
      <c r="C76" s="103">
        <v>1.6</v>
      </c>
      <c r="D76" s="103">
        <v>47.4</v>
      </c>
      <c r="E76" s="104">
        <v>0.1</v>
      </c>
      <c r="F76" s="103">
        <v>4.8</v>
      </c>
      <c r="G76" s="103">
        <v>0.2</v>
      </c>
      <c r="H76" s="103">
        <v>31.6</v>
      </c>
      <c r="I76" s="103">
        <v>2.2000000000000002</v>
      </c>
      <c r="J76" s="103"/>
      <c r="K76" s="103"/>
      <c r="L76" s="104">
        <v>0</v>
      </c>
      <c r="M76" s="104"/>
      <c r="N76" s="104">
        <v>0</v>
      </c>
      <c r="O76" s="103">
        <v>4.5999999999999996</v>
      </c>
      <c r="P76" s="103">
        <v>6.1</v>
      </c>
      <c r="Q76" s="104">
        <v>4.5999999999999996</v>
      </c>
      <c r="R76" s="104">
        <v>0.5</v>
      </c>
      <c r="S76" s="103">
        <v>-3.8</v>
      </c>
    </row>
    <row r="77" spans="1:20" x14ac:dyDescent="0.2">
      <c r="B77" s="110">
        <v>39994</v>
      </c>
      <c r="C77" s="103">
        <v>1.9</v>
      </c>
      <c r="D77" s="103">
        <v>48.1</v>
      </c>
      <c r="E77" s="104">
        <v>0.1</v>
      </c>
      <c r="F77" s="103">
        <v>4.9000000000000004</v>
      </c>
      <c r="G77" s="103">
        <v>0.3</v>
      </c>
      <c r="H77" s="103">
        <v>31.4</v>
      </c>
      <c r="I77" s="103">
        <v>1.6</v>
      </c>
      <c r="J77" s="103"/>
      <c r="K77" s="103">
        <v>0.3</v>
      </c>
      <c r="L77" s="104"/>
      <c r="M77" s="104"/>
      <c r="N77" s="104"/>
      <c r="O77" s="103">
        <v>4.3</v>
      </c>
      <c r="P77" s="103">
        <v>6</v>
      </c>
      <c r="Q77" s="104">
        <v>4.9000000000000004</v>
      </c>
      <c r="R77" s="104">
        <v>0.5</v>
      </c>
      <c r="S77" s="103">
        <v>-4.0999999999999996</v>
      </c>
    </row>
    <row r="78" spans="1:20" x14ac:dyDescent="0.2">
      <c r="B78" s="110">
        <v>40359</v>
      </c>
      <c r="C78" s="103">
        <v>2</v>
      </c>
      <c r="D78" s="103">
        <v>48.2</v>
      </c>
      <c r="E78" s="104">
        <v>0.1</v>
      </c>
      <c r="F78" s="103">
        <v>5.2</v>
      </c>
      <c r="G78" s="103">
        <v>0.3</v>
      </c>
      <c r="H78" s="103">
        <v>31.9</v>
      </c>
      <c r="I78" s="103">
        <v>1.5</v>
      </c>
      <c r="J78" s="103"/>
      <c r="K78" s="103">
        <v>0</v>
      </c>
      <c r="L78" s="104"/>
      <c r="M78" s="104">
        <v>0</v>
      </c>
      <c r="N78" s="104"/>
      <c r="O78" s="103">
        <v>4</v>
      </c>
      <c r="P78" s="103">
        <v>6</v>
      </c>
      <c r="Q78" s="104">
        <v>4.3</v>
      </c>
      <c r="R78" s="104">
        <v>0.7</v>
      </c>
      <c r="S78" s="103">
        <v>-4.2</v>
      </c>
    </row>
    <row r="79" spans="1:20" x14ac:dyDescent="0.2">
      <c r="B79" s="110">
        <v>40724</v>
      </c>
      <c r="C79" s="103">
        <v>1.5</v>
      </c>
      <c r="D79" s="103">
        <v>47.6</v>
      </c>
      <c r="E79" s="104">
        <v>0.1</v>
      </c>
      <c r="F79" s="103">
        <v>4.8</v>
      </c>
      <c r="G79" s="103">
        <v>0.2</v>
      </c>
      <c r="H79" s="103">
        <v>33.200000000000003</v>
      </c>
      <c r="I79" s="103">
        <v>1.9</v>
      </c>
      <c r="J79" s="103">
        <v>0</v>
      </c>
      <c r="K79" s="103"/>
      <c r="L79" s="104"/>
      <c r="M79" s="104"/>
      <c r="N79" s="104"/>
      <c r="O79" s="103">
        <v>4.5999999999999996</v>
      </c>
      <c r="P79" s="103">
        <v>5.4</v>
      </c>
      <c r="Q79" s="104">
        <v>4.4000000000000004</v>
      </c>
      <c r="R79" s="104">
        <v>0.8</v>
      </c>
      <c r="S79" s="103">
        <v>-4.5</v>
      </c>
    </row>
    <row r="80" spans="1:20" x14ac:dyDescent="0.2">
      <c r="B80" s="110"/>
      <c r="C80" s="103"/>
      <c r="D80" s="103"/>
      <c r="E80" s="104"/>
      <c r="F80" s="103"/>
      <c r="G80" s="103"/>
      <c r="H80" s="103"/>
      <c r="I80" s="103"/>
      <c r="J80" s="103"/>
      <c r="K80" s="103"/>
      <c r="L80" s="104"/>
      <c r="M80" s="104"/>
      <c r="N80" s="104"/>
      <c r="O80" s="103"/>
      <c r="P80" s="103"/>
      <c r="Q80" s="104"/>
      <c r="R80" s="104"/>
      <c r="S80" s="103"/>
    </row>
    <row r="81" spans="1:20" x14ac:dyDescent="0.2">
      <c r="B81" s="112" t="s">
        <v>527</v>
      </c>
      <c r="C81" s="113">
        <f>AVERAGE(C71:C75)</f>
        <v>1.02</v>
      </c>
      <c r="D81" s="103">
        <f t="shared" ref="D81:S81" si="10">AVERAGE(D71:D75)</f>
        <v>46.820000000000007</v>
      </c>
      <c r="E81" s="104">
        <f t="shared" si="10"/>
        <v>0.1</v>
      </c>
      <c r="F81" s="103">
        <f t="shared" si="10"/>
        <v>5.18</v>
      </c>
      <c r="G81" s="103">
        <f t="shared" si="10"/>
        <v>0.33999999999999997</v>
      </c>
      <c r="H81" s="103">
        <f t="shared" si="10"/>
        <v>30.18</v>
      </c>
      <c r="I81" s="103">
        <f t="shared" si="10"/>
        <v>2.6</v>
      </c>
      <c r="J81" s="103" t="e">
        <f t="shared" si="10"/>
        <v>#DIV/0!</v>
      </c>
      <c r="K81" s="103">
        <f t="shared" si="10"/>
        <v>0.1</v>
      </c>
      <c r="L81" s="104">
        <f t="shared" si="10"/>
        <v>0</v>
      </c>
      <c r="M81" s="104"/>
      <c r="N81" s="104">
        <f t="shared" si="10"/>
        <v>0.30000000000000004</v>
      </c>
      <c r="O81" s="103">
        <f t="shared" si="10"/>
        <v>3.28</v>
      </c>
      <c r="P81" s="103">
        <f t="shared" si="10"/>
        <v>9.0599999999999987</v>
      </c>
      <c r="Q81" s="104">
        <f t="shared" si="10"/>
        <v>4.24</v>
      </c>
      <c r="R81" s="104">
        <f t="shared" si="10"/>
        <v>0.38</v>
      </c>
      <c r="S81" s="103">
        <f t="shared" si="10"/>
        <v>-3.6400000000000006</v>
      </c>
      <c r="T81" s="114">
        <f>E81+L81+M81+N81+Q81+R81</f>
        <v>5.0200000000000005</v>
      </c>
    </row>
    <row r="82" spans="1:20" x14ac:dyDescent="0.2">
      <c r="A82" s="100">
        <v>4</v>
      </c>
      <c r="B82" s="112" t="s">
        <v>166</v>
      </c>
      <c r="C82" s="113">
        <f>AVERAGE(C76:C79)</f>
        <v>1.75</v>
      </c>
      <c r="D82" s="113">
        <f t="shared" ref="D82:S82" si="11">AVERAGE(D76:D79)</f>
        <v>47.824999999999996</v>
      </c>
      <c r="E82" s="115">
        <f t="shared" si="11"/>
        <v>0.1</v>
      </c>
      <c r="F82" s="113">
        <f t="shared" si="11"/>
        <v>4.9249999999999998</v>
      </c>
      <c r="G82" s="113">
        <f t="shared" si="11"/>
        <v>0.25</v>
      </c>
      <c r="H82" s="113">
        <f t="shared" si="11"/>
        <v>32.025000000000006</v>
      </c>
      <c r="I82" s="113">
        <f t="shared" si="11"/>
        <v>1.8000000000000003</v>
      </c>
      <c r="J82" s="113">
        <f t="shared" si="11"/>
        <v>0</v>
      </c>
      <c r="K82" s="113">
        <f t="shared" si="11"/>
        <v>0.15</v>
      </c>
      <c r="L82" s="115">
        <f t="shared" si="11"/>
        <v>0</v>
      </c>
      <c r="M82" s="115">
        <f t="shared" si="11"/>
        <v>0</v>
      </c>
      <c r="N82" s="115">
        <f t="shared" si="11"/>
        <v>0</v>
      </c>
      <c r="O82" s="113">
        <f t="shared" si="11"/>
        <v>4.375</v>
      </c>
      <c r="P82" s="113">
        <f t="shared" si="11"/>
        <v>5.875</v>
      </c>
      <c r="Q82" s="115">
        <f t="shared" si="11"/>
        <v>4.5500000000000007</v>
      </c>
      <c r="R82" s="115">
        <f t="shared" si="11"/>
        <v>0.625</v>
      </c>
      <c r="S82" s="113">
        <f t="shared" si="11"/>
        <v>-4.1500000000000004</v>
      </c>
      <c r="T82" s="114">
        <f>E82+L82+M82+N82+Q82+R82</f>
        <v>5.2750000000000004</v>
      </c>
    </row>
    <row r="85" spans="1:20" x14ac:dyDescent="0.2">
      <c r="B85" s="101" t="s">
        <v>384</v>
      </c>
      <c r="C85" s="102" t="s">
        <v>582</v>
      </c>
      <c r="D85" s="103"/>
      <c r="E85" s="104"/>
      <c r="F85" s="103"/>
      <c r="G85" s="103"/>
      <c r="H85" s="103"/>
      <c r="I85" s="103"/>
      <c r="J85" s="103"/>
      <c r="K85" s="103"/>
      <c r="L85" s="104"/>
      <c r="M85" s="104"/>
      <c r="N85" s="104"/>
      <c r="O85" s="103"/>
      <c r="P85" s="103"/>
      <c r="Q85" s="104"/>
      <c r="R85" s="104"/>
      <c r="S85" s="103"/>
      <c r="T85" s="103"/>
    </row>
    <row r="86" spans="1:20" ht="25.5" x14ac:dyDescent="0.2">
      <c r="B86" s="105" t="s">
        <v>490</v>
      </c>
      <c r="C86" s="106" t="s">
        <v>583</v>
      </c>
      <c r="D86" s="106" t="s">
        <v>584</v>
      </c>
      <c r="E86" s="107" t="s">
        <v>585</v>
      </c>
      <c r="F86" s="106" t="s">
        <v>586</v>
      </c>
      <c r="G86" s="106" t="s">
        <v>587</v>
      </c>
      <c r="H86" s="106" t="s">
        <v>588</v>
      </c>
      <c r="I86" s="106" t="s">
        <v>589</v>
      </c>
      <c r="J86" s="106" t="s">
        <v>590</v>
      </c>
      <c r="K86" s="106" t="s">
        <v>591</v>
      </c>
      <c r="L86" s="107" t="s">
        <v>592</v>
      </c>
      <c r="M86" s="107" t="s">
        <v>593</v>
      </c>
      <c r="N86" s="107" t="s">
        <v>594</v>
      </c>
      <c r="O86" s="106" t="s">
        <v>595</v>
      </c>
      <c r="P86" s="106" t="s">
        <v>596</v>
      </c>
      <c r="Q86" s="107" t="s">
        <v>597</v>
      </c>
      <c r="R86" s="107" t="s">
        <v>598</v>
      </c>
      <c r="S86" s="106" t="s">
        <v>599</v>
      </c>
      <c r="T86" s="106"/>
    </row>
    <row r="87" spans="1:20" x14ac:dyDescent="0.2">
      <c r="B87" s="110">
        <v>37437</v>
      </c>
      <c r="C87" s="103">
        <v>2.7</v>
      </c>
      <c r="D87" s="103">
        <v>47.3</v>
      </c>
      <c r="E87" s="104">
        <v>0.1</v>
      </c>
      <c r="F87" s="103">
        <v>16</v>
      </c>
      <c r="G87" s="103">
        <v>0.1</v>
      </c>
      <c r="H87" s="103">
        <v>19</v>
      </c>
      <c r="I87" s="103">
        <v>6.2</v>
      </c>
      <c r="J87" s="103">
        <v>0.1</v>
      </c>
      <c r="K87" s="103">
        <v>0.3</v>
      </c>
      <c r="L87" s="104">
        <v>0.1</v>
      </c>
      <c r="M87" s="104">
        <v>0.8</v>
      </c>
      <c r="N87" s="104">
        <v>0</v>
      </c>
      <c r="O87" s="103">
        <v>6</v>
      </c>
      <c r="P87" s="103">
        <v>2.1</v>
      </c>
      <c r="Q87" s="104">
        <v>5.5</v>
      </c>
      <c r="R87" s="104">
        <v>0.3</v>
      </c>
      <c r="S87" s="103">
        <v>-6.7</v>
      </c>
      <c r="T87" s="103"/>
    </row>
    <row r="88" spans="1:20" x14ac:dyDescent="0.2">
      <c r="B88" s="110">
        <v>37802</v>
      </c>
      <c r="C88" s="103">
        <v>2.9</v>
      </c>
      <c r="D88" s="103">
        <v>47.2</v>
      </c>
      <c r="E88" s="104">
        <v>0.1</v>
      </c>
      <c r="F88" s="103">
        <v>16</v>
      </c>
      <c r="G88" s="103">
        <v>0</v>
      </c>
      <c r="H88" s="103">
        <v>19.5</v>
      </c>
      <c r="I88" s="103">
        <v>5.8</v>
      </c>
      <c r="J88" s="103">
        <v>0.1</v>
      </c>
      <c r="K88" s="103">
        <v>0.3</v>
      </c>
      <c r="L88" s="104">
        <v>0.1</v>
      </c>
      <c r="M88" s="104">
        <v>0.8</v>
      </c>
      <c r="N88" s="104"/>
      <c r="O88" s="103">
        <v>6.2</v>
      </c>
      <c r="P88" s="103">
        <v>1.9</v>
      </c>
      <c r="Q88" s="104">
        <v>5.6</v>
      </c>
      <c r="R88" s="104">
        <v>0.3</v>
      </c>
      <c r="S88" s="103">
        <v>-6.8</v>
      </c>
      <c r="T88" s="103"/>
    </row>
    <row r="89" spans="1:20" x14ac:dyDescent="0.2">
      <c r="B89" s="110">
        <v>38168</v>
      </c>
      <c r="C89" s="103">
        <v>2.6</v>
      </c>
      <c r="D89" s="103">
        <v>47.3</v>
      </c>
      <c r="E89" s="104">
        <v>0.1</v>
      </c>
      <c r="F89" s="103">
        <v>16.2</v>
      </c>
      <c r="G89" s="103">
        <v>0</v>
      </c>
      <c r="H89" s="103">
        <v>19.5</v>
      </c>
      <c r="I89" s="103">
        <v>6.1</v>
      </c>
      <c r="J89" s="103">
        <v>0</v>
      </c>
      <c r="K89" s="103">
        <v>0.3</v>
      </c>
      <c r="L89" s="104">
        <v>0</v>
      </c>
      <c r="M89" s="104">
        <v>0.7</v>
      </c>
      <c r="N89" s="104"/>
      <c r="O89" s="103">
        <v>6.1</v>
      </c>
      <c r="P89" s="103">
        <v>1.9</v>
      </c>
      <c r="Q89" s="104">
        <v>5.4</v>
      </c>
      <c r="R89" s="104">
        <v>0.3</v>
      </c>
      <c r="S89" s="103">
        <v>-6.4</v>
      </c>
      <c r="T89" s="103"/>
    </row>
    <row r="90" spans="1:20" x14ac:dyDescent="0.2">
      <c r="B90" s="110">
        <v>38533</v>
      </c>
      <c r="C90" s="103">
        <v>2.5</v>
      </c>
      <c r="D90" s="103">
        <v>47.3</v>
      </c>
      <c r="E90" s="104">
        <v>0.1</v>
      </c>
      <c r="F90" s="103">
        <v>16.2</v>
      </c>
      <c r="G90" s="103">
        <v>0</v>
      </c>
      <c r="H90" s="103">
        <v>20.399999999999999</v>
      </c>
      <c r="I90" s="103">
        <v>5.8</v>
      </c>
      <c r="J90" s="103">
        <v>0</v>
      </c>
      <c r="K90" s="103">
        <v>0.4</v>
      </c>
      <c r="L90" s="104">
        <v>0</v>
      </c>
      <c r="M90" s="104">
        <v>0.7</v>
      </c>
      <c r="N90" s="104"/>
      <c r="O90" s="103">
        <v>6.2</v>
      </c>
      <c r="P90" s="103">
        <v>1.7</v>
      </c>
      <c r="Q90" s="104">
        <v>5.0999999999999996</v>
      </c>
      <c r="R90" s="104">
        <v>0.3</v>
      </c>
      <c r="S90" s="103">
        <v>-6.7</v>
      </c>
      <c r="T90" s="103"/>
    </row>
    <row r="91" spans="1:20" x14ac:dyDescent="0.2">
      <c r="B91" s="110">
        <v>38898</v>
      </c>
      <c r="C91" s="103">
        <v>2.8</v>
      </c>
      <c r="D91" s="103">
        <v>47.7</v>
      </c>
      <c r="E91" s="104">
        <v>0.1</v>
      </c>
      <c r="F91" s="103">
        <v>15.3</v>
      </c>
      <c r="G91" s="103">
        <v>0</v>
      </c>
      <c r="H91" s="103">
        <v>20.3</v>
      </c>
      <c r="I91" s="103">
        <v>5.8</v>
      </c>
      <c r="J91" s="103">
        <v>0</v>
      </c>
      <c r="K91" s="103">
        <v>0.4</v>
      </c>
      <c r="L91" s="104">
        <v>0.1</v>
      </c>
      <c r="M91" s="104">
        <v>0.7</v>
      </c>
      <c r="N91" s="104"/>
      <c r="O91" s="103">
        <v>6</v>
      </c>
      <c r="P91" s="103">
        <v>1.8</v>
      </c>
      <c r="Q91" s="104">
        <v>5.2</v>
      </c>
      <c r="R91" s="104">
        <v>0.4</v>
      </c>
      <c r="S91" s="103">
        <v>-6.6</v>
      </c>
    </row>
    <row r="92" spans="1:20" x14ac:dyDescent="0.2">
      <c r="B92" s="110">
        <v>39263</v>
      </c>
      <c r="C92" s="103">
        <v>2.8</v>
      </c>
      <c r="D92" s="103">
        <v>46.6</v>
      </c>
      <c r="E92" s="104">
        <v>0.1</v>
      </c>
      <c r="F92" s="103">
        <v>15.6</v>
      </c>
      <c r="G92" s="103">
        <v>0</v>
      </c>
      <c r="H92" s="103">
        <v>20.8</v>
      </c>
      <c r="I92" s="103">
        <v>6.3</v>
      </c>
      <c r="J92" s="103">
        <v>0</v>
      </c>
      <c r="K92" s="103">
        <v>0.3</v>
      </c>
      <c r="L92" s="104">
        <v>0</v>
      </c>
      <c r="M92" s="104">
        <v>0.6</v>
      </c>
      <c r="N92" s="104"/>
      <c r="O92" s="103">
        <v>5.8</v>
      </c>
      <c r="P92" s="103">
        <v>1.8</v>
      </c>
      <c r="Q92" s="104">
        <v>5.4</v>
      </c>
      <c r="R92" s="104">
        <v>0.4</v>
      </c>
      <c r="S92" s="103">
        <v>-6.4</v>
      </c>
    </row>
    <row r="93" spans="1:20" x14ac:dyDescent="0.2">
      <c r="B93" s="110">
        <v>39629</v>
      </c>
      <c r="C93" s="103">
        <v>2.8</v>
      </c>
      <c r="D93" s="103">
        <v>45.6</v>
      </c>
      <c r="E93" s="104">
        <v>0.1</v>
      </c>
      <c r="F93" s="103">
        <v>17.5</v>
      </c>
      <c r="G93" s="103">
        <v>0</v>
      </c>
      <c r="H93" s="103">
        <v>21.6</v>
      </c>
      <c r="I93" s="103">
        <v>5.5</v>
      </c>
      <c r="J93" s="103">
        <v>0</v>
      </c>
      <c r="K93" s="103">
        <v>0.1</v>
      </c>
      <c r="L93" s="104">
        <v>0</v>
      </c>
      <c r="M93" s="104">
        <v>0.8</v>
      </c>
      <c r="N93" s="104"/>
      <c r="O93" s="103">
        <v>6.1</v>
      </c>
      <c r="P93" s="103">
        <v>1.4</v>
      </c>
      <c r="Q93" s="104">
        <v>5.0999999999999996</v>
      </c>
      <c r="R93" s="104">
        <v>0.5</v>
      </c>
      <c r="S93" s="103">
        <v>-7.1</v>
      </c>
    </row>
    <row r="94" spans="1:20" x14ac:dyDescent="0.2">
      <c r="B94" s="110">
        <v>39994</v>
      </c>
      <c r="C94" s="103">
        <v>2.8</v>
      </c>
      <c r="D94" s="103">
        <v>48</v>
      </c>
      <c r="E94" s="104">
        <v>0.1</v>
      </c>
      <c r="F94" s="103">
        <v>16.399999999999999</v>
      </c>
      <c r="G94" s="103">
        <v>0</v>
      </c>
      <c r="H94" s="103">
        <v>20.3</v>
      </c>
      <c r="I94" s="103">
        <v>5.4</v>
      </c>
      <c r="J94" s="103">
        <v>0</v>
      </c>
      <c r="K94" s="103">
        <v>0.1</v>
      </c>
      <c r="L94" s="104">
        <v>0</v>
      </c>
      <c r="M94" s="104">
        <v>0.8</v>
      </c>
      <c r="N94" s="104"/>
      <c r="O94" s="103">
        <v>6.2</v>
      </c>
      <c r="P94" s="103">
        <v>1.3</v>
      </c>
      <c r="Q94" s="104">
        <v>4.9000000000000004</v>
      </c>
      <c r="R94" s="104">
        <v>0.4</v>
      </c>
      <c r="S94" s="103">
        <v>-6.8</v>
      </c>
    </row>
    <row r="95" spans="1:20" x14ac:dyDescent="0.2">
      <c r="B95" s="110">
        <v>40359</v>
      </c>
      <c r="C95" s="103">
        <v>2.8</v>
      </c>
      <c r="D95" s="103">
        <v>48.1</v>
      </c>
      <c r="E95" s="104">
        <v>0.1</v>
      </c>
      <c r="F95" s="103">
        <v>16.399999999999999</v>
      </c>
      <c r="G95" s="103">
        <v>0.1</v>
      </c>
      <c r="H95" s="103">
        <v>20.9</v>
      </c>
      <c r="I95" s="103">
        <v>5.0999999999999996</v>
      </c>
      <c r="J95" s="103">
        <v>0</v>
      </c>
      <c r="K95" s="103">
        <v>0</v>
      </c>
      <c r="L95" s="104">
        <v>0</v>
      </c>
      <c r="M95" s="104">
        <v>0.8</v>
      </c>
      <c r="N95" s="104"/>
      <c r="O95" s="103">
        <v>6.1</v>
      </c>
      <c r="P95" s="103">
        <v>1.2</v>
      </c>
      <c r="Q95" s="104">
        <v>5.5</v>
      </c>
      <c r="R95" s="104">
        <v>0.5</v>
      </c>
      <c r="S95" s="103">
        <v>-7.5</v>
      </c>
    </row>
    <row r="96" spans="1:20" x14ac:dyDescent="0.2">
      <c r="B96" s="110">
        <v>40724</v>
      </c>
      <c r="C96" s="103">
        <v>2.2999999999999998</v>
      </c>
      <c r="D96" s="103">
        <v>47.1</v>
      </c>
      <c r="E96" s="104">
        <v>0.1</v>
      </c>
      <c r="F96" s="103">
        <v>16.899999999999999</v>
      </c>
      <c r="G96" s="103">
        <v>0</v>
      </c>
      <c r="H96" s="103">
        <v>22.1</v>
      </c>
      <c r="I96" s="103">
        <v>5.3</v>
      </c>
      <c r="J96" s="103">
        <v>0</v>
      </c>
      <c r="K96" s="103"/>
      <c r="L96" s="104">
        <v>0.1</v>
      </c>
      <c r="M96" s="104">
        <v>0.7</v>
      </c>
      <c r="N96" s="104"/>
      <c r="O96" s="103">
        <v>6.2</v>
      </c>
      <c r="P96" s="103">
        <v>1.2</v>
      </c>
      <c r="Q96" s="104">
        <v>5.0999999999999996</v>
      </c>
      <c r="R96" s="104">
        <v>0.5</v>
      </c>
      <c r="S96" s="103">
        <v>-7.5</v>
      </c>
    </row>
    <row r="97" spans="1:20" x14ac:dyDescent="0.2">
      <c r="B97" s="110"/>
      <c r="C97" s="103"/>
      <c r="D97" s="103"/>
      <c r="E97" s="104"/>
      <c r="F97" s="103"/>
      <c r="G97" s="103"/>
      <c r="H97" s="103"/>
      <c r="I97" s="103"/>
      <c r="J97" s="103"/>
      <c r="K97" s="103"/>
      <c r="L97" s="104"/>
      <c r="M97" s="104"/>
      <c r="N97" s="104"/>
      <c r="O97" s="103"/>
      <c r="P97" s="103"/>
      <c r="Q97" s="104"/>
      <c r="R97" s="104"/>
      <c r="S97" s="103"/>
    </row>
    <row r="98" spans="1:20" x14ac:dyDescent="0.2">
      <c r="B98" s="112" t="s">
        <v>527</v>
      </c>
      <c r="C98" s="113">
        <f>AVERAGE(C88:C92)</f>
        <v>2.72</v>
      </c>
      <c r="D98" s="103">
        <f t="shared" ref="D98:S98" si="12">AVERAGE(D88:D92)</f>
        <v>47.22</v>
      </c>
      <c r="E98" s="104">
        <f t="shared" si="12"/>
        <v>0.1</v>
      </c>
      <c r="F98" s="103">
        <f t="shared" si="12"/>
        <v>15.86</v>
      </c>
      <c r="G98" s="103">
        <f t="shared" si="12"/>
        <v>0</v>
      </c>
      <c r="H98" s="103">
        <f t="shared" si="12"/>
        <v>20.100000000000001</v>
      </c>
      <c r="I98" s="103">
        <f t="shared" si="12"/>
        <v>5.96</v>
      </c>
      <c r="J98" s="103">
        <f t="shared" si="12"/>
        <v>0.02</v>
      </c>
      <c r="K98" s="103">
        <f t="shared" si="12"/>
        <v>0.33999999999999997</v>
      </c>
      <c r="L98" s="104">
        <f t="shared" si="12"/>
        <v>0.04</v>
      </c>
      <c r="M98" s="104">
        <f t="shared" si="12"/>
        <v>0.70000000000000007</v>
      </c>
      <c r="N98" s="104"/>
      <c r="O98" s="103">
        <f t="shared" si="12"/>
        <v>6.0600000000000005</v>
      </c>
      <c r="P98" s="103">
        <f t="shared" si="12"/>
        <v>1.8199999999999998</v>
      </c>
      <c r="Q98" s="104">
        <f t="shared" si="12"/>
        <v>5.3400000000000007</v>
      </c>
      <c r="R98" s="104">
        <f t="shared" si="12"/>
        <v>0.33999999999999997</v>
      </c>
      <c r="S98" s="103">
        <f t="shared" si="12"/>
        <v>-6.58</v>
      </c>
      <c r="T98" s="114">
        <f>E98+L98+M98+N98+Q98+R98</f>
        <v>6.5200000000000005</v>
      </c>
    </row>
    <row r="99" spans="1:20" x14ac:dyDescent="0.2">
      <c r="A99" s="100">
        <v>5</v>
      </c>
      <c r="B99" s="112" t="s">
        <v>166</v>
      </c>
      <c r="C99" s="113">
        <f>AVERAGE(C93:C96)</f>
        <v>2.6749999999999998</v>
      </c>
      <c r="D99" s="113">
        <f t="shared" ref="D99:S99" si="13">AVERAGE(D93:D96)</f>
        <v>47.199999999999996</v>
      </c>
      <c r="E99" s="115">
        <f t="shared" si="13"/>
        <v>0.1</v>
      </c>
      <c r="F99" s="113">
        <f t="shared" si="13"/>
        <v>16.799999999999997</v>
      </c>
      <c r="G99" s="113">
        <f t="shared" si="13"/>
        <v>2.5000000000000001E-2</v>
      </c>
      <c r="H99" s="113">
        <f t="shared" si="13"/>
        <v>21.225000000000001</v>
      </c>
      <c r="I99" s="113">
        <f t="shared" si="13"/>
        <v>5.3250000000000002</v>
      </c>
      <c r="J99" s="113">
        <f t="shared" si="13"/>
        <v>0</v>
      </c>
      <c r="K99" s="113">
        <f t="shared" si="13"/>
        <v>6.6666666666666666E-2</v>
      </c>
      <c r="L99" s="115">
        <f t="shared" si="13"/>
        <v>2.5000000000000001E-2</v>
      </c>
      <c r="M99" s="115">
        <f t="shared" si="13"/>
        <v>0.77500000000000013</v>
      </c>
      <c r="N99" s="115"/>
      <c r="O99" s="113">
        <f t="shared" si="13"/>
        <v>6.1499999999999995</v>
      </c>
      <c r="P99" s="113">
        <f t="shared" si="13"/>
        <v>1.2750000000000001</v>
      </c>
      <c r="Q99" s="115">
        <f t="shared" si="13"/>
        <v>5.15</v>
      </c>
      <c r="R99" s="115">
        <f t="shared" si="13"/>
        <v>0.47499999999999998</v>
      </c>
      <c r="S99" s="113">
        <f t="shared" si="13"/>
        <v>-7.2249999999999996</v>
      </c>
      <c r="T99" s="114">
        <f>E99+L99+M99+N99+Q99+R99</f>
        <v>6.5250000000000004</v>
      </c>
    </row>
  </sheetData>
  <hyperlinks>
    <hyperlink ref="B1" location="Contents!A1" display="Back to Contents" xr:uid="{00000000-0004-0000-0B00-000000000000}"/>
    <hyperlink ref="B34" location="Contents!A1" display="Back to Contents" xr:uid="{00000000-0004-0000-0B00-000001000000}"/>
    <hyperlink ref="B51" location="Contents!A1" display="Back to Contents" xr:uid="{00000000-0004-0000-0B00-000002000000}"/>
    <hyperlink ref="B68" location="Contents!A1" display="Back to Contents" xr:uid="{00000000-0004-0000-0B00-000003000000}"/>
    <hyperlink ref="B85" location="Contents!A1" display="Back to Contents" xr:uid="{00000000-0004-0000-0B00-000004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599"/>
  <sheetViews>
    <sheetView zoomScale="80" zoomScaleNormal="80" workbookViewId="0">
      <pane ySplit="1" topLeftCell="A2" activePane="bottomLeft" state="frozen"/>
      <selection pane="bottomLeft" activeCell="J4" sqref="J4"/>
    </sheetView>
  </sheetViews>
  <sheetFormatPr defaultColWidth="9.140625" defaultRowHeight="12.75" x14ac:dyDescent="0.2"/>
  <cols>
    <col min="1" max="1" width="29.85546875" style="22" customWidth="1"/>
    <col min="2" max="5" width="18.42578125" style="22" customWidth="1"/>
    <col min="6" max="16384" width="9.140625" style="22"/>
  </cols>
  <sheetData>
    <row r="1" spans="1:10" x14ac:dyDescent="0.2">
      <c r="A1" s="20" t="s">
        <v>661</v>
      </c>
    </row>
    <row r="2" spans="1:10" x14ac:dyDescent="0.2">
      <c r="F2" s="22" t="s">
        <v>670</v>
      </c>
      <c r="J2" s="22" t="s">
        <v>861</v>
      </c>
    </row>
    <row r="3" spans="1:10" x14ac:dyDescent="0.2">
      <c r="A3" s="22" t="s">
        <v>100</v>
      </c>
      <c r="B3" s="22" t="s">
        <v>662</v>
      </c>
      <c r="C3" s="117">
        <f>AVERAGE(B22:B73)</f>
        <v>1045.1923076923076</v>
      </c>
      <c r="D3" s="117">
        <f>AVERAGE(E22:E73)</f>
        <v>73.042307692307674</v>
      </c>
    </row>
    <row r="4" spans="1:10" x14ac:dyDescent="0.2">
      <c r="B4" s="117" t="s">
        <v>663</v>
      </c>
      <c r="C4" s="117">
        <f>AVERAGE(C74:C126)</f>
        <v>1061.8867924528302</v>
      </c>
      <c r="D4" s="117">
        <f>AVERAGE(E74:E126)</f>
        <v>70.764150943396203</v>
      </c>
      <c r="F4" s="117">
        <f>AVERAGE(C3:C4)</f>
        <v>1053.539550072569</v>
      </c>
      <c r="G4" s="117">
        <f>AVERAGE(D3:D4)</f>
        <v>71.903229317851938</v>
      </c>
      <c r="J4" s="22">
        <f>F4*365*Conv!$C$47*Conv!$I$6*10^-6</f>
        <v>2401.6951140856318</v>
      </c>
    </row>
    <row r="5" spans="1:10" x14ac:dyDescent="0.2">
      <c r="B5" s="117"/>
      <c r="C5" s="117"/>
      <c r="D5" s="117"/>
    </row>
    <row r="6" spans="1:10" x14ac:dyDescent="0.2">
      <c r="A6" s="22" t="s">
        <v>101</v>
      </c>
      <c r="B6" s="22" t="s">
        <v>662</v>
      </c>
      <c r="C6" s="117">
        <f>AVERAGE(B139:B190)</f>
        <v>3299.6346153846152</v>
      </c>
      <c r="D6" s="117">
        <f>AVERAGE(E139:E190)</f>
        <v>89.621153846153845</v>
      </c>
    </row>
    <row r="7" spans="1:10" x14ac:dyDescent="0.2">
      <c r="B7" s="117" t="s">
        <v>663</v>
      </c>
      <c r="C7" s="117">
        <f>AVERAGE(B191:B243)</f>
        <v>3440.4150943396226</v>
      </c>
      <c r="D7" s="117">
        <f>AVERAGE(E191:E243)</f>
        <v>93.266037735849025</v>
      </c>
      <c r="F7" s="117">
        <f>AVERAGE(C6:C7)</f>
        <v>3370.0248548621189</v>
      </c>
      <c r="G7" s="117">
        <f>AVERAGE(D6:D7)</f>
        <v>91.443595791001428</v>
      </c>
      <c r="J7" s="22">
        <f>F7*365*Conv!$C$47*Conv!$I$6*10^-6</f>
        <v>7682.4569402373018</v>
      </c>
    </row>
    <row r="8" spans="1:10" x14ac:dyDescent="0.2">
      <c r="B8" s="117"/>
      <c r="C8" s="117"/>
    </row>
    <row r="9" spans="1:10" x14ac:dyDescent="0.2">
      <c r="A9" s="22" t="s">
        <v>102</v>
      </c>
      <c r="B9" s="22" t="s">
        <v>662</v>
      </c>
      <c r="C9" s="117">
        <f>AVERAGE(B255:B306)</f>
        <v>7342.8846153846152</v>
      </c>
      <c r="D9" s="117">
        <f>AVERAGE(E255:E306)</f>
        <v>87.751923076923106</v>
      </c>
    </row>
    <row r="10" spans="1:10" x14ac:dyDescent="0.2">
      <c r="B10" s="117" t="s">
        <v>663</v>
      </c>
      <c r="C10" s="117">
        <f>AVERAGE(B307:B360)</f>
        <v>7487</v>
      </c>
      <c r="D10" s="117">
        <f>AVERAGE(E307:E360)</f>
        <v>87.977777777777774</v>
      </c>
      <c r="F10" s="117">
        <f>AVERAGE(C9:C10)</f>
        <v>7414.9423076923076</v>
      </c>
      <c r="G10" s="117">
        <f>AVERAGE(D9:D10)</f>
        <v>87.864850427350433</v>
      </c>
      <c r="J10" s="22">
        <f>F10*365*Conv!$C$47*Conv!$I$6*10^-6</f>
        <v>16903.428742076925</v>
      </c>
    </row>
    <row r="11" spans="1:10" x14ac:dyDescent="0.2">
      <c r="B11" s="117"/>
      <c r="C11" s="117"/>
    </row>
    <row r="12" spans="1:10" x14ac:dyDescent="0.2">
      <c r="A12" s="22" t="s">
        <v>103</v>
      </c>
      <c r="B12" s="22" t="s">
        <v>662</v>
      </c>
      <c r="C12" s="117">
        <f>AVERAGE(B372:B423)</f>
        <v>536.84615384615381</v>
      </c>
      <c r="D12" s="117">
        <f>AVERAGE(E372:E423)</f>
        <v>86.544230769230779</v>
      </c>
    </row>
    <row r="13" spans="1:10" x14ac:dyDescent="0.2">
      <c r="B13" s="117" t="s">
        <v>663</v>
      </c>
      <c r="C13" s="117">
        <f>AVERAGE(B424:B477)</f>
        <v>551.07407407407402</v>
      </c>
      <c r="D13" s="117">
        <f>AVERAGE(E424:E477)</f>
        <v>88.914814814814804</v>
      </c>
      <c r="F13" s="117">
        <f>AVERAGE(C12:C13)</f>
        <v>543.96011396011386</v>
      </c>
      <c r="G13" s="117">
        <f>AVERAGE(D12:D13)</f>
        <v>87.729522792022792</v>
      </c>
      <c r="J13" s="22">
        <f>F13*365*Conv!$C$47*Conv!$I$6*10^-6</f>
        <v>1240.0354100284901</v>
      </c>
    </row>
    <row r="14" spans="1:10" x14ac:dyDescent="0.2">
      <c r="B14" s="117"/>
      <c r="C14" s="117"/>
    </row>
    <row r="15" spans="1:10" x14ac:dyDescent="0.2">
      <c r="A15" s="22" t="s">
        <v>104</v>
      </c>
      <c r="B15" s="22" t="s">
        <v>662</v>
      </c>
      <c r="C15" s="117">
        <f>AVERAGE(B488:B539)</f>
        <v>2342.3269230769229</v>
      </c>
      <c r="D15" s="117">
        <f>AVERAGE(E488:E539)</f>
        <v>79.594230769230762</v>
      </c>
    </row>
    <row r="16" spans="1:10" x14ac:dyDescent="0.2">
      <c r="B16" s="117" t="s">
        <v>663</v>
      </c>
      <c r="C16" s="117">
        <f>AVERAGE(B540:B593)</f>
        <v>2376.3703703703704</v>
      </c>
      <c r="D16" s="117">
        <f>AVERAGE(E540:E593)</f>
        <v>80.944444444444457</v>
      </c>
      <c r="F16" s="117">
        <f>AVERAGE(C15:C16)</f>
        <v>2359.3486467236467</v>
      </c>
      <c r="G16" s="117">
        <f>AVERAGE(D15:D16)</f>
        <v>80.26933760683761</v>
      </c>
      <c r="J16" s="22">
        <f>F16*365*Conv!$C$47*Conv!$I$6*10^-6</f>
        <v>5378.474986411682</v>
      </c>
    </row>
    <row r="18" spans="1:10" x14ac:dyDescent="0.2">
      <c r="J18" s="22">
        <f>SUM(J4:J17)</f>
        <v>33606.091192840031</v>
      </c>
    </row>
    <row r="19" spans="1:10" x14ac:dyDescent="0.2">
      <c r="A19" s="101" t="s">
        <v>384</v>
      </c>
      <c r="B19" s="102" t="s">
        <v>620</v>
      </c>
      <c r="C19" s="103"/>
      <c r="D19" s="103"/>
      <c r="E19" s="103"/>
      <c r="F19" s="103"/>
    </row>
    <row r="20" spans="1:10" ht="25.5" x14ac:dyDescent="0.2">
      <c r="A20" s="105" t="s">
        <v>490</v>
      </c>
      <c r="B20" s="106" t="s">
        <v>621</v>
      </c>
      <c r="C20" s="106" t="s">
        <v>622</v>
      </c>
      <c r="D20" s="106" t="s">
        <v>623</v>
      </c>
      <c r="E20" s="106" t="s">
        <v>624</v>
      </c>
      <c r="F20" s="106"/>
    </row>
    <row r="21" spans="1:10" ht="113.25" customHeight="1" x14ac:dyDescent="0.2">
      <c r="A21" s="105" t="s">
        <v>508</v>
      </c>
      <c r="B21" s="108" t="s">
        <v>625</v>
      </c>
      <c r="C21" s="108" t="s">
        <v>626</v>
      </c>
      <c r="D21" s="108" t="s">
        <v>627</v>
      </c>
      <c r="E21" s="108" t="s">
        <v>628</v>
      </c>
      <c r="F21" s="108"/>
    </row>
    <row r="22" spans="1:10" x14ac:dyDescent="0.2">
      <c r="A22" s="118">
        <v>40354</v>
      </c>
      <c r="B22" s="103">
        <v>1207</v>
      </c>
      <c r="C22" s="103">
        <v>1212</v>
      </c>
      <c r="D22" s="103">
        <v>1397</v>
      </c>
      <c r="E22" s="103">
        <v>86.8</v>
      </c>
    </row>
    <row r="23" spans="1:10" x14ac:dyDescent="0.2">
      <c r="A23" s="118">
        <v>40361</v>
      </c>
      <c r="B23" s="103">
        <v>1211</v>
      </c>
      <c r="C23" s="103">
        <v>1219</v>
      </c>
      <c r="D23" s="103">
        <v>1397</v>
      </c>
      <c r="E23" s="103">
        <v>87.3</v>
      </c>
    </row>
    <row r="24" spans="1:10" x14ac:dyDescent="0.2">
      <c r="A24" s="118">
        <v>40368</v>
      </c>
      <c r="B24" s="103">
        <v>1224</v>
      </c>
      <c r="C24" s="103">
        <v>1234</v>
      </c>
      <c r="D24" s="103">
        <v>1397</v>
      </c>
      <c r="E24" s="103">
        <v>88.3</v>
      </c>
    </row>
    <row r="25" spans="1:10" x14ac:dyDescent="0.2">
      <c r="A25" s="118">
        <v>40375</v>
      </c>
      <c r="B25" s="103">
        <v>1243</v>
      </c>
      <c r="C25" s="103">
        <v>1255</v>
      </c>
      <c r="D25" s="103">
        <v>1397</v>
      </c>
      <c r="E25" s="103">
        <v>89.8</v>
      </c>
    </row>
    <row r="26" spans="1:10" x14ac:dyDescent="0.2">
      <c r="A26" s="118">
        <v>40382</v>
      </c>
      <c r="B26" s="103">
        <v>1256</v>
      </c>
      <c r="C26" s="103">
        <v>1273</v>
      </c>
      <c r="D26" s="103">
        <v>1397</v>
      </c>
      <c r="E26" s="103">
        <v>91.1</v>
      </c>
    </row>
    <row r="27" spans="1:10" x14ac:dyDescent="0.2">
      <c r="A27" s="118">
        <v>40389</v>
      </c>
      <c r="B27" s="103">
        <v>1258</v>
      </c>
      <c r="C27" s="103">
        <v>1273</v>
      </c>
      <c r="D27" s="103">
        <v>1397</v>
      </c>
      <c r="E27" s="103">
        <v>91.1</v>
      </c>
    </row>
    <row r="28" spans="1:10" x14ac:dyDescent="0.2">
      <c r="A28" s="118">
        <v>40396</v>
      </c>
      <c r="B28" s="103">
        <v>1230</v>
      </c>
      <c r="C28" s="103">
        <v>1247</v>
      </c>
      <c r="D28" s="103">
        <v>1397</v>
      </c>
      <c r="E28" s="103">
        <v>89.3</v>
      </c>
    </row>
    <row r="29" spans="1:10" x14ac:dyDescent="0.2">
      <c r="A29" s="118">
        <v>40403</v>
      </c>
      <c r="B29" s="103">
        <v>1213</v>
      </c>
      <c r="C29" s="103">
        <v>1229</v>
      </c>
      <c r="D29" s="103">
        <v>1397</v>
      </c>
      <c r="E29" s="103">
        <v>88</v>
      </c>
    </row>
    <row r="30" spans="1:10" x14ac:dyDescent="0.2">
      <c r="A30" s="118">
        <v>40410</v>
      </c>
      <c r="B30" s="103">
        <v>1199</v>
      </c>
      <c r="C30" s="103">
        <v>1213</v>
      </c>
      <c r="D30" s="103">
        <v>1397</v>
      </c>
      <c r="E30" s="103">
        <v>86.8</v>
      </c>
    </row>
    <row r="31" spans="1:10" x14ac:dyDescent="0.2">
      <c r="A31" s="118">
        <v>40417</v>
      </c>
      <c r="B31" s="103">
        <v>1175</v>
      </c>
      <c r="C31" s="103">
        <v>1190</v>
      </c>
      <c r="D31" s="103">
        <v>1397</v>
      </c>
      <c r="E31" s="103">
        <v>85.2</v>
      </c>
    </row>
    <row r="32" spans="1:10" x14ac:dyDescent="0.2">
      <c r="A32" s="118">
        <v>40424</v>
      </c>
      <c r="B32" s="103">
        <v>1189</v>
      </c>
      <c r="C32" s="103">
        <v>1200</v>
      </c>
      <c r="D32" s="103">
        <v>1397</v>
      </c>
      <c r="E32" s="103">
        <v>85.9</v>
      </c>
    </row>
    <row r="33" spans="1:5" x14ac:dyDescent="0.2">
      <c r="A33" s="118">
        <v>40431</v>
      </c>
      <c r="B33" s="103">
        <v>1164</v>
      </c>
      <c r="C33" s="103">
        <v>1168</v>
      </c>
      <c r="D33" s="103">
        <v>1397</v>
      </c>
      <c r="E33" s="103">
        <v>83.6</v>
      </c>
    </row>
    <row r="34" spans="1:5" x14ac:dyDescent="0.2">
      <c r="A34" s="118">
        <v>40438</v>
      </c>
      <c r="B34" s="103">
        <v>1138</v>
      </c>
      <c r="C34" s="103">
        <v>1138</v>
      </c>
      <c r="D34" s="103">
        <v>1397</v>
      </c>
      <c r="E34" s="103">
        <v>81.5</v>
      </c>
    </row>
    <row r="35" spans="1:5" x14ac:dyDescent="0.2">
      <c r="A35" s="118">
        <v>40445</v>
      </c>
      <c r="B35" s="103">
        <v>1119</v>
      </c>
      <c r="C35" s="103">
        <v>1118</v>
      </c>
      <c r="D35" s="103">
        <v>1397</v>
      </c>
      <c r="E35" s="103">
        <v>80</v>
      </c>
    </row>
    <row r="36" spans="1:5" x14ac:dyDescent="0.2">
      <c r="A36" s="118">
        <v>40452</v>
      </c>
      <c r="B36" s="103">
        <v>1069</v>
      </c>
      <c r="C36" s="103">
        <v>1067</v>
      </c>
      <c r="D36" s="103">
        <v>1397</v>
      </c>
      <c r="E36" s="103">
        <v>76.3</v>
      </c>
    </row>
    <row r="37" spans="1:5" x14ac:dyDescent="0.2">
      <c r="A37" s="118">
        <v>40459</v>
      </c>
      <c r="B37" s="103">
        <v>1010</v>
      </c>
      <c r="C37" s="103">
        <v>1006</v>
      </c>
      <c r="D37" s="103">
        <v>1397</v>
      </c>
      <c r="E37" s="103">
        <v>72</v>
      </c>
    </row>
    <row r="38" spans="1:5" x14ac:dyDescent="0.2">
      <c r="A38" s="118">
        <v>40466</v>
      </c>
      <c r="B38" s="103">
        <v>951</v>
      </c>
      <c r="C38" s="103">
        <v>941</v>
      </c>
      <c r="D38" s="103">
        <v>1397</v>
      </c>
      <c r="E38" s="103">
        <v>67.400000000000006</v>
      </c>
    </row>
    <row r="39" spans="1:5" x14ac:dyDescent="0.2">
      <c r="A39" s="118">
        <v>40473</v>
      </c>
      <c r="B39" s="103">
        <v>880</v>
      </c>
      <c r="C39" s="103">
        <v>870</v>
      </c>
      <c r="D39" s="103">
        <v>1397</v>
      </c>
      <c r="E39" s="103">
        <v>62.2</v>
      </c>
    </row>
    <row r="40" spans="1:5" x14ac:dyDescent="0.2">
      <c r="A40" s="118">
        <v>40480</v>
      </c>
      <c r="B40" s="103">
        <v>833</v>
      </c>
      <c r="C40" s="103">
        <v>827</v>
      </c>
      <c r="D40" s="103">
        <v>1397</v>
      </c>
      <c r="E40" s="103">
        <v>59.2</v>
      </c>
    </row>
    <row r="41" spans="1:5" x14ac:dyDescent="0.2">
      <c r="A41" s="118">
        <v>40487</v>
      </c>
      <c r="B41" s="103">
        <v>814</v>
      </c>
      <c r="C41" s="103">
        <v>812</v>
      </c>
      <c r="D41" s="103">
        <v>1397</v>
      </c>
      <c r="E41" s="103">
        <v>58.1</v>
      </c>
    </row>
    <row r="42" spans="1:5" x14ac:dyDescent="0.2">
      <c r="A42" s="118">
        <v>40494</v>
      </c>
      <c r="B42" s="103">
        <v>809</v>
      </c>
      <c r="C42" s="103">
        <v>805</v>
      </c>
      <c r="D42" s="103">
        <v>1397</v>
      </c>
      <c r="E42" s="103">
        <v>57.6</v>
      </c>
    </row>
    <row r="43" spans="1:5" x14ac:dyDescent="0.2">
      <c r="A43" s="118">
        <v>40501</v>
      </c>
      <c r="B43" s="103">
        <v>813</v>
      </c>
      <c r="C43" s="103">
        <v>810</v>
      </c>
      <c r="D43" s="103">
        <v>1397</v>
      </c>
      <c r="E43" s="103">
        <v>58</v>
      </c>
    </row>
    <row r="44" spans="1:5" x14ac:dyDescent="0.2">
      <c r="A44" s="118">
        <v>40508</v>
      </c>
      <c r="B44" s="103">
        <v>859</v>
      </c>
      <c r="C44" s="103">
        <v>854</v>
      </c>
      <c r="D44" s="103">
        <v>1397</v>
      </c>
      <c r="E44" s="103">
        <v>61.1</v>
      </c>
    </row>
    <row r="45" spans="1:5" x14ac:dyDescent="0.2">
      <c r="A45" s="118">
        <v>40515</v>
      </c>
      <c r="B45" s="103">
        <v>939</v>
      </c>
      <c r="C45" s="103">
        <v>930</v>
      </c>
      <c r="D45" s="103">
        <v>1397</v>
      </c>
      <c r="E45" s="103">
        <v>66.599999999999994</v>
      </c>
    </row>
    <row r="46" spans="1:5" x14ac:dyDescent="0.2">
      <c r="A46" s="118">
        <v>40522</v>
      </c>
      <c r="B46" s="103">
        <v>1006</v>
      </c>
      <c r="C46" s="103">
        <v>1003</v>
      </c>
      <c r="D46" s="103">
        <v>1397</v>
      </c>
      <c r="E46" s="103">
        <v>71.8</v>
      </c>
    </row>
    <row r="47" spans="1:5" x14ac:dyDescent="0.2">
      <c r="A47" s="118">
        <v>40529</v>
      </c>
      <c r="B47" s="103">
        <v>1068</v>
      </c>
      <c r="C47" s="103">
        <v>1064</v>
      </c>
      <c r="D47" s="103">
        <v>1397</v>
      </c>
      <c r="E47" s="103">
        <v>76.099999999999994</v>
      </c>
    </row>
    <row r="48" spans="1:5" x14ac:dyDescent="0.2">
      <c r="A48" s="118">
        <v>40536</v>
      </c>
      <c r="B48" s="103">
        <v>1083</v>
      </c>
      <c r="C48" s="103">
        <v>1077</v>
      </c>
      <c r="D48" s="103">
        <v>1397</v>
      </c>
      <c r="E48" s="103">
        <v>77.099999999999994</v>
      </c>
    </row>
    <row r="49" spans="1:5" x14ac:dyDescent="0.2">
      <c r="A49" s="118">
        <v>40543</v>
      </c>
      <c r="B49" s="103">
        <v>1034</v>
      </c>
      <c r="C49" s="103">
        <v>1034</v>
      </c>
      <c r="D49" s="103">
        <v>1397</v>
      </c>
      <c r="E49" s="103">
        <v>74</v>
      </c>
    </row>
    <row r="50" spans="1:5" x14ac:dyDescent="0.2">
      <c r="A50" s="118">
        <v>40550</v>
      </c>
      <c r="B50" s="103">
        <v>998</v>
      </c>
      <c r="C50" s="103">
        <v>986</v>
      </c>
      <c r="D50" s="103">
        <v>1397</v>
      </c>
      <c r="E50" s="103">
        <v>70.5</v>
      </c>
    </row>
    <row r="51" spans="1:5" x14ac:dyDescent="0.2">
      <c r="A51" s="118">
        <v>40557</v>
      </c>
      <c r="B51" s="103">
        <v>965</v>
      </c>
      <c r="C51" s="103">
        <v>946</v>
      </c>
      <c r="D51" s="103">
        <v>1397</v>
      </c>
      <c r="E51" s="103">
        <v>67.7</v>
      </c>
    </row>
    <row r="52" spans="1:5" x14ac:dyDescent="0.2">
      <c r="A52" s="118">
        <v>40564</v>
      </c>
      <c r="B52" s="103">
        <v>969</v>
      </c>
      <c r="C52" s="103">
        <v>951</v>
      </c>
      <c r="D52" s="103">
        <v>1397</v>
      </c>
      <c r="E52" s="103">
        <v>68.099999999999994</v>
      </c>
    </row>
    <row r="53" spans="1:5" x14ac:dyDescent="0.2">
      <c r="A53" s="118">
        <v>40571</v>
      </c>
      <c r="B53" s="103">
        <v>1019</v>
      </c>
      <c r="C53" s="103">
        <v>993</v>
      </c>
      <c r="D53" s="103">
        <v>1397</v>
      </c>
      <c r="E53" s="103">
        <v>71.099999999999994</v>
      </c>
    </row>
    <row r="54" spans="1:5" x14ac:dyDescent="0.2">
      <c r="A54" s="118">
        <v>40578</v>
      </c>
      <c r="B54" s="103">
        <v>1059</v>
      </c>
      <c r="C54" s="103">
        <v>1041</v>
      </c>
      <c r="D54" s="103">
        <v>1397</v>
      </c>
      <c r="E54" s="103">
        <v>74.5</v>
      </c>
    </row>
    <row r="55" spans="1:5" x14ac:dyDescent="0.2">
      <c r="A55" s="118">
        <v>40585</v>
      </c>
      <c r="B55" s="103">
        <v>1088</v>
      </c>
      <c r="C55" s="103">
        <v>1072</v>
      </c>
      <c r="D55" s="103">
        <v>1397</v>
      </c>
      <c r="E55" s="103">
        <v>76.7</v>
      </c>
    </row>
    <row r="56" spans="1:5" x14ac:dyDescent="0.2">
      <c r="A56" s="118">
        <v>40592</v>
      </c>
      <c r="B56" s="103">
        <v>1068</v>
      </c>
      <c r="C56" s="103">
        <v>1046</v>
      </c>
      <c r="D56" s="103">
        <v>1397</v>
      </c>
      <c r="E56" s="103">
        <v>74.900000000000006</v>
      </c>
    </row>
    <row r="57" spans="1:5" x14ac:dyDescent="0.2">
      <c r="A57" s="118">
        <v>40599</v>
      </c>
      <c r="B57" s="103">
        <v>1019</v>
      </c>
      <c r="C57" s="103">
        <v>1000</v>
      </c>
      <c r="D57" s="103">
        <v>1397</v>
      </c>
      <c r="E57" s="103">
        <v>71.599999999999994</v>
      </c>
    </row>
    <row r="58" spans="1:5" x14ac:dyDescent="0.2">
      <c r="A58" s="118">
        <v>40606</v>
      </c>
      <c r="B58" s="103">
        <v>1004</v>
      </c>
      <c r="C58" s="103">
        <v>984</v>
      </c>
      <c r="D58" s="103">
        <v>1397</v>
      </c>
      <c r="E58" s="103">
        <v>70.400000000000006</v>
      </c>
    </row>
    <row r="59" spans="1:5" x14ac:dyDescent="0.2">
      <c r="A59" s="118">
        <v>40613</v>
      </c>
      <c r="B59" s="103">
        <v>1005</v>
      </c>
      <c r="C59" s="103">
        <v>989</v>
      </c>
      <c r="D59" s="103">
        <v>1397</v>
      </c>
      <c r="E59" s="103">
        <v>70.8</v>
      </c>
    </row>
    <row r="60" spans="1:5" x14ac:dyDescent="0.2">
      <c r="A60" s="118">
        <v>40620</v>
      </c>
      <c r="B60" s="103">
        <v>1037</v>
      </c>
      <c r="C60" s="103">
        <v>1026</v>
      </c>
      <c r="D60" s="103">
        <v>1397</v>
      </c>
      <c r="E60" s="103">
        <v>73.5</v>
      </c>
    </row>
    <row r="61" spans="1:5" x14ac:dyDescent="0.2">
      <c r="A61" s="118">
        <v>40627</v>
      </c>
      <c r="B61" s="103">
        <v>1039</v>
      </c>
      <c r="C61" s="103">
        <v>1030</v>
      </c>
      <c r="D61" s="103">
        <v>1397</v>
      </c>
      <c r="E61" s="103">
        <v>73.7</v>
      </c>
    </row>
    <row r="62" spans="1:5" x14ac:dyDescent="0.2">
      <c r="A62" s="118">
        <v>40634</v>
      </c>
      <c r="B62" s="103">
        <v>988</v>
      </c>
      <c r="C62" s="103">
        <v>979</v>
      </c>
      <c r="D62" s="103">
        <v>1397</v>
      </c>
      <c r="E62" s="103">
        <v>70.099999999999994</v>
      </c>
    </row>
    <row r="63" spans="1:5" x14ac:dyDescent="0.2">
      <c r="A63" s="118">
        <v>40641</v>
      </c>
      <c r="B63" s="103">
        <v>874</v>
      </c>
      <c r="C63" s="103">
        <v>865</v>
      </c>
      <c r="D63" s="103">
        <v>1443</v>
      </c>
      <c r="E63" s="103">
        <v>60.7</v>
      </c>
    </row>
    <row r="64" spans="1:5" x14ac:dyDescent="0.2">
      <c r="A64" s="118">
        <v>40648</v>
      </c>
      <c r="B64" s="103">
        <v>819</v>
      </c>
      <c r="C64" s="103">
        <v>811</v>
      </c>
      <c r="D64" s="103">
        <v>1489</v>
      </c>
      <c r="E64" s="103">
        <v>55</v>
      </c>
    </row>
    <row r="65" spans="1:5" x14ac:dyDescent="0.2">
      <c r="A65" s="118">
        <v>40655</v>
      </c>
      <c r="B65" s="103">
        <v>831</v>
      </c>
      <c r="C65" s="103">
        <v>825</v>
      </c>
      <c r="D65" s="103">
        <v>1534</v>
      </c>
      <c r="E65" s="103">
        <v>53.9</v>
      </c>
    </row>
    <row r="66" spans="1:5" x14ac:dyDescent="0.2">
      <c r="A66" s="118">
        <v>40662</v>
      </c>
      <c r="B66" s="103">
        <v>877</v>
      </c>
      <c r="C66" s="103">
        <v>878</v>
      </c>
      <c r="D66" s="103">
        <v>1580</v>
      </c>
      <c r="E66" s="103">
        <v>55.5</v>
      </c>
    </row>
    <row r="67" spans="1:5" x14ac:dyDescent="0.2">
      <c r="A67" s="118">
        <v>40669</v>
      </c>
      <c r="B67" s="103">
        <v>990</v>
      </c>
      <c r="C67" s="103">
        <v>993</v>
      </c>
      <c r="D67" s="103">
        <v>1580</v>
      </c>
      <c r="E67" s="103">
        <v>62.8</v>
      </c>
    </row>
    <row r="68" spans="1:5" x14ac:dyDescent="0.2">
      <c r="A68" s="118">
        <v>40676</v>
      </c>
      <c r="B68" s="103">
        <v>1066</v>
      </c>
      <c r="C68" s="103">
        <v>1067</v>
      </c>
      <c r="D68" s="103">
        <v>1580</v>
      </c>
      <c r="E68" s="103">
        <v>67.599999999999994</v>
      </c>
    </row>
    <row r="69" spans="1:5" x14ac:dyDescent="0.2">
      <c r="A69" s="118">
        <v>40683</v>
      </c>
      <c r="B69" s="103">
        <v>1109</v>
      </c>
      <c r="C69" s="103">
        <v>1112</v>
      </c>
      <c r="D69" s="103">
        <v>1580</v>
      </c>
      <c r="E69" s="103">
        <v>70.400000000000006</v>
      </c>
    </row>
    <row r="70" spans="1:5" x14ac:dyDescent="0.2">
      <c r="A70" s="118">
        <v>40690</v>
      </c>
      <c r="B70" s="103">
        <v>1138</v>
      </c>
      <c r="C70" s="103">
        <v>1139</v>
      </c>
      <c r="D70" s="103">
        <v>1580</v>
      </c>
      <c r="E70" s="103">
        <v>72.099999999999994</v>
      </c>
    </row>
    <row r="71" spans="1:5" x14ac:dyDescent="0.2">
      <c r="A71" s="118">
        <v>40697</v>
      </c>
      <c r="B71" s="103">
        <v>1153</v>
      </c>
      <c r="C71" s="103">
        <v>1150</v>
      </c>
      <c r="D71" s="103">
        <v>1580</v>
      </c>
      <c r="E71" s="103">
        <v>72.8</v>
      </c>
    </row>
    <row r="72" spans="1:5" x14ac:dyDescent="0.2">
      <c r="A72" s="118">
        <v>40704</v>
      </c>
      <c r="B72" s="103">
        <v>1114</v>
      </c>
      <c r="C72" s="103">
        <v>1113</v>
      </c>
      <c r="D72" s="103">
        <v>1580</v>
      </c>
      <c r="E72" s="103">
        <v>70.5</v>
      </c>
    </row>
    <row r="73" spans="1:5" x14ac:dyDescent="0.2">
      <c r="A73" s="118">
        <v>40711</v>
      </c>
      <c r="B73" s="103">
        <v>1127</v>
      </c>
      <c r="C73" s="103">
        <v>1123</v>
      </c>
      <c r="D73" s="103">
        <v>1580</v>
      </c>
      <c r="E73" s="103">
        <v>71.099999999999994</v>
      </c>
    </row>
    <row r="74" spans="1:5" x14ac:dyDescent="0.2">
      <c r="A74" s="118">
        <v>40718</v>
      </c>
      <c r="B74" s="103">
        <v>1123</v>
      </c>
      <c r="C74" s="103">
        <v>1120</v>
      </c>
      <c r="D74" s="103">
        <v>1580</v>
      </c>
      <c r="E74" s="103">
        <v>70.900000000000006</v>
      </c>
    </row>
    <row r="75" spans="1:5" x14ac:dyDescent="0.2">
      <c r="A75" s="118">
        <v>40725</v>
      </c>
      <c r="B75" s="103">
        <v>1140</v>
      </c>
      <c r="C75" s="103">
        <v>1139</v>
      </c>
      <c r="D75" s="103">
        <v>1580</v>
      </c>
      <c r="E75" s="103">
        <v>72.099999999999994</v>
      </c>
    </row>
    <row r="76" spans="1:5" x14ac:dyDescent="0.2">
      <c r="A76" s="118">
        <v>40732</v>
      </c>
      <c r="B76" s="103">
        <v>1214</v>
      </c>
      <c r="C76" s="103">
        <v>1213</v>
      </c>
      <c r="D76" s="103">
        <v>1590</v>
      </c>
      <c r="E76" s="103">
        <v>76.3</v>
      </c>
    </row>
    <row r="77" spans="1:5" x14ac:dyDescent="0.2">
      <c r="A77" s="118">
        <v>40739</v>
      </c>
      <c r="B77" s="103">
        <v>1241</v>
      </c>
      <c r="C77" s="103">
        <v>1242</v>
      </c>
      <c r="D77" s="103">
        <v>1599</v>
      </c>
      <c r="E77" s="103">
        <v>77.599999999999994</v>
      </c>
    </row>
    <row r="78" spans="1:5" x14ac:dyDescent="0.2">
      <c r="A78" s="118">
        <v>40746</v>
      </c>
      <c r="B78" s="103">
        <v>1276</v>
      </c>
      <c r="C78" s="103">
        <v>1277</v>
      </c>
      <c r="D78" s="103">
        <v>1609</v>
      </c>
      <c r="E78" s="103">
        <v>79.400000000000006</v>
      </c>
    </row>
    <row r="79" spans="1:5" x14ac:dyDescent="0.2">
      <c r="A79" s="118">
        <v>40753</v>
      </c>
      <c r="B79" s="103">
        <v>1299</v>
      </c>
      <c r="C79" s="103">
        <v>1302</v>
      </c>
      <c r="D79" s="103">
        <v>1618</v>
      </c>
      <c r="E79" s="103">
        <v>80.5</v>
      </c>
    </row>
    <row r="80" spans="1:5" x14ac:dyDescent="0.2">
      <c r="A80" s="118">
        <v>40760</v>
      </c>
      <c r="B80" s="103">
        <v>1311</v>
      </c>
      <c r="C80" s="103">
        <v>1311</v>
      </c>
      <c r="D80" s="103">
        <v>1618</v>
      </c>
      <c r="E80" s="103">
        <v>81</v>
      </c>
    </row>
    <row r="81" spans="1:5" x14ac:dyDescent="0.2">
      <c r="A81" s="118">
        <v>40767</v>
      </c>
      <c r="B81" s="103">
        <v>1306</v>
      </c>
      <c r="C81" s="103">
        <v>1307</v>
      </c>
      <c r="D81" s="103">
        <v>1618</v>
      </c>
      <c r="E81" s="103">
        <v>80.8</v>
      </c>
    </row>
    <row r="82" spans="1:5" x14ac:dyDescent="0.2">
      <c r="A82" s="118">
        <v>40774</v>
      </c>
      <c r="B82" s="103">
        <v>1315</v>
      </c>
      <c r="C82" s="103">
        <v>1316</v>
      </c>
      <c r="D82" s="103">
        <v>1618</v>
      </c>
      <c r="E82" s="103">
        <v>81.3</v>
      </c>
    </row>
    <row r="83" spans="1:5" x14ac:dyDescent="0.2">
      <c r="A83" s="118">
        <v>40781</v>
      </c>
      <c r="B83" s="103">
        <v>1331</v>
      </c>
      <c r="C83" s="103">
        <v>1331</v>
      </c>
      <c r="D83" s="103">
        <v>1618</v>
      </c>
      <c r="E83" s="103">
        <v>82.3</v>
      </c>
    </row>
    <row r="84" spans="1:5" x14ac:dyDescent="0.2">
      <c r="A84" s="118">
        <v>40788</v>
      </c>
      <c r="B84" s="103">
        <v>1230</v>
      </c>
      <c r="C84" s="103">
        <v>1232</v>
      </c>
      <c r="D84" s="103">
        <v>1618</v>
      </c>
      <c r="E84" s="103">
        <v>76.099999999999994</v>
      </c>
    </row>
    <row r="85" spans="1:5" x14ac:dyDescent="0.2">
      <c r="A85" s="118">
        <v>40795</v>
      </c>
      <c r="B85" s="103">
        <v>1212</v>
      </c>
      <c r="C85" s="103">
        <v>1212</v>
      </c>
      <c r="D85" s="103">
        <v>1618</v>
      </c>
      <c r="E85" s="103">
        <v>74.900000000000006</v>
      </c>
    </row>
    <row r="86" spans="1:5" x14ac:dyDescent="0.2">
      <c r="A86" s="118">
        <v>40802</v>
      </c>
      <c r="B86" s="103">
        <v>1200</v>
      </c>
      <c r="C86" s="103">
        <v>1201</v>
      </c>
      <c r="D86" s="103">
        <v>1618</v>
      </c>
      <c r="E86" s="103">
        <v>74.2</v>
      </c>
    </row>
    <row r="87" spans="1:5" x14ac:dyDescent="0.2">
      <c r="A87" s="118">
        <v>40809</v>
      </c>
      <c r="B87" s="103">
        <v>1165</v>
      </c>
      <c r="C87" s="103">
        <v>1166</v>
      </c>
      <c r="D87" s="103">
        <v>1618</v>
      </c>
      <c r="E87" s="103">
        <v>72.099999999999994</v>
      </c>
    </row>
    <row r="88" spans="1:5" x14ac:dyDescent="0.2">
      <c r="A88" s="118">
        <v>40816</v>
      </c>
      <c r="B88" s="103">
        <v>1217</v>
      </c>
      <c r="C88" s="103">
        <v>1217</v>
      </c>
      <c r="D88" s="103">
        <v>1618</v>
      </c>
      <c r="E88" s="103">
        <v>75.2</v>
      </c>
    </row>
    <row r="89" spans="1:5" x14ac:dyDescent="0.2">
      <c r="A89" s="118">
        <v>40823</v>
      </c>
      <c r="B89" s="103">
        <v>1192</v>
      </c>
      <c r="C89" s="103">
        <v>1194</v>
      </c>
      <c r="D89" s="103">
        <v>1618</v>
      </c>
      <c r="E89" s="103">
        <v>73.8</v>
      </c>
    </row>
    <row r="90" spans="1:5" x14ac:dyDescent="0.2">
      <c r="A90" s="118">
        <v>40830</v>
      </c>
      <c r="B90" s="103">
        <v>1151</v>
      </c>
      <c r="C90" s="103">
        <v>1152</v>
      </c>
      <c r="D90" s="103">
        <v>1618</v>
      </c>
      <c r="E90" s="103">
        <v>71.2</v>
      </c>
    </row>
    <row r="91" spans="1:5" x14ac:dyDescent="0.2">
      <c r="A91" s="118">
        <v>40837</v>
      </c>
      <c r="B91" s="103">
        <v>1122</v>
      </c>
      <c r="C91" s="103">
        <v>1123</v>
      </c>
      <c r="D91" s="103">
        <v>1618</v>
      </c>
      <c r="E91" s="103">
        <v>69.400000000000006</v>
      </c>
    </row>
    <row r="92" spans="1:5" x14ac:dyDescent="0.2">
      <c r="A92" s="118">
        <v>40844</v>
      </c>
      <c r="B92" s="103">
        <v>1127</v>
      </c>
      <c r="C92" s="103">
        <v>1129</v>
      </c>
      <c r="D92" s="103">
        <v>1618</v>
      </c>
      <c r="E92" s="103">
        <v>69.8</v>
      </c>
    </row>
    <row r="93" spans="1:5" x14ac:dyDescent="0.2">
      <c r="A93" s="118">
        <v>40851</v>
      </c>
      <c r="B93" s="103">
        <v>1145</v>
      </c>
      <c r="C93" s="103">
        <v>1141</v>
      </c>
      <c r="D93" s="103">
        <v>1618</v>
      </c>
      <c r="E93" s="103">
        <v>70.5</v>
      </c>
    </row>
    <row r="94" spans="1:5" x14ac:dyDescent="0.2">
      <c r="A94" s="118">
        <v>40858</v>
      </c>
      <c r="B94" s="103">
        <v>1165</v>
      </c>
      <c r="C94" s="103">
        <v>1155</v>
      </c>
      <c r="D94" s="103">
        <v>1618</v>
      </c>
      <c r="E94" s="103">
        <v>71.400000000000006</v>
      </c>
    </row>
    <row r="95" spans="1:5" x14ac:dyDescent="0.2">
      <c r="A95" s="118">
        <v>40865</v>
      </c>
      <c r="B95" s="103">
        <v>1164</v>
      </c>
      <c r="C95" s="103">
        <v>1155</v>
      </c>
      <c r="D95" s="103">
        <v>1618</v>
      </c>
      <c r="E95" s="103">
        <v>71.400000000000006</v>
      </c>
    </row>
    <row r="96" spans="1:5" x14ac:dyDescent="0.2">
      <c r="A96" s="118">
        <v>40872</v>
      </c>
      <c r="B96" s="103">
        <v>1141</v>
      </c>
      <c r="C96" s="103">
        <v>1131</v>
      </c>
      <c r="D96" s="103">
        <v>1618</v>
      </c>
      <c r="E96" s="103">
        <v>69.900000000000006</v>
      </c>
    </row>
    <row r="97" spans="1:5" x14ac:dyDescent="0.2">
      <c r="A97" s="118">
        <v>40879</v>
      </c>
      <c r="B97" s="103">
        <v>1102</v>
      </c>
      <c r="C97" s="103">
        <v>1097</v>
      </c>
      <c r="D97" s="103">
        <v>1618</v>
      </c>
      <c r="E97" s="103">
        <v>67.8</v>
      </c>
    </row>
    <row r="98" spans="1:5" x14ac:dyDescent="0.2">
      <c r="A98" s="118">
        <v>40886</v>
      </c>
      <c r="B98" s="103">
        <v>1077</v>
      </c>
      <c r="C98" s="103">
        <v>1078</v>
      </c>
      <c r="D98" s="103">
        <v>1618</v>
      </c>
      <c r="E98" s="103">
        <v>66.599999999999994</v>
      </c>
    </row>
    <row r="99" spans="1:5" x14ac:dyDescent="0.2">
      <c r="A99" s="118">
        <v>40893</v>
      </c>
      <c r="B99" s="103">
        <v>1037</v>
      </c>
      <c r="C99" s="103">
        <v>1038</v>
      </c>
      <c r="D99" s="103">
        <v>1618</v>
      </c>
      <c r="E99" s="103">
        <v>64.099999999999994</v>
      </c>
    </row>
    <row r="100" spans="1:5" x14ac:dyDescent="0.2">
      <c r="A100" s="118">
        <v>40900</v>
      </c>
      <c r="B100" s="103">
        <v>995</v>
      </c>
      <c r="C100" s="103">
        <v>995</v>
      </c>
      <c r="D100" s="103">
        <v>1618</v>
      </c>
      <c r="E100" s="103">
        <v>61.5</v>
      </c>
    </row>
    <row r="101" spans="1:5" x14ac:dyDescent="0.2">
      <c r="A101" s="118">
        <v>40907</v>
      </c>
      <c r="B101" s="103">
        <v>959</v>
      </c>
      <c r="C101" s="103">
        <v>960</v>
      </c>
      <c r="D101" s="103">
        <v>1618</v>
      </c>
      <c r="E101" s="103">
        <v>59.3</v>
      </c>
    </row>
    <row r="102" spans="1:5" x14ac:dyDescent="0.2">
      <c r="A102" s="118">
        <v>40914</v>
      </c>
      <c r="B102" s="103">
        <v>900</v>
      </c>
      <c r="C102" s="103">
        <v>901</v>
      </c>
      <c r="D102" s="103">
        <v>1618</v>
      </c>
      <c r="E102" s="103">
        <v>55.7</v>
      </c>
    </row>
    <row r="103" spans="1:5" x14ac:dyDescent="0.2">
      <c r="A103" s="118">
        <v>40921</v>
      </c>
      <c r="B103" s="103">
        <v>890</v>
      </c>
      <c r="C103" s="103">
        <v>891</v>
      </c>
      <c r="D103" s="103">
        <v>1618</v>
      </c>
      <c r="E103" s="103">
        <v>55.1</v>
      </c>
    </row>
    <row r="104" spans="1:5" x14ac:dyDescent="0.2">
      <c r="A104" s="118">
        <v>40928</v>
      </c>
      <c r="B104" s="103">
        <v>885</v>
      </c>
      <c r="C104" s="103">
        <v>885</v>
      </c>
      <c r="D104" s="103">
        <v>1618</v>
      </c>
      <c r="E104" s="103">
        <v>54.7</v>
      </c>
    </row>
    <row r="105" spans="1:5" x14ac:dyDescent="0.2">
      <c r="A105" s="118">
        <v>40935</v>
      </c>
      <c r="B105" s="103">
        <v>873</v>
      </c>
      <c r="C105" s="103">
        <v>874</v>
      </c>
      <c r="D105" s="103">
        <v>1618</v>
      </c>
      <c r="E105" s="103">
        <v>54</v>
      </c>
    </row>
    <row r="106" spans="1:5" x14ac:dyDescent="0.2">
      <c r="A106" s="118">
        <v>40942</v>
      </c>
      <c r="B106" s="103">
        <v>885</v>
      </c>
      <c r="C106" s="103">
        <v>886</v>
      </c>
      <c r="D106" s="103">
        <v>1618</v>
      </c>
      <c r="E106" s="103">
        <v>54.7</v>
      </c>
    </row>
    <row r="107" spans="1:5" x14ac:dyDescent="0.2">
      <c r="A107" s="118">
        <v>40949</v>
      </c>
      <c r="B107" s="103">
        <v>889</v>
      </c>
      <c r="C107" s="103">
        <v>890</v>
      </c>
      <c r="D107" s="103">
        <v>1618</v>
      </c>
      <c r="E107" s="103">
        <v>55</v>
      </c>
    </row>
    <row r="108" spans="1:5" x14ac:dyDescent="0.2">
      <c r="A108" s="118">
        <v>40956</v>
      </c>
      <c r="B108" s="103">
        <v>898</v>
      </c>
      <c r="C108" s="103">
        <v>902</v>
      </c>
      <c r="D108" s="103">
        <v>1618</v>
      </c>
      <c r="E108" s="103">
        <v>55.8</v>
      </c>
    </row>
    <row r="109" spans="1:5" x14ac:dyDescent="0.2">
      <c r="A109" s="118">
        <v>40963</v>
      </c>
      <c r="B109" s="103">
        <v>917</v>
      </c>
      <c r="C109" s="103">
        <v>925</v>
      </c>
      <c r="D109" s="103">
        <v>1618</v>
      </c>
      <c r="E109" s="103">
        <v>57.1</v>
      </c>
    </row>
    <row r="110" spans="1:5" x14ac:dyDescent="0.2">
      <c r="A110" s="118">
        <v>40970</v>
      </c>
      <c r="B110" s="103">
        <v>922</v>
      </c>
      <c r="C110" s="103">
        <v>933</v>
      </c>
      <c r="D110" s="103">
        <v>1618</v>
      </c>
      <c r="E110" s="103">
        <v>57.6</v>
      </c>
    </row>
    <row r="111" spans="1:5" x14ac:dyDescent="0.2">
      <c r="A111" s="118">
        <v>40977</v>
      </c>
      <c r="B111" s="103">
        <v>927</v>
      </c>
      <c r="C111" s="103">
        <v>939</v>
      </c>
      <c r="D111" s="103">
        <v>1618</v>
      </c>
      <c r="E111" s="103">
        <v>58</v>
      </c>
    </row>
    <row r="112" spans="1:5" x14ac:dyDescent="0.2">
      <c r="A112" s="118">
        <v>40984</v>
      </c>
      <c r="B112" s="103">
        <v>947</v>
      </c>
      <c r="C112" s="103">
        <v>956</v>
      </c>
      <c r="D112" s="103">
        <v>1618</v>
      </c>
      <c r="E112" s="103">
        <v>59.1</v>
      </c>
    </row>
    <row r="113" spans="1:5" x14ac:dyDescent="0.2">
      <c r="A113" s="118">
        <v>40991</v>
      </c>
      <c r="B113" s="103">
        <v>946</v>
      </c>
      <c r="C113" s="103">
        <v>951</v>
      </c>
      <c r="D113" s="103">
        <v>1511</v>
      </c>
      <c r="E113" s="103">
        <v>64</v>
      </c>
    </row>
    <row r="114" spans="1:5" x14ac:dyDescent="0.2">
      <c r="A114" s="118">
        <v>40998</v>
      </c>
      <c r="B114" s="103">
        <v>948</v>
      </c>
      <c r="C114" s="103">
        <v>951</v>
      </c>
      <c r="D114" s="103">
        <v>1403</v>
      </c>
      <c r="E114" s="103">
        <v>69.2</v>
      </c>
    </row>
    <row r="115" spans="1:5" x14ac:dyDescent="0.2">
      <c r="A115" s="118">
        <v>41005</v>
      </c>
      <c r="B115" s="103">
        <v>947</v>
      </c>
      <c r="C115" s="103">
        <v>948</v>
      </c>
      <c r="D115" s="103">
        <v>1296</v>
      </c>
      <c r="E115" s="103">
        <v>74.2</v>
      </c>
    </row>
    <row r="116" spans="1:5" x14ac:dyDescent="0.2">
      <c r="A116" s="118">
        <v>41012</v>
      </c>
      <c r="B116" s="103">
        <v>939</v>
      </c>
      <c r="C116" s="103">
        <v>940</v>
      </c>
      <c r="D116" s="103">
        <v>1188</v>
      </c>
      <c r="E116" s="103">
        <v>79.099999999999994</v>
      </c>
    </row>
    <row r="117" spans="1:5" x14ac:dyDescent="0.2">
      <c r="A117" s="118">
        <v>41019</v>
      </c>
      <c r="B117" s="103">
        <v>954</v>
      </c>
      <c r="C117" s="103">
        <v>955</v>
      </c>
      <c r="D117" s="103">
        <v>1188</v>
      </c>
      <c r="E117" s="103">
        <v>80.400000000000006</v>
      </c>
    </row>
    <row r="118" spans="1:5" x14ac:dyDescent="0.2">
      <c r="A118" s="118">
        <v>41026</v>
      </c>
      <c r="B118" s="103">
        <v>959</v>
      </c>
      <c r="C118" s="103">
        <v>960</v>
      </c>
      <c r="D118" s="103">
        <v>1188</v>
      </c>
      <c r="E118" s="103">
        <v>80.8</v>
      </c>
    </row>
    <row r="119" spans="1:5" x14ac:dyDescent="0.2">
      <c r="A119" s="118">
        <v>41033</v>
      </c>
      <c r="B119" s="103">
        <v>972</v>
      </c>
      <c r="C119" s="103">
        <v>973</v>
      </c>
      <c r="D119" s="103">
        <v>1188</v>
      </c>
      <c r="E119" s="103">
        <v>81.900000000000006</v>
      </c>
    </row>
    <row r="120" spans="1:5" x14ac:dyDescent="0.2">
      <c r="A120" s="118">
        <v>41040</v>
      </c>
      <c r="B120" s="103">
        <v>980</v>
      </c>
      <c r="C120" s="103">
        <v>982</v>
      </c>
      <c r="D120" s="103">
        <v>1188</v>
      </c>
      <c r="E120" s="103">
        <v>82.6</v>
      </c>
    </row>
    <row r="121" spans="1:5" x14ac:dyDescent="0.2">
      <c r="A121" s="118">
        <v>41047</v>
      </c>
      <c r="B121" s="103">
        <v>939</v>
      </c>
      <c r="C121" s="103">
        <v>941</v>
      </c>
      <c r="D121" s="103">
        <v>1188</v>
      </c>
      <c r="E121" s="103">
        <v>79.2</v>
      </c>
    </row>
    <row r="122" spans="1:5" x14ac:dyDescent="0.2">
      <c r="A122" s="118">
        <v>41054</v>
      </c>
      <c r="B122" s="103">
        <v>932</v>
      </c>
      <c r="C122" s="103">
        <v>934</v>
      </c>
      <c r="D122" s="103">
        <v>1188</v>
      </c>
      <c r="E122" s="103">
        <v>78.599999999999994</v>
      </c>
    </row>
    <row r="123" spans="1:5" x14ac:dyDescent="0.2">
      <c r="A123" s="118">
        <v>41061</v>
      </c>
      <c r="B123" s="103">
        <v>932</v>
      </c>
      <c r="C123" s="103">
        <v>934</v>
      </c>
      <c r="D123" s="103">
        <v>1188</v>
      </c>
      <c r="E123" s="103">
        <v>78.599999999999994</v>
      </c>
    </row>
    <row r="124" spans="1:5" x14ac:dyDescent="0.2">
      <c r="A124" s="118">
        <v>41068</v>
      </c>
      <c r="B124" s="103">
        <v>932</v>
      </c>
      <c r="C124" s="103">
        <v>934</v>
      </c>
      <c r="D124" s="103">
        <v>1188</v>
      </c>
      <c r="E124" s="103">
        <v>78.599999999999994</v>
      </c>
    </row>
    <row r="125" spans="1:5" x14ac:dyDescent="0.2">
      <c r="A125" s="118">
        <v>41075</v>
      </c>
      <c r="B125" s="103">
        <v>967</v>
      </c>
      <c r="C125" s="103">
        <v>969</v>
      </c>
      <c r="D125" s="103">
        <v>1188</v>
      </c>
      <c r="E125" s="103">
        <v>81.599999999999994</v>
      </c>
    </row>
    <row r="126" spans="1:5" x14ac:dyDescent="0.2">
      <c r="A126" s="118">
        <v>41082</v>
      </c>
      <c r="B126" s="103">
        <v>990</v>
      </c>
      <c r="C126" s="103">
        <v>992</v>
      </c>
      <c r="D126" s="103">
        <v>1188</v>
      </c>
      <c r="E126" s="103">
        <v>83.5</v>
      </c>
    </row>
    <row r="127" spans="1:5" x14ac:dyDescent="0.2">
      <c r="A127" s="118">
        <v>41089</v>
      </c>
      <c r="B127" s="103">
        <v>985</v>
      </c>
      <c r="C127" s="103">
        <v>987</v>
      </c>
      <c r="D127" s="103">
        <v>1188</v>
      </c>
      <c r="E127" s="103">
        <v>83.1</v>
      </c>
    </row>
    <row r="128" spans="1:5" x14ac:dyDescent="0.2">
      <c r="A128" s="118">
        <v>41096</v>
      </c>
      <c r="B128" s="103">
        <v>976</v>
      </c>
      <c r="C128" s="103">
        <v>979</v>
      </c>
      <c r="D128" s="103">
        <v>1188</v>
      </c>
      <c r="E128" s="103">
        <v>82.4</v>
      </c>
    </row>
    <row r="129" spans="1:6" x14ac:dyDescent="0.2">
      <c r="A129" s="118">
        <v>41103</v>
      </c>
      <c r="B129" s="103">
        <v>976</v>
      </c>
      <c r="C129" s="103">
        <v>981</v>
      </c>
      <c r="D129" s="103">
        <v>1188</v>
      </c>
      <c r="E129" s="103">
        <v>82.6</v>
      </c>
    </row>
    <row r="130" spans="1:6" x14ac:dyDescent="0.2">
      <c r="A130" s="118">
        <v>41110</v>
      </c>
      <c r="B130" s="103">
        <v>979</v>
      </c>
      <c r="C130" s="103">
        <v>984</v>
      </c>
      <c r="D130" s="103">
        <v>1188</v>
      </c>
      <c r="E130" s="103">
        <v>82.9</v>
      </c>
    </row>
    <row r="131" spans="1:6" x14ac:dyDescent="0.2">
      <c r="A131" s="118">
        <v>41117</v>
      </c>
      <c r="B131" s="103">
        <v>987</v>
      </c>
      <c r="C131" s="103">
        <v>995</v>
      </c>
      <c r="D131" s="103">
        <v>1188</v>
      </c>
      <c r="E131" s="103">
        <v>83.7</v>
      </c>
    </row>
    <row r="132" spans="1:6" x14ac:dyDescent="0.2">
      <c r="A132" s="118">
        <v>41124</v>
      </c>
      <c r="B132" s="103">
        <v>994</v>
      </c>
      <c r="C132" s="103">
        <v>1002</v>
      </c>
      <c r="D132" s="103">
        <v>1188</v>
      </c>
      <c r="E132" s="103">
        <v>84.3</v>
      </c>
    </row>
    <row r="133" spans="1:6" x14ac:dyDescent="0.2">
      <c r="A133" s="118"/>
      <c r="B133" s="103"/>
      <c r="C133" s="103"/>
      <c r="D133" s="103"/>
      <c r="E133" s="103"/>
    </row>
    <row r="136" spans="1:6" x14ac:dyDescent="0.2">
      <c r="A136" s="101" t="s">
        <v>384</v>
      </c>
      <c r="B136" s="102" t="s">
        <v>620</v>
      </c>
      <c r="C136" s="103"/>
      <c r="D136" s="103"/>
      <c r="E136" s="103"/>
      <c r="F136" s="103"/>
    </row>
    <row r="137" spans="1:6" ht="25.5" x14ac:dyDescent="0.2">
      <c r="A137" s="105" t="s">
        <v>490</v>
      </c>
      <c r="B137" s="106" t="s">
        <v>629</v>
      </c>
      <c r="C137" s="106" t="s">
        <v>630</v>
      </c>
      <c r="D137" s="106" t="s">
        <v>631</v>
      </c>
      <c r="E137" s="106" t="s">
        <v>632</v>
      </c>
      <c r="F137" s="106"/>
    </row>
    <row r="138" spans="1:6" ht="89.25" x14ac:dyDescent="0.2">
      <c r="A138" s="105" t="s">
        <v>508</v>
      </c>
      <c r="B138" s="108" t="s">
        <v>633</v>
      </c>
      <c r="C138" s="108" t="s">
        <v>634</v>
      </c>
      <c r="D138" s="108" t="s">
        <v>635</v>
      </c>
      <c r="E138" s="108" t="s">
        <v>636</v>
      </c>
      <c r="F138" s="108"/>
    </row>
    <row r="139" spans="1:6" x14ac:dyDescent="0.2">
      <c r="A139" s="118">
        <v>40354</v>
      </c>
      <c r="B139" s="103">
        <v>3403</v>
      </c>
      <c r="C139" s="103">
        <v>3434</v>
      </c>
      <c r="D139" s="103">
        <v>3723</v>
      </c>
      <c r="E139" s="103">
        <v>92.3</v>
      </c>
    </row>
    <row r="140" spans="1:6" x14ac:dyDescent="0.2">
      <c r="A140" s="118">
        <v>40361</v>
      </c>
      <c r="B140" s="103">
        <v>3411</v>
      </c>
      <c r="C140" s="103">
        <v>3447</v>
      </c>
      <c r="D140" s="103">
        <v>3723</v>
      </c>
      <c r="E140" s="103">
        <v>92.6</v>
      </c>
    </row>
    <row r="141" spans="1:6" x14ac:dyDescent="0.2">
      <c r="A141" s="118">
        <v>40368</v>
      </c>
      <c r="B141" s="103">
        <v>3444</v>
      </c>
      <c r="C141" s="103">
        <v>3487</v>
      </c>
      <c r="D141" s="103">
        <v>3723</v>
      </c>
      <c r="E141" s="103">
        <v>93.7</v>
      </c>
    </row>
    <row r="142" spans="1:6" x14ac:dyDescent="0.2">
      <c r="A142" s="118">
        <v>40375</v>
      </c>
      <c r="B142" s="103">
        <v>3440</v>
      </c>
      <c r="C142" s="103">
        <v>3485</v>
      </c>
      <c r="D142" s="103">
        <v>3723</v>
      </c>
      <c r="E142" s="103">
        <v>93.6</v>
      </c>
    </row>
    <row r="143" spans="1:6" x14ac:dyDescent="0.2">
      <c r="A143" s="118">
        <v>40382</v>
      </c>
      <c r="B143" s="103">
        <v>3442</v>
      </c>
      <c r="C143" s="103">
        <v>3485</v>
      </c>
      <c r="D143" s="103">
        <v>3723</v>
      </c>
      <c r="E143" s="103">
        <v>93.6</v>
      </c>
    </row>
    <row r="144" spans="1:6" x14ac:dyDescent="0.2">
      <c r="A144" s="118">
        <v>40389</v>
      </c>
      <c r="B144" s="103">
        <v>3451</v>
      </c>
      <c r="C144" s="103">
        <v>3489</v>
      </c>
      <c r="D144" s="103">
        <v>3723</v>
      </c>
      <c r="E144" s="103">
        <v>93.7</v>
      </c>
    </row>
    <row r="145" spans="1:5" x14ac:dyDescent="0.2">
      <c r="A145" s="118">
        <v>40396</v>
      </c>
      <c r="B145" s="103">
        <v>3431</v>
      </c>
      <c r="C145" s="103">
        <v>3472</v>
      </c>
      <c r="D145" s="103">
        <v>3723</v>
      </c>
      <c r="E145" s="103">
        <v>93.3</v>
      </c>
    </row>
    <row r="146" spans="1:5" x14ac:dyDescent="0.2">
      <c r="A146" s="118">
        <v>40403</v>
      </c>
      <c r="B146" s="103">
        <v>3449</v>
      </c>
      <c r="C146" s="103">
        <v>3492</v>
      </c>
      <c r="D146" s="103">
        <v>3723</v>
      </c>
      <c r="E146" s="103">
        <v>93.8</v>
      </c>
    </row>
    <row r="147" spans="1:5" x14ac:dyDescent="0.2">
      <c r="A147" s="118">
        <v>40410</v>
      </c>
      <c r="B147" s="103">
        <v>3466</v>
      </c>
      <c r="C147" s="103">
        <v>3511</v>
      </c>
      <c r="D147" s="103">
        <v>3723</v>
      </c>
      <c r="E147" s="103">
        <v>94.3</v>
      </c>
    </row>
    <row r="148" spans="1:5" x14ac:dyDescent="0.2">
      <c r="A148" s="118">
        <v>40417</v>
      </c>
      <c r="B148" s="103">
        <v>3450</v>
      </c>
      <c r="C148" s="103">
        <v>3496</v>
      </c>
      <c r="D148" s="103">
        <v>3723</v>
      </c>
      <c r="E148" s="103">
        <v>93.9</v>
      </c>
    </row>
    <row r="149" spans="1:5" x14ac:dyDescent="0.2">
      <c r="A149" s="118">
        <v>40424</v>
      </c>
      <c r="B149" s="103">
        <v>3415</v>
      </c>
      <c r="C149" s="103">
        <v>3461</v>
      </c>
      <c r="D149" s="103">
        <v>3723</v>
      </c>
      <c r="E149" s="103">
        <v>93</v>
      </c>
    </row>
    <row r="150" spans="1:5" x14ac:dyDescent="0.2">
      <c r="A150" s="118">
        <v>40431</v>
      </c>
      <c r="B150" s="103">
        <v>3367</v>
      </c>
      <c r="C150" s="103">
        <v>3415</v>
      </c>
      <c r="D150" s="103">
        <v>3723</v>
      </c>
      <c r="E150" s="103">
        <v>91.7</v>
      </c>
    </row>
    <row r="151" spans="1:5" x14ac:dyDescent="0.2">
      <c r="A151" s="118">
        <v>40438</v>
      </c>
      <c r="B151" s="103">
        <v>3336</v>
      </c>
      <c r="C151" s="103">
        <v>3385</v>
      </c>
      <c r="D151" s="103">
        <v>3723</v>
      </c>
      <c r="E151" s="103">
        <v>90.9</v>
      </c>
    </row>
    <row r="152" spans="1:5" x14ac:dyDescent="0.2">
      <c r="A152" s="118">
        <v>40445</v>
      </c>
      <c r="B152" s="103">
        <v>3315</v>
      </c>
      <c r="C152" s="103">
        <v>3376</v>
      </c>
      <c r="D152" s="103">
        <v>3723</v>
      </c>
      <c r="E152" s="103">
        <v>90.7</v>
      </c>
    </row>
    <row r="153" spans="1:5" x14ac:dyDescent="0.2">
      <c r="A153" s="118">
        <v>40452</v>
      </c>
      <c r="B153" s="103">
        <v>3325</v>
      </c>
      <c r="C153" s="103">
        <v>3379</v>
      </c>
      <c r="D153" s="103">
        <v>3724</v>
      </c>
      <c r="E153" s="103">
        <v>90.7</v>
      </c>
    </row>
    <row r="154" spans="1:5" x14ac:dyDescent="0.2">
      <c r="A154" s="118">
        <v>40459</v>
      </c>
      <c r="B154" s="103">
        <v>3291</v>
      </c>
      <c r="C154" s="103">
        <v>3350</v>
      </c>
      <c r="D154" s="103">
        <v>3726</v>
      </c>
      <c r="E154" s="103">
        <v>89.9</v>
      </c>
    </row>
    <row r="155" spans="1:5" x14ac:dyDescent="0.2">
      <c r="A155" s="118">
        <v>40466</v>
      </c>
      <c r="B155" s="103">
        <v>3249</v>
      </c>
      <c r="C155" s="103">
        <v>3304</v>
      </c>
      <c r="D155" s="103">
        <v>3727</v>
      </c>
      <c r="E155" s="103">
        <v>88.7</v>
      </c>
    </row>
    <row r="156" spans="1:5" x14ac:dyDescent="0.2">
      <c r="A156" s="118">
        <v>40473</v>
      </c>
      <c r="B156" s="103">
        <v>3200</v>
      </c>
      <c r="C156" s="103">
        <v>3243</v>
      </c>
      <c r="D156" s="103">
        <v>3728</v>
      </c>
      <c r="E156" s="103">
        <v>87</v>
      </c>
    </row>
    <row r="157" spans="1:5" x14ac:dyDescent="0.2">
      <c r="A157" s="118">
        <v>40480</v>
      </c>
      <c r="B157" s="103">
        <v>3117</v>
      </c>
      <c r="C157" s="103">
        <v>3167</v>
      </c>
      <c r="D157" s="103">
        <v>3728</v>
      </c>
      <c r="E157" s="103">
        <v>85</v>
      </c>
    </row>
    <row r="158" spans="1:5" x14ac:dyDescent="0.2">
      <c r="A158" s="118">
        <v>40487</v>
      </c>
      <c r="B158" s="103">
        <v>3102</v>
      </c>
      <c r="C158" s="103">
        <v>3146</v>
      </c>
      <c r="D158" s="103">
        <v>3728</v>
      </c>
      <c r="E158" s="103">
        <v>84.4</v>
      </c>
    </row>
    <row r="159" spans="1:5" x14ac:dyDescent="0.2">
      <c r="A159" s="118">
        <v>40494</v>
      </c>
      <c r="B159" s="103">
        <v>3084</v>
      </c>
      <c r="C159" s="103">
        <v>3130</v>
      </c>
      <c r="D159" s="103">
        <v>3728</v>
      </c>
      <c r="E159" s="103">
        <v>84</v>
      </c>
    </row>
    <row r="160" spans="1:5" x14ac:dyDescent="0.2">
      <c r="A160" s="118">
        <v>40501</v>
      </c>
      <c r="B160" s="103">
        <v>3104</v>
      </c>
      <c r="C160" s="103">
        <v>3146</v>
      </c>
      <c r="D160" s="103">
        <v>3728</v>
      </c>
      <c r="E160" s="103">
        <v>84.4</v>
      </c>
    </row>
    <row r="161" spans="1:5" x14ac:dyDescent="0.2">
      <c r="A161" s="118">
        <v>40508</v>
      </c>
      <c r="B161" s="103">
        <v>3146</v>
      </c>
      <c r="C161" s="103">
        <v>3185</v>
      </c>
      <c r="D161" s="103">
        <v>3728</v>
      </c>
      <c r="E161" s="103">
        <v>85.4</v>
      </c>
    </row>
    <row r="162" spans="1:5" x14ac:dyDescent="0.2">
      <c r="A162" s="118">
        <v>40515</v>
      </c>
      <c r="B162" s="103">
        <v>3215</v>
      </c>
      <c r="C162" s="103">
        <v>3250</v>
      </c>
      <c r="D162" s="103">
        <v>3728</v>
      </c>
      <c r="E162" s="103">
        <v>87.2</v>
      </c>
    </row>
    <row r="163" spans="1:5" x14ac:dyDescent="0.2">
      <c r="A163" s="118">
        <v>40522</v>
      </c>
      <c r="B163" s="103">
        <v>3268</v>
      </c>
      <c r="C163" s="103">
        <v>3306</v>
      </c>
      <c r="D163" s="103">
        <v>3728</v>
      </c>
      <c r="E163" s="103">
        <v>88.7</v>
      </c>
    </row>
    <row r="164" spans="1:5" x14ac:dyDescent="0.2">
      <c r="A164" s="118">
        <v>40529</v>
      </c>
      <c r="B164" s="103">
        <v>3295</v>
      </c>
      <c r="C164" s="103">
        <v>3335</v>
      </c>
      <c r="D164" s="103">
        <v>3728</v>
      </c>
      <c r="E164" s="103">
        <v>89.5</v>
      </c>
    </row>
    <row r="165" spans="1:5" x14ac:dyDescent="0.2">
      <c r="A165" s="118">
        <v>40536</v>
      </c>
      <c r="B165" s="103">
        <v>3327</v>
      </c>
      <c r="C165" s="103">
        <v>3357</v>
      </c>
      <c r="D165" s="103">
        <v>3728</v>
      </c>
      <c r="E165" s="103">
        <v>90</v>
      </c>
    </row>
    <row r="166" spans="1:5" x14ac:dyDescent="0.2">
      <c r="A166" s="118">
        <v>40543</v>
      </c>
      <c r="B166" s="103">
        <v>3307</v>
      </c>
      <c r="C166" s="103">
        <v>3338</v>
      </c>
      <c r="D166" s="103">
        <v>3728</v>
      </c>
      <c r="E166" s="103">
        <v>89.5</v>
      </c>
    </row>
    <row r="167" spans="1:5" x14ac:dyDescent="0.2">
      <c r="A167" s="118">
        <v>40550</v>
      </c>
      <c r="B167" s="103">
        <v>3297</v>
      </c>
      <c r="C167" s="103">
        <v>3323</v>
      </c>
      <c r="D167" s="103">
        <v>3728</v>
      </c>
      <c r="E167" s="103">
        <v>89.1</v>
      </c>
    </row>
    <row r="168" spans="1:5" x14ac:dyDescent="0.2">
      <c r="A168" s="118">
        <v>40557</v>
      </c>
      <c r="B168" s="103">
        <v>3297</v>
      </c>
      <c r="C168" s="103">
        <v>3328</v>
      </c>
      <c r="D168" s="103">
        <v>3728</v>
      </c>
      <c r="E168" s="103">
        <v>89.3</v>
      </c>
    </row>
    <row r="169" spans="1:5" x14ac:dyDescent="0.2">
      <c r="A169" s="118">
        <v>40564</v>
      </c>
      <c r="B169" s="103">
        <v>3312</v>
      </c>
      <c r="C169" s="103">
        <v>3352</v>
      </c>
      <c r="D169" s="103">
        <v>3728</v>
      </c>
      <c r="E169" s="103">
        <v>89.9</v>
      </c>
    </row>
    <row r="170" spans="1:5" x14ac:dyDescent="0.2">
      <c r="A170" s="118">
        <v>40571</v>
      </c>
      <c r="B170" s="103">
        <v>3321</v>
      </c>
      <c r="C170" s="103">
        <v>3363</v>
      </c>
      <c r="D170" s="103">
        <v>3728</v>
      </c>
      <c r="E170" s="103">
        <v>90.2</v>
      </c>
    </row>
    <row r="171" spans="1:5" x14ac:dyDescent="0.2">
      <c r="A171" s="118">
        <v>40578</v>
      </c>
      <c r="B171" s="103">
        <v>3363</v>
      </c>
      <c r="C171" s="103">
        <v>3405</v>
      </c>
      <c r="D171" s="103">
        <v>3728</v>
      </c>
      <c r="E171" s="103">
        <v>91.3</v>
      </c>
    </row>
    <row r="172" spans="1:5" x14ac:dyDescent="0.2">
      <c r="A172" s="118">
        <v>40585</v>
      </c>
      <c r="B172" s="103">
        <v>3392</v>
      </c>
      <c r="C172" s="103">
        <v>3432</v>
      </c>
      <c r="D172" s="103">
        <v>3728</v>
      </c>
      <c r="E172" s="103">
        <v>92.1</v>
      </c>
    </row>
    <row r="173" spans="1:5" x14ac:dyDescent="0.2">
      <c r="A173" s="118">
        <v>40592</v>
      </c>
      <c r="B173" s="103">
        <v>3371</v>
      </c>
      <c r="C173" s="103">
        <v>3411</v>
      </c>
      <c r="D173" s="103">
        <v>3728</v>
      </c>
      <c r="E173" s="103">
        <v>91.5</v>
      </c>
    </row>
    <row r="174" spans="1:5" x14ac:dyDescent="0.2">
      <c r="A174" s="118">
        <v>40599</v>
      </c>
      <c r="B174" s="103">
        <v>3351</v>
      </c>
      <c r="C174" s="103">
        <v>3387</v>
      </c>
      <c r="D174" s="103">
        <v>3728</v>
      </c>
      <c r="E174" s="103">
        <v>90.9</v>
      </c>
    </row>
    <row r="175" spans="1:5" x14ac:dyDescent="0.2">
      <c r="A175" s="118">
        <v>40606</v>
      </c>
      <c r="B175" s="103">
        <v>3284</v>
      </c>
      <c r="C175" s="103">
        <v>3323</v>
      </c>
      <c r="D175" s="103">
        <v>3728</v>
      </c>
      <c r="E175" s="103">
        <v>89.1</v>
      </c>
    </row>
    <row r="176" spans="1:5" x14ac:dyDescent="0.2">
      <c r="A176" s="118">
        <v>40613</v>
      </c>
      <c r="B176" s="103">
        <v>3215</v>
      </c>
      <c r="C176" s="103">
        <v>3253</v>
      </c>
      <c r="D176" s="103">
        <v>3728</v>
      </c>
      <c r="E176" s="103">
        <v>87.3</v>
      </c>
    </row>
    <row r="177" spans="1:5" x14ac:dyDescent="0.2">
      <c r="A177" s="118">
        <v>40620</v>
      </c>
      <c r="B177" s="103">
        <v>3205</v>
      </c>
      <c r="C177" s="103">
        <v>3243</v>
      </c>
      <c r="D177" s="103">
        <v>3728</v>
      </c>
      <c r="E177" s="103">
        <v>87</v>
      </c>
    </row>
    <row r="178" spans="1:5" x14ac:dyDescent="0.2">
      <c r="A178" s="118">
        <v>40627</v>
      </c>
      <c r="B178" s="103">
        <v>3202</v>
      </c>
      <c r="C178" s="103">
        <v>3241</v>
      </c>
      <c r="D178" s="103">
        <v>3728</v>
      </c>
      <c r="E178" s="103">
        <v>86.9</v>
      </c>
    </row>
    <row r="179" spans="1:5" x14ac:dyDescent="0.2">
      <c r="A179" s="118">
        <v>40634</v>
      </c>
      <c r="B179" s="103">
        <v>3192</v>
      </c>
      <c r="C179" s="103">
        <v>3229</v>
      </c>
      <c r="D179" s="103">
        <v>3728</v>
      </c>
      <c r="E179" s="103">
        <v>86.6</v>
      </c>
    </row>
    <row r="180" spans="1:5" x14ac:dyDescent="0.2">
      <c r="A180" s="118">
        <v>40641</v>
      </c>
      <c r="B180" s="103">
        <v>3195</v>
      </c>
      <c r="C180" s="103">
        <v>3232</v>
      </c>
      <c r="D180" s="103">
        <v>3726</v>
      </c>
      <c r="E180" s="103">
        <v>86.7</v>
      </c>
    </row>
    <row r="181" spans="1:5" x14ac:dyDescent="0.2">
      <c r="A181" s="118">
        <v>40648</v>
      </c>
      <c r="B181" s="103">
        <v>3209</v>
      </c>
      <c r="C181" s="103">
        <v>3244</v>
      </c>
      <c r="D181" s="103">
        <v>3725</v>
      </c>
      <c r="E181" s="103">
        <v>87.1</v>
      </c>
    </row>
    <row r="182" spans="1:5" x14ac:dyDescent="0.2">
      <c r="A182" s="118">
        <v>40655</v>
      </c>
      <c r="B182" s="103">
        <v>3193</v>
      </c>
      <c r="C182" s="103">
        <v>3234</v>
      </c>
      <c r="D182" s="103">
        <v>3723</v>
      </c>
      <c r="E182" s="103">
        <v>86.9</v>
      </c>
    </row>
    <row r="183" spans="1:5" x14ac:dyDescent="0.2">
      <c r="A183" s="118">
        <v>40662</v>
      </c>
      <c r="B183" s="103">
        <v>3218</v>
      </c>
      <c r="C183" s="103">
        <v>3258</v>
      </c>
      <c r="D183" s="103">
        <v>3721</v>
      </c>
      <c r="E183" s="103">
        <v>87.6</v>
      </c>
    </row>
    <row r="184" spans="1:5" x14ac:dyDescent="0.2">
      <c r="A184" s="118">
        <v>40669</v>
      </c>
      <c r="B184" s="103">
        <v>3220</v>
      </c>
      <c r="C184" s="103">
        <v>3256</v>
      </c>
      <c r="D184" s="103">
        <v>3721</v>
      </c>
      <c r="E184" s="103">
        <v>87.5</v>
      </c>
    </row>
    <row r="185" spans="1:5" x14ac:dyDescent="0.2">
      <c r="A185" s="118">
        <v>40676</v>
      </c>
      <c r="B185" s="103">
        <v>3213</v>
      </c>
      <c r="C185" s="103">
        <v>3237</v>
      </c>
      <c r="D185" s="103">
        <v>3721</v>
      </c>
      <c r="E185" s="103">
        <v>87</v>
      </c>
    </row>
    <row r="186" spans="1:5" x14ac:dyDescent="0.2">
      <c r="A186" s="118">
        <v>40683</v>
      </c>
      <c r="B186" s="103">
        <v>3256</v>
      </c>
      <c r="C186" s="103">
        <v>3273</v>
      </c>
      <c r="D186" s="103">
        <v>3721</v>
      </c>
      <c r="E186" s="103">
        <v>88</v>
      </c>
    </row>
    <row r="187" spans="1:5" x14ac:dyDescent="0.2">
      <c r="A187" s="118">
        <v>40690</v>
      </c>
      <c r="B187" s="103">
        <v>3290</v>
      </c>
      <c r="C187" s="103">
        <v>3303</v>
      </c>
      <c r="D187" s="103">
        <v>3721</v>
      </c>
      <c r="E187" s="103">
        <v>88.8</v>
      </c>
    </row>
    <row r="188" spans="1:5" x14ac:dyDescent="0.2">
      <c r="A188" s="118">
        <v>40697</v>
      </c>
      <c r="B188" s="103">
        <v>3318</v>
      </c>
      <c r="C188" s="103">
        <v>3333</v>
      </c>
      <c r="D188" s="103">
        <v>3721</v>
      </c>
      <c r="E188" s="103">
        <v>89.6</v>
      </c>
    </row>
    <row r="189" spans="1:5" x14ac:dyDescent="0.2">
      <c r="A189" s="118">
        <v>40704</v>
      </c>
      <c r="B189" s="103">
        <v>3381</v>
      </c>
      <c r="C189" s="103">
        <v>3404</v>
      </c>
      <c r="D189" s="103">
        <v>3721</v>
      </c>
      <c r="E189" s="103">
        <v>91.5</v>
      </c>
    </row>
    <row r="190" spans="1:5" x14ac:dyDescent="0.2">
      <c r="A190" s="118">
        <v>40711</v>
      </c>
      <c r="B190" s="103">
        <v>3436</v>
      </c>
      <c r="C190" s="103">
        <v>3458</v>
      </c>
      <c r="D190" s="103">
        <v>3721</v>
      </c>
      <c r="E190" s="103">
        <v>92.9</v>
      </c>
    </row>
    <row r="191" spans="1:5" x14ac:dyDescent="0.2">
      <c r="A191" s="118">
        <v>40718</v>
      </c>
      <c r="B191" s="103">
        <v>3481</v>
      </c>
      <c r="C191" s="103">
        <v>3502</v>
      </c>
      <c r="D191" s="103">
        <v>3721</v>
      </c>
      <c r="E191" s="103">
        <v>94.1</v>
      </c>
    </row>
    <row r="192" spans="1:5" x14ac:dyDescent="0.2">
      <c r="A192" s="118">
        <v>40725</v>
      </c>
      <c r="B192" s="103">
        <v>3471</v>
      </c>
      <c r="C192" s="103">
        <v>3491</v>
      </c>
      <c r="D192" s="103">
        <v>3721</v>
      </c>
      <c r="E192" s="103">
        <v>93.8</v>
      </c>
    </row>
    <row r="193" spans="1:5" x14ac:dyDescent="0.2">
      <c r="A193" s="118">
        <v>40732</v>
      </c>
      <c r="B193" s="103">
        <v>3413</v>
      </c>
      <c r="C193" s="103">
        <v>3431</v>
      </c>
      <c r="D193" s="103">
        <v>3721</v>
      </c>
      <c r="E193" s="103">
        <v>92.2</v>
      </c>
    </row>
    <row r="194" spans="1:5" x14ac:dyDescent="0.2">
      <c r="A194" s="118">
        <v>40739</v>
      </c>
      <c r="B194" s="103">
        <v>3411</v>
      </c>
      <c r="C194" s="103">
        <v>3427</v>
      </c>
      <c r="D194" s="103">
        <v>3721</v>
      </c>
      <c r="E194" s="103">
        <v>92.1</v>
      </c>
    </row>
    <row r="195" spans="1:5" x14ac:dyDescent="0.2">
      <c r="A195" s="118">
        <v>40746</v>
      </c>
      <c r="B195" s="103">
        <v>3406</v>
      </c>
      <c r="C195" s="103">
        <v>3424</v>
      </c>
      <c r="D195" s="103">
        <v>3721</v>
      </c>
      <c r="E195" s="103">
        <v>92</v>
      </c>
    </row>
    <row r="196" spans="1:5" x14ac:dyDescent="0.2">
      <c r="A196" s="118">
        <v>40753</v>
      </c>
      <c r="B196" s="103">
        <v>3491</v>
      </c>
      <c r="C196" s="103">
        <v>3507</v>
      </c>
      <c r="D196" s="103">
        <v>3721</v>
      </c>
      <c r="E196" s="103">
        <v>94.3</v>
      </c>
    </row>
    <row r="197" spans="1:5" x14ac:dyDescent="0.2">
      <c r="A197" s="118">
        <v>40760</v>
      </c>
      <c r="B197" s="103">
        <v>3543</v>
      </c>
      <c r="C197" s="103">
        <v>3563</v>
      </c>
      <c r="D197" s="103">
        <v>3721</v>
      </c>
      <c r="E197" s="103">
        <v>95.7</v>
      </c>
    </row>
    <row r="198" spans="1:5" x14ac:dyDescent="0.2">
      <c r="A198" s="118">
        <v>40767</v>
      </c>
      <c r="B198" s="103">
        <v>3487</v>
      </c>
      <c r="C198" s="103">
        <v>3508</v>
      </c>
      <c r="D198" s="103">
        <v>3721</v>
      </c>
      <c r="E198" s="103">
        <v>94.3</v>
      </c>
    </row>
    <row r="199" spans="1:5" x14ac:dyDescent="0.2">
      <c r="A199" s="118">
        <v>40774</v>
      </c>
      <c r="B199" s="103">
        <v>3437</v>
      </c>
      <c r="C199" s="103">
        <v>3462</v>
      </c>
      <c r="D199" s="103">
        <v>3721</v>
      </c>
      <c r="E199" s="103">
        <v>93</v>
      </c>
    </row>
    <row r="200" spans="1:5" x14ac:dyDescent="0.2">
      <c r="A200" s="118">
        <v>40781</v>
      </c>
      <c r="B200" s="103">
        <v>3376</v>
      </c>
      <c r="C200" s="103">
        <v>3401</v>
      </c>
      <c r="D200" s="103">
        <v>3721</v>
      </c>
      <c r="E200" s="103">
        <v>91.4</v>
      </c>
    </row>
    <row r="201" spans="1:5" x14ac:dyDescent="0.2">
      <c r="A201" s="118">
        <v>40788</v>
      </c>
      <c r="B201" s="103">
        <v>3356</v>
      </c>
      <c r="C201" s="103">
        <v>3378</v>
      </c>
      <c r="D201" s="103">
        <v>3721</v>
      </c>
      <c r="E201" s="103">
        <v>90.8</v>
      </c>
    </row>
    <row r="202" spans="1:5" x14ac:dyDescent="0.2">
      <c r="A202" s="118">
        <v>40795</v>
      </c>
      <c r="B202" s="103">
        <v>3360</v>
      </c>
      <c r="C202" s="103">
        <v>3383</v>
      </c>
      <c r="D202" s="103">
        <v>3721</v>
      </c>
      <c r="E202" s="103">
        <v>90.9</v>
      </c>
    </row>
    <row r="203" spans="1:5" x14ac:dyDescent="0.2">
      <c r="A203" s="118">
        <v>40802</v>
      </c>
      <c r="B203" s="103">
        <v>3405</v>
      </c>
      <c r="C203" s="103">
        <v>3424</v>
      </c>
      <c r="D203" s="103">
        <v>3721</v>
      </c>
      <c r="E203" s="103">
        <v>92</v>
      </c>
    </row>
    <row r="204" spans="1:5" x14ac:dyDescent="0.2">
      <c r="A204" s="118">
        <v>40809</v>
      </c>
      <c r="B204" s="103">
        <v>3450</v>
      </c>
      <c r="C204" s="103">
        <v>3470</v>
      </c>
      <c r="D204" s="103">
        <v>3721</v>
      </c>
      <c r="E204" s="103">
        <v>93.2</v>
      </c>
    </row>
    <row r="205" spans="1:5" x14ac:dyDescent="0.2">
      <c r="A205" s="118">
        <v>40816</v>
      </c>
      <c r="B205" s="103">
        <v>3470</v>
      </c>
      <c r="C205" s="103">
        <v>3491</v>
      </c>
      <c r="D205" s="103">
        <v>3721</v>
      </c>
      <c r="E205" s="103">
        <v>93.8</v>
      </c>
    </row>
    <row r="206" spans="1:5" x14ac:dyDescent="0.2">
      <c r="A206" s="118">
        <v>40823</v>
      </c>
      <c r="B206" s="103">
        <v>3453</v>
      </c>
      <c r="C206" s="103">
        <v>3475</v>
      </c>
      <c r="D206" s="103">
        <v>3721</v>
      </c>
      <c r="E206" s="103">
        <v>93.4</v>
      </c>
    </row>
    <row r="207" spans="1:5" x14ac:dyDescent="0.2">
      <c r="A207" s="118">
        <v>40830</v>
      </c>
      <c r="B207" s="103">
        <v>3426</v>
      </c>
      <c r="C207" s="103">
        <v>3448</v>
      </c>
      <c r="D207" s="103">
        <v>3721</v>
      </c>
      <c r="E207" s="103">
        <v>92.7</v>
      </c>
    </row>
    <row r="208" spans="1:5" x14ac:dyDescent="0.2">
      <c r="A208" s="118">
        <v>40837</v>
      </c>
      <c r="B208" s="103">
        <v>3383</v>
      </c>
      <c r="C208" s="103">
        <v>3404</v>
      </c>
      <c r="D208" s="103">
        <v>3721</v>
      </c>
      <c r="E208" s="103">
        <v>91.5</v>
      </c>
    </row>
    <row r="209" spans="1:5" x14ac:dyDescent="0.2">
      <c r="A209" s="118">
        <v>40844</v>
      </c>
      <c r="B209" s="103">
        <v>3358</v>
      </c>
      <c r="C209" s="103">
        <v>3397</v>
      </c>
      <c r="D209" s="103">
        <v>3721</v>
      </c>
      <c r="E209" s="103">
        <v>91.3</v>
      </c>
    </row>
    <row r="210" spans="1:5" x14ac:dyDescent="0.2">
      <c r="A210" s="118">
        <v>40851</v>
      </c>
      <c r="B210" s="103">
        <v>3334</v>
      </c>
      <c r="C210" s="103">
        <v>3371</v>
      </c>
      <c r="D210" s="103">
        <v>3721</v>
      </c>
      <c r="E210" s="103">
        <v>90.6</v>
      </c>
    </row>
    <row r="211" spans="1:5" x14ac:dyDescent="0.2">
      <c r="A211" s="118">
        <v>40858</v>
      </c>
      <c r="B211" s="103">
        <v>3296</v>
      </c>
      <c r="C211" s="103">
        <v>3332</v>
      </c>
      <c r="D211" s="103">
        <v>3721</v>
      </c>
      <c r="E211" s="103">
        <v>89.6</v>
      </c>
    </row>
    <row r="212" spans="1:5" x14ac:dyDescent="0.2">
      <c r="A212" s="118">
        <v>40865</v>
      </c>
      <c r="B212" s="103">
        <v>3307</v>
      </c>
      <c r="C212" s="103">
        <v>3344</v>
      </c>
      <c r="D212" s="103">
        <v>3721</v>
      </c>
      <c r="E212" s="103">
        <v>89.9</v>
      </c>
    </row>
    <row r="213" spans="1:5" x14ac:dyDescent="0.2">
      <c r="A213" s="118">
        <v>40872</v>
      </c>
      <c r="B213" s="103">
        <v>3334</v>
      </c>
      <c r="C213" s="103">
        <v>3352</v>
      </c>
      <c r="D213" s="103">
        <v>3721</v>
      </c>
      <c r="E213" s="103">
        <v>90.1</v>
      </c>
    </row>
    <row r="214" spans="1:5" x14ac:dyDescent="0.2">
      <c r="A214" s="118">
        <v>40879</v>
      </c>
      <c r="B214" s="103">
        <v>3434</v>
      </c>
      <c r="C214" s="103">
        <v>3451</v>
      </c>
      <c r="D214" s="103">
        <v>3721</v>
      </c>
      <c r="E214" s="103">
        <v>92.7</v>
      </c>
    </row>
    <row r="215" spans="1:5" x14ac:dyDescent="0.2">
      <c r="A215" s="118">
        <v>40886</v>
      </c>
      <c r="B215" s="103">
        <v>3497</v>
      </c>
      <c r="C215" s="103">
        <v>3515</v>
      </c>
      <c r="D215" s="103">
        <v>3721</v>
      </c>
      <c r="E215" s="103">
        <v>94.5</v>
      </c>
    </row>
    <row r="216" spans="1:5" x14ac:dyDescent="0.2">
      <c r="A216" s="118">
        <v>40893</v>
      </c>
      <c r="B216" s="103">
        <v>3522</v>
      </c>
      <c r="C216" s="103">
        <v>3542</v>
      </c>
      <c r="D216" s="103">
        <v>3721</v>
      </c>
      <c r="E216" s="103">
        <v>95.2</v>
      </c>
    </row>
    <row r="217" spans="1:5" x14ac:dyDescent="0.2">
      <c r="A217" s="118">
        <v>40900</v>
      </c>
      <c r="B217" s="103">
        <v>3519</v>
      </c>
      <c r="C217" s="103">
        <v>3542</v>
      </c>
      <c r="D217" s="103">
        <v>3721</v>
      </c>
      <c r="E217" s="103">
        <v>95.2</v>
      </c>
    </row>
    <row r="218" spans="1:5" x14ac:dyDescent="0.2">
      <c r="A218" s="118">
        <v>40907</v>
      </c>
      <c r="B218" s="103">
        <v>3494</v>
      </c>
      <c r="C218" s="103">
        <v>3521</v>
      </c>
      <c r="D218" s="103">
        <v>3721</v>
      </c>
      <c r="E218" s="103">
        <v>94.6</v>
      </c>
    </row>
    <row r="219" spans="1:5" x14ac:dyDescent="0.2">
      <c r="A219" s="118">
        <v>40914</v>
      </c>
      <c r="B219" s="103">
        <v>3523</v>
      </c>
      <c r="C219" s="103">
        <v>3548</v>
      </c>
      <c r="D219" s="103">
        <v>3721</v>
      </c>
      <c r="E219" s="103">
        <v>95.4</v>
      </c>
    </row>
    <row r="220" spans="1:5" x14ac:dyDescent="0.2">
      <c r="A220" s="118">
        <v>40921</v>
      </c>
      <c r="B220" s="103">
        <v>3505</v>
      </c>
      <c r="C220" s="103">
        <v>3529</v>
      </c>
      <c r="D220" s="103">
        <v>3721</v>
      </c>
      <c r="E220" s="103">
        <v>94.8</v>
      </c>
    </row>
    <row r="221" spans="1:5" x14ac:dyDescent="0.2">
      <c r="A221" s="118">
        <v>40928</v>
      </c>
      <c r="B221" s="103">
        <v>3515</v>
      </c>
      <c r="C221" s="103">
        <v>3535</v>
      </c>
      <c r="D221" s="103">
        <v>3721</v>
      </c>
      <c r="E221" s="103">
        <v>95</v>
      </c>
    </row>
    <row r="222" spans="1:5" x14ac:dyDescent="0.2">
      <c r="A222" s="118">
        <v>40935</v>
      </c>
      <c r="B222" s="103">
        <v>3500</v>
      </c>
      <c r="C222" s="103">
        <v>3517</v>
      </c>
      <c r="D222" s="103">
        <v>3721</v>
      </c>
      <c r="E222" s="103">
        <v>94.5</v>
      </c>
    </row>
    <row r="223" spans="1:5" x14ac:dyDescent="0.2">
      <c r="A223" s="118">
        <v>40942</v>
      </c>
      <c r="B223" s="103">
        <v>3446</v>
      </c>
      <c r="C223" s="103">
        <v>3462</v>
      </c>
      <c r="D223" s="103">
        <v>3721</v>
      </c>
      <c r="E223" s="103">
        <v>93</v>
      </c>
    </row>
    <row r="224" spans="1:5" x14ac:dyDescent="0.2">
      <c r="A224" s="118">
        <v>40949</v>
      </c>
      <c r="B224" s="103">
        <v>3452</v>
      </c>
      <c r="C224" s="103">
        <v>3466</v>
      </c>
      <c r="D224" s="103">
        <v>3721</v>
      </c>
      <c r="E224" s="103">
        <v>93.1</v>
      </c>
    </row>
    <row r="225" spans="1:5" x14ac:dyDescent="0.2">
      <c r="A225" s="118">
        <v>40956</v>
      </c>
      <c r="B225" s="103">
        <v>3464</v>
      </c>
      <c r="C225" s="103">
        <v>3479</v>
      </c>
      <c r="D225" s="103">
        <v>3721</v>
      </c>
      <c r="E225" s="103">
        <v>93.5</v>
      </c>
    </row>
    <row r="226" spans="1:5" x14ac:dyDescent="0.2">
      <c r="A226" s="118">
        <v>40963</v>
      </c>
      <c r="B226" s="103">
        <v>3473</v>
      </c>
      <c r="C226" s="103">
        <v>3488</v>
      </c>
      <c r="D226" s="103">
        <v>3721</v>
      </c>
      <c r="E226" s="103">
        <v>93.7</v>
      </c>
    </row>
    <row r="227" spans="1:5" x14ac:dyDescent="0.2">
      <c r="A227" s="118">
        <v>40970</v>
      </c>
      <c r="B227" s="103">
        <v>3474</v>
      </c>
      <c r="C227" s="103">
        <v>3489</v>
      </c>
      <c r="D227" s="103">
        <v>3721</v>
      </c>
      <c r="E227" s="103">
        <v>93.8</v>
      </c>
    </row>
    <row r="228" spans="1:5" x14ac:dyDescent="0.2">
      <c r="A228" s="118">
        <v>40977</v>
      </c>
      <c r="B228" s="103">
        <v>3485</v>
      </c>
      <c r="C228" s="103">
        <v>3499</v>
      </c>
      <c r="D228" s="103">
        <v>3721</v>
      </c>
      <c r="E228" s="103">
        <v>94</v>
      </c>
    </row>
    <row r="229" spans="1:5" x14ac:dyDescent="0.2">
      <c r="A229" s="118">
        <v>40984</v>
      </c>
      <c r="B229" s="103">
        <v>3424</v>
      </c>
      <c r="C229" s="103">
        <v>3437</v>
      </c>
      <c r="D229" s="103">
        <v>3721</v>
      </c>
      <c r="E229" s="103">
        <v>92.4</v>
      </c>
    </row>
    <row r="230" spans="1:5" x14ac:dyDescent="0.2">
      <c r="A230" s="118">
        <v>40991</v>
      </c>
      <c r="B230" s="103">
        <v>3383</v>
      </c>
      <c r="C230" s="103">
        <v>3393</v>
      </c>
      <c r="D230" s="103">
        <v>3707</v>
      </c>
      <c r="E230" s="103">
        <v>91.5</v>
      </c>
    </row>
    <row r="231" spans="1:5" x14ac:dyDescent="0.2">
      <c r="A231" s="118">
        <v>40998</v>
      </c>
      <c r="B231" s="103">
        <v>3373</v>
      </c>
      <c r="C231" s="103">
        <v>3384</v>
      </c>
      <c r="D231" s="103">
        <v>3692</v>
      </c>
      <c r="E231" s="103">
        <v>91.6</v>
      </c>
    </row>
    <row r="232" spans="1:5" x14ac:dyDescent="0.2">
      <c r="A232" s="118">
        <v>41005</v>
      </c>
      <c r="B232" s="103">
        <v>3357</v>
      </c>
      <c r="C232" s="103">
        <v>3369</v>
      </c>
      <c r="D232" s="103">
        <v>3678</v>
      </c>
      <c r="E232" s="103">
        <v>91.6</v>
      </c>
    </row>
    <row r="233" spans="1:5" x14ac:dyDescent="0.2">
      <c r="A233" s="118">
        <v>41012</v>
      </c>
      <c r="B233" s="103">
        <v>3418</v>
      </c>
      <c r="C233" s="103">
        <v>3433</v>
      </c>
      <c r="D233" s="103">
        <v>3663</v>
      </c>
      <c r="E233" s="103">
        <v>93.7</v>
      </c>
    </row>
    <row r="234" spans="1:5" x14ac:dyDescent="0.2">
      <c r="A234" s="118">
        <v>41019</v>
      </c>
      <c r="B234" s="103">
        <v>3465</v>
      </c>
      <c r="C234" s="103">
        <v>3482</v>
      </c>
      <c r="D234" s="103">
        <v>3663</v>
      </c>
      <c r="E234" s="103">
        <v>95.1</v>
      </c>
    </row>
    <row r="235" spans="1:5" x14ac:dyDescent="0.2">
      <c r="A235" s="118">
        <v>41026</v>
      </c>
      <c r="B235" s="103">
        <v>3510</v>
      </c>
      <c r="C235" s="103">
        <v>3527</v>
      </c>
      <c r="D235" s="103">
        <v>3663</v>
      </c>
      <c r="E235" s="103">
        <v>96.3</v>
      </c>
    </row>
    <row r="236" spans="1:5" x14ac:dyDescent="0.2">
      <c r="A236" s="118">
        <v>41033</v>
      </c>
      <c r="B236" s="103">
        <v>3497</v>
      </c>
      <c r="C236" s="103">
        <v>3515</v>
      </c>
      <c r="D236" s="103">
        <v>3663</v>
      </c>
      <c r="E236" s="103">
        <v>96</v>
      </c>
    </row>
    <row r="237" spans="1:5" x14ac:dyDescent="0.2">
      <c r="A237" s="118">
        <v>41040</v>
      </c>
      <c r="B237" s="103">
        <v>3462</v>
      </c>
      <c r="C237" s="103">
        <v>3478</v>
      </c>
      <c r="D237" s="103">
        <v>3663</v>
      </c>
      <c r="E237" s="103">
        <v>94.9</v>
      </c>
    </row>
    <row r="238" spans="1:5" x14ac:dyDescent="0.2">
      <c r="A238" s="118">
        <v>41047</v>
      </c>
      <c r="B238" s="103">
        <v>3455</v>
      </c>
      <c r="C238" s="103">
        <v>3475</v>
      </c>
      <c r="D238" s="103">
        <v>3663</v>
      </c>
      <c r="E238" s="103">
        <v>94.9</v>
      </c>
    </row>
    <row r="239" spans="1:5" x14ac:dyDescent="0.2">
      <c r="A239" s="118">
        <v>41054</v>
      </c>
      <c r="B239" s="103">
        <v>3442</v>
      </c>
      <c r="C239" s="103">
        <v>3453</v>
      </c>
      <c r="D239" s="103">
        <v>3663</v>
      </c>
      <c r="E239" s="103">
        <v>94.3</v>
      </c>
    </row>
    <row r="240" spans="1:5" x14ac:dyDescent="0.2">
      <c r="A240" s="118">
        <v>41061</v>
      </c>
      <c r="B240" s="103">
        <v>3451</v>
      </c>
      <c r="C240" s="103">
        <v>3454</v>
      </c>
      <c r="D240" s="103">
        <v>3664</v>
      </c>
      <c r="E240" s="103">
        <v>94.3</v>
      </c>
    </row>
    <row r="241" spans="1:6" x14ac:dyDescent="0.2">
      <c r="A241" s="118">
        <v>41068</v>
      </c>
      <c r="B241" s="103">
        <v>3462</v>
      </c>
      <c r="C241" s="103">
        <v>3454</v>
      </c>
      <c r="D241" s="103">
        <v>3664</v>
      </c>
      <c r="E241" s="103">
        <v>94.3</v>
      </c>
    </row>
    <row r="242" spans="1:6" x14ac:dyDescent="0.2">
      <c r="A242" s="118">
        <v>41075</v>
      </c>
      <c r="B242" s="103">
        <v>3448</v>
      </c>
      <c r="C242" s="103">
        <v>3419</v>
      </c>
      <c r="D242" s="103">
        <v>3665</v>
      </c>
      <c r="E242" s="103">
        <v>93.3</v>
      </c>
    </row>
    <row r="243" spans="1:6" x14ac:dyDescent="0.2">
      <c r="A243" s="118">
        <v>41082</v>
      </c>
      <c r="B243" s="103">
        <v>3444</v>
      </c>
      <c r="C243" s="103">
        <v>3414</v>
      </c>
      <c r="D243" s="103">
        <v>3665</v>
      </c>
      <c r="E243" s="103">
        <v>93.2</v>
      </c>
    </row>
    <row r="244" spans="1:6" x14ac:dyDescent="0.2">
      <c r="A244" s="118">
        <v>41089</v>
      </c>
      <c r="B244" s="103">
        <v>3456</v>
      </c>
      <c r="C244" s="103">
        <v>3418</v>
      </c>
      <c r="D244" s="103">
        <v>3665</v>
      </c>
      <c r="E244" s="103">
        <v>93.3</v>
      </c>
    </row>
    <row r="245" spans="1:6" x14ac:dyDescent="0.2">
      <c r="A245" s="118">
        <v>41096</v>
      </c>
      <c r="B245" s="103">
        <v>3448</v>
      </c>
      <c r="C245" s="103">
        <v>3410</v>
      </c>
      <c r="D245" s="103">
        <v>3665</v>
      </c>
      <c r="E245" s="103">
        <v>93</v>
      </c>
    </row>
    <row r="246" spans="1:6" x14ac:dyDescent="0.2">
      <c r="A246" s="118">
        <v>41103</v>
      </c>
      <c r="B246" s="103">
        <v>3430</v>
      </c>
      <c r="C246" s="103">
        <v>3396</v>
      </c>
      <c r="D246" s="103">
        <v>3665</v>
      </c>
      <c r="E246" s="103">
        <v>92.7</v>
      </c>
    </row>
    <row r="247" spans="1:6" x14ac:dyDescent="0.2">
      <c r="A247" s="118">
        <v>41110</v>
      </c>
      <c r="B247" s="103">
        <v>3446</v>
      </c>
      <c r="C247" s="103">
        <v>3413</v>
      </c>
      <c r="D247" s="103">
        <v>3665</v>
      </c>
      <c r="E247" s="103">
        <v>93.1</v>
      </c>
    </row>
    <row r="248" spans="1:6" x14ac:dyDescent="0.2">
      <c r="A248" s="118">
        <v>41117</v>
      </c>
      <c r="B248" s="103">
        <v>3486</v>
      </c>
      <c r="C248" s="103">
        <v>3467</v>
      </c>
      <c r="D248" s="103">
        <v>3665</v>
      </c>
      <c r="E248" s="103">
        <v>94.6</v>
      </c>
    </row>
    <row r="249" spans="1:6" x14ac:dyDescent="0.2">
      <c r="A249" s="118">
        <v>41124</v>
      </c>
      <c r="B249" s="103">
        <v>3517</v>
      </c>
      <c r="C249" s="103">
        <v>3511</v>
      </c>
      <c r="D249" s="103">
        <v>3665</v>
      </c>
      <c r="E249" s="103">
        <v>95.8</v>
      </c>
    </row>
    <row r="250" spans="1:6" x14ac:dyDescent="0.2">
      <c r="A250" s="118"/>
      <c r="B250" s="103"/>
      <c r="C250" s="103"/>
      <c r="D250" s="103"/>
      <c r="E250" s="103"/>
    </row>
    <row r="252" spans="1:6" x14ac:dyDescent="0.2">
      <c r="A252" s="101" t="s">
        <v>384</v>
      </c>
      <c r="B252" s="102" t="s">
        <v>620</v>
      </c>
      <c r="C252" s="103"/>
      <c r="D252" s="103"/>
      <c r="E252" s="103"/>
      <c r="F252" s="103"/>
    </row>
    <row r="253" spans="1:6" ht="25.5" x14ac:dyDescent="0.2">
      <c r="A253" s="105" t="s">
        <v>490</v>
      </c>
      <c r="B253" s="106" t="s">
        <v>637</v>
      </c>
      <c r="C253" s="106" t="s">
        <v>638</v>
      </c>
      <c r="D253" s="106" t="s">
        <v>639</v>
      </c>
      <c r="E253" s="106" t="s">
        <v>640</v>
      </c>
      <c r="F253" s="106"/>
    </row>
    <row r="254" spans="1:6" ht="89.25" x14ac:dyDescent="0.2">
      <c r="A254" s="105" t="s">
        <v>508</v>
      </c>
      <c r="B254" s="108" t="s">
        <v>641</v>
      </c>
      <c r="C254" s="108" t="s">
        <v>642</v>
      </c>
      <c r="D254" s="108" t="s">
        <v>643</v>
      </c>
      <c r="E254" s="108" t="s">
        <v>644</v>
      </c>
      <c r="F254" s="108"/>
    </row>
    <row r="255" spans="1:6" x14ac:dyDescent="0.2">
      <c r="A255" s="118">
        <v>40354</v>
      </c>
      <c r="B255" s="103">
        <v>7569</v>
      </c>
      <c r="C255" s="103">
        <v>7820</v>
      </c>
      <c r="D255" s="103">
        <v>8621</v>
      </c>
      <c r="E255" s="103">
        <v>90.7</v>
      </c>
    </row>
    <row r="256" spans="1:6" x14ac:dyDescent="0.2">
      <c r="A256" s="118">
        <v>40361</v>
      </c>
      <c r="B256" s="103">
        <v>7517</v>
      </c>
      <c r="C256" s="103">
        <v>7757</v>
      </c>
      <c r="D256" s="103">
        <v>8622</v>
      </c>
      <c r="E256" s="103">
        <v>90</v>
      </c>
    </row>
    <row r="257" spans="1:5" x14ac:dyDescent="0.2">
      <c r="A257" s="118">
        <v>40368</v>
      </c>
      <c r="B257" s="103">
        <v>7524</v>
      </c>
      <c r="C257" s="103">
        <v>7762</v>
      </c>
      <c r="D257" s="103">
        <v>8623</v>
      </c>
      <c r="E257" s="103">
        <v>90</v>
      </c>
    </row>
    <row r="258" spans="1:5" x14ac:dyDescent="0.2">
      <c r="A258" s="118">
        <v>40375</v>
      </c>
      <c r="B258" s="103">
        <v>7583</v>
      </c>
      <c r="C258" s="103">
        <v>7808</v>
      </c>
      <c r="D258" s="103">
        <v>8624</v>
      </c>
      <c r="E258" s="103">
        <v>90.5</v>
      </c>
    </row>
    <row r="259" spans="1:5" x14ac:dyDescent="0.2">
      <c r="A259" s="118">
        <v>40382</v>
      </c>
      <c r="B259" s="103">
        <v>7669</v>
      </c>
      <c r="C259" s="103">
        <v>7887</v>
      </c>
      <c r="D259" s="103">
        <v>8625</v>
      </c>
      <c r="E259" s="103">
        <v>91.5</v>
      </c>
    </row>
    <row r="260" spans="1:5" x14ac:dyDescent="0.2">
      <c r="A260" s="118">
        <v>40389</v>
      </c>
      <c r="B260" s="103">
        <v>7778</v>
      </c>
      <c r="C260" s="103">
        <v>7992</v>
      </c>
      <c r="D260" s="103">
        <v>8625</v>
      </c>
      <c r="E260" s="103">
        <v>92.7</v>
      </c>
    </row>
    <row r="261" spans="1:5" x14ac:dyDescent="0.2">
      <c r="A261" s="118">
        <v>40396</v>
      </c>
      <c r="B261" s="103">
        <v>7772</v>
      </c>
      <c r="C261" s="103">
        <v>7988</v>
      </c>
      <c r="D261" s="103">
        <v>8626</v>
      </c>
      <c r="E261" s="103">
        <v>92.6</v>
      </c>
    </row>
    <row r="262" spans="1:5" x14ac:dyDescent="0.2">
      <c r="A262" s="118">
        <v>40403</v>
      </c>
      <c r="B262" s="103">
        <v>7775</v>
      </c>
      <c r="C262" s="103">
        <v>7986</v>
      </c>
      <c r="D262" s="103">
        <v>8626</v>
      </c>
      <c r="E262" s="103">
        <v>92.6</v>
      </c>
    </row>
    <row r="263" spans="1:5" x14ac:dyDescent="0.2">
      <c r="A263" s="118">
        <v>40410</v>
      </c>
      <c r="B263" s="103">
        <v>7656</v>
      </c>
      <c r="C263" s="103">
        <v>7886</v>
      </c>
      <c r="D263" s="103">
        <v>8626</v>
      </c>
      <c r="E263" s="103">
        <v>91.4</v>
      </c>
    </row>
    <row r="264" spans="1:5" x14ac:dyDescent="0.2">
      <c r="A264" s="118">
        <v>40417</v>
      </c>
      <c r="B264" s="103">
        <v>7507</v>
      </c>
      <c r="C264" s="103">
        <v>7738</v>
      </c>
      <c r="D264" s="103">
        <v>8626</v>
      </c>
      <c r="E264" s="103">
        <v>89.7</v>
      </c>
    </row>
    <row r="265" spans="1:5" x14ac:dyDescent="0.2">
      <c r="A265" s="118">
        <v>40424</v>
      </c>
      <c r="B265" s="103">
        <v>7485</v>
      </c>
      <c r="C265" s="103">
        <v>7751</v>
      </c>
      <c r="D265" s="103">
        <v>8626</v>
      </c>
      <c r="E265" s="103">
        <v>89.9</v>
      </c>
    </row>
    <row r="266" spans="1:5" x14ac:dyDescent="0.2">
      <c r="A266" s="118">
        <v>40431</v>
      </c>
      <c r="B266" s="103">
        <v>7439</v>
      </c>
      <c r="C266" s="103">
        <v>7690</v>
      </c>
      <c r="D266" s="103">
        <v>8626</v>
      </c>
      <c r="E266" s="103">
        <v>89.1</v>
      </c>
    </row>
    <row r="267" spans="1:5" x14ac:dyDescent="0.2">
      <c r="A267" s="118">
        <v>40438</v>
      </c>
      <c r="B267" s="103">
        <v>7513</v>
      </c>
      <c r="C267" s="103">
        <v>7734</v>
      </c>
      <c r="D267" s="103">
        <v>8626</v>
      </c>
      <c r="E267" s="103">
        <v>89.7</v>
      </c>
    </row>
    <row r="268" spans="1:5" x14ac:dyDescent="0.2">
      <c r="A268" s="118">
        <v>40445</v>
      </c>
      <c r="B268" s="103">
        <v>7521</v>
      </c>
      <c r="C268" s="103">
        <v>7720</v>
      </c>
      <c r="D268" s="103">
        <v>8626</v>
      </c>
      <c r="E268" s="103">
        <v>89.5</v>
      </c>
    </row>
    <row r="269" spans="1:5" x14ac:dyDescent="0.2">
      <c r="A269" s="118">
        <v>40452</v>
      </c>
      <c r="B269" s="103">
        <v>7399</v>
      </c>
      <c r="C269" s="103">
        <v>7582</v>
      </c>
      <c r="D269" s="103">
        <v>8626</v>
      </c>
      <c r="E269" s="103">
        <v>87.9</v>
      </c>
    </row>
    <row r="270" spans="1:5" x14ac:dyDescent="0.2">
      <c r="A270" s="118">
        <v>40459</v>
      </c>
      <c r="B270" s="103">
        <v>7275</v>
      </c>
      <c r="C270" s="103">
        <v>7472</v>
      </c>
      <c r="D270" s="103">
        <v>8626</v>
      </c>
      <c r="E270" s="103">
        <v>86.6</v>
      </c>
    </row>
    <row r="271" spans="1:5" x14ac:dyDescent="0.2">
      <c r="A271" s="118">
        <v>40466</v>
      </c>
      <c r="B271" s="103">
        <v>7172</v>
      </c>
      <c r="C271" s="103">
        <v>7393</v>
      </c>
      <c r="D271" s="103">
        <v>8626</v>
      </c>
      <c r="E271" s="103">
        <v>85.7</v>
      </c>
    </row>
    <row r="272" spans="1:5" x14ac:dyDescent="0.2">
      <c r="A272" s="118">
        <v>40473</v>
      </c>
      <c r="B272" s="103">
        <v>7150</v>
      </c>
      <c r="C272" s="103">
        <v>7422</v>
      </c>
      <c r="D272" s="103">
        <v>8626</v>
      </c>
      <c r="E272" s="103">
        <v>86</v>
      </c>
    </row>
    <row r="273" spans="1:5" x14ac:dyDescent="0.2">
      <c r="A273" s="118">
        <v>40480</v>
      </c>
      <c r="B273" s="103">
        <v>7188</v>
      </c>
      <c r="C273" s="103">
        <v>7453</v>
      </c>
      <c r="D273" s="103">
        <v>8626</v>
      </c>
      <c r="E273" s="103">
        <v>86.4</v>
      </c>
    </row>
    <row r="274" spans="1:5" x14ac:dyDescent="0.2">
      <c r="A274" s="118">
        <v>40487</v>
      </c>
      <c r="B274" s="103">
        <v>7236</v>
      </c>
      <c r="C274" s="103">
        <v>7484</v>
      </c>
      <c r="D274" s="103">
        <v>8626</v>
      </c>
      <c r="E274" s="103">
        <v>86.8</v>
      </c>
    </row>
    <row r="275" spans="1:5" x14ac:dyDescent="0.2">
      <c r="A275" s="118">
        <v>40494</v>
      </c>
      <c r="B275" s="103">
        <v>7284</v>
      </c>
      <c r="C275" s="103">
        <v>7532</v>
      </c>
      <c r="D275" s="103">
        <v>8626</v>
      </c>
      <c r="E275" s="103">
        <v>87.3</v>
      </c>
    </row>
    <row r="276" spans="1:5" x14ac:dyDescent="0.2">
      <c r="A276" s="118">
        <v>40501</v>
      </c>
      <c r="B276" s="103">
        <v>7310</v>
      </c>
      <c r="C276" s="103">
        <v>7594</v>
      </c>
      <c r="D276" s="103">
        <v>8626</v>
      </c>
      <c r="E276" s="103">
        <v>88</v>
      </c>
    </row>
    <row r="277" spans="1:5" x14ac:dyDescent="0.2">
      <c r="A277" s="118">
        <v>40508</v>
      </c>
      <c r="B277" s="103">
        <v>7290</v>
      </c>
      <c r="C277" s="103">
        <v>7552</v>
      </c>
      <c r="D277" s="103">
        <v>8626</v>
      </c>
      <c r="E277" s="103">
        <v>87.6</v>
      </c>
    </row>
    <row r="278" spans="1:5" x14ac:dyDescent="0.2">
      <c r="A278" s="118">
        <v>40515</v>
      </c>
      <c r="B278" s="103">
        <v>7332</v>
      </c>
      <c r="C278" s="103">
        <v>7621</v>
      </c>
      <c r="D278" s="103">
        <v>8626</v>
      </c>
      <c r="E278" s="103">
        <v>88.4</v>
      </c>
    </row>
    <row r="279" spans="1:5" x14ac:dyDescent="0.2">
      <c r="A279" s="118">
        <v>40522</v>
      </c>
      <c r="B279" s="103">
        <v>7370</v>
      </c>
      <c r="C279" s="103">
        <v>7662</v>
      </c>
      <c r="D279" s="103">
        <v>8626</v>
      </c>
      <c r="E279" s="103">
        <v>88.8</v>
      </c>
    </row>
    <row r="280" spans="1:5" x14ac:dyDescent="0.2">
      <c r="A280" s="118">
        <v>40529</v>
      </c>
      <c r="B280" s="103">
        <v>7432</v>
      </c>
      <c r="C280" s="103">
        <v>7679</v>
      </c>
      <c r="D280" s="103">
        <v>8626</v>
      </c>
      <c r="E280" s="103">
        <v>89</v>
      </c>
    </row>
    <row r="281" spans="1:5" x14ac:dyDescent="0.2">
      <c r="A281" s="118">
        <v>40536</v>
      </c>
      <c r="B281" s="103">
        <v>7558</v>
      </c>
      <c r="C281" s="103">
        <v>7843</v>
      </c>
      <c r="D281" s="103">
        <v>8626</v>
      </c>
      <c r="E281" s="103">
        <v>90.9</v>
      </c>
    </row>
    <row r="282" spans="1:5" x14ac:dyDescent="0.2">
      <c r="A282" s="118">
        <v>40543</v>
      </c>
      <c r="B282" s="103">
        <v>7654</v>
      </c>
      <c r="C282" s="103">
        <v>7936</v>
      </c>
      <c r="D282" s="103">
        <v>8626</v>
      </c>
      <c r="E282" s="103">
        <v>92</v>
      </c>
    </row>
    <row r="283" spans="1:5" x14ac:dyDescent="0.2">
      <c r="A283" s="118">
        <v>40550</v>
      </c>
      <c r="B283" s="103">
        <v>7684</v>
      </c>
      <c r="C283" s="103">
        <v>7970</v>
      </c>
      <c r="D283" s="103">
        <v>8626</v>
      </c>
      <c r="E283" s="103">
        <v>92.4</v>
      </c>
    </row>
    <row r="284" spans="1:5" x14ac:dyDescent="0.2">
      <c r="A284" s="118">
        <v>40557</v>
      </c>
      <c r="B284" s="103">
        <v>7631</v>
      </c>
      <c r="C284" s="103">
        <v>7856</v>
      </c>
      <c r="D284" s="103">
        <v>8626</v>
      </c>
      <c r="E284" s="103">
        <v>91.1</v>
      </c>
    </row>
    <row r="285" spans="1:5" x14ac:dyDescent="0.2">
      <c r="A285" s="118">
        <v>40564</v>
      </c>
      <c r="B285" s="103">
        <v>7518</v>
      </c>
      <c r="C285" s="103">
        <v>7680</v>
      </c>
      <c r="D285" s="103">
        <v>8626</v>
      </c>
      <c r="E285" s="103">
        <v>89</v>
      </c>
    </row>
    <row r="286" spans="1:5" x14ac:dyDescent="0.2">
      <c r="A286" s="118">
        <v>40571</v>
      </c>
      <c r="B286" s="103">
        <v>7370</v>
      </c>
      <c r="C286" s="103">
        <v>7537</v>
      </c>
      <c r="D286" s="103">
        <v>8626</v>
      </c>
      <c r="E286" s="103">
        <v>87.4</v>
      </c>
    </row>
    <row r="287" spans="1:5" x14ac:dyDescent="0.2">
      <c r="A287" s="118">
        <v>40578</v>
      </c>
      <c r="B287" s="103">
        <v>7224</v>
      </c>
      <c r="C287" s="103">
        <v>7414</v>
      </c>
      <c r="D287" s="103">
        <v>8626</v>
      </c>
      <c r="E287" s="103">
        <v>85.9</v>
      </c>
    </row>
    <row r="288" spans="1:5" x14ac:dyDescent="0.2">
      <c r="A288" s="118">
        <v>40585</v>
      </c>
      <c r="B288" s="103">
        <v>7046</v>
      </c>
      <c r="C288" s="103">
        <v>7270</v>
      </c>
      <c r="D288" s="103">
        <v>8626</v>
      </c>
      <c r="E288" s="103">
        <v>84.3</v>
      </c>
    </row>
    <row r="289" spans="1:5" x14ac:dyDescent="0.2">
      <c r="A289" s="118">
        <v>40592</v>
      </c>
      <c r="B289" s="103">
        <v>6875</v>
      </c>
      <c r="C289" s="103">
        <v>7143</v>
      </c>
      <c r="D289" s="103">
        <v>8626</v>
      </c>
      <c r="E289" s="103">
        <v>82.8</v>
      </c>
    </row>
    <row r="290" spans="1:5" x14ac:dyDescent="0.2">
      <c r="A290" s="118">
        <v>40599</v>
      </c>
      <c r="B290" s="103">
        <v>6762</v>
      </c>
      <c r="C290" s="103">
        <v>7011</v>
      </c>
      <c r="D290" s="103">
        <v>8626</v>
      </c>
      <c r="E290" s="103">
        <v>81.3</v>
      </c>
    </row>
    <row r="291" spans="1:5" x14ac:dyDescent="0.2">
      <c r="A291" s="118">
        <v>40606</v>
      </c>
      <c r="B291" s="103">
        <v>6671</v>
      </c>
      <c r="C291" s="103">
        <v>6889</v>
      </c>
      <c r="D291" s="103">
        <v>8626</v>
      </c>
      <c r="E291" s="103">
        <v>79.900000000000006</v>
      </c>
    </row>
    <row r="292" spans="1:5" x14ac:dyDescent="0.2">
      <c r="A292" s="118">
        <v>40613</v>
      </c>
      <c r="B292" s="103">
        <v>6752</v>
      </c>
      <c r="C292" s="103">
        <v>6988</v>
      </c>
      <c r="D292" s="103">
        <v>8626</v>
      </c>
      <c r="E292" s="103">
        <v>81</v>
      </c>
    </row>
    <row r="293" spans="1:5" x14ac:dyDescent="0.2">
      <c r="A293" s="118">
        <v>40620</v>
      </c>
      <c r="B293" s="103">
        <v>6901</v>
      </c>
      <c r="C293" s="103">
        <v>7132</v>
      </c>
      <c r="D293" s="103">
        <v>8626</v>
      </c>
      <c r="E293" s="103">
        <v>82.7</v>
      </c>
    </row>
    <row r="294" spans="1:5" x14ac:dyDescent="0.2">
      <c r="A294" s="118">
        <v>40627</v>
      </c>
      <c r="B294" s="103">
        <v>7010</v>
      </c>
      <c r="C294" s="103">
        <v>7238</v>
      </c>
      <c r="D294" s="103">
        <v>8626</v>
      </c>
      <c r="E294" s="103">
        <v>83.9</v>
      </c>
    </row>
    <row r="295" spans="1:5" x14ac:dyDescent="0.2">
      <c r="A295" s="118">
        <v>40634</v>
      </c>
      <c r="B295" s="103">
        <v>7203</v>
      </c>
      <c r="C295" s="103">
        <v>7430</v>
      </c>
      <c r="D295" s="103">
        <v>8626</v>
      </c>
      <c r="E295" s="103">
        <v>86.1</v>
      </c>
    </row>
    <row r="296" spans="1:5" x14ac:dyDescent="0.2">
      <c r="A296" s="118">
        <v>40641</v>
      </c>
      <c r="B296" s="103">
        <v>7298</v>
      </c>
      <c r="C296" s="103">
        <v>7505</v>
      </c>
      <c r="D296" s="103">
        <v>8630</v>
      </c>
      <c r="E296" s="103">
        <v>87</v>
      </c>
    </row>
    <row r="297" spans="1:5" x14ac:dyDescent="0.2">
      <c r="A297" s="118">
        <v>40648</v>
      </c>
      <c r="B297" s="103">
        <v>7283</v>
      </c>
      <c r="C297" s="103">
        <v>7495</v>
      </c>
      <c r="D297" s="103">
        <v>8634</v>
      </c>
      <c r="E297" s="103">
        <v>86.8</v>
      </c>
    </row>
    <row r="298" spans="1:5" x14ac:dyDescent="0.2">
      <c r="A298" s="118">
        <v>40655</v>
      </c>
      <c r="B298" s="103">
        <v>7280</v>
      </c>
      <c r="C298" s="103">
        <v>7502</v>
      </c>
      <c r="D298" s="103">
        <v>8637</v>
      </c>
      <c r="E298" s="103">
        <v>86.9</v>
      </c>
    </row>
    <row r="299" spans="1:5" x14ac:dyDescent="0.2">
      <c r="A299" s="118">
        <v>40662</v>
      </c>
      <c r="B299" s="103">
        <v>7145</v>
      </c>
      <c r="C299" s="103">
        <v>7371</v>
      </c>
      <c r="D299" s="103">
        <v>8641</v>
      </c>
      <c r="E299" s="103">
        <v>85.3</v>
      </c>
    </row>
    <row r="300" spans="1:5" x14ac:dyDescent="0.2">
      <c r="A300" s="118">
        <v>40669</v>
      </c>
      <c r="B300" s="103">
        <v>7079</v>
      </c>
      <c r="C300" s="103">
        <v>7302</v>
      </c>
      <c r="D300" s="103">
        <v>8642</v>
      </c>
      <c r="E300" s="103">
        <v>84.5</v>
      </c>
    </row>
    <row r="301" spans="1:5" x14ac:dyDescent="0.2">
      <c r="A301" s="118">
        <v>40676</v>
      </c>
      <c r="B301" s="103">
        <v>7115</v>
      </c>
      <c r="C301" s="103">
        <v>7330</v>
      </c>
      <c r="D301" s="103">
        <v>8644</v>
      </c>
      <c r="E301" s="103">
        <v>84.8</v>
      </c>
    </row>
    <row r="302" spans="1:5" x14ac:dyDescent="0.2">
      <c r="A302" s="118">
        <v>40683</v>
      </c>
      <c r="B302" s="103">
        <v>7196</v>
      </c>
      <c r="C302" s="103">
        <v>7391</v>
      </c>
      <c r="D302" s="103">
        <v>8645</v>
      </c>
      <c r="E302" s="103">
        <v>85.5</v>
      </c>
    </row>
    <row r="303" spans="1:5" x14ac:dyDescent="0.2">
      <c r="A303" s="118">
        <v>40690</v>
      </c>
      <c r="B303" s="103">
        <v>7344</v>
      </c>
      <c r="C303" s="103">
        <v>7522</v>
      </c>
      <c r="D303" s="103">
        <v>8646</v>
      </c>
      <c r="E303" s="103">
        <v>87</v>
      </c>
    </row>
    <row r="304" spans="1:5" x14ac:dyDescent="0.2">
      <c r="A304" s="118">
        <v>40697</v>
      </c>
      <c r="B304" s="103">
        <v>7489</v>
      </c>
      <c r="C304" s="103">
        <v>7656</v>
      </c>
      <c r="D304" s="103">
        <v>8646</v>
      </c>
      <c r="E304" s="103">
        <v>88.6</v>
      </c>
    </row>
    <row r="305" spans="1:5" x14ac:dyDescent="0.2">
      <c r="A305" s="118">
        <v>40704</v>
      </c>
      <c r="B305" s="103">
        <v>7510</v>
      </c>
      <c r="C305" s="103">
        <v>7670</v>
      </c>
      <c r="D305" s="103">
        <v>8646</v>
      </c>
      <c r="E305" s="103">
        <v>88.7</v>
      </c>
    </row>
    <row r="306" spans="1:5" x14ac:dyDescent="0.2">
      <c r="A306" s="118">
        <v>40711</v>
      </c>
      <c r="B306" s="103">
        <v>7486</v>
      </c>
      <c r="C306" s="103">
        <v>7684</v>
      </c>
      <c r="D306" s="103">
        <v>8646</v>
      </c>
      <c r="E306" s="103">
        <v>88.9</v>
      </c>
    </row>
    <row r="307" spans="1:5" x14ac:dyDescent="0.2">
      <c r="A307" s="118">
        <v>40718</v>
      </c>
      <c r="B307" s="103">
        <v>7475</v>
      </c>
      <c r="C307" s="103">
        <v>7672</v>
      </c>
      <c r="D307" s="103">
        <v>8646</v>
      </c>
      <c r="E307" s="103">
        <v>88.7</v>
      </c>
    </row>
    <row r="308" spans="1:5" x14ac:dyDescent="0.2">
      <c r="A308" s="118">
        <v>40725</v>
      </c>
      <c r="B308" s="103">
        <v>7512</v>
      </c>
      <c r="C308" s="103">
        <v>7730</v>
      </c>
      <c r="D308" s="103">
        <v>8646</v>
      </c>
      <c r="E308" s="103">
        <v>89.4</v>
      </c>
    </row>
    <row r="309" spans="1:5" x14ac:dyDescent="0.2">
      <c r="A309" s="118">
        <v>40732</v>
      </c>
      <c r="B309" s="103">
        <v>7575</v>
      </c>
      <c r="C309" s="103">
        <v>7803</v>
      </c>
      <c r="D309" s="103">
        <v>8646</v>
      </c>
      <c r="E309" s="103">
        <v>90.2</v>
      </c>
    </row>
    <row r="310" spans="1:5" x14ac:dyDescent="0.2">
      <c r="A310" s="118">
        <v>40739</v>
      </c>
      <c r="B310" s="103">
        <v>7615</v>
      </c>
      <c r="C310" s="103">
        <v>7814</v>
      </c>
      <c r="D310" s="103">
        <v>8646</v>
      </c>
      <c r="E310" s="103">
        <v>90.4</v>
      </c>
    </row>
    <row r="311" spans="1:5" x14ac:dyDescent="0.2">
      <c r="A311" s="118">
        <v>40746</v>
      </c>
      <c r="B311" s="103">
        <v>7588</v>
      </c>
      <c r="C311" s="103">
        <v>7783</v>
      </c>
      <c r="D311" s="103">
        <v>8646</v>
      </c>
      <c r="E311" s="103">
        <v>90</v>
      </c>
    </row>
    <row r="312" spans="1:5" x14ac:dyDescent="0.2">
      <c r="A312" s="118">
        <v>40753</v>
      </c>
      <c r="B312" s="103">
        <v>7509</v>
      </c>
      <c r="C312" s="103">
        <v>7689</v>
      </c>
      <c r="D312" s="103">
        <v>8646</v>
      </c>
      <c r="E312" s="103">
        <v>88.9</v>
      </c>
    </row>
    <row r="313" spans="1:5" x14ac:dyDescent="0.2">
      <c r="A313" s="118">
        <v>40760</v>
      </c>
      <c r="B313" s="103">
        <v>7539</v>
      </c>
      <c r="C313" s="103">
        <v>7692</v>
      </c>
      <c r="D313" s="103">
        <v>8646</v>
      </c>
      <c r="E313" s="103">
        <v>89</v>
      </c>
    </row>
    <row r="314" spans="1:5" x14ac:dyDescent="0.2">
      <c r="A314" s="118">
        <v>40767</v>
      </c>
      <c r="B314" s="103">
        <v>7550</v>
      </c>
      <c r="C314" s="103">
        <v>7695</v>
      </c>
      <c r="D314" s="103">
        <v>8646</v>
      </c>
      <c r="E314" s="103">
        <v>89</v>
      </c>
    </row>
    <row r="315" spans="1:5" x14ac:dyDescent="0.2">
      <c r="A315" s="118">
        <v>40774</v>
      </c>
      <c r="B315" s="103">
        <v>7684</v>
      </c>
      <c r="C315" s="103">
        <v>7819</v>
      </c>
      <c r="D315" s="103">
        <v>8646</v>
      </c>
      <c r="E315" s="103">
        <v>90.4</v>
      </c>
    </row>
    <row r="316" spans="1:5" x14ac:dyDescent="0.2">
      <c r="A316" s="118">
        <v>40781</v>
      </c>
      <c r="B316" s="103">
        <v>7750</v>
      </c>
      <c r="C316" s="103">
        <v>7892</v>
      </c>
      <c r="D316" s="103">
        <v>8646</v>
      </c>
      <c r="E316" s="103">
        <v>91.3</v>
      </c>
    </row>
    <row r="317" spans="1:5" x14ac:dyDescent="0.2">
      <c r="A317" s="118">
        <v>40788</v>
      </c>
      <c r="B317" s="103">
        <v>7822</v>
      </c>
      <c r="C317" s="103">
        <v>7981</v>
      </c>
      <c r="D317" s="103">
        <v>8646</v>
      </c>
      <c r="E317" s="103">
        <v>92.3</v>
      </c>
    </row>
    <row r="318" spans="1:5" x14ac:dyDescent="0.2">
      <c r="A318" s="118">
        <v>40795</v>
      </c>
      <c r="B318" s="103">
        <v>7767</v>
      </c>
      <c r="C318" s="103">
        <v>7931</v>
      </c>
      <c r="D318" s="103">
        <v>8646</v>
      </c>
      <c r="E318" s="103">
        <v>91.7</v>
      </c>
    </row>
    <row r="319" spans="1:5" x14ac:dyDescent="0.2">
      <c r="A319" s="118">
        <v>40802</v>
      </c>
      <c r="B319" s="103">
        <v>7676</v>
      </c>
      <c r="C319" s="103">
        <v>7845</v>
      </c>
      <c r="D319" s="103">
        <v>8646</v>
      </c>
      <c r="E319" s="103">
        <v>90.7</v>
      </c>
    </row>
    <row r="320" spans="1:5" x14ac:dyDescent="0.2">
      <c r="A320" s="118">
        <v>40809</v>
      </c>
      <c r="B320" s="103">
        <v>7590</v>
      </c>
      <c r="C320" s="103">
        <v>7765</v>
      </c>
      <c r="D320" s="103">
        <v>8646</v>
      </c>
      <c r="E320" s="103">
        <v>89.8</v>
      </c>
    </row>
    <row r="321" spans="1:5" x14ac:dyDescent="0.2">
      <c r="A321" s="118">
        <v>40816</v>
      </c>
      <c r="B321" s="103">
        <v>7473</v>
      </c>
      <c r="C321" s="103">
        <v>7668</v>
      </c>
      <c r="D321" s="103">
        <v>8646</v>
      </c>
      <c r="E321" s="103">
        <v>88.7</v>
      </c>
    </row>
    <row r="322" spans="1:5" x14ac:dyDescent="0.2">
      <c r="A322" s="118">
        <v>40823</v>
      </c>
      <c r="B322" s="103">
        <v>7457</v>
      </c>
      <c r="C322" s="103">
        <v>7653</v>
      </c>
      <c r="D322" s="103">
        <v>8646</v>
      </c>
      <c r="E322" s="103">
        <v>88.5</v>
      </c>
    </row>
    <row r="323" spans="1:5" x14ac:dyDescent="0.2">
      <c r="A323" s="118">
        <v>40830</v>
      </c>
      <c r="B323" s="103">
        <v>7360</v>
      </c>
      <c r="C323" s="103">
        <v>7561</v>
      </c>
      <c r="D323" s="103">
        <v>8646</v>
      </c>
      <c r="E323" s="103">
        <v>87.4</v>
      </c>
    </row>
    <row r="324" spans="1:5" x14ac:dyDescent="0.2">
      <c r="A324" s="118">
        <v>40837</v>
      </c>
      <c r="B324" s="103">
        <v>7347</v>
      </c>
      <c r="C324" s="103">
        <v>7545</v>
      </c>
      <c r="D324" s="103">
        <v>8646</v>
      </c>
      <c r="E324" s="103">
        <v>87.3</v>
      </c>
    </row>
    <row r="325" spans="1:5" x14ac:dyDescent="0.2">
      <c r="A325" s="118">
        <v>40844</v>
      </c>
      <c r="B325" s="103">
        <v>7320</v>
      </c>
      <c r="C325" s="103">
        <v>7499</v>
      </c>
      <c r="D325" s="103">
        <v>8646</v>
      </c>
      <c r="E325" s="103">
        <v>86.7</v>
      </c>
    </row>
    <row r="326" spans="1:5" x14ac:dyDescent="0.2">
      <c r="A326" s="118">
        <v>40851</v>
      </c>
      <c r="B326" s="103">
        <v>7294</v>
      </c>
      <c r="C326" s="103">
        <v>7463</v>
      </c>
      <c r="D326" s="103">
        <v>8646</v>
      </c>
      <c r="E326" s="103">
        <v>86.3</v>
      </c>
    </row>
    <row r="327" spans="1:5" x14ac:dyDescent="0.2">
      <c r="A327" s="118">
        <v>40858</v>
      </c>
      <c r="B327" s="103">
        <v>7382</v>
      </c>
      <c r="C327" s="103">
        <v>7556</v>
      </c>
      <c r="D327" s="103">
        <v>8646</v>
      </c>
      <c r="E327" s="103">
        <v>87.4</v>
      </c>
    </row>
    <row r="328" spans="1:5" x14ac:dyDescent="0.2">
      <c r="A328" s="118">
        <v>40865</v>
      </c>
      <c r="B328" s="103">
        <v>7401</v>
      </c>
      <c r="C328" s="103">
        <v>7578</v>
      </c>
      <c r="D328" s="103">
        <v>8646</v>
      </c>
      <c r="E328" s="103">
        <v>87.7</v>
      </c>
    </row>
    <row r="329" spans="1:5" x14ac:dyDescent="0.2">
      <c r="A329" s="118">
        <v>40872</v>
      </c>
      <c r="B329" s="103">
        <v>7358</v>
      </c>
      <c r="C329" s="103">
        <v>7559</v>
      </c>
      <c r="D329" s="103">
        <v>8646</v>
      </c>
      <c r="E329" s="103">
        <v>87.4</v>
      </c>
    </row>
    <row r="330" spans="1:5" x14ac:dyDescent="0.2">
      <c r="A330" s="118">
        <v>40879</v>
      </c>
      <c r="B330" s="103">
        <v>7458</v>
      </c>
      <c r="C330" s="103">
        <v>7657</v>
      </c>
      <c r="D330" s="103">
        <v>8646</v>
      </c>
      <c r="E330" s="103">
        <v>88.6</v>
      </c>
    </row>
    <row r="331" spans="1:5" x14ac:dyDescent="0.2">
      <c r="A331" s="118">
        <v>40886</v>
      </c>
      <c r="B331" s="103">
        <v>7420</v>
      </c>
      <c r="C331" s="103">
        <v>7636</v>
      </c>
      <c r="D331" s="103">
        <v>8646</v>
      </c>
      <c r="E331" s="103">
        <v>88.3</v>
      </c>
    </row>
    <row r="332" spans="1:5" x14ac:dyDescent="0.2">
      <c r="A332" s="118">
        <v>40893</v>
      </c>
      <c r="B332" s="103">
        <v>7362</v>
      </c>
      <c r="C332" s="103">
        <v>7599</v>
      </c>
      <c r="D332" s="103">
        <v>8646</v>
      </c>
      <c r="E332" s="103">
        <v>87.9</v>
      </c>
    </row>
    <row r="333" spans="1:5" x14ac:dyDescent="0.2">
      <c r="A333" s="118">
        <v>40900</v>
      </c>
      <c r="B333" s="103">
        <v>7377</v>
      </c>
      <c r="C333" s="103">
        <v>7585</v>
      </c>
      <c r="D333" s="103">
        <v>8646</v>
      </c>
      <c r="E333" s="103">
        <v>87.7</v>
      </c>
    </row>
    <row r="334" spans="1:5" x14ac:dyDescent="0.2">
      <c r="A334" s="118">
        <v>40907</v>
      </c>
      <c r="B334" s="103">
        <v>7285</v>
      </c>
      <c r="C334" s="103">
        <v>7496</v>
      </c>
      <c r="D334" s="103">
        <v>8646</v>
      </c>
      <c r="E334" s="103">
        <v>86.7</v>
      </c>
    </row>
    <row r="335" spans="1:5" x14ac:dyDescent="0.2">
      <c r="A335" s="118">
        <v>40914</v>
      </c>
      <c r="B335" s="103">
        <v>7293</v>
      </c>
      <c r="C335" s="103">
        <v>7472</v>
      </c>
      <c r="D335" s="103">
        <v>8646</v>
      </c>
      <c r="E335" s="103">
        <v>86.4</v>
      </c>
    </row>
    <row r="336" spans="1:5" x14ac:dyDescent="0.2">
      <c r="A336" s="118">
        <v>40921</v>
      </c>
      <c r="B336" s="103">
        <v>7307</v>
      </c>
      <c r="C336" s="103">
        <v>7433</v>
      </c>
      <c r="D336" s="103">
        <v>8646</v>
      </c>
      <c r="E336" s="103">
        <v>86</v>
      </c>
    </row>
    <row r="337" spans="1:5" x14ac:dyDescent="0.2">
      <c r="A337" s="118">
        <v>40928</v>
      </c>
      <c r="B337" s="103">
        <v>7232</v>
      </c>
      <c r="C337" s="103">
        <v>7345</v>
      </c>
      <c r="D337" s="103">
        <v>8646</v>
      </c>
      <c r="E337" s="103">
        <v>85</v>
      </c>
    </row>
    <row r="338" spans="1:5" x14ac:dyDescent="0.2">
      <c r="A338" s="118">
        <v>40935</v>
      </c>
      <c r="B338" s="103">
        <v>7176</v>
      </c>
      <c r="C338" s="103">
        <v>7279</v>
      </c>
      <c r="D338" s="103">
        <v>8646</v>
      </c>
      <c r="E338" s="103">
        <v>84.2</v>
      </c>
    </row>
    <row r="339" spans="1:5" x14ac:dyDescent="0.2">
      <c r="A339" s="118">
        <v>40942</v>
      </c>
      <c r="B339" s="103">
        <v>7119</v>
      </c>
      <c r="C339" s="103">
        <v>7230</v>
      </c>
      <c r="D339" s="103">
        <v>8645</v>
      </c>
      <c r="E339" s="103">
        <v>83.6</v>
      </c>
    </row>
    <row r="340" spans="1:5" x14ac:dyDescent="0.2">
      <c r="A340" s="118">
        <v>40949</v>
      </c>
      <c r="B340" s="103">
        <v>7149</v>
      </c>
      <c r="C340" s="103">
        <v>7266</v>
      </c>
      <c r="D340" s="103">
        <v>8643</v>
      </c>
      <c r="E340" s="103">
        <v>84.1</v>
      </c>
    </row>
    <row r="341" spans="1:5" x14ac:dyDescent="0.2">
      <c r="A341" s="118">
        <v>40956</v>
      </c>
      <c r="B341" s="103">
        <v>7278</v>
      </c>
      <c r="C341" s="103">
        <v>7392</v>
      </c>
      <c r="D341" s="103">
        <v>8642</v>
      </c>
      <c r="E341" s="103">
        <v>85.5</v>
      </c>
    </row>
    <row r="342" spans="1:5" x14ac:dyDescent="0.2">
      <c r="A342" s="118">
        <v>40963</v>
      </c>
      <c r="B342" s="103">
        <v>7351</v>
      </c>
      <c r="C342" s="103">
        <v>7448</v>
      </c>
      <c r="D342" s="103">
        <v>8640</v>
      </c>
      <c r="E342" s="103">
        <v>86.2</v>
      </c>
    </row>
    <row r="343" spans="1:5" x14ac:dyDescent="0.2">
      <c r="A343" s="118">
        <v>40970</v>
      </c>
      <c r="B343" s="103">
        <v>7412</v>
      </c>
      <c r="C343" s="103">
        <v>7493</v>
      </c>
      <c r="D343" s="103">
        <v>8640</v>
      </c>
      <c r="E343" s="103">
        <v>86.7</v>
      </c>
    </row>
    <row r="344" spans="1:5" x14ac:dyDescent="0.2">
      <c r="A344" s="118">
        <v>40977</v>
      </c>
      <c r="B344" s="103">
        <v>7345</v>
      </c>
      <c r="C344" s="103">
        <v>7409</v>
      </c>
      <c r="D344" s="103">
        <v>8640</v>
      </c>
      <c r="E344" s="103">
        <v>85.8</v>
      </c>
    </row>
    <row r="345" spans="1:5" x14ac:dyDescent="0.2">
      <c r="A345" s="118">
        <v>40984</v>
      </c>
      <c r="B345" s="103">
        <v>7292</v>
      </c>
      <c r="C345" s="103">
        <v>7346</v>
      </c>
      <c r="D345" s="103">
        <v>8640</v>
      </c>
      <c r="E345" s="103">
        <v>85</v>
      </c>
    </row>
    <row r="346" spans="1:5" x14ac:dyDescent="0.2">
      <c r="A346" s="118">
        <v>40991</v>
      </c>
      <c r="B346" s="103">
        <v>7345</v>
      </c>
      <c r="C346" s="103">
        <v>7395</v>
      </c>
      <c r="D346" s="103">
        <v>8661</v>
      </c>
      <c r="E346" s="103">
        <v>85.4</v>
      </c>
    </row>
    <row r="347" spans="1:5" x14ac:dyDescent="0.2">
      <c r="A347" s="118">
        <v>40998</v>
      </c>
      <c r="B347" s="103">
        <v>7444</v>
      </c>
      <c r="C347" s="103">
        <v>7463</v>
      </c>
      <c r="D347" s="103">
        <v>8683</v>
      </c>
      <c r="E347" s="103">
        <v>85.9</v>
      </c>
    </row>
    <row r="348" spans="1:5" x14ac:dyDescent="0.2">
      <c r="A348" s="118">
        <v>41005</v>
      </c>
      <c r="B348" s="103">
        <v>7519</v>
      </c>
      <c r="C348" s="103">
        <v>7530</v>
      </c>
      <c r="D348" s="103">
        <v>8704</v>
      </c>
      <c r="E348" s="103">
        <v>86.5</v>
      </c>
    </row>
    <row r="349" spans="1:5" x14ac:dyDescent="0.2">
      <c r="A349" s="118">
        <v>41012</v>
      </c>
      <c r="B349" s="103">
        <v>7516</v>
      </c>
      <c r="C349" s="103">
        <v>7522</v>
      </c>
      <c r="D349" s="103">
        <v>8725</v>
      </c>
      <c r="E349" s="103">
        <v>86.2</v>
      </c>
    </row>
    <row r="350" spans="1:5" x14ac:dyDescent="0.2">
      <c r="A350" s="118">
        <v>41019</v>
      </c>
      <c r="B350" s="103">
        <v>7453</v>
      </c>
      <c r="C350" s="103">
        <v>7456</v>
      </c>
      <c r="D350" s="103">
        <v>8725</v>
      </c>
      <c r="E350" s="103">
        <v>85.5</v>
      </c>
    </row>
    <row r="351" spans="1:5" x14ac:dyDescent="0.2">
      <c r="A351" s="118">
        <v>41026</v>
      </c>
      <c r="B351" s="103">
        <v>7343</v>
      </c>
      <c r="C351" s="103">
        <v>7352</v>
      </c>
      <c r="D351" s="103">
        <v>8725</v>
      </c>
      <c r="E351" s="103">
        <v>84.3</v>
      </c>
    </row>
    <row r="352" spans="1:5" x14ac:dyDescent="0.2">
      <c r="A352" s="118">
        <v>41033</v>
      </c>
      <c r="B352" s="103">
        <v>7374</v>
      </c>
      <c r="C352" s="103">
        <v>7393</v>
      </c>
      <c r="D352" s="103">
        <v>8725</v>
      </c>
      <c r="E352" s="103">
        <v>84.7</v>
      </c>
    </row>
    <row r="353" spans="1:5" x14ac:dyDescent="0.2">
      <c r="A353" s="118">
        <v>41040</v>
      </c>
      <c r="B353" s="103">
        <v>7523</v>
      </c>
      <c r="C353" s="103">
        <v>7559</v>
      </c>
      <c r="D353" s="103">
        <v>8725</v>
      </c>
      <c r="E353" s="103">
        <v>86.6</v>
      </c>
    </row>
    <row r="354" spans="1:5" x14ac:dyDescent="0.2">
      <c r="A354" s="118">
        <v>41047</v>
      </c>
      <c r="B354" s="103">
        <v>7633</v>
      </c>
      <c r="C354" s="103">
        <v>7692</v>
      </c>
      <c r="D354" s="103">
        <v>8725</v>
      </c>
      <c r="E354" s="103">
        <v>88.2</v>
      </c>
    </row>
    <row r="355" spans="1:5" x14ac:dyDescent="0.2">
      <c r="A355" s="118">
        <v>41054</v>
      </c>
      <c r="B355" s="103">
        <v>7708</v>
      </c>
      <c r="C355" s="103">
        <v>7809</v>
      </c>
      <c r="D355" s="103">
        <v>8725</v>
      </c>
      <c r="E355" s="103">
        <v>89.5</v>
      </c>
    </row>
    <row r="356" spans="1:5" x14ac:dyDescent="0.2">
      <c r="A356" s="118">
        <v>41061</v>
      </c>
      <c r="B356" s="103">
        <v>7818</v>
      </c>
      <c r="C356" s="103">
        <v>7935</v>
      </c>
      <c r="D356" s="103">
        <v>8725</v>
      </c>
      <c r="E356" s="103">
        <v>91</v>
      </c>
    </row>
    <row r="357" spans="1:5" x14ac:dyDescent="0.2">
      <c r="A357" s="118">
        <v>41068</v>
      </c>
      <c r="B357" s="103">
        <v>7856</v>
      </c>
      <c r="C357" s="103">
        <v>7990</v>
      </c>
      <c r="D357" s="103">
        <v>8725</v>
      </c>
      <c r="E357" s="103">
        <v>91.6</v>
      </c>
    </row>
    <row r="358" spans="1:5" x14ac:dyDescent="0.2">
      <c r="A358" s="118">
        <v>41075</v>
      </c>
      <c r="B358" s="103">
        <v>7914</v>
      </c>
      <c r="C358" s="103">
        <v>8060</v>
      </c>
      <c r="D358" s="103">
        <v>8725</v>
      </c>
      <c r="E358" s="103">
        <v>92.4</v>
      </c>
    </row>
    <row r="359" spans="1:5" x14ac:dyDescent="0.2">
      <c r="A359" s="118">
        <v>41082</v>
      </c>
      <c r="B359" s="103">
        <v>7972</v>
      </c>
      <c r="C359" s="103">
        <v>8118</v>
      </c>
      <c r="D359" s="103">
        <v>8725</v>
      </c>
      <c r="E359" s="103">
        <v>93</v>
      </c>
    </row>
    <row r="360" spans="1:5" x14ac:dyDescent="0.2">
      <c r="A360" s="118">
        <v>41089</v>
      </c>
      <c r="B360" s="103">
        <v>7980</v>
      </c>
      <c r="C360" s="103">
        <v>8122</v>
      </c>
      <c r="D360" s="103">
        <v>8725</v>
      </c>
      <c r="E360" s="103">
        <v>93.1</v>
      </c>
    </row>
    <row r="361" spans="1:5" x14ac:dyDescent="0.2">
      <c r="A361" s="118">
        <v>41096</v>
      </c>
      <c r="B361" s="103">
        <v>8009</v>
      </c>
      <c r="C361" s="103">
        <v>8130</v>
      </c>
      <c r="D361" s="103">
        <v>8725</v>
      </c>
      <c r="E361" s="103">
        <v>93.2</v>
      </c>
    </row>
    <row r="362" spans="1:5" x14ac:dyDescent="0.2">
      <c r="A362" s="118">
        <v>41103</v>
      </c>
      <c r="B362" s="103">
        <v>8015</v>
      </c>
      <c r="C362" s="103">
        <v>8142</v>
      </c>
      <c r="D362" s="103">
        <v>8725</v>
      </c>
      <c r="E362" s="103">
        <v>93.3</v>
      </c>
    </row>
    <row r="363" spans="1:5" x14ac:dyDescent="0.2">
      <c r="A363" s="118">
        <v>41110</v>
      </c>
      <c r="B363" s="103">
        <v>8058</v>
      </c>
      <c r="C363" s="103">
        <v>8173</v>
      </c>
      <c r="D363" s="103">
        <v>8725</v>
      </c>
      <c r="E363" s="103">
        <v>93.7</v>
      </c>
    </row>
    <row r="364" spans="1:5" x14ac:dyDescent="0.2">
      <c r="A364" s="118">
        <v>41117</v>
      </c>
      <c r="B364" s="103">
        <v>7988</v>
      </c>
      <c r="C364" s="103">
        <v>8117</v>
      </c>
      <c r="D364" s="103">
        <v>8725</v>
      </c>
      <c r="E364" s="103">
        <v>93</v>
      </c>
    </row>
    <row r="365" spans="1:5" x14ac:dyDescent="0.2">
      <c r="A365" s="118">
        <v>41124</v>
      </c>
      <c r="B365" s="103">
        <v>7930</v>
      </c>
      <c r="C365" s="103">
        <v>8091</v>
      </c>
      <c r="D365" s="103">
        <v>8725</v>
      </c>
      <c r="E365" s="103">
        <v>92.7</v>
      </c>
    </row>
    <row r="366" spans="1:5" x14ac:dyDescent="0.2">
      <c r="A366" s="118"/>
      <c r="B366" s="103"/>
      <c r="C366" s="103"/>
      <c r="D366" s="103"/>
      <c r="E366" s="103"/>
    </row>
    <row r="367" spans="1:5" x14ac:dyDescent="0.2">
      <c r="A367" s="118"/>
      <c r="B367" s="103"/>
      <c r="C367" s="103"/>
      <c r="D367" s="103"/>
      <c r="E367" s="103"/>
    </row>
    <row r="368" spans="1:5" x14ac:dyDescent="0.2">
      <c r="A368" s="118"/>
      <c r="B368" s="103"/>
      <c r="C368" s="103"/>
      <c r="D368" s="103"/>
      <c r="E368" s="103"/>
    </row>
    <row r="369" spans="1:6" x14ac:dyDescent="0.2">
      <c r="A369" s="101" t="s">
        <v>384</v>
      </c>
      <c r="B369" s="102" t="s">
        <v>620</v>
      </c>
      <c r="C369" s="103"/>
      <c r="D369" s="103"/>
      <c r="E369" s="103"/>
      <c r="F369" s="103"/>
    </row>
    <row r="370" spans="1:6" ht="25.5" x14ac:dyDescent="0.2">
      <c r="A370" s="105" t="s">
        <v>490</v>
      </c>
      <c r="B370" s="106" t="s">
        <v>645</v>
      </c>
      <c r="C370" s="106" t="s">
        <v>646</v>
      </c>
      <c r="D370" s="106" t="s">
        <v>647</v>
      </c>
      <c r="E370" s="106" t="s">
        <v>648</v>
      </c>
      <c r="F370" s="106"/>
    </row>
    <row r="371" spans="1:6" ht="89.25" x14ac:dyDescent="0.2">
      <c r="A371" s="105" t="s">
        <v>508</v>
      </c>
      <c r="B371" s="108" t="s">
        <v>649</v>
      </c>
      <c r="C371" s="108" t="s">
        <v>650</v>
      </c>
      <c r="D371" s="108" t="s">
        <v>651</v>
      </c>
      <c r="E371" s="108" t="s">
        <v>652</v>
      </c>
      <c r="F371" s="108"/>
    </row>
    <row r="372" spans="1:6" x14ac:dyDescent="0.2">
      <c r="A372" s="118">
        <v>40354</v>
      </c>
      <c r="B372" s="103">
        <v>560</v>
      </c>
      <c r="C372" s="103">
        <v>564</v>
      </c>
      <c r="D372" s="103">
        <v>623</v>
      </c>
      <c r="E372" s="103">
        <v>90.6</v>
      </c>
    </row>
    <row r="373" spans="1:6" x14ac:dyDescent="0.2">
      <c r="A373" s="118">
        <v>40361</v>
      </c>
      <c r="B373" s="103">
        <v>564</v>
      </c>
      <c r="C373" s="103">
        <v>570</v>
      </c>
      <c r="D373" s="103">
        <v>623</v>
      </c>
      <c r="E373" s="103">
        <v>91.4</v>
      </c>
    </row>
    <row r="374" spans="1:6" x14ac:dyDescent="0.2">
      <c r="A374" s="118">
        <v>40368</v>
      </c>
      <c r="B374" s="103">
        <v>573</v>
      </c>
      <c r="C374" s="103">
        <v>579</v>
      </c>
      <c r="D374" s="103">
        <v>623</v>
      </c>
      <c r="E374" s="103">
        <v>92.9</v>
      </c>
    </row>
    <row r="375" spans="1:6" x14ac:dyDescent="0.2">
      <c r="A375" s="118">
        <v>40375</v>
      </c>
      <c r="B375" s="103">
        <v>575</v>
      </c>
      <c r="C375" s="103">
        <v>580</v>
      </c>
      <c r="D375" s="103">
        <v>623</v>
      </c>
      <c r="E375" s="103">
        <v>93.2</v>
      </c>
    </row>
    <row r="376" spans="1:6" x14ac:dyDescent="0.2">
      <c r="A376" s="118">
        <v>40382</v>
      </c>
      <c r="B376" s="103">
        <v>575</v>
      </c>
      <c r="C376" s="103">
        <v>577</v>
      </c>
      <c r="D376" s="103">
        <v>623</v>
      </c>
      <c r="E376" s="103">
        <v>92.6</v>
      </c>
    </row>
    <row r="377" spans="1:6" x14ac:dyDescent="0.2">
      <c r="A377" s="118">
        <v>40389</v>
      </c>
      <c r="B377" s="103">
        <v>570</v>
      </c>
      <c r="C377" s="103">
        <v>568</v>
      </c>
      <c r="D377" s="103">
        <v>623</v>
      </c>
      <c r="E377" s="103">
        <v>91.2</v>
      </c>
    </row>
    <row r="378" spans="1:6" x14ac:dyDescent="0.2">
      <c r="A378" s="118">
        <v>40396</v>
      </c>
      <c r="B378" s="103">
        <v>555</v>
      </c>
      <c r="C378" s="103">
        <v>551</v>
      </c>
      <c r="D378" s="103">
        <v>623</v>
      </c>
      <c r="E378" s="103">
        <v>88.5</v>
      </c>
    </row>
    <row r="379" spans="1:6" x14ac:dyDescent="0.2">
      <c r="A379" s="118">
        <v>40403</v>
      </c>
      <c r="B379" s="103">
        <v>551</v>
      </c>
      <c r="C379" s="103">
        <v>546</v>
      </c>
      <c r="D379" s="103">
        <v>623</v>
      </c>
      <c r="E379" s="103">
        <v>87.6</v>
      </c>
    </row>
    <row r="380" spans="1:6" x14ac:dyDescent="0.2">
      <c r="A380" s="118">
        <v>40410</v>
      </c>
      <c r="B380" s="103">
        <v>542</v>
      </c>
      <c r="C380" s="103">
        <v>540</v>
      </c>
      <c r="D380" s="103">
        <v>623</v>
      </c>
      <c r="E380" s="103">
        <v>86.7</v>
      </c>
    </row>
    <row r="381" spans="1:6" x14ac:dyDescent="0.2">
      <c r="A381" s="118">
        <v>40417</v>
      </c>
      <c r="B381" s="103">
        <v>540</v>
      </c>
      <c r="C381" s="103">
        <v>540</v>
      </c>
      <c r="D381" s="103">
        <v>623</v>
      </c>
      <c r="E381" s="103">
        <v>86.7</v>
      </c>
    </row>
    <row r="382" spans="1:6" x14ac:dyDescent="0.2">
      <c r="A382" s="118">
        <v>40424</v>
      </c>
      <c r="B382" s="103">
        <v>543</v>
      </c>
      <c r="C382" s="103">
        <v>548</v>
      </c>
      <c r="D382" s="103">
        <v>623</v>
      </c>
      <c r="E382" s="103">
        <v>87.9</v>
      </c>
    </row>
    <row r="383" spans="1:6" x14ac:dyDescent="0.2">
      <c r="A383" s="118">
        <v>40431</v>
      </c>
      <c r="B383" s="103">
        <v>547</v>
      </c>
      <c r="C383" s="103">
        <v>554</v>
      </c>
      <c r="D383" s="103">
        <v>623</v>
      </c>
      <c r="E383" s="103">
        <v>88.9</v>
      </c>
    </row>
    <row r="384" spans="1:6" x14ac:dyDescent="0.2">
      <c r="A384" s="118">
        <v>40438</v>
      </c>
      <c r="B384" s="103">
        <v>563</v>
      </c>
      <c r="C384" s="103">
        <v>571</v>
      </c>
      <c r="D384" s="103">
        <v>623</v>
      </c>
      <c r="E384" s="103">
        <v>91.7</v>
      </c>
    </row>
    <row r="385" spans="1:5" x14ac:dyDescent="0.2">
      <c r="A385" s="118">
        <v>40445</v>
      </c>
      <c r="B385" s="103">
        <v>575</v>
      </c>
      <c r="C385" s="103">
        <v>581</v>
      </c>
      <c r="D385" s="103">
        <v>623</v>
      </c>
      <c r="E385" s="103">
        <v>93.2</v>
      </c>
    </row>
    <row r="386" spans="1:5" x14ac:dyDescent="0.2">
      <c r="A386" s="118">
        <v>40452</v>
      </c>
      <c r="B386" s="103">
        <v>587</v>
      </c>
      <c r="C386" s="103">
        <v>590</v>
      </c>
      <c r="D386" s="103">
        <v>623</v>
      </c>
      <c r="E386" s="103">
        <v>94.7</v>
      </c>
    </row>
    <row r="387" spans="1:5" x14ac:dyDescent="0.2">
      <c r="A387" s="118">
        <v>40459</v>
      </c>
      <c r="B387" s="103">
        <v>581</v>
      </c>
      <c r="C387" s="103">
        <v>583</v>
      </c>
      <c r="D387" s="103">
        <v>623</v>
      </c>
      <c r="E387" s="103">
        <v>93.6</v>
      </c>
    </row>
    <row r="388" spans="1:5" x14ac:dyDescent="0.2">
      <c r="A388" s="118">
        <v>40466</v>
      </c>
      <c r="B388" s="103">
        <v>558</v>
      </c>
      <c r="C388" s="103">
        <v>559</v>
      </c>
      <c r="D388" s="103">
        <v>623</v>
      </c>
      <c r="E388" s="103">
        <v>89.7</v>
      </c>
    </row>
    <row r="389" spans="1:5" x14ac:dyDescent="0.2">
      <c r="A389" s="118">
        <v>40473</v>
      </c>
      <c r="B389" s="103">
        <v>542</v>
      </c>
      <c r="C389" s="103">
        <v>546</v>
      </c>
      <c r="D389" s="103">
        <v>623</v>
      </c>
      <c r="E389" s="103">
        <v>87.7</v>
      </c>
    </row>
    <row r="390" spans="1:5" x14ac:dyDescent="0.2">
      <c r="A390" s="118">
        <v>40480</v>
      </c>
      <c r="B390" s="103">
        <v>528</v>
      </c>
      <c r="C390" s="103">
        <v>532</v>
      </c>
      <c r="D390" s="103">
        <v>623</v>
      </c>
      <c r="E390" s="103">
        <v>85.5</v>
      </c>
    </row>
    <row r="391" spans="1:5" x14ac:dyDescent="0.2">
      <c r="A391" s="118">
        <v>40487</v>
      </c>
      <c r="B391" s="103">
        <v>523</v>
      </c>
      <c r="C391" s="103">
        <v>526</v>
      </c>
      <c r="D391" s="103">
        <v>623</v>
      </c>
      <c r="E391" s="103">
        <v>84.4</v>
      </c>
    </row>
    <row r="392" spans="1:5" x14ac:dyDescent="0.2">
      <c r="A392" s="118">
        <v>40494</v>
      </c>
      <c r="B392" s="103">
        <v>521</v>
      </c>
      <c r="C392" s="103">
        <v>526</v>
      </c>
      <c r="D392" s="103">
        <v>623</v>
      </c>
      <c r="E392" s="103">
        <v>84.5</v>
      </c>
    </row>
    <row r="393" spans="1:5" x14ac:dyDescent="0.2">
      <c r="A393" s="118">
        <v>40501</v>
      </c>
      <c r="B393" s="103">
        <v>529</v>
      </c>
      <c r="C393" s="103">
        <v>533</v>
      </c>
      <c r="D393" s="103">
        <v>623</v>
      </c>
      <c r="E393" s="103">
        <v>85.5</v>
      </c>
    </row>
    <row r="394" spans="1:5" x14ac:dyDescent="0.2">
      <c r="A394" s="118">
        <v>40508</v>
      </c>
      <c r="B394" s="103">
        <v>536</v>
      </c>
      <c r="C394" s="103">
        <v>539</v>
      </c>
      <c r="D394" s="103">
        <v>623</v>
      </c>
      <c r="E394" s="103">
        <v>86.5</v>
      </c>
    </row>
    <row r="395" spans="1:5" x14ac:dyDescent="0.2">
      <c r="A395" s="118">
        <v>40515</v>
      </c>
      <c r="B395" s="103">
        <v>543</v>
      </c>
      <c r="C395" s="103">
        <v>546</v>
      </c>
      <c r="D395" s="103">
        <v>623</v>
      </c>
      <c r="E395" s="103">
        <v>87.7</v>
      </c>
    </row>
    <row r="396" spans="1:5" x14ac:dyDescent="0.2">
      <c r="A396" s="118">
        <v>40522</v>
      </c>
      <c r="B396" s="103">
        <v>549</v>
      </c>
      <c r="C396" s="103">
        <v>551</v>
      </c>
      <c r="D396" s="103">
        <v>623</v>
      </c>
      <c r="E396" s="103">
        <v>88.4</v>
      </c>
    </row>
    <row r="397" spans="1:5" x14ac:dyDescent="0.2">
      <c r="A397" s="118">
        <v>40529</v>
      </c>
      <c r="B397" s="103">
        <v>541</v>
      </c>
      <c r="C397" s="103">
        <v>541</v>
      </c>
      <c r="D397" s="103">
        <v>623</v>
      </c>
      <c r="E397" s="103">
        <v>86.9</v>
      </c>
    </row>
    <row r="398" spans="1:5" x14ac:dyDescent="0.2">
      <c r="A398" s="118">
        <v>40536</v>
      </c>
      <c r="B398" s="103">
        <v>531</v>
      </c>
      <c r="C398" s="103">
        <v>533</v>
      </c>
      <c r="D398" s="103">
        <v>623</v>
      </c>
      <c r="E398" s="103">
        <v>85.6</v>
      </c>
    </row>
    <row r="399" spans="1:5" x14ac:dyDescent="0.2">
      <c r="A399" s="118">
        <v>40543</v>
      </c>
      <c r="B399" s="103">
        <v>520</v>
      </c>
      <c r="C399" s="103">
        <v>525</v>
      </c>
      <c r="D399" s="103">
        <v>623</v>
      </c>
      <c r="E399" s="103">
        <v>84.2</v>
      </c>
    </row>
    <row r="400" spans="1:5" x14ac:dyDescent="0.2">
      <c r="A400" s="118">
        <v>40550</v>
      </c>
      <c r="B400" s="103">
        <v>517</v>
      </c>
      <c r="C400" s="103">
        <v>521</v>
      </c>
      <c r="D400" s="103">
        <v>623</v>
      </c>
      <c r="E400" s="103">
        <v>83.6</v>
      </c>
    </row>
    <row r="401" spans="1:5" x14ac:dyDescent="0.2">
      <c r="A401" s="118">
        <v>40557</v>
      </c>
      <c r="B401" s="103">
        <v>515</v>
      </c>
      <c r="C401" s="103">
        <v>520</v>
      </c>
      <c r="D401" s="103">
        <v>623</v>
      </c>
      <c r="E401" s="103">
        <v>83.4</v>
      </c>
    </row>
    <row r="402" spans="1:5" x14ac:dyDescent="0.2">
      <c r="A402" s="118">
        <v>40564</v>
      </c>
      <c r="B402" s="103">
        <v>510</v>
      </c>
      <c r="C402" s="103">
        <v>513</v>
      </c>
      <c r="D402" s="103">
        <v>623</v>
      </c>
      <c r="E402" s="103">
        <v>82.4</v>
      </c>
    </row>
    <row r="403" spans="1:5" x14ac:dyDescent="0.2">
      <c r="A403" s="118">
        <v>40571</v>
      </c>
      <c r="B403" s="103">
        <v>505</v>
      </c>
      <c r="C403" s="103">
        <v>507</v>
      </c>
      <c r="D403" s="103">
        <v>623</v>
      </c>
      <c r="E403" s="103">
        <v>81.5</v>
      </c>
    </row>
    <row r="404" spans="1:5" x14ac:dyDescent="0.2">
      <c r="A404" s="118">
        <v>40578</v>
      </c>
      <c r="B404" s="103">
        <v>510</v>
      </c>
      <c r="C404" s="103">
        <v>513</v>
      </c>
      <c r="D404" s="103">
        <v>623</v>
      </c>
      <c r="E404" s="103">
        <v>82.4</v>
      </c>
    </row>
    <row r="405" spans="1:5" x14ac:dyDescent="0.2">
      <c r="A405" s="118">
        <v>40585</v>
      </c>
      <c r="B405" s="103">
        <v>518</v>
      </c>
      <c r="C405" s="103">
        <v>521</v>
      </c>
      <c r="D405" s="103">
        <v>623</v>
      </c>
      <c r="E405" s="103">
        <v>83.6</v>
      </c>
    </row>
    <row r="406" spans="1:5" x14ac:dyDescent="0.2">
      <c r="A406" s="118">
        <v>40592</v>
      </c>
      <c r="B406" s="103">
        <v>528</v>
      </c>
      <c r="C406" s="103">
        <v>530</v>
      </c>
      <c r="D406" s="103">
        <v>623</v>
      </c>
      <c r="E406" s="103">
        <v>85.1</v>
      </c>
    </row>
    <row r="407" spans="1:5" x14ac:dyDescent="0.2">
      <c r="A407" s="118">
        <v>40599</v>
      </c>
      <c r="B407" s="103">
        <v>542</v>
      </c>
      <c r="C407" s="103">
        <v>545</v>
      </c>
      <c r="D407" s="103">
        <v>623</v>
      </c>
      <c r="E407" s="103">
        <v>87.4</v>
      </c>
    </row>
    <row r="408" spans="1:5" x14ac:dyDescent="0.2">
      <c r="A408" s="118">
        <v>40606</v>
      </c>
      <c r="B408" s="103">
        <v>545</v>
      </c>
      <c r="C408" s="103">
        <v>547</v>
      </c>
      <c r="D408" s="103">
        <v>623</v>
      </c>
      <c r="E408" s="103">
        <v>87.9</v>
      </c>
    </row>
    <row r="409" spans="1:5" x14ac:dyDescent="0.2">
      <c r="A409" s="118">
        <v>40613</v>
      </c>
      <c r="B409" s="103">
        <v>546</v>
      </c>
      <c r="C409" s="103">
        <v>548</v>
      </c>
      <c r="D409" s="103">
        <v>623</v>
      </c>
      <c r="E409" s="103">
        <v>88</v>
      </c>
    </row>
    <row r="410" spans="1:5" x14ac:dyDescent="0.2">
      <c r="A410" s="118">
        <v>40620</v>
      </c>
      <c r="B410" s="103">
        <v>547</v>
      </c>
      <c r="C410" s="103">
        <v>549</v>
      </c>
      <c r="D410" s="103">
        <v>623</v>
      </c>
      <c r="E410" s="103">
        <v>88.1</v>
      </c>
    </row>
    <row r="411" spans="1:5" x14ac:dyDescent="0.2">
      <c r="A411" s="118">
        <v>40627</v>
      </c>
      <c r="B411" s="103">
        <v>537</v>
      </c>
      <c r="C411" s="103">
        <v>539</v>
      </c>
      <c r="D411" s="103">
        <v>623</v>
      </c>
      <c r="E411" s="103">
        <v>86.5</v>
      </c>
    </row>
    <row r="412" spans="1:5" x14ac:dyDescent="0.2">
      <c r="A412" s="118">
        <v>40634</v>
      </c>
      <c r="B412" s="103">
        <v>521</v>
      </c>
      <c r="C412" s="103">
        <v>523</v>
      </c>
      <c r="D412" s="103">
        <v>623</v>
      </c>
      <c r="E412" s="103">
        <v>83.9</v>
      </c>
    </row>
    <row r="413" spans="1:5" x14ac:dyDescent="0.2">
      <c r="A413" s="118">
        <v>40641</v>
      </c>
      <c r="B413" s="103">
        <v>494</v>
      </c>
      <c r="C413" s="103">
        <v>495</v>
      </c>
      <c r="D413" s="103">
        <v>623</v>
      </c>
      <c r="E413" s="103">
        <v>79.400000000000006</v>
      </c>
    </row>
    <row r="414" spans="1:5" x14ac:dyDescent="0.2">
      <c r="A414" s="118">
        <v>40648</v>
      </c>
      <c r="B414" s="103">
        <v>473</v>
      </c>
      <c r="C414" s="103">
        <v>474</v>
      </c>
      <c r="D414" s="103">
        <v>624</v>
      </c>
      <c r="E414" s="103">
        <v>76.099999999999994</v>
      </c>
    </row>
    <row r="415" spans="1:5" x14ac:dyDescent="0.2">
      <c r="A415" s="118">
        <v>40655</v>
      </c>
      <c r="B415" s="103">
        <v>466</v>
      </c>
      <c r="C415" s="103">
        <v>467</v>
      </c>
      <c r="D415" s="103">
        <v>624</v>
      </c>
      <c r="E415" s="103">
        <v>74.8</v>
      </c>
    </row>
    <row r="416" spans="1:5" x14ac:dyDescent="0.2">
      <c r="A416" s="118">
        <v>40662</v>
      </c>
      <c r="B416" s="103">
        <v>479</v>
      </c>
      <c r="C416" s="103">
        <v>480</v>
      </c>
      <c r="D416" s="103">
        <v>624</v>
      </c>
      <c r="E416" s="103">
        <v>76.900000000000006</v>
      </c>
    </row>
    <row r="417" spans="1:5" x14ac:dyDescent="0.2">
      <c r="A417" s="118">
        <v>40669</v>
      </c>
      <c r="B417" s="103">
        <v>498</v>
      </c>
      <c r="C417" s="103">
        <v>499</v>
      </c>
      <c r="D417" s="103">
        <v>624</v>
      </c>
      <c r="E417" s="103">
        <v>80</v>
      </c>
    </row>
    <row r="418" spans="1:5" x14ac:dyDescent="0.2">
      <c r="A418" s="118">
        <v>40676</v>
      </c>
      <c r="B418" s="103">
        <v>511</v>
      </c>
      <c r="C418" s="103">
        <v>512</v>
      </c>
      <c r="D418" s="103">
        <v>624</v>
      </c>
      <c r="E418" s="103">
        <v>82</v>
      </c>
    </row>
    <row r="419" spans="1:5" x14ac:dyDescent="0.2">
      <c r="A419" s="118">
        <v>40683</v>
      </c>
      <c r="B419" s="103">
        <v>525</v>
      </c>
      <c r="C419" s="103">
        <v>526</v>
      </c>
      <c r="D419" s="103">
        <v>624</v>
      </c>
      <c r="E419" s="103">
        <v>84.3</v>
      </c>
    </row>
    <row r="420" spans="1:5" x14ac:dyDescent="0.2">
      <c r="A420" s="118">
        <v>40690</v>
      </c>
      <c r="B420" s="103">
        <v>529</v>
      </c>
      <c r="C420" s="103">
        <v>531</v>
      </c>
      <c r="D420" s="103">
        <v>624</v>
      </c>
      <c r="E420" s="103">
        <v>85</v>
      </c>
    </row>
    <row r="421" spans="1:5" x14ac:dyDescent="0.2">
      <c r="A421" s="118">
        <v>40697</v>
      </c>
      <c r="B421" s="103">
        <v>545</v>
      </c>
      <c r="C421" s="103">
        <v>547</v>
      </c>
      <c r="D421" s="103">
        <v>624</v>
      </c>
      <c r="E421" s="103">
        <v>87.7</v>
      </c>
    </row>
    <row r="422" spans="1:5" x14ac:dyDescent="0.2">
      <c r="A422" s="118">
        <v>40704</v>
      </c>
      <c r="B422" s="103">
        <v>566</v>
      </c>
      <c r="C422" s="103">
        <v>568</v>
      </c>
      <c r="D422" s="103">
        <v>624</v>
      </c>
      <c r="E422" s="103">
        <v>91.1</v>
      </c>
    </row>
    <row r="423" spans="1:5" x14ac:dyDescent="0.2">
      <c r="A423" s="118">
        <v>40711</v>
      </c>
      <c r="B423" s="103">
        <v>567</v>
      </c>
      <c r="C423" s="103">
        <v>569</v>
      </c>
      <c r="D423" s="103">
        <v>624</v>
      </c>
      <c r="E423" s="103">
        <v>91.2</v>
      </c>
    </row>
    <row r="424" spans="1:5" x14ac:dyDescent="0.2">
      <c r="A424" s="118">
        <v>40718</v>
      </c>
      <c r="B424" s="103">
        <v>572</v>
      </c>
      <c r="C424" s="103">
        <v>574</v>
      </c>
      <c r="D424" s="103">
        <v>624</v>
      </c>
      <c r="E424" s="103">
        <v>92</v>
      </c>
    </row>
    <row r="425" spans="1:5" x14ac:dyDescent="0.2">
      <c r="A425" s="118">
        <v>40725</v>
      </c>
      <c r="B425" s="103">
        <v>574</v>
      </c>
      <c r="C425" s="103">
        <v>577</v>
      </c>
      <c r="D425" s="103">
        <v>624</v>
      </c>
      <c r="E425" s="103">
        <v>92.5</v>
      </c>
    </row>
    <row r="426" spans="1:5" x14ac:dyDescent="0.2">
      <c r="A426" s="118">
        <v>40732</v>
      </c>
      <c r="B426" s="103">
        <v>560</v>
      </c>
      <c r="C426" s="103">
        <v>563</v>
      </c>
      <c r="D426" s="103">
        <v>624</v>
      </c>
      <c r="E426" s="103">
        <v>90.3</v>
      </c>
    </row>
    <row r="427" spans="1:5" x14ac:dyDescent="0.2">
      <c r="A427" s="118">
        <v>40739</v>
      </c>
      <c r="B427" s="103">
        <v>558</v>
      </c>
      <c r="C427" s="103">
        <v>561</v>
      </c>
      <c r="D427" s="103">
        <v>624</v>
      </c>
      <c r="E427" s="103">
        <v>89.8</v>
      </c>
    </row>
    <row r="428" spans="1:5" x14ac:dyDescent="0.2">
      <c r="A428" s="118">
        <v>40746</v>
      </c>
      <c r="B428" s="103">
        <v>552</v>
      </c>
      <c r="C428" s="103">
        <v>555</v>
      </c>
      <c r="D428" s="103">
        <v>624</v>
      </c>
      <c r="E428" s="103">
        <v>88.9</v>
      </c>
    </row>
    <row r="429" spans="1:5" x14ac:dyDescent="0.2">
      <c r="A429" s="118">
        <v>40753</v>
      </c>
      <c r="B429" s="103">
        <v>544</v>
      </c>
      <c r="C429" s="103">
        <v>546</v>
      </c>
      <c r="D429" s="103">
        <v>624</v>
      </c>
      <c r="E429" s="103">
        <v>87.5</v>
      </c>
    </row>
    <row r="430" spans="1:5" x14ac:dyDescent="0.2">
      <c r="A430" s="118">
        <v>40760</v>
      </c>
      <c r="B430" s="103">
        <v>545</v>
      </c>
      <c r="C430" s="103">
        <v>549</v>
      </c>
      <c r="D430" s="103">
        <v>624</v>
      </c>
      <c r="E430" s="103">
        <v>88</v>
      </c>
    </row>
    <row r="431" spans="1:5" x14ac:dyDescent="0.2">
      <c r="A431" s="118">
        <v>40767</v>
      </c>
      <c r="B431" s="103">
        <v>547</v>
      </c>
      <c r="C431" s="103">
        <v>553</v>
      </c>
      <c r="D431" s="103">
        <v>624</v>
      </c>
      <c r="E431" s="103">
        <v>88.6</v>
      </c>
    </row>
    <row r="432" spans="1:5" x14ac:dyDescent="0.2">
      <c r="A432" s="118">
        <v>40774</v>
      </c>
      <c r="B432" s="103">
        <v>551</v>
      </c>
      <c r="C432" s="103">
        <v>556</v>
      </c>
      <c r="D432" s="103">
        <v>624</v>
      </c>
      <c r="E432" s="103">
        <v>89.2</v>
      </c>
    </row>
    <row r="433" spans="1:5" x14ac:dyDescent="0.2">
      <c r="A433" s="118">
        <v>40781</v>
      </c>
      <c r="B433" s="103">
        <v>544</v>
      </c>
      <c r="C433" s="103">
        <v>551</v>
      </c>
      <c r="D433" s="103">
        <v>624</v>
      </c>
      <c r="E433" s="103">
        <v>88.4</v>
      </c>
    </row>
    <row r="434" spans="1:5" x14ac:dyDescent="0.2">
      <c r="A434" s="118">
        <v>40788</v>
      </c>
      <c r="B434" s="103">
        <v>548</v>
      </c>
      <c r="C434" s="103">
        <v>552</v>
      </c>
      <c r="D434" s="103">
        <v>624</v>
      </c>
      <c r="E434" s="103">
        <v>88.5</v>
      </c>
    </row>
    <row r="435" spans="1:5" x14ac:dyDescent="0.2">
      <c r="A435" s="118">
        <v>40795</v>
      </c>
      <c r="B435" s="103">
        <v>536</v>
      </c>
      <c r="C435" s="103">
        <v>540</v>
      </c>
      <c r="D435" s="103">
        <v>624</v>
      </c>
      <c r="E435" s="103">
        <v>86.5</v>
      </c>
    </row>
    <row r="436" spans="1:5" x14ac:dyDescent="0.2">
      <c r="A436" s="118">
        <v>40802</v>
      </c>
      <c r="B436" s="103">
        <v>511</v>
      </c>
      <c r="C436" s="103">
        <v>514</v>
      </c>
      <c r="D436" s="103">
        <v>624</v>
      </c>
      <c r="E436" s="103">
        <v>82.3</v>
      </c>
    </row>
    <row r="437" spans="1:5" x14ac:dyDescent="0.2">
      <c r="A437" s="118">
        <v>40809</v>
      </c>
      <c r="B437" s="103">
        <v>500</v>
      </c>
      <c r="C437" s="103">
        <v>506</v>
      </c>
      <c r="D437" s="103">
        <v>624</v>
      </c>
      <c r="E437" s="103">
        <v>81.099999999999994</v>
      </c>
    </row>
    <row r="438" spans="1:5" x14ac:dyDescent="0.2">
      <c r="A438" s="118">
        <v>40816</v>
      </c>
      <c r="B438" s="103">
        <v>485</v>
      </c>
      <c r="C438" s="103">
        <v>493</v>
      </c>
      <c r="D438" s="103">
        <v>624</v>
      </c>
      <c r="E438" s="103">
        <v>79</v>
      </c>
    </row>
    <row r="439" spans="1:5" x14ac:dyDescent="0.2">
      <c r="A439" s="118">
        <v>40823</v>
      </c>
      <c r="B439" s="103">
        <v>495</v>
      </c>
      <c r="C439" s="103">
        <v>503</v>
      </c>
      <c r="D439" s="103">
        <v>624</v>
      </c>
      <c r="E439" s="103">
        <v>80.5</v>
      </c>
    </row>
    <row r="440" spans="1:5" x14ac:dyDescent="0.2">
      <c r="A440" s="118">
        <v>40830</v>
      </c>
      <c r="B440" s="103">
        <v>522</v>
      </c>
      <c r="C440" s="103">
        <v>530</v>
      </c>
      <c r="D440" s="103">
        <v>624</v>
      </c>
      <c r="E440" s="103">
        <v>84.9</v>
      </c>
    </row>
    <row r="441" spans="1:5" x14ac:dyDescent="0.2">
      <c r="A441" s="118">
        <v>40837</v>
      </c>
      <c r="B441" s="103">
        <v>544</v>
      </c>
      <c r="C441" s="103">
        <v>547</v>
      </c>
      <c r="D441" s="103">
        <v>624</v>
      </c>
      <c r="E441" s="103">
        <v>87.7</v>
      </c>
    </row>
    <row r="442" spans="1:5" x14ac:dyDescent="0.2">
      <c r="A442" s="118">
        <v>40844</v>
      </c>
      <c r="B442" s="103">
        <v>550</v>
      </c>
      <c r="C442" s="103">
        <v>554</v>
      </c>
      <c r="D442" s="103">
        <v>624</v>
      </c>
      <c r="E442" s="103">
        <v>88.8</v>
      </c>
    </row>
    <row r="443" spans="1:5" x14ac:dyDescent="0.2">
      <c r="A443" s="118">
        <v>40851</v>
      </c>
      <c r="B443" s="103">
        <v>556</v>
      </c>
      <c r="C443" s="103">
        <v>559</v>
      </c>
      <c r="D443" s="103">
        <v>624</v>
      </c>
      <c r="E443" s="103">
        <v>89.6</v>
      </c>
    </row>
    <row r="444" spans="1:5" x14ac:dyDescent="0.2">
      <c r="A444" s="118">
        <v>40858</v>
      </c>
      <c r="B444" s="103">
        <v>547</v>
      </c>
      <c r="C444" s="103">
        <v>551</v>
      </c>
      <c r="D444" s="103">
        <v>624</v>
      </c>
      <c r="E444" s="103">
        <v>88.2</v>
      </c>
    </row>
    <row r="445" spans="1:5" x14ac:dyDescent="0.2">
      <c r="A445" s="118">
        <v>40865</v>
      </c>
      <c r="B445" s="103">
        <v>551</v>
      </c>
      <c r="C445" s="103">
        <v>554</v>
      </c>
      <c r="D445" s="103">
        <v>624</v>
      </c>
      <c r="E445" s="103">
        <v>88.8</v>
      </c>
    </row>
    <row r="446" spans="1:5" x14ac:dyDescent="0.2">
      <c r="A446" s="118">
        <v>40872</v>
      </c>
      <c r="B446" s="103">
        <v>566</v>
      </c>
      <c r="C446" s="103">
        <v>567</v>
      </c>
      <c r="D446" s="103">
        <v>624</v>
      </c>
      <c r="E446" s="103">
        <v>90.9</v>
      </c>
    </row>
    <row r="447" spans="1:5" x14ac:dyDescent="0.2">
      <c r="A447" s="118">
        <v>40879</v>
      </c>
      <c r="B447" s="103">
        <v>569</v>
      </c>
      <c r="C447" s="103">
        <v>569</v>
      </c>
      <c r="D447" s="103">
        <v>624</v>
      </c>
      <c r="E447" s="103">
        <v>91.2</v>
      </c>
    </row>
    <row r="448" spans="1:5" x14ac:dyDescent="0.2">
      <c r="A448" s="118">
        <v>40886</v>
      </c>
      <c r="B448" s="103">
        <v>573</v>
      </c>
      <c r="C448" s="103">
        <v>573</v>
      </c>
      <c r="D448" s="103">
        <v>624</v>
      </c>
      <c r="E448" s="103">
        <v>91.8</v>
      </c>
    </row>
    <row r="449" spans="1:5" x14ac:dyDescent="0.2">
      <c r="A449" s="118">
        <v>40893</v>
      </c>
      <c r="B449" s="103">
        <v>567</v>
      </c>
      <c r="C449" s="103">
        <v>568</v>
      </c>
      <c r="D449" s="103">
        <v>624</v>
      </c>
      <c r="E449" s="103">
        <v>91</v>
      </c>
    </row>
    <row r="450" spans="1:5" x14ac:dyDescent="0.2">
      <c r="A450" s="118">
        <v>40900</v>
      </c>
      <c r="B450" s="103">
        <v>550</v>
      </c>
      <c r="C450" s="103">
        <v>552</v>
      </c>
      <c r="D450" s="103">
        <v>624</v>
      </c>
      <c r="E450" s="103">
        <v>88.5</v>
      </c>
    </row>
    <row r="451" spans="1:5" x14ac:dyDescent="0.2">
      <c r="A451" s="118">
        <v>40907</v>
      </c>
      <c r="B451" s="103">
        <v>553</v>
      </c>
      <c r="C451" s="103">
        <v>555</v>
      </c>
      <c r="D451" s="103">
        <v>624</v>
      </c>
      <c r="E451" s="103">
        <v>88.9</v>
      </c>
    </row>
    <row r="452" spans="1:5" x14ac:dyDescent="0.2">
      <c r="A452" s="118">
        <v>40914</v>
      </c>
      <c r="B452" s="103">
        <v>558</v>
      </c>
      <c r="C452" s="103">
        <v>560</v>
      </c>
      <c r="D452" s="103">
        <v>624</v>
      </c>
      <c r="E452" s="103">
        <v>89.7</v>
      </c>
    </row>
    <row r="453" spans="1:5" x14ac:dyDescent="0.2">
      <c r="A453" s="118">
        <v>40921</v>
      </c>
      <c r="B453" s="103">
        <v>561</v>
      </c>
      <c r="C453" s="103">
        <v>564</v>
      </c>
      <c r="D453" s="103">
        <v>624</v>
      </c>
      <c r="E453" s="103">
        <v>90.4</v>
      </c>
    </row>
    <row r="454" spans="1:5" x14ac:dyDescent="0.2">
      <c r="A454" s="118">
        <v>40928</v>
      </c>
      <c r="B454" s="103">
        <v>572</v>
      </c>
      <c r="C454" s="103">
        <v>574</v>
      </c>
      <c r="D454" s="103">
        <v>624</v>
      </c>
      <c r="E454" s="103">
        <v>92.1</v>
      </c>
    </row>
    <row r="455" spans="1:5" x14ac:dyDescent="0.2">
      <c r="A455" s="118">
        <v>40935</v>
      </c>
      <c r="B455" s="103">
        <v>575</v>
      </c>
      <c r="C455" s="103">
        <v>577</v>
      </c>
      <c r="D455" s="103">
        <v>624</v>
      </c>
      <c r="E455" s="103">
        <v>92.5</v>
      </c>
    </row>
    <row r="456" spans="1:5" x14ac:dyDescent="0.2">
      <c r="A456" s="118">
        <v>40942</v>
      </c>
      <c r="B456" s="103">
        <v>574</v>
      </c>
      <c r="C456" s="103">
        <v>576</v>
      </c>
      <c r="D456" s="103">
        <v>624</v>
      </c>
      <c r="E456" s="103">
        <v>92.3</v>
      </c>
    </row>
    <row r="457" spans="1:5" x14ac:dyDescent="0.2">
      <c r="A457" s="118">
        <v>40949</v>
      </c>
      <c r="B457" s="103">
        <v>574</v>
      </c>
      <c r="C457" s="103">
        <v>575</v>
      </c>
      <c r="D457" s="103">
        <v>624</v>
      </c>
      <c r="E457" s="103">
        <v>92.1</v>
      </c>
    </row>
    <row r="458" spans="1:5" x14ac:dyDescent="0.2">
      <c r="A458" s="118">
        <v>40956</v>
      </c>
      <c r="B458" s="103">
        <v>575</v>
      </c>
      <c r="C458" s="103">
        <v>577</v>
      </c>
      <c r="D458" s="103">
        <v>624</v>
      </c>
      <c r="E458" s="103">
        <v>92.5</v>
      </c>
    </row>
    <row r="459" spans="1:5" x14ac:dyDescent="0.2">
      <c r="A459" s="118">
        <v>40963</v>
      </c>
      <c r="B459" s="103">
        <v>569</v>
      </c>
      <c r="C459" s="103">
        <v>572</v>
      </c>
      <c r="D459" s="103">
        <v>624</v>
      </c>
      <c r="E459" s="103">
        <v>91.7</v>
      </c>
    </row>
    <row r="460" spans="1:5" x14ac:dyDescent="0.2">
      <c r="A460" s="118">
        <v>40970</v>
      </c>
      <c r="B460" s="103">
        <v>570</v>
      </c>
      <c r="C460" s="103">
        <v>573</v>
      </c>
      <c r="D460" s="103">
        <v>624</v>
      </c>
      <c r="E460" s="103">
        <v>91.9</v>
      </c>
    </row>
    <row r="461" spans="1:5" x14ac:dyDescent="0.2">
      <c r="A461" s="118">
        <v>40977</v>
      </c>
      <c r="B461" s="103">
        <v>571</v>
      </c>
      <c r="C461" s="103">
        <v>575</v>
      </c>
      <c r="D461" s="103">
        <v>624</v>
      </c>
      <c r="E461" s="103">
        <v>92.1</v>
      </c>
    </row>
    <row r="462" spans="1:5" x14ac:dyDescent="0.2">
      <c r="A462" s="118">
        <v>40984</v>
      </c>
      <c r="B462" s="103">
        <v>575</v>
      </c>
      <c r="C462" s="103">
        <v>578</v>
      </c>
      <c r="D462" s="103">
        <v>624</v>
      </c>
      <c r="E462" s="103">
        <v>92.6</v>
      </c>
    </row>
    <row r="463" spans="1:5" x14ac:dyDescent="0.2">
      <c r="A463" s="118">
        <v>40991</v>
      </c>
      <c r="B463" s="103">
        <v>577</v>
      </c>
      <c r="C463" s="103">
        <v>579</v>
      </c>
      <c r="D463" s="103">
        <v>624</v>
      </c>
      <c r="E463" s="103">
        <v>92.9</v>
      </c>
    </row>
    <row r="464" spans="1:5" x14ac:dyDescent="0.2">
      <c r="A464" s="118">
        <v>40998</v>
      </c>
      <c r="B464" s="103">
        <v>568</v>
      </c>
      <c r="C464" s="103">
        <v>571</v>
      </c>
      <c r="D464" s="103">
        <v>624</v>
      </c>
      <c r="E464" s="103">
        <v>91.6</v>
      </c>
    </row>
    <row r="465" spans="1:5" x14ac:dyDescent="0.2">
      <c r="A465" s="118">
        <v>41005</v>
      </c>
      <c r="B465" s="103">
        <v>554</v>
      </c>
      <c r="C465" s="103">
        <v>555</v>
      </c>
      <c r="D465" s="103">
        <v>623</v>
      </c>
      <c r="E465" s="103">
        <v>89.1</v>
      </c>
    </row>
    <row r="466" spans="1:5" x14ac:dyDescent="0.2">
      <c r="A466" s="118">
        <v>41012</v>
      </c>
      <c r="B466" s="103">
        <v>543</v>
      </c>
      <c r="C466" s="103">
        <v>545</v>
      </c>
      <c r="D466" s="103">
        <v>623</v>
      </c>
      <c r="E466" s="103">
        <v>87.4</v>
      </c>
    </row>
    <row r="467" spans="1:5" x14ac:dyDescent="0.2">
      <c r="A467" s="118">
        <v>41019</v>
      </c>
      <c r="B467" s="103">
        <v>532</v>
      </c>
      <c r="C467" s="103">
        <v>534</v>
      </c>
      <c r="D467" s="103">
        <v>623</v>
      </c>
      <c r="E467" s="103">
        <v>85.8</v>
      </c>
    </row>
    <row r="468" spans="1:5" x14ac:dyDescent="0.2">
      <c r="A468" s="118">
        <v>41026</v>
      </c>
      <c r="B468" s="103">
        <v>528</v>
      </c>
      <c r="C468" s="103">
        <v>531</v>
      </c>
      <c r="D468" s="103">
        <v>623</v>
      </c>
      <c r="E468" s="103">
        <v>85.2</v>
      </c>
    </row>
    <row r="469" spans="1:5" x14ac:dyDescent="0.2">
      <c r="A469" s="118">
        <v>41033</v>
      </c>
      <c r="B469" s="103">
        <v>527</v>
      </c>
      <c r="C469" s="103">
        <v>531</v>
      </c>
      <c r="D469" s="103">
        <v>623</v>
      </c>
      <c r="E469" s="103">
        <v>85.2</v>
      </c>
    </row>
    <row r="470" spans="1:5" x14ac:dyDescent="0.2">
      <c r="A470" s="118">
        <v>41040</v>
      </c>
      <c r="B470" s="103">
        <v>516</v>
      </c>
      <c r="C470" s="103">
        <v>520</v>
      </c>
      <c r="D470" s="103">
        <v>623</v>
      </c>
      <c r="E470" s="103">
        <v>83.4</v>
      </c>
    </row>
    <row r="471" spans="1:5" x14ac:dyDescent="0.2">
      <c r="A471" s="118">
        <v>41047</v>
      </c>
      <c r="B471" s="103">
        <v>513</v>
      </c>
      <c r="C471" s="103">
        <v>517</v>
      </c>
      <c r="D471" s="103">
        <v>623</v>
      </c>
      <c r="E471" s="103">
        <v>83</v>
      </c>
    </row>
    <row r="472" spans="1:5" x14ac:dyDescent="0.2">
      <c r="A472" s="118">
        <v>41054</v>
      </c>
      <c r="B472" s="103">
        <v>521</v>
      </c>
      <c r="C472" s="103">
        <v>525</v>
      </c>
      <c r="D472" s="103">
        <v>623</v>
      </c>
      <c r="E472" s="103">
        <v>84.3</v>
      </c>
    </row>
    <row r="473" spans="1:5" x14ac:dyDescent="0.2">
      <c r="A473" s="118">
        <v>41061</v>
      </c>
      <c r="B473" s="103">
        <v>535</v>
      </c>
      <c r="C473" s="103">
        <v>541</v>
      </c>
      <c r="D473" s="103">
        <v>623</v>
      </c>
      <c r="E473" s="103">
        <v>86.8</v>
      </c>
    </row>
    <row r="474" spans="1:5" x14ac:dyDescent="0.2">
      <c r="A474" s="118">
        <v>41068</v>
      </c>
      <c r="B474" s="103">
        <v>550</v>
      </c>
      <c r="C474" s="103">
        <v>558</v>
      </c>
      <c r="D474" s="103">
        <v>624</v>
      </c>
      <c r="E474" s="103">
        <v>89.5</v>
      </c>
    </row>
    <row r="475" spans="1:5" x14ac:dyDescent="0.2">
      <c r="A475" s="118">
        <v>41075</v>
      </c>
      <c r="B475" s="103">
        <v>571</v>
      </c>
      <c r="C475" s="103">
        <v>578</v>
      </c>
      <c r="D475" s="103">
        <v>624</v>
      </c>
      <c r="E475" s="103">
        <v>92.7</v>
      </c>
    </row>
    <row r="476" spans="1:5" x14ac:dyDescent="0.2">
      <c r="A476" s="118">
        <v>41082</v>
      </c>
      <c r="B476" s="103">
        <v>585</v>
      </c>
      <c r="C476" s="103">
        <v>593</v>
      </c>
      <c r="D476" s="103">
        <v>624</v>
      </c>
      <c r="E476" s="103">
        <v>95</v>
      </c>
    </row>
    <row r="477" spans="1:5" x14ac:dyDescent="0.2">
      <c r="A477" s="118">
        <v>41089</v>
      </c>
      <c r="B477" s="103">
        <v>594</v>
      </c>
      <c r="C477" s="103">
        <v>600</v>
      </c>
      <c r="D477" s="103">
        <v>624</v>
      </c>
      <c r="E477" s="103">
        <v>96.2</v>
      </c>
    </row>
    <row r="478" spans="1:5" x14ac:dyDescent="0.2">
      <c r="A478" s="118">
        <v>41096</v>
      </c>
      <c r="B478" s="103">
        <v>604</v>
      </c>
      <c r="C478" s="103">
        <v>608</v>
      </c>
      <c r="D478" s="103">
        <v>624</v>
      </c>
      <c r="E478" s="103">
        <v>97.5</v>
      </c>
    </row>
    <row r="479" spans="1:5" x14ac:dyDescent="0.2">
      <c r="A479" s="118">
        <v>41103</v>
      </c>
      <c r="B479" s="103">
        <v>606</v>
      </c>
      <c r="C479" s="103">
        <v>610</v>
      </c>
      <c r="D479" s="103">
        <v>624</v>
      </c>
      <c r="E479" s="103">
        <v>97.8</v>
      </c>
    </row>
    <row r="480" spans="1:5" x14ac:dyDescent="0.2">
      <c r="A480" s="118">
        <v>41110</v>
      </c>
      <c r="B480" s="103">
        <v>603</v>
      </c>
      <c r="C480" s="103">
        <v>605</v>
      </c>
      <c r="D480" s="103">
        <v>624</v>
      </c>
      <c r="E480" s="103">
        <v>97</v>
      </c>
    </row>
    <row r="481" spans="1:6" x14ac:dyDescent="0.2">
      <c r="A481" s="118">
        <v>41117</v>
      </c>
      <c r="B481" s="103">
        <v>603</v>
      </c>
      <c r="C481" s="103">
        <v>605</v>
      </c>
      <c r="D481" s="103">
        <v>624</v>
      </c>
      <c r="E481" s="103">
        <v>97</v>
      </c>
    </row>
    <row r="482" spans="1:6" x14ac:dyDescent="0.2">
      <c r="A482" s="118">
        <v>41124</v>
      </c>
      <c r="B482" s="103">
        <v>605</v>
      </c>
      <c r="C482" s="103">
        <v>608</v>
      </c>
      <c r="D482" s="103">
        <v>624</v>
      </c>
      <c r="E482" s="103">
        <v>97.4</v>
      </c>
    </row>
    <row r="483" spans="1:6" x14ac:dyDescent="0.2">
      <c r="A483" s="118"/>
      <c r="B483" s="103"/>
      <c r="C483" s="103"/>
      <c r="D483" s="103"/>
      <c r="E483" s="103"/>
    </row>
    <row r="485" spans="1:6" x14ac:dyDescent="0.2">
      <c r="A485" s="101" t="s">
        <v>384</v>
      </c>
      <c r="B485" s="102" t="s">
        <v>620</v>
      </c>
      <c r="C485" s="103"/>
      <c r="D485" s="103"/>
      <c r="E485" s="103"/>
      <c r="F485" s="103"/>
    </row>
    <row r="486" spans="1:6" ht="25.5" x14ac:dyDescent="0.2">
      <c r="A486" s="105" t="s">
        <v>490</v>
      </c>
      <c r="B486" s="106" t="s">
        <v>653</v>
      </c>
      <c r="C486" s="106" t="s">
        <v>654</v>
      </c>
      <c r="D486" s="106" t="s">
        <v>655</v>
      </c>
      <c r="E486" s="106" t="s">
        <v>656</v>
      </c>
      <c r="F486" s="106"/>
    </row>
    <row r="487" spans="1:6" ht="89.25" x14ac:dyDescent="0.2">
      <c r="A487" s="105" t="s">
        <v>508</v>
      </c>
      <c r="B487" s="108" t="s">
        <v>657</v>
      </c>
      <c r="C487" s="108" t="s">
        <v>658</v>
      </c>
      <c r="D487" s="108" t="s">
        <v>659</v>
      </c>
      <c r="E487" s="108" t="s">
        <v>660</v>
      </c>
      <c r="F487" s="108"/>
    </row>
    <row r="488" spans="1:6" x14ac:dyDescent="0.2">
      <c r="A488" s="118">
        <v>40354</v>
      </c>
      <c r="B488" s="103">
        <v>2407</v>
      </c>
      <c r="C488" s="103">
        <v>2561</v>
      </c>
      <c r="D488" s="103">
        <v>3219</v>
      </c>
      <c r="E488" s="103">
        <v>79.599999999999994</v>
      </c>
    </row>
    <row r="489" spans="1:6" x14ac:dyDescent="0.2">
      <c r="A489" s="118">
        <v>40361</v>
      </c>
      <c r="B489" s="103">
        <v>2453</v>
      </c>
      <c r="C489" s="103">
        <v>2633</v>
      </c>
      <c r="D489" s="103">
        <v>3219</v>
      </c>
      <c r="E489" s="103">
        <v>81.8</v>
      </c>
    </row>
    <row r="490" spans="1:6" x14ac:dyDescent="0.2">
      <c r="A490" s="118">
        <v>40368</v>
      </c>
      <c r="B490" s="103">
        <v>2480</v>
      </c>
      <c r="C490" s="103">
        <v>2680</v>
      </c>
      <c r="D490" s="103">
        <v>3219</v>
      </c>
      <c r="E490" s="103">
        <v>83.3</v>
      </c>
    </row>
    <row r="491" spans="1:6" x14ac:dyDescent="0.2">
      <c r="A491" s="118">
        <v>40375</v>
      </c>
      <c r="B491" s="103">
        <v>2487</v>
      </c>
      <c r="C491" s="103">
        <v>2707</v>
      </c>
      <c r="D491" s="103">
        <v>3219</v>
      </c>
      <c r="E491" s="103">
        <v>84.1</v>
      </c>
    </row>
    <row r="492" spans="1:6" x14ac:dyDescent="0.2">
      <c r="A492" s="118">
        <v>40382</v>
      </c>
      <c r="B492" s="103">
        <v>2477</v>
      </c>
      <c r="C492" s="103">
        <v>2712</v>
      </c>
      <c r="D492" s="103">
        <v>3219</v>
      </c>
      <c r="E492" s="103">
        <v>84.2</v>
      </c>
    </row>
    <row r="493" spans="1:6" x14ac:dyDescent="0.2">
      <c r="A493" s="118">
        <v>40389</v>
      </c>
      <c r="B493" s="103">
        <v>2449</v>
      </c>
      <c r="C493" s="103">
        <v>2670</v>
      </c>
      <c r="D493" s="103">
        <v>3219</v>
      </c>
      <c r="E493" s="103">
        <v>83</v>
      </c>
    </row>
    <row r="494" spans="1:6" x14ac:dyDescent="0.2">
      <c r="A494" s="118">
        <v>40396</v>
      </c>
      <c r="B494" s="103">
        <v>2416</v>
      </c>
      <c r="C494" s="103">
        <v>2628</v>
      </c>
      <c r="D494" s="103">
        <v>3219</v>
      </c>
      <c r="E494" s="103">
        <v>81.599999999999994</v>
      </c>
    </row>
    <row r="495" spans="1:6" x14ac:dyDescent="0.2">
      <c r="A495" s="118">
        <v>40403</v>
      </c>
      <c r="B495" s="103">
        <v>2348</v>
      </c>
      <c r="C495" s="103">
        <v>2568</v>
      </c>
      <c r="D495" s="103">
        <v>3219</v>
      </c>
      <c r="E495" s="103">
        <v>79.8</v>
      </c>
    </row>
    <row r="496" spans="1:6" x14ac:dyDescent="0.2">
      <c r="A496" s="118">
        <v>40410</v>
      </c>
      <c r="B496" s="103">
        <v>2330</v>
      </c>
      <c r="C496" s="103">
        <v>2544</v>
      </c>
      <c r="D496" s="103">
        <v>3219</v>
      </c>
      <c r="E496" s="103">
        <v>79</v>
      </c>
    </row>
    <row r="497" spans="1:5" x14ac:dyDescent="0.2">
      <c r="A497" s="118">
        <v>40417</v>
      </c>
      <c r="B497" s="103">
        <v>2332</v>
      </c>
      <c r="C497" s="103">
        <v>2548</v>
      </c>
      <c r="D497" s="103">
        <v>3219</v>
      </c>
      <c r="E497" s="103">
        <v>79.2</v>
      </c>
    </row>
    <row r="498" spans="1:5" x14ac:dyDescent="0.2">
      <c r="A498" s="118">
        <v>40424</v>
      </c>
      <c r="B498" s="103">
        <v>2334</v>
      </c>
      <c r="C498" s="103">
        <v>2560</v>
      </c>
      <c r="D498" s="103">
        <v>3219</v>
      </c>
      <c r="E498" s="103">
        <v>79.5</v>
      </c>
    </row>
    <row r="499" spans="1:5" x14ac:dyDescent="0.2">
      <c r="A499" s="118">
        <v>40431</v>
      </c>
      <c r="B499" s="103">
        <v>2390</v>
      </c>
      <c r="C499" s="103">
        <v>2589</v>
      </c>
      <c r="D499" s="103">
        <v>3219</v>
      </c>
      <c r="E499" s="103">
        <v>80.400000000000006</v>
      </c>
    </row>
    <row r="500" spans="1:5" x14ac:dyDescent="0.2">
      <c r="A500" s="118">
        <v>40438</v>
      </c>
      <c r="B500" s="103">
        <v>2396</v>
      </c>
      <c r="C500" s="103">
        <v>2591</v>
      </c>
      <c r="D500" s="103">
        <v>3219</v>
      </c>
      <c r="E500" s="103">
        <v>80.5</v>
      </c>
    </row>
    <row r="501" spans="1:5" x14ac:dyDescent="0.2">
      <c r="A501" s="118">
        <v>40445</v>
      </c>
      <c r="B501" s="103">
        <v>2377</v>
      </c>
      <c r="C501" s="103">
        <v>2569</v>
      </c>
      <c r="D501" s="103">
        <v>3219</v>
      </c>
      <c r="E501" s="103">
        <v>79.8</v>
      </c>
    </row>
    <row r="502" spans="1:5" x14ac:dyDescent="0.2">
      <c r="A502" s="118">
        <v>40452</v>
      </c>
      <c r="B502" s="103">
        <v>2337</v>
      </c>
      <c r="C502" s="103">
        <v>2523</v>
      </c>
      <c r="D502" s="103">
        <v>3219</v>
      </c>
      <c r="E502" s="103">
        <v>78.400000000000006</v>
      </c>
    </row>
    <row r="503" spans="1:5" x14ac:dyDescent="0.2">
      <c r="A503" s="118">
        <v>40459</v>
      </c>
      <c r="B503" s="103">
        <v>2289</v>
      </c>
      <c r="C503" s="103">
        <v>2477</v>
      </c>
      <c r="D503" s="103">
        <v>3219</v>
      </c>
      <c r="E503" s="103">
        <v>77</v>
      </c>
    </row>
    <row r="504" spans="1:5" x14ac:dyDescent="0.2">
      <c r="A504" s="118">
        <v>40466</v>
      </c>
      <c r="B504" s="103">
        <v>2247</v>
      </c>
      <c r="C504" s="103">
        <v>2458</v>
      </c>
      <c r="D504" s="103">
        <v>3219</v>
      </c>
      <c r="E504" s="103">
        <v>76.3</v>
      </c>
    </row>
    <row r="505" spans="1:5" x14ac:dyDescent="0.2">
      <c r="A505" s="118">
        <v>40473</v>
      </c>
      <c r="B505" s="103">
        <v>2273</v>
      </c>
      <c r="C505" s="103">
        <v>2485</v>
      </c>
      <c r="D505" s="103">
        <v>3219</v>
      </c>
      <c r="E505" s="103">
        <v>77.2</v>
      </c>
    </row>
    <row r="506" spans="1:5" x14ac:dyDescent="0.2">
      <c r="A506" s="118">
        <v>40480</v>
      </c>
      <c r="B506" s="103">
        <v>2317</v>
      </c>
      <c r="C506" s="103">
        <v>2528</v>
      </c>
      <c r="D506" s="103">
        <v>3219</v>
      </c>
      <c r="E506" s="103">
        <v>78.5</v>
      </c>
    </row>
    <row r="507" spans="1:5" x14ac:dyDescent="0.2">
      <c r="A507" s="118">
        <v>40487</v>
      </c>
      <c r="B507" s="103">
        <v>2343</v>
      </c>
      <c r="C507" s="103">
        <v>2565</v>
      </c>
      <c r="D507" s="103">
        <v>3219</v>
      </c>
      <c r="E507" s="103">
        <v>79.7</v>
      </c>
    </row>
    <row r="508" spans="1:5" x14ac:dyDescent="0.2">
      <c r="A508" s="118">
        <v>40494</v>
      </c>
      <c r="B508" s="103">
        <v>2396</v>
      </c>
      <c r="C508" s="103">
        <v>2605</v>
      </c>
      <c r="D508" s="103">
        <v>3219</v>
      </c>
      <c r="E508" s="103">
        <v>80.900000000000006</v>
      </c>
    </row>
    <row r="509" spans="1:5" x14ac:dyDescent="0.2">
      <c r="A509" s="118">
        <v>40501</v>
      </c>
      <c r="B509" s="103">
        <v>2376</v>
      </c>
      <c r="C509" s="103">
        <v>2595</v>
      </c>
      <c r="D509" s="103">
        <v>3219</v>
      </c>
      <c r="E509" s="103">
        <v>80.599999999999994</v>
      </c>
    </row>
    <row r="510" spans="1:5" x14ac:dyDescent="0.2">
      <c r="A510" s="118">
        <v>40508</v>
      </c>
      <c r="B510" s="103">
        <v>2352</v>
      </c>
      <c r="C510" s="103">
        <v>2580</v>
      </c>
      <c r="D510" s="103">
        <v>3219</v>
      </c>
      <c r="E510" s="103">
        <v>80.2</v>
      </c>
    </row>
    <row r="511" spans="1:5" x14ac:dyDescent="0.2">
      <c r="A511" s="118">
        <v>40515</v>
      </c>
      <c r="B511" s="103">
        <v>2365</v>
      </c>
      <c r="C511" s="103">
        <v>2584</v>
      </c>
      <c r="D511" s="103">
        <v>3219</v>
      </c>
      <c r="E511" s="103">
        <v>80.3</v>
      </c>
    </row>
    <row r="512" spans="1:5" x14ac:dyDescent="0.2">
      <c r="A512" s="118">
        <v>40522</v>
      </c>
      <c r="B512" s="103">
        <v>2376</v>
      </c>
      <c r="C512" s="103">
        <v>2590</v>
      </c>
      <c r="D512" s="103">
        <v>3219</v>
      </c>
      <c r="E512" s="103">
        <v>80.5</v>
      </c>
    </row>
    <row r="513" spans="1:5" x14ac:dyDescent="0.2">
      <c r="A513" s="118">
        <v>40529</v>
      </c>
      <c r="B513" s="103">
        <v>2394</v>
      </c>
      <c r="C513" s="103">
        <v>2590</v>
      </c>
      <c r="D513" s="103">
        <v>3219</v>
      </c>
      <c r="E513" s="103">
        <v>80.400000000000006</v>
      </c>
    </row>
    <row r="514" spans="1:5" x14ac:dyDescent="0.2">
      <c r="A514" s="118">
        <v>40536</v>
      </c>
      <c r="B514" s="103">
        <v>2434</v>
      </c>
      <c r="C514" s="103">
        <v>2628</v>
      </c>
      <c r="D514" s="103">
        <v>3219</v>
      </c>
      <c r="E514" s="103">
        <v>81.599999999999994</v>
      </c>
    </row>
    <row r="515" spans="1:5" x14ac:dyDescent="0.2">
      <c r="A515" s="118">
        <v>40543</v>
      </c>
      <c r="B515" s="103">
        <v>2440</v>
      </c>
      <c r="C515" s="103">
        <v>2630</v>
      </c>
      <c r="D515" s="103">
        <v>3219</v>
      </c>
      <c r="E515" s="103">
        <v>81.7</v>
      </c>
    </row>
    <row r="516" spans="1:5" x14ac:dyDescent="0.2">
      <c r="A516" s="118">
        <v>40550</v>
      </c>
      <c r="B516" s="103">
        <v>2396</v>
      </c>
      <c r="C516" s="103">
        <v>2594</v>
      </c>
      <c r="D516" s="103">
        <v>3219</v>
      </c>
      <c r="E516" s="103">
        <v>80.599999999999994</v>
      </c>
    </row>
    <row r="517" spans="1:5" x14ac:dyDescent="0.2">
      <c r="A517" s="118">
        <v>40557</v>
      </c>
      <c r="B517" s="103">
        <v>2339</v>
      </c>
      <c r="C517" s="103">
        <v>2535</v>
      </c>
      <c r="D517" s="103">
        <v>3219</v>
      </c>
      <c r="E517" s="103">
        <v>78.7</v>
      </c>
    </row>
    <row r="518" spans="1:5" x14ac:dyDescent="0.2">
      <c r="A518" s="118">
        <v>40564</v>
      </c>
      <c r="B518" s="103">
        <v>2236</v>
      </c>
      <c r="C518" s="103">
        <v>2427</v>
      </c>
      <c r="D518" s="103">
        <v>3219</v>
      </c>
      <c r="E518" s="103">
        <v>75.400000000000006</v>
      </c>
    </row>
    <row r="519" spans="1:5" x14ac:dyDescent="0.2">
      <c r="A519" s="118">
        <v>40571</v>
      </c>
      <c r="B519" s="103">
        <v>2159</v>
      </c>
      <c r="C519" s="103">
        <v>2365</v>
      </c>
      <c r="D519" s="103">
        <v>3219</v>
      </c>
      <c r="E519" s="103">
        <v>73.5</v>
      </c>
    </row>
    <row r="520" spans="1:5" x14ac:dyDescent="0.2">
      <c r="A520" s="118">
        <v>40578</v>
      </c>
      <c r="B520" s="103">
        <v>2121</v>
      </c>
      <c r="C520" s="103">
        <v>2317</v>
      </c>
      <c r="D520" s="103">
        <v>3219</v>
      </c>
      <c r="E520" s="103">
        <v>72</v>
      </c>
    </row>
    <row r="521" spans="1:5" x14ac:dyDescent="0.2">
      <c r="A521" s="118">
        <v>40585</v>
      </c>
      <c r="B521" s="103">
        <v>2114</v>
      </c>
      <c r="C521" s="103">
        <v>2320</v>
      </c>
      <c r="D521" s="103">
        <v>3219</v>
      </c>
      <c r="E521" s="103">
        <v>72.099999999999994</v>
      </c>
    </row>
    <row r="522" spans="1:5" x14ac:dyDescent="0.2">
      <c r="A522" s="118">
        <v>40592</v>
      </c>
      <c r="B522" s="103">
        <v>2169</v>
      </c>
      <c r="C522" s="103">
        <v>2374</v>
      </c>
      <c r="D522" s="103">
        <v>3219</v>
      </c>
      <c r="E522" s="103">
        <v>73.8</v>
      </c>
    </row>
    <row r="523" spans="1:5" x14ac:dyDescent="0.2">
      <c r="A523" s="118">
        <v>40599</v>
      </c>
      <c r="B523" s="103">
        <v>2210</v>
      </c>
      <c r="C523" s="103">
        <v>2408</v>
      </c>
      <c r="D523" s="103">
        <v>3219</v>
      </c>
      <c r="E523" s="103">
        <v>74.8</v>
      </c>
    </row>
    <row r="524" spans="1:5" x14ac:dyDescent="0.2">
      <c r="A524" s="118">
        <v>40606</v>
      </c>
      <c r="B524" s="103">
        <v>2281</v>
      </c>
      <c r="C524" s="103">
        <v>2487</v>
      </c>
      <c r="D524" s="103">
        <v>3219</v>
      </c>
      <c r="E524" s="103">
        <v>77.3</v>
      </c>
    </row>
    <row r="525" spans="1:5" x14ac:dyDescent="0.2">
      <c r="A525" s="118">
        <v>40613</v>
      </c>
      <c r="B525" s="103">
        <v>2346</v>
      </c>
      <c r="C525" s="103">
        <v>2547</v>
      </c>
      <c r="D525" s="103">
        <v>3219</v>
      </c>
      <c r="E525" s="103">
        <v>79.099999999999994</v>
      </c>
    </row>
    <row r="526" spans="1:5" x14ac:dyDescent="0.2">
      <c r="A526" s="118">
        <v>40620</v>
      </c>
      <c r="B526" s="103">
        <v>2379</v>
      </c>
      <c r="C526" s="103">
        <v>2583</v>
      </c>
      <c r="D526" s="103">
        <v>3219</v>
      </c>
      <c r="E526" s="103">
        <v>80.2</v>
      </c>
    </row>
    <row r="527" spans="1:5" x14ac:dyDescent="0.2">
      <c r="A527" s="118">
        <v>40627</v>
      </c>
      <c r="B527" s="103">
        <v>2413</v>
      </c>
      <c r="C527" s="103">
        <v>2625</v>
      </c>
      <c r="D527" s="103">
        <v>3219</v>
      </c>
      <c r="E527" s="103">
        <v>81.5</v>
      </c>
    </row>
    <row r="528" spans="1:5" x14ac:dyDescent="0.2">
      <c r="A528" s="118">
        <v>40634</v>
      </c>
      <c r="B528" s="103">
        <v>2404</v>
      </c>
      <c r="C528" s="103">
        <v>2616</v>
      </c>
      <c r="D528" s="103">
        <v>3219</v>
      </c>
      <c r="E528" s="103">
        <v>81.3</v>
      </c>
    </row>
    <row r="529" spans="1:5" x14ac:dyDescent="0.2">
      <c r="A529" s="118">
        <v>40641</v>
      </c>
      <c r="B529" s="103">
        <v>2406</v>
      </c>
      <c r="C529" s="103">
        <v>2613</v>
      </c>
      <c r="D529" s="103">
        <v>3196</v>
      </c>
      <c r="E529" s="103">
        <v>81.8</v>
      </c>
    </row>
    <row r="530" spans="1:5" x14ac:dyDescent="0.2">
      <c r="A530" s="118">
        <v>40648</v>
      </c>
      <c r="B530" s="103">
        <v>2421</v>
      </c>
      <c r="C530" s="103">
        <v>2637</v>
      </c>
      <c r="D530" s="103">
        <v>3174</v>
      </c>
      <c r="E530" s="103">
        <v>83.1</v>
      </c>
    </row>
    <row r="531" spans="1:5" x14ac:dyDescent="0.2">
      <c r="A531" s="118">
        <v>40655</v>
      </c>
      <c r="B531" s="103">
        <v>2371</v>
      </c>
      <c r="C531" s="103">
        <v>2591</v>
      </c>
      <c r="D531" s="103">
        <v>3151</v>
      </c>
      <c r="E531" s="103">
        <v>82.3</v>
      </c>
    </row>
    <row r="532" spans="1:5" x14ac:dyDescent="0.2">
      <c r="A532" s="118">
        <v>40662</v>
      </c>
      <c r="B532" s="103">
        <v>2346</v>
      </c>
      <c r="C532" s="103">
        <v>2584</v>
      </c>
      <c r="D532" s="103">
        <v>3128</v>
      </c>
      <c r="E532" s="103">
        <v>82.6</v>
      </c>
    </row>
    <row r="533" spans="1:5" x14ac:dyDescent="0.2">
      <c r="A533" s="118">
        <v>40669</v>
      </c>
      <c r="B533" s="103">
        <v>2300</v>
      </c>
      <c r="C533" s="103">
        <v>2536</v>
      </c>
      <c r="D533" s="103">
        <v>3128</v>
      </c>
      <c r="E533" s="103">
        <v>81.099999999999994</v>
      </c>
    </row>
    <row r="534" spans="1:5" x14ac:dyDescent="0.2">
      <c r="A534" s="118">
        <v>40676</v>
      </c>
      <c r="B534" s="103">
        <v>2243</v>
      </c>
      <c r="C534" s="103">
        <v>2474</v>
      </c>
      <c r="D534" s="103">
        <v>3128</v>
      </c>
      <c r="E534" s="103">
        <v>79.099999999999994</v>
      </c>
    </row>
    <row r="535" spans="1:5" x14ac:dyDescent="0.2">
      <c r="A535" s="118">
        <v>40683</v>
      </c>
      <c r="B535" s="103">
        <v>2254</v>
      </c>
      <c r="C535" s="103">
        <v>2477</v>
      </c>
      <c r="D535" s="103">
        <v>3128</v>
      </c>
      <c r="E535" s="103">
        <v>79.2</v>
      </c>
    </row>
    <row r="536" spans="1:5" x14ac:dyDescent="0.2">
      <c r="A536" s="118">
        <v>40690</v>
      </c>
      <c r="B536" s="103">
        <v>2237</v>
      </c>
      <c r="C536" s="103">
        <v>2425</v>
      </c>
      <c r="D536" s="103">
        <v>3128</v>
      </c>
      <c r="E536" s="103">
        <v>77.5</v>
      </c>
    </row>
    <row r="537" spans="1:5" x14ac:dyDescent="0.2">
      <c r="A537" s="118">
        <v>40697</v>
      </c>
      <c r="B537" s="103">
        <v>2282</v>
      </c>
      <c r="C537" s="103">
        <v>2476</v>
      </c>
      <c r="D537" s="103">
        <v>3128</v>
      </c>
      <c r="E537" s="103">
        <v>79.099999999999994</v>
      </c>
    </row>
    <row r="538" spans="1:5" x14ac:dyDescent="0.2">
      <c r="A538" s="118">
        <v>40704</v>
      </c>
      <c r="B538" s="103">
        <v>2347</v>
      </c>
      <c r="C538" s="103">
        <v>2534</v>
      </c>
      <c r="D538" s="103">
        <v>3128</v>
      </c>
      <c r="E538" s="103">
        <v>81</v>
      </c>
    </row>
    <row r="539" spans="1:5" x14ac:dyDescent="0.2">
      <c r="A539" s="118">
        <v>40711</v>
      </c>
      <c r="B539" s="103">
        <v>2412</v>
      </c>
      <c r="C539" s="103">
        <v>2585</v>
      </c>
      <c r="D539" s="103">
        <v>3128</v>
      </c>
      <c r="E539" s="103">
        <v>82.7</v>
      </c>
    </row>
    <row r="540" spans="1:5" x14ac:dyDescent="0.2">
      <c r="A540" s="118">
        <v>40718</v>
      </c>
      <c r="B540" s="103">
        <v>2477</v>
      </c>
      <c r="C540" s="103">
        <v>2648</v>
      </c>
      <c r="D540" s="103">
        <v>3128</v>
      </c>
      <c r="E540" s="103">
        <v>84.7</v>
      </c>
    </row>
    <row r="541" spans="1:5" x14ac:dyDescent="0.2">
      <c r="A541" s="118">
        <v>40725</v>
      </c>
      <c r="B541" s="103">
        <v>2480</v>
      </c>
      <c r="C541" s="103">
        <v>2629</v>
      </c>
      <c r="D541" s="103">
        <v>3128</v>
      </c>
      <c r="E541" s="103">
        <v>84.1</v>
      </c>
    </row>
    <row r="542" spans="1:5" x14ac:dyDescent="0.2">
      <c r="A542" s="118">
        <v>40732</v>
      </c>
      <c r="B542" s="103">
        <v>2503</v>
      </c>
      <c r="C542" s="103">
        <v>2647</v>
      </c>
      <c r="D542" s="103">
        <v>3128</v>
      </c>
      <c r="E542" s="103">
        <v>84.6</v>
      </c>
    </row>
    <row r="543" spans="1:5" x14ac:dyDescent="0.2">
      <c r="A543" s="118">
        <v>40739</v>
      </c>
      <c r="B543" s="103">
        <v>2526</v>
      </c>
      <c r="C543" s="103">
        <v>2670</v>
      </c>
      <c r="D543" s="103">
        <v>3128</v>
      </c>
      <c r="E543" s="103">
        <v>85.4</v>
      </c>
    </row>
    <row r="544" spans="1:5" x14ac:dyDescent="0.2">
      <c r="A544" s="118">
        <v>40746</v>
      </c>
      <c r="B544" s="103">
        <v>2556</v>
      </c>
      <c r="C544" s="103">
        <v>2690</v>
      </c>
      <c r="D544" s="103">
        <v>3128</v>
      </c>
      <c r="E544" s="103">
        <v>86</v>
      </c>
    </row>
    <row r="545" spans="1:5" x14ac:dyDescent="0.2">
      <c r="A545" s="118">
        <v>40753</v>
      </c>
      <c r="B545" s="103">
        <v>2579</v>
      </c>
      <c r="C545" s="103">
        <v>2734</v>
      </c>
      <c r="D545" s="103">
        <v>3128</v>
      </c>
      <c r="E545" s="103">
        <v>87.4</v>
      </c>
    </row>
    <row r="546" spans="1:5" x14ac:dyDescent="0.2">
      <c r="A546" s="118">
        <v>40760</v>
      </c>
      <c r="B546" s="103">
        <v>2586</v>
      </c>
      <c r="C546" s="103">
        <v>2749</v>
      </c>
      <c r="D546" s="103">
        <v>3128</v>
      </c>
      <c r="E546" s="103">
        <v>87.9</v>
      </c>
    </row>
    <row r="547" spans="1:5" x14ac:dyDescent="0.2">
      <c r="A547" s="118">
        <v>40767</v>
      </c>
      <c r="B547" s="103">
        <v>2582</v>
      </c>
      <c r="C547" s="103">
        <v>2747</v>
      </c>
      <c r="D547" s="103">
        <v>3128</v>
      </c>
      <c r="E547" s="103">
        <v>87.8</v>
      </c>
    </row>
    <row r="548" spans="1:5" x14ac:dyDescent="0.2">
      <c r="A548" s="118">
        <v>40774</v>
      </c>
      <c r="B548" s="103">
        <v>2562</v>
      </c>
      <c r="C548" s="103">
        <v>2747</v>
      </c>
      <c r="D548" s="103">
        <v>3128</v>
      </c>
      <c r="E548" s="103">
        <v>87.8</v>
      </c>
    </row>
    <row r="549" spans="1:5" x14ac:dyDescent="0.2">
      <c r="A549" s="118">
        <v>40781</v>
      </c>
      <c r="B549" s="103">
        <v>2537</v>
      </c>
      <c r="C549" s="103">
        <v>2723</v>
      </c>
      <c r="D549" s="103">
        <v>3128</v>
      </c>
      <c r="E549" s="103">
        <v>87.1</v>
      </c>
    </row>
    <row r="550" spans="1:5" x14ac:dyDescent="0.2">
      <c r="A550" s="118">
        <v>40788</v>
      </c>
      <c r="B550" s="103">
        <v>2538</v>
      </c>
      <c r="C550" s="103">
        <v>2711</v>
      </c>
      <c r="D550" s="103">
        <v>3128</v>
      </c>
      <c r="E550" s="103">
        <v>86.7</v>
      </c>
    </row>
    <row r="551" spans="1:5" x14ac:dyDescent="0.2">
      <c r="A551" s="118">
        <v>40795</v>
      </c>
      <c r="B551" s="103">
        <v>2521</v>
      </c>
      <c r="C551" s="103">
        <v>2694</v>
      </c>
      <c r="D551" s="103">
        <v>3128</v>
      </c>
      <c r="E551" s="103">
        <v>86.1</v>
      </c>
    </row>
    <row r="552" spans="1:5" x14ac:dyDescent="0.2">
      <c r="A552" s="118">
        <v>40802</v>
      </c>
      <c r="B552" s="103">
        <v>2513</v>
      </c>
      <c r="C552" s="103">
        <v>2684</v>
      </c>
      <c r="D552" s="103">
        <v>3128</v>
      </c>
      <c r="E552" s="103">
        <v>85.8</v>
      </c>
    </row>
    <row r="553" spans="1:5" x14ac:dyDescent="0.2">
      <c r="A553" s="118">
        <v>40809</v>
      </c>
      <c r="B553" s="103">
        <v>2534</v>
      </c>
      <c r="C553" s="103">
        <v>2700</v>
      </c>
      <c r="D553" s="103">
        <v>3128</v>
      </c>
      <c r="E553" s="103">
        <v>86.3</v>
      </c>
    </row>
    <row r="554" spans="1:5" x14ac:dyDescent="0.2">
      <c r="A554" s="118">
        <v>40816</v>
      </c>
      <c r="B554" s="103">
        <v>2508</v>
      </c>
      <c r="C554" s="103">
        <v>2683</v>
      </c>
      <c r="D554" s="103">
        <v>3128</v>
      </c>
      <c r="E554" s="103">
        <v>85.8</v>
      </c>
    </row>
    <row r="555" spans="1:5" x14ac:dyDescent="0.2">
      <c r="A555" s="118">
        <v>40823</v>
      </c>
      <c r="B555" s="103">
        <v>2436</v>
      </c>
      <c r="C555" s="103">
        <v>2608</v>
      </c>
      <c r="D555" s="103">
        <v>3128</v>
      </c>
      <c r="E555" s="103">
        <v>83.4</v>
      </c>
    </row>
    <row r="556" spans="1:5" x14ac:dyDescent="0.2">
      <c r="A556" s="118">
        <v>40830</v>
      </c>
      <c r="B556" s="103">
        <v>2348</v>
      </c>
      <c r="C556" s="103">
        <v>2511</v>
      </c>
      <c r="D556" s="103">
        <v>3128</v>
      </c>
      <c r="E556" s="103">
        <v>80.3</v>
      </c>
    </row>
    <row r="557" spans="1:5" x14ac:dyDescent="0.2">
      <c r="A557" s="118">
        <v>40837</v>
      </c>
      <c r="B557" s="103">
        <v>2282</v>
      </c>
      <c r="C557" s="103">
        <v>2449</v>
      </c>
      <c r="D557" s="103">
        <v>3128</v>
      </c>
      <c r="E557" s="103">
        <v>78.3</v>
      </c>
    </row>
    <row r="558" spans="1:5" x14ac:dyDescent="0.2">
      <c r="A558" s="118">
        <v>40844</v>
      </c>
      <c r="B558" s="103">
        <v>2220</v>
      </c>
      <c r="C558" s="103">
        <v>2381</v>
      </c>
      <c r="D558" s="103">
        <v>3128</v>
      </c>
      <c r="E558" s="103">
        <v>76.099999999999994</v>
      </c>
    </row>
    <row r="559" spans="1:5" x14ac:dyDescent="0.2">
      <c r="A559" s="118">
        <v>40851</v>
      </c>
      <c r="B559" s="103">
        <v>2194</v>
      </c>
      <c r="C559" s="103">
        <v>2352</v>
      </c>
      <c r="D559" s="103">
        <v>3128</v>
      </c>
      <c r="E559" s="103">
        <v>75.2</v>
      </c>
    </row>
    <row r="560" spans="1:5" x14ac:dyDescent="0.2">
      <c r="A560" s="118">
        <v>40858</v>
      </c>
      <c r="B560" s="103">
        <v>2203</v>
      </c>
      <c r="C560" s="103">
        <v>2368</v>
      </c>
      <c r="D560" s="103">
        <v>3128</v>
      </c>
      <c r="E560" s="103">
        <v>75.7</v>
      </c>
    </row>
    <row r="561" spans="1:5" x14ac:dyDescent="0.2">
      <c r="A561" s="118">
        <v>40865</v>
      </c>
      <c r="B561" s="103">
        <v>2203</v>
      </c>
      <c r="C561" s="103">
        <v>2363</v>
      </c>
      <c r="D561" s="103">
        <v>3128</v>
      </c>
      <c r="E561" s="103">
        <v>75.5</v>
      </c>
    </row>
    <row r="562" spans="1:5" x14ac:dyDescent="0.2">
      <c r="A562" s="118">
        <v>40872</v>
      </c>
      <c r="B562" s="103">
        <v>2195</v>
      </c>
      <c r="C562" s="103">
        <v>2355</v>
      </c>
      <c r="D562" s="103">
        <v>3128</v>
      </c>
      <c r="E562" s="103">
        <v>75.3</v>
      </c>
    </row>
    <row r="563" spans="1:5" x14ac:dyDescent="0.2">
      <c r="A563" s="118">
        <v>40879</v>
      </c>
      <c r="B563" s="103">
        <v>2260</v>
      </c>
      <c r="C563" s="103">
        <v>2419</v>
      </c>
      <c r="D563" s="103">
        <v>3128</v>
      </c>
      <c r="E563" s="103">
        <v>77.3</v>
      </c>
    </row>
    <row r="564" spans="1:5" x14ac:dyDescent="0.2">
      <c r="A564" s="118">
        <v>40886</v>
      </c>
      <c r="B564" s="103">
        <v>2249</v>
      </c>
      <c r="C564" s="103">
        <v>2406</v>
      </c>
      <c r="D564" s="103">
        <v>3128</v>
      </c>
      <c r="E564" s="103">
        <v>76.900000000000006</v>
      </c>
    </row>
    <row r="565" spans="1:5" x14ac:dyDescent="0.2">
      <c r="A565" s="118">
        <v>40893</v>
      </c>
      <c r="B565" s="103">
        <v>2280</v>
      </c>
      <c r="C565" s="103">
        <v>2435</v>
      </c>
      <c r="D565" s="103">
        <v>3128</v>
      </c>
      <c r="E565" s="103">
        <v>77.8</v>
      </c>
    </row>
    <row r="566" spans="1:5" x14ac:dyDescent="0.2">
      <c r="A566" s="118">
        <v>40900</v>
      </c>
      <c r="B566" s="103">
        <v>2333</v>
      </c>
      <c r="C566" s="103">
        <v>2487</v>
      </c>
      <c r="D566" s="103">
        <v>3128</v>
      </c>
      <c r="E566" s="103">
        <v>79.5</v>
      </c>
    </row>
    <row r="567" spans="1:5" x14ac:dyDescent="0.2">
      <c r="A567" s="118">
        <v>40907</v>
      </c>
      <c r="B567" s="103">
        <v>2360</v>
      </c>
      <c r="C567" s="103">
        <v>2510</v>
      </c>
      <c r="D567" s="103">
        <v>3128</v>
      </c>
      <c r="E567" s="103">
        <v>80.3</v>
      </c>
    </row>
    <row r="568" spans="1:5" x14ac:dyDescent="0.2">
      <c r="A568" s="118">
        <v>40914</v>
      </c>
      <c r="B568" s="103">
        <v>2447</v>
      </c>
      <c r="C568" s="103">
        <v>2584</v>
      </c>
      <c r="D568" s="103">
        <v>3128</v>
      </c>
      <c r="E568" s="103">
        <v>82.6</v>
      </c>
    </row>
    <row r="569" spans="1:5" x14ac:dyDescent="0.2">
      <c r="A569" s="118">
        <v>40921</v>
      </c>
      <c r="B569" s="103">
        <v>2453</v>
      </c>
      <c r="C569" s="103">
        <v>2591</v>
      </c>
      <c r="D569" s="103">
        <v>3128</v>
      </c>
      <c r="E569" s="103">
        <v>82.8</v>
      </c>
    </row>
    <row r="570" spans="1:5" x14ac:dyDescent="0.2">
      <c r="A570" s="118">
        <v>40928</v>
      </c>
      <c r="B570" s="103">
        <v>2443</v>
      </c>
      <c r="C570" s="103">
        <v>2583</v>
      </c>
      <c r="D570" s="103">
        <v>3128</v>
      </c>
      <c r="E570" s="103">
        <v>82.6</v>
      </c>
    </row>
    <row r="571" spans="1:5" x14ac:dyDescent="0.2">
      <c r="A571" s="118">
        <v>40935</v>
      </c>
      <c r="B571" s="103">
        <v>2386</v>
      </c>
      <c r="C571" s="103">
        <v>2532</v>
      </c>
      <c r="D571" s="103">
        <v>3128</v>
      </c>
      <c r="E571" s="103">
        <v>80.900000000000006</v>
      </c>
    </row>
    <row r="572" spans="1:5" x14ac:dyDescent="0.2">
      <c r="A572" s="118">
        <v>40942</v>
      </c>
      <c r="B572" s="103">
        <v>2353</v>
      </c>
      <c r="C572" s="103">
        <v>2501</v>
      </c>
      <c r="D572" s="103">
        <v>3128</v>
      </c>
      <c r="E572" s="103">
        <v>79.900000000000006</v>
      </c>
    </row>
    <row r="573" spans="1:5" x14ac:dyDescent="0.2">
      <c r="A573" s="118">
        <v>40949</v>
      </c>
      <c r="B573" s="103">
        <v>2346</v>
      </c>
      <c r="C573" s="103">
        <v>2471</v>
      </c>
      <c r="D573" s="103">
        <v>3128</v>
      </c>
      <c r="E573" s="103">
        <v>79</v>
      </c>
    </row>
    <row r="574" spans="1:5" x14ac:dyDescent="0.2">
      <c r="A574" s="118">
        <v>40956</v>
      </c>
      <c r="B574" s="103">
        <v>2339</v>
      </c>
      <c r="C574" s="103">
        <v>2460</v>
      </c>
      <c r="D574" s="103">
        <v>3128</v>
      </c>
      <c r="E574" s="103">
        <v>78.599999999999994</v>
      </c>
    </row>
    <row r="575" spans="1:5" x14ac:dyDescent="0.2">
      <c r="A575" s="118">
        <v>40963</v>
      </c>
      <c r="B575" s="103">
        <v>2343</v>
      </c>
      <c r="C575" s="103">
        <v>2458</v>
      </c>
      <c r="D575" s="103">
        <v>3128</v>
      </c>
      <c r="E575" s="103">
        <v>78.599999999999994</v>
      </c>
    </row>
    <row r="576" spans="1:5" x14ac:dyDescent="0.2">
      <c r="A576" s="118">
        <v>40970</v>
      </c>
      <c r="B576" s="103">
        <v>2321</v>
      </c>
      <c r="C576" s="103">
        <v>2448</v>
      </c>
      <c r="D576" s="103">
        <v>3128</v>
      </c>
      <c r="E576" s="103">
        <v>78.3</v>
      </c>
    </row>
    <row r="577" spans="1:5" x14ac:dyDescent="0.2">
      <c r="A577" s="118">
        <v>40977</v>
      </c>
      <c r="B577" s="103">
        <v>2310</v>
      </c>
      <c r="C577" s="103">
        <v>2455</v>
      </c>
      <c r="D577" s="103">
        <v>3128</v>
      </c>
      <c r="E577" s="103">
        <v>78.5</v>
      </c>
    </row>
    <row r="578" spans="1:5" x14ac:dyDescent="0.2">
      <c r="A578" s="118">
        <v>40984</v>
      </c>
      <c r="B578" s="103">
        <v>2268</v>
      </c>
      <c r="C578" s="103">
        <v>2414</v>
      </c>
      <c r="D578" s="103">
        <v>3128</v>
      </c>
      <c r="E578" s="103">
        <v>77.2</v>
      </c>
    </row>
    <row r="579" spans="1:5" x14ac:dyDescent="0.2">
      <c r="A579" s="118">
        <v>40991</v>
      </c>
      <c r="B579" s="103">
        <v>2215</v>
      </c>
      <c r="C579" s="103">
        <v>2364</v>
      </c>
      <c r="D579" s="103">
        <v>3125</v>
      </c>
      <c r="E579" s="103">
        <v>75.599999999999994</v>
      </c>
    </row>
    <row r="580" spans="1:5" x14ac:dyDescent="0.2">
      <c r="A580" s="118">
        <v>40998</v>
      </c>
      <c r="B580" s="103">
        <v>2174</v>
      </c>
      <c r="C580" s="103">
        <v>2307</v>
      </c>
      <c r="D580" s="103">
        <v>3122</v>
      </c>
      <c r="E580" s="103">
        <v>73.900000000000006</v>
      </c>
    </row>
    <row r="581" spans="1:5" x14ac:dyDescent="0.2">
      <c r="A581" s="118">
        <v>41005</v>
      </c>
      <c r="B581" s="103">
        <v>2102</v>
      </c>
      <c r="C581" s="103">
        <v>2235</v>
      </c>
      <c r="D581" s="103">
        <v>3119</v>
      </c>
      <c r="E581" s="103">
        <v>71.599999999999994</v>
      </c>
    </row>
    <row r="582" spans="1:5" x14ac:dyDescent="0.2">
      <c r="A582" s="118">
        <v>41012</v>
      </c>
      <c r="B582" s="103">
        <v>2086</v>
      </c>
      <c r="C582" s="103">
        <v>2218</v>
      </c>
      <c r="D582" s="103">
        <v>3116</v>
      </c>
      <c r="E582" s="103">
        <v>71.2</v>
      </c>
    </row>
    <row r="583" spans="1:5" x14ac:dyDescent="0.2">
      <c r="A583" s="118">
        <v>41019</v>
      </c>
      <c r="B583" s="103">
        <v>2105</v>
      </c>
      <c r="C583" s="103">
        <v>2236</v>
      </c>
      <c r="D583" s="103">
        <v>3116</v>
      </c>
      <c r="E583" s="103">
        <v>71.8</v>
      </c>
    </row>
    <row r="584" spans="1:5" x14ac:dyDescent="0.2">
      <c r="A584" s="118">
        <v>41026</v>
      </c>
      <c r="B584" s="103">
        <v>2158</v>
      </c>
      <c r="C584" s="103">
        <v>2306</v>
      </c>
      <c r="D584" s="103">
        <v>3116</v>
      </c>
      <c r="E584" s="103">
        <v>74</v>
      </c>
    </row>
    <row r="585" spans="1:5" x14ac:dyDescent="0.2">
      <c r="A585" s="118">
        <v>41033</v>
      </c>
      <c r="B585" s="103">
        <v>2224</v>
      </c>
      <c r="C585" s="103">
        <v>2377</v>
      </c>
      <c r="D585" s="103">
        <v>3115</v>
      </c>
      <c r="E585" s="103">
        <v>76.3</v>
      </c>
    </row>
    <row r="586" spans="1:5" x14ac:dyDescent="0.2">
      <c r="A586" s="118">
        <v>41040</v>
      </c>
      <c r="B586" s="103">
        <v>2261</v>
      </c>
      <c r="C586" s="103">
        <v>2409</v>
      </c>
      <c r="D586" s="103">
        <v>3115</v>
      </c>
      <c r="E586" s="103">
        <v>77.3</v>
      </c>
    </row>
    <row r="587" spans="1:5" x14ac:dyDescent="0.2">
      <c r="A587" s="118">
        <v>41047</v>
      </c>
      <c r="B587" s="103">
        <v>2329</v>
      </c>
      <c r="C587" s="103">
        <v>2471</v>
      </c>
      <c r="D587" s="103">
        <v>3114</v>
      </c>
      <c r="E587" s="103">
        <v>79.3</v>
      </c>
    </row>
    <row r="588" spans="1:5" x14ac:dyDescent="0.2">
      <c r="A588" s="118">
        <v>41054</v>
      </c>
      <c r="B588" s="103">
        <v>2382</v>
      </c>
      <c r="C588" s="103">
        <v>2510</v>
      </c>
      <c r="D588" s="103">
        <v>3113</v>
      </c>
      <c r="E588" s="103">
        <v>80.599999999999994</v>
      </c>
    </row>
    <row r="589" spans="1:5" x14ac:dyDescent="0.2">
      <c r="A589" s="118">
        <v>41061</v>
      </c>
      <c r="B589" s="103">
        <v>2432</v>
      </c>
      <c r="C589" s="103">
        <v>2544</v>
      </c>
      <c r="D589" s="103">
        <v>3092</v>
      </c>
      <c r="E589" s="103">
        <v>82.3</v>
      </c>
    </row>
    <row r="590" spans="1:5" x14ac:dyDescent="0.2">
      <c r="A590" s="118">
        <v>41068</v>
      </c>
      <c r="B590" s="103">
        <v>2511</v>
      </c>
      <c r="C590" s="103">
        <v>2615</v>
      </c>
      <c r="D590" s="103">
        <v>3071</v>
      </c>
      <c r="E590" s="103">
        <v>85.2</v>
      </c>
    </row>
    <row r="591" spans="1:5" x14ac:dyDescent="0.2">
      <c r="A591" s="118">
        <v>41075</v>
      </c>
      <c r="B591" s="103">
        <v>2566</v>
      </c>
      <c r="C591" s="103">
        <v>2669</v>
      </c>
      <c r="D591" s="103">
        <v>3049</v>
      </c>
      <c r="E591" s="103">
        <v>87.6</v>
      </c>
    </row>
    <row r="592" spans="1:5" x14ac:dyDescent="0.2">
      <c r="A592" s="118">
        <v>41082</v>
      </c>
      <c r="B592" s="103">
        <v>2593</v>
      </c>
      <c r="C592" s="103">
        <v>2711</v>
      </c>
      <c r="D592" s="103">
        <v>3028</v>
      </c>
      <c r="E592" s="103">
        <v>89.5</v>
      </c>
    </row>
    <row r="593" spans="1:5" x14ac:dyDescent="0.2">
      <c r="A593" s="118">
        <v>41089</v>
      </c>
      <c r="B593" s="103">
        <v>2612</v>
      </c>
      <c r="C593" s="103">
        <v>2745</v>
      </c>
      <c r="D593" s="103">
        <v>3028</v>
      </c>
      <c r="E593" s="103">
        <v>90.7</v>
      </c>
    </row>
    <row r="594" spans="1:5" x14ac:dyDescent="0.2">
      <c r="A594" s="118">
        <v>41096</v>
      </c>
      <c r="B594" s="103">
        <v>2627</v>
      </c>
      <c r="C594" s="103">
        <v>2776</v>
      </c>
      <c r="D594" s="103">
        <v>3028</v>
      </c>
      <c r="E594" s="103">
        <v>91.7</v>
      </c>
    </row>
    <row r="595" spans="1:5" x14ac:dyDescent="0.2">
      <c r="A595" s="118">
        <v>41103</v>
      </c>
      <c r="B595" s="103">
        <v>2620</v>
      </c>
      <c r="C595" s="103">
        <v>2775</v>
      </c>
      <c r="D595" s="103">
        <v>3028</v>
      </c>
      <c r="E595" s="103">
        <v>91.6</v>
      </c>
    </row>
    <row r="596" spans="1:5" x14ac:dyDescent="0.2">
      <c r="A596" s="118">
        <v>41110</v>
      </c>
      <c r="B596" s="103">
        <v>2600</v>
      </c>
      <c r="C596" s="103">
        <v>2745</v>
      </c>
      <c r="D596" s="103">
        <v>3028</v>
      </c>
      <c r="E596" s="103">
        <v>90.7</v>
      </c>
    </row>
    <row r="597" spans="1:5" x14ac:dyDescent="0.2">
      <c r="A597" s="118">
        <v>41117</v>
      </c>
      <c r="B597" s="103">
        <v>2605</v>
      </c>
      <c r="C597" s="103">
        <v>2746</v>
      </c>
      <c r="D597" s="103">
        <v>3028</v>
      </c>
      <c r="E597" s="103">
        <v>90.7</v>
      </c>
    </row>
    <row r="598" spans="1:5" x14ac:dyDescent="0.2">
      <c r="A598" s="118">
        <v>41124</v>
      </c>
      <c r="B598" s="103">
        <v>2581</v>
      </c>
      <c r="C598" s="103">
        <v>2712</v>
      </c>
      <c r="D598" s="103">
        <v>3028</v>
      </c>
      <c r="E598" s="103">
        <v>89.6</v>
      </c>
    </row>
    <row r="599" spans="1:5" x14ac:dyDescent="0.2">
      <c r="A599" s="118"/>
      <c r="B599" s="103"/>
      <c r="C599" s="103"/>
      <c r="D599" s="103"/>
      <c r="E599" s="103"/>
    </row>
  </sheetData>
  <hyperlinks>
    <hyperlink ref="A19" location="Contents!A1" display="Back to Contents" xr:uid="{00000000-0004-0000-0C00-000000000000}"/>
    <hyperlink ref="A485" location="Contents!A1" display="Back to Contents" xr:uid="{00000000-0004-0000-0C00-000001000000}"/>
    <hyperlink ref="A136" location="Contents!A1" display="Back to Contents" xr:uid="{00000000-0004-0000-0C00-000002000000}"/>
    <hyperlink ref="A252" location="Contents!A1" display="Back to Contents" xr:uid="{00000000-0004-0000-0C00-000003000000}"/>
    <hyperlink ref="A369" location="Contents!A1" display="Back to Contents" xr:uid="{00000000-0004-0000-0C00-000004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592"/>
  <sheetViews>
    <sheetView showFormulas="1" zoomScale="80" zoomScaleNormal="80" workbookViewId="0">
      <pane ySplit="2" topLeftCell="A3" activePane="bottomLeft" state="frozen"/>
      <selection pane="bottomLeft" activeCell="Q2" sqref="Q2"/>
    </sheetView>
  </sheetViews>
  <sheetFormatPr defaultColWidth="9.140625" defaultRowHeight="12.75" x14ac:dyDescent="0.2"/>
  <cols>
    <col min="1" max="1" width="15.140625" style="13" customWidth="1"/>
    <col min="2" max="2" width="19" style="13" customWidth="1"/>
    <col min="3" max="12" width="19" style="13" hidden="1" customWidth="1"/>
    <col min="13" max="13" width="19" style="13" customWidth="1"/>
    <col min="14" max="14" width="19" style="119" customWidth="1"/>
    <col min="15" max="16" width="19" style="22" customWidth="1"/>
    <col min="17" max="17" width="19" style="119" customWidth="1"/>
    <col min="18" max="20" width="19" style="13" customWidth="1"/>
    <col min="21" max="256" width="9.140625" style="13"/>
    <col min="257" max="257" width="15.140625" style="13" customWidth="1"/>
    <col min="258" max="276" width="19" style="13" customWidth="1"/>
    <col min="277" max="512" width="9.140625" style="13"/>
    <col min="513" max="513" width="15.140625" style="13" customWidth="1"/>
    <col min="514" max="532" width="19" style="13" customWidth="1"/>
    <col min="533" max="768" width="9.140625" style="13"/>
    <col min="769" max="769" width="15.140625" style="13" customWidth="1"/>
    <col min="770" max="788" width="19" style="13" customWidth="1"/>
    <col min="789" max="1024" width="9.140625" style="13"/>
    <col min="1025" max="1025" width="15.140625" style="13" customWidth="1"/>
    <col min="1026" max="1044" width="19" style="13" customWidth="1"/>
    <col min="1045" max="1280" width="9.140625" style="13"/>
    <col min="1281" max="1281" width="15.140625" style="13" customWidth="1"/>
    <col min="1282" max="1300" width="19" style="13" customWidth="1"/>
    <col min="1301" max="1536" width="9.140625" style="13"/>
    <col min="1537" max="1537" width="15.140625" style="13" customWidth="1"/>
    <col min="1538" max="1556" width="19" style="13" customWidth="1"/>
    <col min="1557" max="1792" width="9.140625" style="13"/>
    <col min="1793" max="1793" width="15.140625" style="13" customWidth="1"/>
    <col min="1794" max="1812" width="19" style="13" customWidth="1"/>
    <col min="1813" max="2048" width="9.140625" style="13"/>
    <col min="2049" max="2049" width="15.140625" style="13" customWidth="1"/>
    <col min="2050" max="2068" width="19" style="13" customWidth="1"/>
    <col min="2069" max="2304" width="9.140625" style="13"/>
    <col min="2305" max="2305" width="15.140625" style="13" customWidth="1"/>
    <col min="2306" max="2324" width="19" style="13" customWidth="1"/>
    <col min="2325" max="2560" width="9.140625" style="13"/>
    <col min="2561" max="2561" width="15.140625" style="13" customWidth="1"/>
    <col min="2562" max="2580" width="19" style="13" customWidth="1"/>
    <col min="2581" max="2816" width="9.140625" style="13"/>
    <col min="2817" max="2817" width="15.140625" style="13" customWidth="1"/>
    <col min="2818" max="2836" width="19" style="13" customWidth="1"/>
    <col min="2837" max="3072" width="9.140625" style="13"/>
    <col min="3073" max="3073" width="15.140625" style="13" customWidth="1"/>
    <col min="3074" max="3092" width="19" style="13" customWidth="1"/>
    <col min="3093" max="3328" width="9.140625" style="13"/>
    <col min="3329" max="3329" width="15.140625" style="13" customWidth="1"/>
    <col min="3330" max="3348" width="19" style="13" customWidth="1"/>
    <col min="3349" max="3584" width="9.140625" style="13"/>
    <col min="3585" max="3585" width="15.140625" style="13" customWidth="1"/>
    <col min="3586" max="3604" width="19" style="13" customWidth="1"/>
    <col min="3605" max="3840" width="9.140625" style="13"/>
    <col min="3841" max="3841" width="15.140625" style="13" customWidth="1"/>
    <col min="3842" max="3860" width="19" style="13" customWidth="1"/>
    <col min="3861" max="4096" width="9.140625" style="13"/>
    <col min="4097" max="4097" width="15.140625" style="13" customWidth="1"/>
    <col min="4098" max="4116" width="19" style="13" customWidth="1"/>
    <col min="4117" max="4352" width="9.140625" style="13"/>
    <col min="4353" max="4353" width="15.140625" style="13" customWidth="1"/>
    <col min="4354" max="4372" width="19" style="13" customWidth="1"/>
    <col min="4373" max="4608" width="9.140625" style="13"/>
    <col min="4609" max="4609" width="15.140625" style="13" customWidth="1"/>
    <col min="4610" max="4628" width="19" style="13" customWidth="1"/>
    <col min="4629" max="4864" width="9.140625" style="13"/>
    <col min="4865" max="4865" width="15.140625" style="13" customWidth="1"/>
    <col min="4866" max="4884" width="19" style="13" customWidth="1"/>
    <col min="4885" max="5120" width="9.140625" style="13"/>
    <col min="5121" max="5121" width="15.140625" style="13" customWidth="1"/>
    <col min="5122" max="5140" width="19" style="13" customWidth="1"/>
    <col min="5141" max="5376" width="9.140625" style="13"/>
    <col min="5377" max="5377" width="15.140625" style="13" customWidth="1"/>
    <col min="5378" max="5396" width="19" style="13" customWidth="1"/>
    <col min="5397" max="5632" width="9.140625" style="13"/>
    <col min="5633" max="5633" width="15.140625" style="13" customWidth="1"/>
    <col min="5634" max="5652" width="19" style="13" customWidth="1"/>
    <col min="5653" max="5888" width="9.140625" style="13"/>
    <col min="5889" max="5889" width="15.140625" style="13" customWidth="1"/>
    <col min="5890" max="5908" width="19" style="13" customWidth="1"/>
    <col min="5909" max="6144" width="9.140625" style="13"/>
    <col min="6145" max="6145" width="15.140625" style="13" customWidth="1"/>
    <col min="6146" max="6164" width="19" style="13" customWidth="1"/>
    <col min="6165" max="6400" width="9.140625" style="13"/>
    <col min="6401" max="6401" width="15.140625" style="13" customWidth="1"/>
    <col min="6402" max="6420" width="19" style="13" customWidth="1"/>
    <col min="6421" max="6656" width="9.140625" style="13"/>
    <col min="6657" max="6657" width="15.140625" style="13" customWidth="1"/>
    <col min="6658" max="6676" width="19" style="13" customWidth="1"/>
    <col min="6677" max="6912" width="9.140625" style="13"/>
    <col min="6913" max="6913" width="15.140625" style="13" customWidth="1"/>
    <col min="6914" max="6932" width="19" style="13" customWidth="1"/>
    <col min="6933" max="7168" width="9.140625" style="13"/>
    <col min="7169" max="7169" width="15.140625" style="13" customWidth="1"/>
    <col min="7170" max="7188" width="19" style="13" customWidth="1"/>
    <col min="7189" max="7424" width="9.140625" style="13"/>
    <col min="7425" max="7425" width="15.140625" style="13" customWidth="1"/>
    <col min="7426" max="7444" width="19" style="13" customWidth="1"/>
    <col min="7445" max="7680" width="9.140625" style="13"/>
    <col min="7681" max="7681" width="15.140625" style="13" customWidth="1"/>
    <col min="7682" max="7700" width="19" style="13" customWidth="1"/>
    <col min="7701" max="7936" width="9.140625" style="13"/>
    <col min="7937" max="7937" width="15.140625" style="13" customWidth="1"/>
    <col min="7938" max="7956" width="19" style="13" customWidth="1"/>
    <col min="7957" max="8192" width="9.140625" style="13"/>
    <col min="8193" max="8193" width="15.140625" style="13" customWidth="1"/>
    <col min="8194" max="8212" width="19" style="13" customWidth="1"/>
    <col min="8213" max="8448" width="9.140625" style="13"/>
    <col min="8449" max="8449" width="15.140625" style="13" customWidth="1"/>
    <col min="8450" max="8468" width="19" style="13" customWidth="1"/>
    <col min="8469" max="8704" width="9.140625" style="13"/>
    <col min="8705" max="8705" width="15.140625" style="13" customWidth="1"/>
    <col min="8706" max="8724" width="19" style="13" customWidth="1"/>
    <col min="8725" max="8960" width="9.140625" style="13"/>
    <col min="8961" max="8961" width="15.140625" style="13" customWidth="1"/>
    <col min="8962" max="8980" width="19" style="13" customWidth="1"/>
    <col min="8981" max="9216" width="9.140625" style="13"/>
    <col min="9217" max="9217" width="15.140625" style="13" customWidth="1"/>
    <col min="9218" max="9236" width="19" style="13" customWidth="1"/>
    <col min="9237" max="9472" width="9.140625" style="13"/>
    <col min="9473" max="9473" width="15.140625" style="13" customWidth="1"/>
    <col min="9474" max="9492" width="19" style="13" customWidth="1"/>
    <col min="9493" max="9728" width="9.140625" style="13"/>
    <col min="9729" max="9729" width="15.140625" style="13" customWidth="1"/>
    <col min="9730" max="9748" width="19" style="13" customWidth="1"/>
    <col min="9749" max="9984" width="9.140625" style="13"/>
    <col min="9985" max="9985" width="15.140625" style="13" customWidth="1"/>
    <col min="9986" max="10004" width="19" style="13" customWidth="1"/>
    <col min="10005" max="10240" width="9.140625" style="13"/>
    <col min="10241" max="10241" width="15.140625" style="13" customWidth="1"/>
    <col min="10242" max="10260" width="19" style="13" customWidth="1"/>
    <col min="10261" max="10496" width="9.140625" style="13"/>
    <col min="10497" max="10497" width="15.140625" style="13" customWidth="1"/>
    <col min="10498" max="10516" width="19" style="13" customWidth="1"/>
    <col min="10517" max="10752" width="9.140625" style="13"/>
    <col min="10753" max="10753" width="15.140625" style="13" customWidth="1"/>
    <col min="10754" max="10772" width="19" style="13" customWidth="1"/>
    <col min="10773" max="11008" width="9.140625" style="13"/>
    <col min="11009" max="11009" width="15.140625" style="13" customWidth="1"/>
    <col min="11010" max="11028" width="19" style="13" customWidth="1"/>
    <col min="11029" max="11264" width="9.140625" style="13"/>
    <col min="11265" max="11265" width="15.140625" style="13" customWidth="1"/>
    <col min="11266" max="11284" width="19" style="13" customWidth="1"/>
    <col min="11285" max="11520" width="9.140625" style="13"/>
    <col min="11521" max="11521" width="15.140625" style="13" customWidth="1"/>
    <col min="11522" max="11540" width="19" style="13" customWidth="1"/>
    <col min="11541" max="11776" width="9.140625" style="13"/>
    <col min="11777" max="11777" width="15.140625" style="13" customWidth="1"/>
    <col min="11778" max="11796" width="19" style="13" customWidth="1"/>
    <col min="11797" max="12032" width="9.140625" style="13"/>
    <col min="12033" max="12033" width="15.140625" style="13" customWidth="1"/>
    <col min="12034" max="12052" width="19" style="13" customWidth="1"/>
    <col min="12053" max="12288" width="9.140625" style="13"/>
    <col min="12289" max="12289" width="15.140625" style="13" customWidth="1"/>
    <col min="12290" max="12308" width="19" style="13" customWidth="1"/>
    <col min="12309" max="12544" width="9.140625" style="13"/>
    <col min="12545" max="12545" width="15.140625" style="13" customWidth="1"/>
    <col min="12546" max="12564" width="19" style="13" customWidth="1"/>
    <col min="12565" max="12800" width="9.140625" style="13"/>
    <col min="12801" max="12801" width="15.140625" style="13" customWidth="1"/>
    <col min="12802" max="12820" width="19" style="13" customWidth="1"/>
    <col min="12821" max="13056" width="9.140625" style="13"/>
    <col min="13057" max="13057" width="15.140625" style="13" customWidth="1"/>
    <col min="13058" max="13076" width="19" style="13" customWidth="1"/>
    <col min="13077" max="13312" width="9.140625" style="13"/>
    <col min="13313" max="13313" width="15.140625" style="13" customWidth="1"/>
    <col min="13314" max="13332" width="19" style="13" customWidth="1"/>
    <col min="13333" max="13568" width="9.140625" style="13"/>
    <col min="13569" max="13569" width="15.140625" style="13" customWidth="1"/>
    <col min="13570" max="13588" width="19" style="13" customWidth="1"/>
    <col min="13589" max="13824" width="9.140625" style="13"/>
    <col min="13825" max="13825" width="15.140625" style="13" customWidth="1"/>
    <col min="13826" max="13844" width="19" style="13" customWidth="1"/>
    <col min="13845" max="14080" width="9.140625" style="13"/>
    <col min="14081" max="14081" width="15.140625" style="13" customWidth="1"/>
    <col min="14082" max="14100" width="19" style="13" customWidth="1"/>
    <col min="14101" max="14336" width="9.140625" style="13"/>
    <col min="14337" max="14337" width="15.140625" style="13" customWidth="1"/>
    <col min="14338" max="14356" width="19" style="13" customWidth="1"/>
    <col min="14357" max="14592" width="9.140625" style="13"/>
    <col min="14593" max="14593" width="15.140625" style="13" customWidth="1"/>
    <col min="14594" max="14612" width="19" style="13" customWidth="1"/>
    <col min="14613" max="14848" width="9.140625" style="13"/>
    <col min="14849" max="14849" width="15.140625" style="13" customWidth="1"/>
    <col min="14850" max="14868" width="19" style="13" customWidth="1"/>
    <col min="14869" max="15104" width="9.140625" style="13"/>
    <col min="15105" max="15105" width="15.140625" style="13" customWidth="1"/>
    <col min="15106" max="15124" width="19" style="13" customWidth="1"/>
    <col min="15125" max="15360" width="9.140625" style="13"/>
    <col min="15361" max="15361" width="15.140625" style="13" customWidth="1"/>
    <col min="15362" max="15380" width="19" style="13" customWidth="1"/>
    <col min="15381" max="15616" width="9.140625" style="13"/>
    <col min="15617" max="15617" width="15.140625" style="13" customWidth="1"/>
    <col min="15618" max="15636" width="19" style="13" customWidth="1"/>
    <col min="15637" max="15872" width="9.140625" style="13"/>
    <col min="15873" max="15873" width="15.140625" style="13" customWidth="1"/>
    <col min="15874" max="15892" width="19" style="13" customWidth="1"/>
    <col min="15893" max="16128" width="9.140625" style="13"/>
    <col min="16129" max="16129" width="15.140625" style="13" customWidth="1"/>
    <col min="16130" max="16148" width="19" style="13" customWidth="1"/>
    <col min="16149" max="16384" width="9.140625" style="13"/>
  </cols>
  <sheetData>
    <row r="1" spans="1:20" ht="15.75" x14ac:dyDescent="0.25">
      <c r="A1" s="84" t="s">
        <v>859</v>
      </c>
    </row>
    <row r="2" spans="1:20" ht="15.75" x14ac:dyDescent="0.25">
      <c r="A2" s="101" t="s">
        <v>384</v>
      </c>
      <c r="B2" s="120" t="s">
        <v>677</v>
      </c>
      <c r="P2" s="22" t="s">
        <v>100</v>
      </c>
      <c r="Q2" s="121">
        <f>SUM(Q11:Q122)/SUM(N11:N122)</f>
        <v>0.36222335283642837</v>
      </c>
    </row>
    <row r="3" spans="1:20" ht="15.75" x14ac:dyDescent="0.25">
      <c r="A3" s="101"/>
      <c r="B3" s="120"/>
      <c r="P3" s="22" t="s">
        <v>101</v>
      </c>
      <c r="Q3" s="121">
        <f>SUM(Q129:Q240)/SUM(N129:N240)</f>
        <v>6.7097663369209424E-3</v>
      </c>
    </row>
    <row r="4" spans="1:20" ht="15.75" x14ac:dyDescent="0.25">
      <c r="A4" s="101"/>
      <c r="B4" s="120"/>
      <c r="P4" s="22" t="s">
        <v>102</v>
      </c>
      <c r="Q4" s="121">
        <f>SUM(Q246:Q357)/SUM(N246:N357)</f>
        <v>8.5692282386015284E-2</v>
      </c>
    </row>
    <row r="5" spans="1:20" ht="15.75" x14ac:dyDescent="0.25">
      <c r="A5" s="101"/>
      <c r="B5" s="120"/>
      <c r="P5" s="22" t="s">
        <v>103</v>
      </c>
      <c r="Q5" s="121">
        <f>SUM(Q363:Q474)/SUM(N364:N474)</f>
        <v>-2.1292399108690271E-3</v>
      </c>
    </row>
    <row r="6" spans="1:20" ht="15.75" x14ac:dyDescent="0.25">
      <c r="A6" s="101"/>
      <c r="B6" s="120"/>
      <c r="P6" s="22" t="s">
        <v>104</v>
      </c>
      <c r="Q6" s="121">
        <f>SUM(Q480:Q591)/SUM(N480:N591)</f>
        <v>7.6263895102729115E-2</v>
      </c>
    </row>
    <row r="7" spans="1:20" ht="15.75" x14ac:dyDescent="0.25">
      <c r="A7" s="101"/>
      <c r="B7" s="120"/>
    </row>
    <row r="8" spans="1:20" ht="15.75" x14ac:dyDescent="0.25">
      <c r="A8" s="101"/>
      <c r="B8" s="120"/>
      <c r="N8" s="119" t="s">
        <v>858</v>
      </c>
      <c r="Q8" s="119" t="s">
        <v>182</v>
      </c>
    </row>
    <row r="9" spans="1:20" ht="24" x14ac:dyDescent="0.2">
      <c r="A9" s="122" t="s">
        <v>490</v>
      </c>
      <c r="B9" s="123" t="s">
        <v>678</v>
      </c>
      <c r="C9" s="123" t="s">
        <v>679</v>
      </c>
      <c r="D9" s="123" t="s">
        <v>680</v>
      </c>
      <c r="E9" s="123" t="s">
        <v>681</v>
      </c>
      <c r="F9" s="123" t="s">
        <v>682</v>
      </c>
      <c r="G9" s="123" t="s">
        <v>683</v>
      </c>
      <c r="H9" s="123" t="s">
        <v>684</v>
      </c>
      <c r="I9" s="123" t="s">
        <v>685</v>
      </c>
      <c r="J9" s="123" t="s">
        <v>686</v>
      </c>
      <c r="K9" s="123" t="s">
        <v>687</v>
      </c>
      <c r="L9" s="123" t="s">
        <v>688</v>
      </c>
      <c r="M9" s="123" t="s">
        <v>689</v>
      </c>
      <c r="N9" s="124" t="s">
        <v>690</v>
      </c>
      <c r="O9" s="123" t="s">
        <v>691</v>
      </c>
      <c r="P9" s="123" t="s">
        <v>692</v>
      </c>
      <c r="Q9" s="124" t="s">
        <v>693</v>
      </c>
      <c r="R9" s="123" t="s">
        <v>694</v>
      </c>
      <c r="S9" s="123" t="s">
        <v>695</v>
      </c>
      <c r="T9" s="123"/>
    </row>
    <row r="10" spans="1:20" ht="127.5" x14ac:dyDescent="0.2">
      <c r="A10" s="125" t="s">
        <v>508</v>
      </c>
      <c r="B10" s="126" t="s">
        <v>696</v>
      </c>
      <c r="C10" s="126" t="s">
        <v>697</v>
      </c>
      <c r="D10" s="126" t="s">
        <v>698</v>
      </c>
      <c r="E10" s="126" t="s">
        <v>699</v>
      </c>
      <c r="F10" s="126" t="s">
        <v>700</v>
      </c>
      <c r="G10" s="126" t="s">
        <v>701</v>
      </c>
      <c r="H10" s="126" t="s">
        <v>702</v>
      </c>
      <c r="I10" s="126" t="s">
        <v>703</v>
      </c>
      <c r="J10" s="126" t="s">
        <v>704</v>
      </c>
      <c r="K10" s="126" t="s">
        <v>705</v>
      </c>
      <c r="L10" s="126" t="s">
        <v>706</v>
      </c>
      <c r="M10" s="126" t="s">
        <v>707</v>
      </c>
      <c r="N10" s="127" t="s">
        <v>708</v>
      </c>
      <c r="O10" s="126" t="s">
        <v>709</v>
      </c>
      <c r="P10" s="126" t="s">
        <v>710</v>
      </c>
      <c r="Q10" s="127" t="s">
        <v>711</v>
      </c>
      <c r="R10" s="126" t="s">
        <v>712</v>
      </c>
      <c r="S10" s="126" t="s">
        <v>713</v>
      </c>
      <c r="T10" s="126"/>
    </row>
    <row r="11" spans="1:20" x14ac:dyDescent="0.2">
      <c r="A11" s="128">
        <v>40354</v>
      </c>
      <c r="B11" s="13">
        <v>2838</v>
      </c>
      <c r="C11" s="13">
        <v>1276</v>
      </c>
      <c r="D11" s="13">
        <v>1276</v>
      </c>
      <c r="E11" s="13">
        <v>0</v>
      </c>
      <c r="F11" s="13">
        <v>1562</v>
      </c>
      <c r="G11" s="13">
        <v>1811</v>
      </c>
      <c r="H11" s="13">
        <v>1811</v>
      </c>
      <c r="I11" s="13">
        <v>0</v>
      </c>
      <c r="J11" s="13">
        <v>-249</v>
      </c>
      <c r="K11" s="13">
        <v>80</v>
      </c>
      <c r="L11" s="13">
        <v>80</v>
      </c>
      <c r="M11" s="13">
        <v>0</v>
      </c>
      <c r="N11" s="119">
        <v>375</v>
      </c>
      <c r="O11" s="22">
        <v>276</v>
      </c>
      <c r="P11" s="22">
        <v>4</v>
      </c>
      <c r="Q11" s="119">
        <v>95</v>
      </c>
      <c r="R11" s="13">
        <v>67</v>
      </c>
      <c r="S11" s="13">
        <v>45</v>
      </c>
    </row>
    <row r="12" spans="1:20" x14ac:dyDescent="0.2">
      <c r="A12" s="128">
        <v>40361</v>
      </c>
      <c r="B12" s="13">
        <v>2923</v>
      </c>
      <c r="C12" s="13">
        <v>1317</v>
      </c>
      <c r="D12" s="13">
        <v>1317</v>
      </c>
      <c r="E12" s="13">
        <v>0</v>
      </c>
      <c r="F12" s="13">
        <v>1606</v>
      </c>
      <c r="G12" s="13">
        <v>1913</v>
      </c>
      <c r="H12" s="13">
        <v>1913</v>
      </c>
      <c r="I12" s="13">
        <v>0</v>
      </c>
      <c r="J12" s="13">
        <v>-307</v>
      </c>
      <c r="K12" s="13">
        <v>83</v>
      </c>
      <c r="L12" s="13">
        <v>83</v>
      </c>
      <c r="M12" s="13">
        <v>0</v>
      </c>
      <c r="N12" s="119">
        <v>353</v>
      </c>
      <c r="O12" s="22">
        <v>275</v>
      </c>
      <c r="P12" s="22">
        <v>-13</v>
      </c>
      <c r="Q12" s="119">
        <v>91</v>
      </c>
      <c r="R12" s="13">
        <v>81</v>
      </c>
      <c r="S12" s="13">
        <v>44</v>
      </c>
    </row>
    <row r="13" spans="1:20" x14ac:dyDescent="0.2">
      <c r="A13" s="128">
        <v>40368</v>
      </c>
      <c r="B13" s="13">
        <v>2881</v>
      </c>
      <c r="C13" s="13">
        <v>1237</v>
      </c>
      <c r="D13" s="13">
        <v>1237</v>
      </c>
      <c r="E13" s="13">
        <v>0</v>
      </c>
      <c r="F13" s="13">
        <v>1643</v>
      </c>
      <c r="G13" s="13">
        <v>1824</v>
      </c>
      <c r="H13" s="13">
        <v>1824</v>
      </c>
      <c r="I13" s="13">
        <v>0</v>
      </c>
      <c r="J13" s="13">
        <v>-181</v>
      </c>
      <c r="K13" s="13">
        <v>61</v>
      </c>
      <c r="L13" s="13">
        <v>61</v>
      </c>
      <c r="M13" s="13">
        <v>0</v>
      </c>
      <c r="N13" s="119">
        <v>398</v>
      </c>
      <c r="O13" s="22">
        <v>261</v>
      </c>
      <c r="P13" s="22">
        <v>-19</v>
      </c>
      <c r="Q13" s="119">
        <v>156</v>
      </c>
      <c r="R13" s="13">
        <v>67</v>
      </c>
      <c r="S13" s="13">
        <v>41</v>
      </c>
    </row>
    <row r="14" spans="1:20" x14ac:dyDescent="0.2">
      <c r="A14" s="128">
        <v>40375</v>
      </c>
      <c r="B14" s="13">
        <v>2792</v>
      </c>
      <c r="C14" s="13">
        <v>1251</v>
      </c>
      <c r="D14" s="13">
        <v>1251</v>
      </c>
      <c r="E14" s="13">
        <v>0</v>
      </c>
      <c r="F14" s="13">
        <v>1541</v>
      </c>
      <c r="G14" s="13">
        <v>1821</v>
      </c>
      <c r="H14" s="13">
        <v>1821</v>
      </c>
      <c r="I14" s="13">
        <v>0</v>
      </c>
      <c r="J14" s="13">
        <v>-280</v>
      </c>
      <c r="K14" s="13">
        <v>86</v>
      </c>
      <c r="L14" s="13">
        <v>86</v>
      </c>
      <c r="M14" s="13">
        <v>0</v>
      </c>
      <c r="N14" s="119">
        <v>384</v>
      </c>
      <c r="O14" s="22">
        <v>274</v>
      </c>
      <c r="P14" s="22">
        <v>-24</v>
      </c>
      <c r="Q14" s="119">
        <v>134</v>
      </c>
      <c r="R14" s="13">
        <v>65</v>
      </c>
      <c r="S14" s="13">
        <v>42</v>
      </c>
    </row>
    <row r="15" spans="1:20" x14ac:dyDescent="0.2">
      <c r="A15" s="128">
        <v>40382</v>
      </c>
      <c r="B15" s="13">
        <v>2897</v>
      </c>
      <c r="C15" s="13">
        <v>1290</v>
      </c>
      <c r="D15" s="13">
        <v>1290</v>
      </c>
      <c r="E15" s="13">
        <v>0</v>
      </c>
      <c r="F15" s="13">
        <v>1608</v>
      </c>
      <c r="G15" s="13">
        <v>1856</v>
      </c>
      <c r="H15" s="13">
        <v>1856</v>
      </c>
      <c r="I15" s="13">
        <v>0</v>
      </c>
      <c r="J15" s="13">
        <v>-249</v>
      </c>
      <c r="K15" s="13">
        <v>70</v>
      </c>
      <c r="L15" s="13">
        <v>70</v>
      </c>
      <c r="M15" s="13">
        <v>0</v>
      </c>
      <c r="N15" s="119">
        <v>388</v>
      </c>
      <c r="O15" s="22">
        <v>278</v>
      </c>
      <c r="P15" s="22">
        <v>17</v>
      </c>
      <c r="Q15" s="119">
        <v>93</v>
      </c>
      <c r="R15" s="13">
        <v>62</v>
      </c>
      <c r="S15" s="13">
        <v>45</v>
      </c>
    </row>
    <row r="16" spans="1:20" x14ac:dyDescent="0.2">
      <c r="A16" s="128">
        <v>40389</v>
      </c>
      <c r="B16" s="13">
        <v>2849</v>
      </c>
      <c r="C16" s="13">
        <v>1296</v>
      </c>
      <c r="D16" s="13">
        <v>1296</v>
      </c>
      <c r="E16" s="13">
        <v>0</v>
      </c>
      <c r="F16" s="13">
        <v>1553</v>
      </c>
      <c r="G16" s="13">
        <v>1824</v>
      </c>
      <c r="H16" s="13">
        <v>1824</v>
      </c>
      <c r="I16" s="13">
        <v>0</v>
      </c>
      <c r="J16" s="13">
        <v>-271</v>
      </c>
      <c r="K16" s="13">
        <v>78</v>
      </c>
      <c r="L16" s="13">
        <v>78</v>
      </c>
      <c r="M16" s="13">
        <v>0</v>
      </c>
      <c r="N16" s="119">
        <v>374</v>
      </c>
      <c r="O16" s="22">
        <v>274</v>
      </c>
      <c r="P16" s="22">
        <v>-7</v>
      </c>
      <c r="Q16" s="119">
        <v>107</v>
      </c>
      <c r="R16" s="13">
        <v>66</v>
      </c>
      <c r="S16" s="13">
        <v>45</v>
      </c>
    </row>
    <row r="17" spans="1:19" x14ac:dyDescent="0.2">
      <c r="A17" s="128">
        <v>40396</v>
      </c>
      <c r="B17" s="13">
        <v>2772</v>
      </c>
      <c r="C17" s="13">
        <v>1239</v>
      </c>
      <c r="D17" s="13">
        <v>1239</v>
      </c>
      <c r="E17" s="13">
        <v>0</v>
      </c>
      <c r="F17" s="13">
        <v>1533</v>
      </c>
      <c r="G17" s="13">
        <v>1822</v>
      </c>
      <c r="H17" s="13">
        <v>1822</v>
      </c>
      <c r="I17" s="13">
        <v>0</v>
      </c>
      <c r="J17" s="13">
        <v>-289</v>
      </c>
      <c r="K17" s="13">
        <v>66</v>
      </c>
      <c r="L17" s="13">
        <v>66</v>
      </c>
      <c r="M17" s="13">
        <v>0</v>
      </c>
      <c r="N17" s="119">
        <v>396</v>
      </c>
      <c r="O17" s="22">
        <v>261</v>
      </c>
      <c r="P17" s="22">
        <v>-2</v>
      </c>
      <c r="Q17" s="119">
        <v>137</v>
      </c>
      <c r="R17" s="13">
        <v>53</v>
      </c>
      <c r="S17" s="13">
        <v>40</v>
      </c>
    </row>
    <row r="18" spans="1:19" x14ac:dyDescent="0.2">
      <c r="A18" s="128">
        <v>40403</v>
      </c>
      <c r="B18" s="13">
        <v>2802</v>
      </c>
      <c r="C18" s="13">
        <v>1252</v>
      </c>
      <c r="D18" s="13">
        <v>1252</v>
      </c>
      <c r="E18" s="13">
        <v>0</v>
      </c>
      <c r="F18" s="13">
        <v>1550</v>
      </c>
      <c r="G18" s="13">
        <v>1849</v>
      </c>
      <c r="H18" s="13">
        <v>1849</v>
      </c>
      <c r="I18" s="13">
        <v>0</v>
      </c>
      <c r="J18" s="13">
        <v>-299</v>
      </c>
      <c r="K18" s="13">
        <v>81</v>
      </c>
      <c r="L18" s="13">
        <v>81</v>
      </c>
      <c r="M18" s="13">
        <v>0</v>
      </c>
      <c r="N18" s="119">
        <v>398</v>
      </c>
      <c r="O18" s="22">
        <v>278</v>
      </c>
      <c r="P18" s="22">
        <v>-16</v>
      </c>
      <c r="Q18" s="119">
        <v>136</v>
      </c>
      <c r="R18" s="13">
        <v>59</v>
      </c>
      <c r="S18" s="13">
        <v>45</v>
      </c>
    </row>
    <row r="19" spans="1:19" x14ac:dyDescent="0.2">
      <c r="A19" s="128">
        <v>40410</v>
      </c>
      <c r="B19" s="13">
        <v>2844</v>
      </c>
      <c r="C19" s="13">
        <v>1262</v>
      </c>
      <c r="D19" s="13">
        <v>1262</v>
      </c>
      <c r="E19" s="13">
        <v>0</v>
      </c>
      <c r="F19" s="13">
        <v>1582</v>
      </c>
      <c r="G19" s="13">
        <v>1885</v>
      </c>
      <c r="H19" s="13">
        <v>1885</v>
      </c>
      <c r="I19" s="13">
        <v>0</v>
      </c>
      <c r="J19" s="13">
        <v>-303</v>
      </c>
      <c r="K19" s="13">
        <v>71</v>
      </c>
      <c r="L19" s="13">
        <v>71</v>
      </c>
      <c r="M19" s="13">
        <v>0</v>
      </c>
      <c r="N19" s="119">
        <v>404</v>
      </c>
      <c r="O19" s="22">
        <v>291</v>
      </c>
      <c r="P19" s="22">
        <v>1</v>
      </c>
      <c r="Q19" s="119">
        <v>112</v>
      </c>
      <c r="R19" s="13">
        <v>50</v>
      </c>
      <c r="S19" s="13">
        <v>44</v>
      </c>
    </row>
    <row r="20" spans="1:19" x14ac:dyDescent="0.2">
      <c r="A20" s="128">
        <v>40417</v>
      </c>
      <c r="B20" s="13">
        <v>2792</v>
      </c>
      <c r="C20" s="13">
        <v>1220</v>
      </c>
      <c r="D20" s="13">
        <v>1220</v>
      </c>
      <c r="E20" s="13">
        <v>0</v>
      </c>
      <c r="F20" s="13">
        <v>1573</v>
      </c>
      <c r="G20" s="13">
        <v>1869</v>
      </c>
      <c r="H20" s="13">
        <v>1869</v>
      </c>
      <c r="I20" s="13">
        <v>0</v>
      </c>
      <c r="J20" s="13">
        <v>-297</v>
      </c>
      <c r="K20" s="13">
        <v>72</v>
      </c>
      <c r="L20" s="13">
        <v>72</v>
      </c>
      <c r="M20" s="13">
        <v>0</v>
      </c>
      <c r="N20" s="119">
        <v>423</v>
      </c>
      <c r="O20" s="22">
        <v>285</v>
      </c>
      <c r="P20" s="22">
        <v>-34</v>
      </c>
      <c r="Q20" s="119">
        <v>172</v>
      </c>
      <c r="R20" s="13">
        <v>64</v>
      </c>
      <c r="S20" s="13">
        <v>47</v>
      </c>
    </row>
    <row r="21" spans="1:19" x14ac:dyDescent="0.2">
      <c r="A21" s="128">
        <v>40424</v>
      </c>
      <c r="B21" s="13">
        <v>2835</v>
      </c>
      <c r="C21" s="13">
        <v>1279</v>
      </c>
      <c r="D21" s="13">
        <v>1279</v>
      </c>
      <c r="E21" s="13">
        <v>0</v>
      </c>
      <c r="F21" s="13">
        <v>1556</v>
      </c>
      <c r="G21" s="13">
        <v>1856</v>
      </c>
      <c r="H21" s="13">
        <v>1856</v>
      </c>
      <c r="I21" s="13">
        <v>0</v>
      </c>
      <c r="J21" s="13">
        <v>-300</v>
      </c>
      <c r="K21" s="13">
        <v>83</v>
      </c>
      <c r="L21" s="13">
        <v>83</v>
      </c>
      <c r="M21" s="13">
        <v>0</v>
      </c>
      <c r="N21" s="119">
        <v>403</v>
      </c>
      <c r="O21" s="22">
        <v>243</v>
      </c>
      <c r="P21" s="22">
        <v>35</v>
      </c>
      <c r="Q21" s="119">
        <v>125</v>
      </c>
      <c r="R21" s="13">
        <v>62</v>
      </c>
      <c r="S21" s="13">
        <v>49</v>
      </c>
    </row>
    <row r="22" spans="1:19" x14ac:dyDescent="0.2">
      <c r="A22" s="128">
        <v>40431</v>
      </c>
      <c r="B22" s="13">
        <v>2727</v>
      </c>
      <c r="C22" s="13">
        <v>1239</v>
      </c>
      <c r="D22" s="13">
        <v>1239</v>
      </c>
      <c r="E22" s="13">
        <v>0</v>
      </c>
      <c r="F22" s="13">
        <v>1489</v>
      </c>
      <c r="G22" s="13">
        <v>1793</v>
      </c>
      <c r="H22" s="13">
        <v>1793</v>
      </c>
      <c r="I22" s="13">
        <v>0</v>
      </c>
      <c r="J22" s="13">
        <v>-304</v>
      </c>
      <c r="K22" s="13">
        <v>77</v>
      </c>
      <c r="L22" s="13">
        <v>77</v>
      </c>
      <c r="M22" s="13">
        <v>0</v>
      </c>
      <c r="N22" s="119">
        <v>379</v>
      </c>
      <c r="O22" s="22">
        <v>232</v>
      </c>
      <c r="P22" s="22">
        <v>-14</v>
      </c>
      <c r="Q22" s="119">
        <v>162</v>
      </c>
      <c r="R22" s="13">
        <v>62</v>
      </c>
      <c r="S22" s="13">
        <v>42</v>
      </c>
    </row>
    <row r="23" spans="1:19" x14ac:dyDescent="0.2">
      <c r="A23" s="128">
        <v>40438</v>
      </c>
      <c r="B23" s="13">
        <v>2690</v>
      </c>
      <c r="C23" s="13">
        <v>1221</v>
      </c>
      <c r="D23" s="13">
        <v>1221</v>
      </c>
      <c r="E23" s="13">
        <v>0</v>
      </c>
      <c r="F23" s="13">
        <v>1469</v>
      </c>
      <c r="G23" s="13">
        <v>1761</v>
      </c>
      <c r="H23" s="13">
        <v>1761</v>
      </c>
      <c r="I23" s="13">
        <v>0</v>
      </c>
      <c r="J23" s="13">
        <v>-292</v>
      </c>
      <c r="K23" s="13">
        <v>74</v>
      </c>
      <c r="L23" s="13">
        <v>74</v>
      </c>
      <c r="M23" s="13">
        <v>0</v>
      </c>
      <c r="N23" s="119">
        <v>392</v>
      </c>
      <c r="O23" s="22">
        <v>255</v>
      </c>
      <c r="P23" s="22">
        <v>-32</v>
      </c>
      <c r="Q23" s="119">
        <v>168</v>
      </c>
      <c r="R23" s="13">
        <v>61</v>
      </c>
      <c r="S23" s="13">
        <v>45</v>
      </c>
    </row>
    <row r="24" spans="1:19" x14ac:dyDescent="0.2">
      <c r="A24" s="128">
        <v>40445</v>
      </c>
      <c r="B24" s="13">
        <v>2830</v>
      </c>
      <c r="C24" s="13">
        <v>1246</v>
      </c>
      <c r="D24" s="13">
        <v>1246</v>
      </c>
      <c r="E24" s="13">
        <v>0</v>
      </c>
      <c r="F24" s="13">
        <v>1584</v>
      </c>
      <c r="G24" s="13">
        <v>1820</v>
      </c>
      <c r="H24" s="13">
        <v>1820</v>
      </c>
      <c r="I24" s="13">
        <v>0</v>
      </c>
      <c r="J24" s="13">
        <v>-237</v>
      </c>
      <c r="K24" s="13">
        <v>80</v>
      </c>
      <c r="L24" s="13">
        <v>80</v>
      </c>
      <c r="M24" s="13">
        <v>0</v>
      </c>
      <c r="N24" s="119">
        <v>367</v>
      </c>
      <c r="O24" s="22">
        <v>239</v>
      </c>
      <c r="P24" s="22">
        <v>-10</v>
      </c>
      <c r="Q24" s="119">
        <v>137</v>
      </c>
      <c r="R24" s="13">
        <v>59</v>
      </c>
      <c r="S24" s="13">
        <v>43</v>
      </c>
    </row>
    <row r="25" spans="1:19" x14ac:dyDescent="0.2">
      <c r="A25" s="128">
        <v>40452</v>
      </c>
      <c r="B25" s="13">
        <v>2830</v>
      </c>
      <c r="C25" s="13">
        <v>1245</v>
      </c>
      <c r="D25" s="13">
        <v>1247</v>
      </c>
      <c r="E25" s="13">
        <v>-2</v>
      </c>
      <c r="F25" s="13">
        <v>1585</v>
      </c>
      <c r="G25" s="13">
        <v>1789</v>
      </c>
      <c r="H25" s="13">
        <v>1789</v>
      </c>
      <c r="I25" s="13">
        <v>0</v>
      </c>
      <c r="J25" s="13">
        <v>-204</v>
      </c>
      <c r="K25" s="13">
        <v>75</v>
      </c>
      <c r="L25" s="13">
        <v>75</v>
      </c>
      <c r="M25" s="13">
        <v>0</v>
      </c>
      <c r="N25" s="119">
        <v>333</v>
      </c>
      <c r="O25" s="22">
        <v>205</v>
      </c>
      <c r="P25" s="22">
        <v>6</v>
      </c>
      <c r="Q25" s="119">
        <v>122</v>
      </c>
      <c r="R25" s="13">
        <v>71</v>
      </c>
      <c r="S25" s="13">
        <v>42</v>
      </c>
    </row>
    <row r="26" spans="1:19" x14ac:dyDescent="0.2">
      <c r="A26" s="128">
        <v>40459</v>
      </c>
      <c r="B26" s="13">
        <v>2838</v>
      </c>
      <c r="C26" s="13">
        <v>1249</v>
      </c>
      <c r="D26" s="13">
        <v>1251</v>
      </c>
      <c r="E26" s="13">
        <v>-2</v>
      </c>
      <c r="F26" s="13">
        <v>1589</v>
      </c>
      <c r="G26" s="13">
        <v>1851</v>
      </c>
      <c r="H26" s="13">
        <v>1851</v>
      </c>
      <c r="I26" s="13">
        <v>0</v>
      </c>
      <c r="J26" s="13">
        <v>-262</v>
      </c>
      <c r="K26" s="13">
        <v>73</v>
      </c>
      <c r="L26" s="13">
        <v>73</v>
      </c>
      <c r="M26" s="13">
        <v>0</v>
      </c>
      <c r="N26" s="119">
        <v>278</v>
      </c>
      <c r="O26" s="22">
        <v>159</v>
      </c>
      <c r="P26" s="22">
        <v>2</v>
      </c>
      <c r="Q26" s="119">
        <v>117</v>
      </c>
      <c r="R26" s="13">
        <v>53</v>
      </c>
      <c r="S26" s="13">
        <v>45</v>
      </c>
    </row>
    <row r="27" spans="1:19" x14ac:dyDescent="0.2">
      <c r="A27" s="128">
        <v>40466</v>
      </c>
      <c r="B27" s="13">
        <v>2990</v>
      </c>
      <c r="C27" s="13">
        <v>1245</v>
      </c>
      <c r="D27" s="13">
        <v>1247</v>
      </c>
      <c r="E27" s="13">
        <v>-2</v>
      </c>
      <c r="F27" s="13">
        <v>1745</v>
      </c>
      <c r="G27" s="13">
        <v>1906</v>
      </c>
      <c r="H27" s="13">
        <v>1906</v>
      </c>
      <c r="I27" s="13">
        <v>0</v>
      </c>
      <c r="J27" s="13">
        <v>-161</v>
      </c>
      <c r="K27" s="13">
        <v>97</v>
      </c>
      <c r="L27" s="13">
        <v>97</v>
      </c>
      <c r="M27" s="13">
        <v>0</v>
      </c>
      <c r="N27" s="119">
        <v>329</v>
      </c>
      <c r="O27" s="22">
        <v>218</v>
      </c>
      <c r="P27" s="22">
        <v>-30</v>
      </c>
      <c r="Q27" s="119">
        <v>141</v>
      </c>
      <c r="R27" s="13">
        <v>49</v>
      </c>
      <c r="S27" s="13">
        <v>39</v>
      </c>
    </row>
    <row r="28" spans="1:19" x14ac:dyDescent="0.2">
      <c r="A28" s="128">
        <v>40473</v>
      </c>
      <c r="B28" s="13">
        <v>2926</v>
      </c>
      <c r="C28" s="13">
        <v>1262</v>
      </c>
      <c r="D28" s="13">
        <v>1264</v>
      </c>
      <c r="E28" s="13">
        <v>-2</v>
      </c>
      <c r="F28" s="13">
        <v>1664</v>
      </c>
      <c r="G28" s="13">
        <v>1881</v>
      </c>
      <c r="H28" s="13">
        <v>1881</v>
      </c>
      <c r="I28" s="13">
        <v>0</v>
      </c>
      <c r="J28" s="13">
        <v>-217</v>
      </c>
      <c r="K28" s="13">
        <v>74</v>
      </c>
      <c r="L28" s="13">
        <v>74</v>
      </c>
      <c r="M28" s="13">
        <v>0</v>
      </c>
      <c r="N28" s="119">
        <v>315</v>
      </c>
      <c r="O28" s="22">
        <v>195</v>
      </c>
      <c r="P28" s="22">
        <v>-3</v>
      </c>
      <c r="Q28" s="119">
        <v>124</v>
      </c>
      <c r="R28" s="13">
        <v>42</v>
      </c>
      <c r="S28" s="13">
        <v>43</v>
      </c>
    </row>
    <row r="29" spans="1:19" x14ac:dyDescent="0.2">
      <c r="A29" s="128">
        <v>40480</v>
      </c>
      <c r="B29" s="13">
        <v>2877</v>
      </c>
      <c r="C29" s="13">
        <v>1242</v>
      </c>
      <c r="D29" s="13">
        <v>1244</v>
      </c>
      <c r="E29" s="13">
        <v>-2</v>
      </c>
      <c r="F29" s="13">
        <v>1635</v>
      </c>
      <c r="G29" s="13">
        <v>1868</v>
      </c>
      <c r="H29" s="13">
        <v>1868</v>
      </c>
      <c r="I29" s="13">
        <v>0</v>
      </c>
      <c r="J29" s="13">
        <v>-233</v>
      </c>
      <c r="K29" s="13">
        <v>72</v>
      </c>
      <c r="L29" s="13">
        <v>72</v>
      </c>
      <c r="M29" s="13">
        <v>0</v>
      </c>
      <c r="N29" s="119">
        <v>277</v>
      </c>
      <c r="O29" s="22">
        <v>168</v>
      </c>
      <c r="P29" s="22">
        <v>-20</v>
      </c>
      <c r="Q29" s="119">
        <v>128</v>
      </c>
      <c r="R29" s="13">
        <v>47</v>
      </c>
      <c r="S29" s="13">
        <v>40</v>
      </c>
    </row>
    <row r="30" spans="1:19" x14ac:dyDescent="0.2">
      <c r="A30" s="128">
        <v>40487</v>
      </c>
      <c r="B30" s="13">
        <v>2846</v>
      </c>
      <c r="C30" s="13">
        <v>1254</v>
      </c>
      <c r="D30" s="13">
        <v>1256</v>
      </c>
      <c r="E30" s="13">
        <v>-2</v>
      </c>
      <c r="F30" s="13">
        <v>1592</v>
      </c>
      <c r="G30" s="13">
        <v>1865</v>
      </c>
      <c r="H30" s="13">
        <v>1865</v>
      </c>
      <c r="I30" s="13">
        <v>0</v>
      </c>
      <c r="J30" s="13">
        <v>-272</v>
      </c>
      <c r="K30" s="13">
        <v>60</v>
      </c>
      <c r="L30" s="13">
        <v>60</v>
      </c>
      <c r="M30" s="13">
        <v>0</v>
      </c>
      <c r="N30" s="119">
        <v>265</v>
      </c>
      <c r="O30" s="22">
        <v>176</v>
      </c>
      <c r="P30" s="22">
        <v>5</v>
      </c>
      <c r="Q30" s="119">
        <v>83</v>
      </c>
      <c r="R30" s="13">
        <v>45</v>
      </c>
      <c r="S30" s="13">
        <v>46</v>
      </c>
    </row>
    <row r="31" spans="1:19" x14ac:dyDescent="0.2">
      <c r="A31" s="128">
        <v>40494</v>
      </c>
      <c r="B31" s="13">
        <v>2877</v>
      </c>
      <c r="C31" s="13">
        <v>1233</v>
      </c>
      <c r="D31" s="13">
        <v>1235</v>
      </c>
      <c r="E31" s="13">
        <v>-2</v>
      </c>
      <c r="F31" s="13">
        <v>1645</v>
      </c>
      <c r="G31" s="13">
        <v>1877</v>
      </c>
      <c r="H31" s="13">
        <v>1877</v>
      </c>
      <c r="I31" s="13">
        <v>0</v>
      </c>
      <c r="J31" s="13">
        <v>-232</v>
      </c>
      <c r="K31" s="13">
        <v>73</v>
      </c>
      <c r="L31" s="13">
        <v>73</v>
      </c>
      <c r="M31" s="13">
        <v>0</v>
      </c>
      <c r="N31" s="119">
        <v>296</v>
      </c>
      <c r="O31" s="22">
        <v>136</v>
      </c>
      <c r="P31" s="22">
        <v>4</v>
      </c>
      <c r="Q31" s="119">
        <v>155</v>
      </c>
      <c r="R31" s="13">
        <v>42</v>
      </c>
      <c r="S31" s="13">
        <v>42</v>
      </c>
    </row>
    <row r="32" spans="1:19" x14ac:dyDescent="0.2">
      <c r="A32" s="128">
        <v>40501</v>
      </c>
      <c r="B32" s="13">
        <v>2865</v>
      </c>
      <c r="C32" s="13">
        <v>1239</v>
      </c>
      <c r="D32" s="13">
        <v>1241</v>
      </c>
      <c r="E32" s="13">
        <v>-2</v>
      </c>
      <c r="F32" s="13">
        <v>1627</v>
      </c>
      <c r="G32" s="13">
        <v>1815</v>
      </c>
      <c r="H32" s="13">
        <v>1815</v>
      </c>
      <c r="I32" s="13">
        <v>0</v>
      </c>
      <c r="J32" s="13">
        <v>-188</v>
      </c>
      <c r="K32" s="13">
        <v>71</v>
      </c>
      <c r="L32" s="13">
        <v>71</v>
      </c>
      <c r="M32" s="13">
        <v>0</v>
      </c>
      <c r="N32" s="119">
        <v>290</v>
      </c>
      <c r="O32" s="22">
        <v>133</v>
      </c>
      <c r="P32" s="22">
        <v>30</v>
      </c>
      <c r="Q32" s="119">
        <v>127</v>
      </c>
      <c r="R32" s="13">
        <v>35</v>
      </c>
      <c r="S32" s="13">
        <v>39</v>
      </c>
    </row>
    <row r="33" spans="1:19" x14ac:dyDescent="0.2">
      <c r="A33" s="128">
        <v>40508</v>
      </c>
      <c r="B33" s="13">
        <v>2747</v>
      </c>
      <c r="C33" s="13">
        <v>1196</v>
      </c>
      <c r="D33" s="13">
        <v>1198</v>
      </c>
      <c r="E33" s="13">
        <v>-2</v>
      </c>
      <c r="F33" s="13">
        <v>1552</v>
      </c>
      <c r="G33" s="13">
        <v>1709</v>
      </c>
      <c r="H33" s="13">
        <v>1709</v>
      </c>
      <c r="I33" s="13">
        <v>0</v>
      </c>
      <c r="J33" s="13">
        <v>-158</v>
      </c>
      <c r="K33" s="13">
        <v>78</v>
      </c>
      <c r="L33" s="13">
        <v>78</v>
      </c>
      <c r="M33" s="13">
        <v>0</v>
      </c>
      <c r="N33" s="119">
        <v>280</v>
      </c>
      <c r="O33" s="22">
        <v>134</v>
      </c>
      <c r="P33" s="22">
        <v>5</v>
      </c>
      <c r="Q33" s="119">
        <v>142</v>
      </c>
      <c r="R33" s="13">
        <v>42</v>
      </c>
      <c r="S33" s="13">
        <v>34</v>
      </c>
    </row>
    <row r="34" spans="1:19" x14ac:dyDescent="0.2">
      <c r="A34" s="128">
        <v>40515</v>
      </c>
      <c r="B34" s="13">
        <v>2871</v>
      </c>
      <c r="C34" s="13">
        <v>1212</v>
      </c>
      <c r="D34" s="13">
        <v>1213</v>
      </c>
      <c r="E34" s="13">
        <v>-1</v>
      </c>
      <c r="F34" s="13">
        <v>1659</v>
      </c>
      <c r="G34" s="13">
        <v>1771</v>
      </c>
      <c r="H34" s="13">
        <v>1771</v>
      </c>
      <c r="I34" s="13">
        <v>0</v>
      </c>
      <c r="J34" s="13">
        <v>-112</v>
      </c>
      <c r="K34" s="13">
        <v>61</v>
      </c>
      <c r="L34" s="13">
        <v>61</v>
      </c>
      <c r="M34" s="13">
        <v>0</v>
      </c>
      <c r="N34" s="119">
        <v>343</v>
      </c>
      <c r="O34" s="22">
        <v>163</v>
      </c>
      <c r="P34" s="22">
        <v>-18</v>
      </c>
      <c r="Q34" s="119">
        <v>198</v>
      </c>
      <c r="R34" s="13">
        <v>64</v>
      </c>
      <c r="S34" s="13">
        <v>44</v>
      </c>
    </row>
    <row r="35" spans="1:19" x14ac:dyDescent="0.2">
      <c r="A35" s="128">
        <v>40522</v>
      </c>
      <c r="B35" s="13">
        <v>2920</v>
      </c>
      <c r="C35" s="13">
        <v>1278</v>
      </c>
      <c r="D35" s="13">
        <v>1279</v>
      </c>
      <c r="E35" s="13">
        <v>-1</v>
      </c>
      <c r="F35" s="13">
        <v>1642</v>
      </c>
      <c r="G35" s="13">
        <v>1852</v>
      </c>
      <c r="H35" s="13">
        <v>1852</v>
      </c>
      <c r="I35" s="13">
        <v>0</v>
      </c>
      <c r="J35" s="13">
        <v>-209</v>
      </c>
      <c r="K35" s="13">
        <v>70</v>
      </c>
      <c r="L35" s="13">
        <v>70</v>
      </c>
      <c r="M35" s="13">
        <v>0</v>
      </c>
      <c r="N35" s="119">
        <v>407</v>
      </c>
      <c r="O35" s="22">
        <v>201</v>
      </c>
      <c r="P35" s="22">
        <v>14</v>
      </c>
      <c r="Q35" s="119">
        <v>192</v>
      </c>
      <c r="R35" s="13">
        <v>55</v>
      </c>
      <c r="S35" s="13">
        <v>44</v>
      </c>
    </row>
    <row r="36" spans="1:19" x14ac:dyDescent="0.2">
      <c r="A36" s="128">
        <v>40529</v>
      </c>
      <c r="B36" s="13">
        <v>2970</v>
      </c>
      <c r="C36" s="13">
        <v>1273</v>
      </c>
      <c r="D36" s="13">
        <v>1274</v>
      </c>
      <c r="E36" s="13">
        <v>-1</v>
      </c>
      <c r="F36" s="13">
        <v>1697</v>
      </c>
      <c r="G36" s="13">
        <v>1876</v>
      </c>
      <c r="H36" s="13">
        <v>1876</v>
      </c>
      <c r="I36" s="13">
        <v>0</v>
      </c>
      <c r="J36" s="13">
        <v>-179</v>
      </c>
      <c r="K36" s="13">
        <v>75</v>
      </c>
      <c r="L36" s="13">
        <v>75</v>
      </c>
      <c r="M36" s="13">
        <v>0</v>
      </c>
      <c r="N36" s="119">
        <v>345</v>
      </c>
      <c r="O36" s="22">
        <v>222</v>
      </c>
      <c r="P36" s="22">
        <v>4</v>
      </c>
      <c r="Q36" s="119">
        <v>118</v>
      </c>
      <c r="R36" s="13">
        <v>52</v>
      </c>
      <c r="S36" s="13">
        <v>40</v>
      </c>
    </row>
    <row r="37" spans="1:19" x14ac:dyDescent="0.2">
      <c r="A37" s="128">
        <v>40536</v>
      </c>
      <c r="B37" s="13">
        <v>3064</v>
      </c>
      <c r="C37" s="13">
        <v>1332</v>
      </c>
      <c r="D37" s="13">
        <v>1333</v>
      </c>
      <c r="E37" s="13">
        <v>-1</v>
      </c>
      <c r="F37" s="13">
        <v>1732</v>
      </c>
      <c r="G37" s="13">
        <v>1909</v>
      </c>
      <c r="H37" s="13">
        <v>1909</v>
      </c>
      <c r="I37" s="13">
        <v>0</v>
      </c>
      <c r="J37" s="13">
        <v>-177</v>
      </c>
      <c r="K37" s="13">
        <v>72</v>
      </c>
      <c r="L37" s="13">
        <v>72</v>
      </c>
      <c r="M37" s="13">
        <v>0</v>
      </c>
      <c r="N37" s="119">
        <v>342</v>
      </c>
      <c r="O37" s="22">
        <v>233</v>
      </c>
      <c r="P37" s="22">
        <v>-9</v>
      </c>
      <c r="Q37" s="119">
        <v>119</v>
      </c>
      <c r="R37" s="13">
        <v>67</v>
      </c>
      <c r="S37" s="13">
        <v>40</v>
      </c>
    </row>
    <row r="38" spans="1:19" x14ac:dyDescent="0.2">
      <c r="A38" s="128">
        <v>40543</v>
      </c>
      <c r="B38" s="13">
        <v>2705</v>
      </c>
      <c r="C38" s="13">
        <v>1104</v>
      </c>
      <c r="D38" s="13">
        <v>1106</v>
      </c>
      <c r="E38" s="13">
        <v>-1</v>
      </c>
      <c r="F38" s="13">
        <v>1601</v>
      </c>
      <c r="G38" s="13">
        <v>1712</v>
      </c>
      <c r="H38" s="13">
        <v>1712</v>
      </c>
      <c r="I38" s="13">
        <v>0</v>
      </c>
      <c r="J38" s="13">
        <v>-112</v>
      </c>
      <c r="K38" s="13">
        <v>69</v>
      </c>
      <c r="L38" s="13">
        <v>69</v>
      </c>
      <c r="M38" s="13">
        <v>0</v>
      </c>
      <c r="N38" s="119">
        <v>320</v>
      </c>
      <c r="O38" s="22">
        <v>225</v>
      </c>
      <c r="P38" s="22">
        <v>6</v>
      </c>
      <c r="Q38" s="119">
        <v>89</v>
      </c>
      <c r="R38" s="13">
        <v>35</v>
      </c>
      <c r="S38" s="13">
        <v>41</v>
      </c>
    </row>
    <row r="39" spans="1:19" x14ac:dyDescent="0.2">
      <c r="A39" s="128">
        <v>40550</v>
      </c>
      <c r="B39" s="13">
        <v>2672</v>
      </c>
      <c r="C39" s="13">
        <v>1134</v>
      </c>
      <c r="D39" s="13">
        <v>1136</v>
      </c>
      <c r="E39" s="13">
        <v>-2</v>
      </c>
      <c r="F39" s="13">
        <v>1538</v>
      </c>
      <c r="G39" s="13">
        <v>1738</v>
      </c>
      <c r="H39" s="13">
        <v>1738</v>
      </c>
      <c r="I39" s="13">
        <v>0</v>
      </c>
      <c r="J39" s="13">
        <v>-200</v>
      </c>
      <c r="K39" s="13">
        <v>59</v>
      </c>
      <c r="L39" s="13">
        <v>59</v>
      </c>
      <c r="M39" s="13">
        <v>0</v>
      </c>
      <c r="N39" s="119">
        <v>339</v>
      </c>
      <c r="O39" s="22">
        <v>220</v>
      </c>
      <c r="P39" s="22">
        <v>5</v>
      </c>
      <c r="Q39" s="119">
        <v>113</v>
      </c>
      <c r="R39" s="13">
        <v>53</v>
      </c>
      <c r="S39" s="13">
        <v>48</v>
      </c>
    </row>
    <row r="40" spans="1:19" x14ac:dyDescent="0.2">
      <c r="A40" s="128">
        <v>40557</v>
      </c>
      <c r="B40" s="13">
        <v>2654</v>
      </c>
      <c r="C40" s="13">
        <v>1167</v>
      </c>
      <c r="D40" s="13">
        <v>1169</v>
      </c>
      <c r="E40" s="13">
        <v>-2</v>
      </c>
      <c r="F40" s="13">
        <v>1487</v>
      </c>
      <c r="G40" s="13">
        <v>1643</v>
      </c>
      <c r="H40" s="13">
        <v>1643</v>
      </c>
      <c r="I40" s="13">
        <v>0</v>
      </c>
      <c r="J40" s="13">
        <v>-156</v>
      </c>
      <c r="K40" s="13">
        <v>64</v>
      </c>
      <c r="L40" s="13">
        <v>64</v>
      </c>
      <c r="M40" s="13">
        <v>0</v>
      </c>
      <c r="N40" s="119">
        <v>327</v>
      </c>
      <c r="O40" s="22">
        <v>250</v>
      </c>
      <c r="P40" s="22">
        <v>8</v>
      </c>
      <c r="Q40" s="119">
        <v>69</v>
      </c>
      <c r="R40" s="13">
        <v>55</v>
      </c>
      <c r="S40" s="13">
        <v>43</v>
      </c>
    </row>
    <row r="41" spans="1:19" x14ac:dyDescent="0.2">
      <c r="A41" s="128">
        <v>40564</v>
      </c>
      <c r="B41" s="13">
        <v>2772</v>
      </c>
      <c r="C41" s="13">
        <v>1175</v>
      </c>
      <c r="D41" s="13">
        <v>1177</v>
      </c>
      <c r="E41" s="13">
        <v>-2</v>
      </c>
      <c r="F41" s="13">
        <v>1597</v>
      </c>
      <c r="G41" s="13">
        <v>1769</v>
      </c>
      <c r="H41" s="13">
        <v>1769</v>
      </c>
      <c r="I41" s="13">
        <v>0</v>
      </c>
      <c r="J41" s="13">
        <v>-172</v>
      </c>
      <c r="K41" s="13">
        <v>54</v>
      </c>
      <c r="L41" s="13">
        <v>54</v>
      </c>
      <c r="M41" s="13">
        <v>0</v>
      </c>
      <c r="N41" s="119">
        <v>369</v>
      </c>
      <c r="O41" s="22">
        <v>253</v>
      </c>
      <c r="P41" s="22">
        <v>-6</v>
      </c>
      <c r="Q41" s="119">
        <v>122</v>
      </c>
      <c r="R41" s="13">
        <v>55</v>
      </c>
      <c r="S41" s="13">
        <v>41</v>
      </c>
    </row>
    <row r="42" spans="1:19" x14ac:dyDescent="0.2">
      <c r="A42" s="128">
        <v>40571</v>
      </c>
      <c r="B42" s="13">
        <v>2681</v>
      </c>
      <c r="C42" s="13">
        <v>1143</v>
      </c>
      <c r="D42" s="13">
        <v>1145</v>
      </c>
      <c r="E42" s="13">
        <v>-2</v>
      </c>
      <c r="F42" s="13">
        <v>1538</v>
      </c>
      <c r="G42" s="13">
        <v>1780</v>
      </c>
      <c r="H42" s="13">
        <v>1780</v>
      </c>
      <c r="I42" s="13">
        <v>0</v>
      </c>
      <c r="J42" s="13">
        <v>-242</v>
      </c>
      <c r="K42" s="13">
        <v>69</v>
      </c>
      <c r="L42" s="13">
        <v>69</v>
      </c>
      <c r="M42" s="13">
        <v>0</v>
      </c>
      <c r="N42" s="119">
        <v>319</v>
      </c>
      <c r="O42" s="22">
        <v>154</v>
      </c>
      <c r="P42" s="22">
        <v>10</v>
      </c>
      <c r="Q42" s="119">
        <v>156</v>
      </c>
      <c r="R42" s="13">
        <v>67</v>
      </c>
      <c r="S42" s="13">
        <v>46</v>
      </c>
    </row>
    <row r="43" spans="1:19" x14ac:dyDescent="0.2">
      <c r="A43" s="128">
        <v>40578</v>
      </c>
      <c r="B43" s="13">
        <v>2756</v>
      </c>
      <c r="C43" s="13">
        <v>1135</v>
      </c>
      <c r="D43" s="13">
        <v>1137</v>
      </c>
      <c r="E43" s="13">
        <v>-1</v>
      </c>
      <c r="F43" s="13">
        <v>1621</v>
      </c>
      <c r="G43" s="13">
        <v>1781</v>
      </c>
      <c r="H43" s="13">
        <v>1781</v>
      </c>
      <c r="I43" s="13">
        <v>0</v>
      </c>
      <c r="J43" s="13">
        <v>-160</v>
      </c>
      <c r="K43" s="13">
        <v>96</v>
      </c>
      <c r="L43" s="13">
        <v>96</v>
      </c>
      <c r="M43" s="13">
        <v>0</v>
      </c>
      <c r="N43" s="119">
        <v>386</v>
      </c>
      <c r="O43" s="22">
        <v>263</v>
      </c>
      <c r="P43" s="22">
        <v>6</v>
      </c>
      <c r="Q43" s="119">
        <v>117</v>
      </c>
      <c r="R43" s="13">
        <v>52</v>
      </c>
      <c r="S43" s="13">
        <v>41</v>
      </c>
    </row>
    <row r="44" spans="1:19" x14ac:dyDescent="0.2">
      <c r="A44" s="128">
        <v>40585</v>
      </c>
      <c r="B44" s="13">
        <v>2886</v>
      </c>
      <c r="C44" s="13">
        <v>1223</v>
      </c>
      <c r="D44" s="13">
        <v>1225</v>
      </c>
      <c r="E44" s="13">
        <v>-1</v>
      </c>
      <c r="F44" s="13">
        <v>1663</v>
      </c>
      <c r="G44" s="13">
        <v>1784</v>
      </c>
      <c r="H44" s="13">
        <v>1784</v>
      </c>
      <c r="I44" s="13">
        <v>0</v>
      </c>
      <c r="J44" s="13">
        <v>-121</v>
      </c>
      <c r="K44" s="13">
        <v>97</v>
      </c>
      <c r="L44" s="13">
        <v>97</v>
      </c>
      <c r="M44" s="13">
        <v>0</v>
      </c>
      <c r="N44" s="119">
        <v>321</v>
      </c>
      <c r="O44" s="22">
        <v>133</v>
      </c>
      <c r="P44" s="22">
        <v>3</v>
      </c>
      <c r="Q44" s="119">
        <v>185</v>
      </c>
      <c r="R44" s="13">
        <v>45</v>
      </c>
      <c r="S44" s="13">
        <v>47</v>
      </c>
    </row>
    <row r="45" spans="1:19" x14ac:dyDescent="0.2">
      <c r="A45" s="128">
        <v>40592</v>
      </c>
      <c r="B45" s="13">
        <v>2884</v>
      </c>
      <c r="C45" s="13">
        <v>1223</v>
      </c>
      <c r="D45" s="13">
        <v>1224</v>
      </c>
      <c r="E45" s="13">
        <v>-1</v>
      </c>
      <c r="F45" s="13">
        <v>1662</v>
      </c>
      <c r="G45" s="13">
        <v>1878</v>
      </c>
      <c r="H45" s="13">
        <v>1878</v>
      </c>
      <c r="I45" s="13">
        <v>0</v>
      </c>
      <c r="J45" s="13">
        <v>-216</v>
      </c>
      <c r="K45" s="13">
        <v>83</v>
      </c>
      <c r="L45" s="13">
        <v>83</v>
      </c>
      <c r="M45" s="13">
        <v>0</v>
      </c>
      <c r="N45" s="119">
        <v>318</v>
      </c>
      <c r="O45" s="22">
        <v>199</v>
      </c>
      <c r="P45" s="22">
        <v>1</v>
      </c>
      <c r="Q45" s="119">
        <v>118</v>
      </c>
      <c r="R45" s="13">
        <v>55</v>
      </c>
      <c r="S45" s="13">
        <v>43</v>
      </c>
    </row>
    <row r="46" spans="1:19" x14ac:dyDescent="0.2">
      <c r="A46" s="128">
        <v>40599</v>
      </c>
      <c r="B46" s="13">
        <v>2920</v>
      </c>
      <c r="C46" s="13">
        <v>1211</v>
      </c>
      <c r="D46" s="13">
        <v>1213</v>
      </c>
      <c r="E46" s="13">
        <v>-1</v>
      </c>
      <c r="F46" s="13">
        <v>1708</v>
      </c>
      <c r="G46" s="13">
        <v>1903</v>
      </c>
      <c r="H46" s="13">
        <v>1903</v>
      </c>
      <c r="I46" s="13">
        <v>0</v>
      </c>
      <c r="J46" s="13">
        <v>-195</v>
      </c>
      <c r="K46" s="13">
        <v>92</v>
      </c>
      <c r="L46" s="13">
        <v>92</v>
      </c>
      <c r="M46" s="13">
        <v>0</v>
      </c>
      <c r="N46" s="119">
        <v>322</v>
      </c>
      <c r="O46" s="22">
        <v>199</v>
      </c>
      <c r="P46" s="22">
        <v>1</v>
      </c>
      <c r="Q46" s="119">
        <v>122</v>
      </c>
      <c r="R46" s="13">
        <v>45</v>
      </c>
      <c r="S46" s="13">
        <v>42</v>
      </c>
    </row>
    <row r="47" spans="1:19" x14ac:dyDescent="0.2">
      <c r="A47" s="128">
        <v>40606</v>
      </c>
      <c r="B47" s="13">
        <v>2856</v>
      </c>
      <c r="C47" s="13">
        <v>1180</v>
      </c>
      <c r="D47" s="13">
        <v>1182</v>
      </c>
      <c r="E47" s="13">
        <v>-2</v>
      </c>
      <c r="F47" s="13">
        <v>1676</v>
      </c>
      <c r="G47" s="13">
        <v>1881</v>
      </c>
      <c r="H47" s="13">
        <v>1881</v>
      </c>
      <c r="I47" s="13">
        <v>0</v>
      </c>
      <c r="J47" s="13">
        <v>-205</v>
      </c>
      <c r="K47" s="13">
        <v>90</v>
      </c>
      <c r="L47" s="13">
        <v>90</v>
      </c>
      <c r="M47" s="13">
        <v>0</v>
      </c>
      <c r="N47" s="119">
        <v>360</v>
      </c>
      <c r="O47" s="22">
        <v>207</v>
      </c>
      <c r="P47" s="22">
        <v>15</v>
      </c>
      <c r="Q47" s="119">
        <v>138</v>
      </c>
      <c r="R47" s="13">
        <v>50</v>
      </c>
      <c r="S47" s="13">
        <v>37</v>
      </c>
    </row>
    <row r="48" spans="1:19" x14ac:dyDescent="0.2">
      <c r="A48" s="128">
        <v>40613</v>
      </c>
      <c r="B48" s="13">
        <v>2850</v>
      </c>
      <c r="C48" s="13">
        <v>1179</v>
      </c>
      <c r="D48" s="13">
        <v>1181</v>
      </c>
      <c r="E48" s="13">
        <v>-2</v>
      </c>
      <c r="F48" s="13">
        <v>1671</v>
      </c>
      <c r="G48" s="13">
        <v>1900</v>
      </c>
      <c r="H48" s="13">
        <v>1900</v>
      </c>
      <c r="I48" s="13">
        <v>0</v>
      </c>
      <c r="J48" s="13">
        <v>-229</v>
      </c>
      <c r="K48" s="13">
        <v>82</v>
      </c>
      <c r="L48" s="13">
        <v>82</v>
      </c>
      <c r="M48" s="13">
        <v>0</v>
      </c>
      <c r="N48" s="119">
        <v>359</v>
      </c>
      <c r="O48" s="22">
        <v>224</v>
      </c>
      <c r="P48" s="22">
        <v>-15</v>
      </c>
      <c r="Q48" s="119">
        <v>150</v>
      </c>
      <c r="R48" s="13">
        <v>52</v>
      </c>
      <c r="S48" s="13">
        <v>48</v>
      </c>
    </row>
    <row r="49" spans="1:19" x14ac:dyDescent="0.2">
      <c r="A49" s="128">
        <v>40620</v>
      </c>
      <c r="B49" s="13">
        <v>2875</v>
      </c>
      <c r="C49" s="13">
        <v>1211</v>
      </c>
      <c r="D49" s="13">
        <v>1212</v>
      </c>
      <c r="E49" s="13">
        <v>-2</v>
      </c>
      <c r="F49" s="13">
        <v>1664</v>
      </c>
      <c r="G49" s="13">
        <v>1897</v>
      </c>
      <c r="H49" s="13">
        <v>1897</v>
      </c>
      <c r="I49" s="13">
        <v>0</v>
      </c>
      <c r="J49" s="13">
        <v>-233</v>
      </c>
      <c r="K49" s="13">
        <v>80</v>
      </c>
      <c r="L49" s="13">
        <v>80</v>
      </c>
      <c r="M49" s="13">
        <v>0</v>
      </c>
      <c r="N49" s="119">
        <v>299</v>
      </c>
      <c r="O49" s="22">
        <v>160</v>
      </c>
      <c r="P49" s="22">
        <v>11</v>
      </c>
      <c r="Q49" s="119">
        <v>128</v>
      </c>
      <c r="R49" s="13">
        <v>48</v>
      </c>
      <c r="S49" s="13">
        <v>44</v>
      </c>
    </row>
    <row r="50" spans="1:19" x14ac:dyDescent="0.2">
      <c r="A50" s="128">
        <v>40627</v>
      </c>
      <c r="B50" s="13">
        <v>2764</v>
      </c>
      <c r="C50" s="13">
        <v>1171</v>
      </c>
      <c r="D50" s="13">
        <v>1173</v>
      </c>
      <c r="E50" s="13">
        <v>-2</v>
      </c>
      <c r="F50" s="13">
        <v>1593</v>
      </c>
      <c r="G50" s="13">
        <v>1877</v>
      </c>
      <c r="H50" s="13">
        <v>1877</v>
      </c>
      <c r="I50" s="13">
        <v>0</v>
      </c>
      <c r="J50" s="13">
        <v>-285</v>
      </c>
      <c r="K50" s="13">
        <v>74</v>
      </c>
      <c r="L50" s="13">
        <v>74</v>
      </c>
      <c r="M50" s="13">
        <v>0</v>
      </c>
      <c r="N50" s="119">
        <v>296</v>
      </c>
      <c r="O50" s="22">
        <v>170</v>
      </c>
      <c r="P50" s="22">
        <v>10</v>
      </c>
      <c r="Q50" s="119">
        <v>115</v>
      </c>
      <c r="R50" s="13">
        <v>53</v>
      </c>
      <c r="S50" s="13">
        <v>40</v>
      </c>
    </row>
    <row r="51" spans="1:19" x14ac:dyDescent="0.2">
      <c r="A51" s="128">
        <v>40634</v>
      </c>
      <c r="B51" s="13">
        <v>2885</v>
      </c>
      <c r="C51" s="13">
        <v>1209</v>
      </c>
      <c r="D51" s="13">
        <v>1210</v>
      </c>
      <c r="E51" s="13">
        <v>-2</v>
      </c>
      <c r="F51" s="13">
        <v>1676</v>
      </c>
      <c r="G51" s="13">
        <v>1887</v>
      </c>
      <c r="H51" s="13">
        <v>1887</v>
      </c>
      <c r="I51" s="13">
        <v>0</v>
      </c>
      <c r="J51" s="13">
        <v>-211</v>
      </c>
      <c r="K51" s="13">
        <v>72</v>
      </c>
      <c r="L51" s="13">
        <v>72</v>
      </c>
      <c r="M51" s="13">
        <v>0</v>
      </c>
      <c r="N51" s="119">
        <v>267</v>
      </c>
      <c r="O51" s="22">
        <v>179</v>
      </c>
      <c r="P51" s="22">
        <v>10</v>
      </c>
      <c r="Q51" s="119">
        <v>78</v>
      </c>
      <c r="R51" s="13">
        <v>27</v>
      </c>
      <c r="S51" s="13">
        <v>37</v>
      </c>
    </row>
    <row r="52" spans="1:19" x14ac:dyDescent="0.2">
      <c r="A52" s="128">
        <v>40641</v>
      </c>
      <c r="B52" s="13">
        <v>2752</v>
      </c>
      <c r="C52" s="13">
        <v>1160</v>
      </c>
      <c r="D52" s="13">
        <v>1161</v>
      </c>
      <c r="E52" s="13">
        <v>-1</v>
      </c>
      <c r="F52" s="13">
        <v>1592</v>
      </c>
      <c r="G52" s="13">
        <v>1852</v>
      </c>
      <c r="H52" s="13">
        <v>1852</v>
      </c>
      <c r="I52" s="13">
        <v>0</v>
      </c>
      <c r="J52" s="13">
        <v>-261</v>
      </c>
      <c r="K52" s="13">
        <v>63</v>
      </c>
      <c r="L52" s="13">
        <v>63</v>
      </c>
      <c r="M52" s="13">
        <v>0</v>
      </c>
      <c r="N52" s="119">
        <v>267</v>
      </c>
      <c r="O52" s="22">
        <v>156</v>
      </c>
      <c r="P52" s="22">
        <v>1</v>
      </c>
      <c r="Q52" s="119">
        <v>111</v>
      </c>
      <c r="R52" s="13">
        <v>33</v>
      </c>
      <c r="S52" s="13">
        <v>32</v>
      </c>
    </row>
    <row r="53" spans="1:19" x14ac:dyDescent="0.2">
      <c r="A53" s="128">
        <v>40648</v>
      </c>
      <c r="B53" s="13">
        <v>2926</v>
      </c>
      <c r="C53" s="13">
        <v>1180</v>
      </c>
      <c r="D53" s="13">
        <v>1181</v>
      </c>
      <c r="E53" s="13">
        <v>-1</v>
      </c>
      <c r="F53" s="13">
        <v>1746</v>
      </c>
      <c r="G53" s="13">
        <v>1920</v>
      </c>
      <c r="H53" s="13">
        <v>1920</v>
      </c>
      <c r="I53" s="13">
        <v>0</v>
      </c>
      <c r="J53" s="13">
        <v>-174</v>
      </c>
      <c r="K53" s="13">
        <v>92</v>
      </c>
      <c r="L53" s="13">
        <v>92</v>
      </c>
      <c r="M53" s="13">
        <v>0</v>
      </c>
      <c r="N53" s="119">
        <v>278</v>
      </c>
      <c r="O53" s="22">
        <v>150</v>
      </c>
      <c r="P53" s="22">
        <v>29</v>
      </c>
      <c r="Q53" s="119">
        <v>99</v>
      </c>
      <c r="R53" s="13">
        <v>37</v>
      </c>
      <c r="S53" s="13">
        <v>36</v>
      </c>
    </row>
    <row r="54" spans="1:19" x14ac:dyDescent="0.2">
      <c r="A54" s="128">
        <v>40655</v>
      </c>
      <c r="B54" s="13">
        <v>2878</v>
      </c>
      <c r="C54" s="13">
        <v>1150</v>
      </c>
      <c r="D54" s="13">
        <v>1151</v>
      </c>
      <c r="E54" s="13">
        <v>-1</v>
      </c>
      <c r="F54" s="13">
        <v>1729</v>
      </c>
      <c r="G54" s="13">
        <v>1843</v>
      </c>
      <c r="H54" s="13">
        <v>1843</v>
      </c>
      <c r="I54" s="13">
        <v>0</v>
      </c>
      <c r="J54" s="13">
        <v>-115</v>
      </c>
      <c r="K54" s="13">
        <v>84</v>
      </c>
      <c r="L54" s="13">
        <v>84</v>
      </c>
      <c r="M54" s="13">
        <v>0</v>
      </c>
      <c r="N54" s="119">
        <v>304</v>
      </c>
      <c r="O54" s="22">
        <v>165</v>
      </c>
      <c r="P54" s="22">
        <v>5</v>
      </c>
      <c r="Q54" s="119">
        <v>133</v>
      </c>
      <c r="R54" s="13">
        <v>47</v>
      </c>
      <c r="S54" s="13">
        <v>37</v>
      </c>
    </row>
    <row r="55" spans="1:19" x14ac:dyDescent="0.2">
      <c r="A55" s="128">
        <v>40662</v>
      </c>
      <c r="B55" s="13">
        <v>3071</v>
      </c>
      <c r="C55" s="13">
        <v>1170</v>
      </c>
      <c r="D55" s="13">
        <v>1171</v>
      </c>
      <c r="E55" s="13">
        <v>-1</v>
      </c>
      <c r="F55" s="13">
        <v>1902</v>
      </c>
      <c r="G55" s="13">
        <v>1960</v>
      </c>
      <c r="H55" s="13">
        <v>1960</v>
      </c>
      <c r="I55" s="13">
        <v>0</v>
      </c>
      <c r="J55" s="13">
        <v>-58</v>
      </c>
      <c r="K55" s="13">
        <v>113</v>
      </c>
      <c r="L55" s="13">
        <v>113</v>
      </c>
      <c r="M55" s="13">
        <v>0</v>
      </c>
      <c r="N55" s="119">
        <v>359</v>
      </c>
      <c r="O55" s="22">
        <v>211</v>
      </c>
      <c r="P55" s="22">
        <v>4</v>
      </c>
      <c r="Q55" s="119">
        <v>145</v>
      </c>
      <c r="R55" s="13">
        <v>56</v>
      </c>
      <c r="S55" s="13">
        <v>40</v>
      </c>
    </row>
    <row r="56" spans="1:19" x14ac:dyDescent="0.2">
      <c r="A56" s="128">
        <v>40669</v>
      </c>
      <c r="B56" s="13">
        <v>2938</v>
      </c>
      <c r="C56" s="13">
        <v>1139</v>
      </c>
      <c r="D56" s="13">
        <v>1141</v>
      </c>
      <c r="E56" s="13">
        <v>-1</v>
      </c>
      <c r="F56" s="13">
        <v>1799</v>
      </c>
      <c r="G56" s="13">
        <v>1848</v>
      </c>
      <c r="H56" s="13">
        <v>1848</v>
      </c>
      <c r="I56" s="13">
        <v>0</v>
      </c>
      <c r="J56" s="13">
        <v>-49</v>
      </c>
      <c r="K56" s="13">
        <v>79</v>
      </c>
      <c r="L56" s="13">
        <v>79</v>
      </c>
      <c r="M56" s="13">
        <v>0</v>
      </c>
      <c r="N56" s="119">
        <v>363</v>
      </c>
      <c r="O56" s="22">
        <v>251</v>
      </c>
      <c r="P56" s="22">
        <v>-6</v>
      </c>
      <c r="Q56" s="119">
        <v>118</v>
      </c>
      <c r="R56" s="13">
        <v>68</v>
      </c>
      <c r="S56" s="13">
        <v>39</v>
      </c>
    </row>
    <row r="57" spans="1:19" x14ac:dyDescent="0.2">
      <c r="A57" s="128">
        <v>40676</v>
      </c>
      <c r="B57" s="13">
        <v>3002</v>
      </c>
      <c r="C57" s="13">
        <v>1172</v>
      </c>
      <c r="D57" s="13">
        <v>1173</v>
      </c>
      <c r="E57" s="13">
        <v>-1</v>
      </c>
      <c r="F57" s="13">
        <v>1831</v>
      </c>
      <c r="G57" s="13">
        <v>1900</v>
      </c>
      <c r="H57" s="13">
        <v>1900</v>
      </c>
      <c r="I57" s="13">
        <v>0</v>
      </c>
      <c r="J57" s="13">
        <v>-70</v>
      </c>
      <c r="K57" s="13">
        <v>92</v>
      </c>
      <c r="L57" s="13">
        <v>92</v>
      </c>
      <c r="M57" s="13">
        <v>0</v>
      </c>
      <c r="N57" s="119">
        <v>376</v>
      </c>
      <c r="O57" s="22">
        <v>277</v>
      </c>
      <c r="P57" s="22">
        <v>7</v>
      </c>
      <c r="Q57" s="119">
        <v>93</v>
      </c>
      <c r="R57" s="13">
        <v>61</v>
      </c>
      <c r="S57" s="13">
        <v>47</v>
      </c>
    </row>
    <row r="58" spans="1:19" x14ac:dyDescent="0.2">
      <c r="A58" s="128">
        <v>40683</v>
      </c>
      <c r="B58" s="13">
        <v>2969</v>
      </c>
      <c r="C58" s="13">
        <v>1153</v>
      </c>
      <c r="D58" s="13">
        <v>1154</v>
      </c>
      <c r="E58" s="13">
        <v>-1</v>
      </c>
      <c r="F58" s="13">
        <v>1816</v>
      </c>
      <c r="G58" s="13">
        <v>1857</v>
      </c>
      <c r="H58" s="13">
        <v>1857</v>
      </c>
      <c r="I58" s="13">
        <v>0</v>
      </c>
      <c r="J58" s="13">
        <v>-41</v>
      </c>
      <c r="K58" s="13">
        <v>118</v>
      </c>
      <c r="L58" s="13">
        <v>118</v>
      </c>
      <c r="M58" s="13">
        <v>0</v>
      </c>
      <c r="N58" s="119">
        <v>387</v>
      </c>
      <c r="O58" s="22">
        <v>304</v>
      </c>
      <c r="P58" s="22">
        <v>16</v>
      </c>
      <c r="Q58" s="119">
        <v>67</v>
      </c>
      <c r="R58" s="13">
        <v>67</v>
      </c>
      <c r="S58" s="13">
        <v>46</v>
      </c>
    </row>
    <row r="59" spans="1:19" x14ac:dyDescent="0.2">
      <c r="A59" s="128">
        <v>40690</v>
      </c>
      <c r="B59" s="13">
        <v>3092</v>
      </c>
      <c r="C59" s="13">
        <v>1206</v>
      </c>
      <c r="D59" s="13">
        <v>1207</v>
      </c>
      <c r="E59" s="13">
        <v>-1</v>
      </c>
      <c r="F59" s="13">
        <v>1886</v>
      </c>
      <c r="G59" s="13">
        <v>1891</v>
      </c>
      <c r="H59" s="13">
        <v>1891</v>
      </c>
      <c r="I59" s="13">
        <v>0</v>
      </c>
      <c r="J59" s="13">
        <v>-5</v>
      </c>
      <c r="K59" s="13">
        <v>106</v>
      </c>
      <c r="L59" s="13">
        <v>106</v>
      </c>
      <c r="M59" s="13">
        <v>0</v>
      </c>
      <c r="N59" s="119">
        <v>381</v>
      </c>
      <c r="O59" s="22">
        <v>281</v>
      </c>
      <c r="P59" s="22">
        <v>5</v>
      </c>
      <c r="Q59" s="119">
        <v>95</v>
      </c>
      <c r="R59" s="13">
        <v>63</v>
      </c>
      <c r="S59" s="13">
        <v>47</v>
      </c>
    </row>
    <row r="60" spans="1:19" x14ac:dyDescent="0.2">
      <c r="A60" s="128">
        <v>40697</v>
      </c>
      <c r="B60" s="13">
        <v>2925</v>
      </c>
      <c r="C60" s="13">
        <v>1141</v>
      </c>
      <c r="D60" s="13">
        <v>1141</v>
      </c>
      <c r="E60" s="13">
        <v>0</v>
      </c>
      <c r="F60" s="13">
        <v>1784</v>
      </c>
      <c r="G60" s="13">
        <v>1878</v>
      </c>
      <c r="H60" s="13">
        <v>1878</v>
      </c>
      <c r="I60" s="13">
        <v>0</v>
      </c>
      <c r="J60" s="13">
        <v>-94</v>
      </c>
      <c r="K60" s="13">
        <v>93</v>
      </c>
      <c r="L60" s="13">
        <v>93</v>
      </c>
      <c r="M60" s="13">
        <v>0</v>
      </c>
      <c r="N60" s="119">
        <v>321</v>
      </c>
      <c r="O60" s="22">
        <v>251</v>
      </c>
      <c r="P60" s="22">
        <v>8</v>
      </c>
      <c r="Q60" s="119">
        <v>62</v>
      </c>
      <c r="R60" s="13">
        <v>62</v>
      </c>
      <c r="S60" s="13">
        <v>48</v>
      </c>
    </row>
    <row r="61" spans="1:19" x14ac:dyDescent="0.2">
      <c r="A61" s="128">
        <v>40704</v>
      </c>
      <c r="B61" s="13">
        <v>3043</v>
      </c>
      <c r="C61" s="13">
        <v>1232</v>
      </c>
      <c r="D61" s="13">
        <v>1232</v>
      </c>
      <c r="E61" s="13">
        <v>0</v>
      </c>
      <c r="F61" s="13">
        <v>1811</v>
      </c>
      <c r="G61" s="13">
        <v>1961</v>
      </c>
      <c r="H61" s="13">
        <v>1961</v>
      </c>
      <c r="I61" s="13">
        <v>0</v>
      </c>
      <c r="J61" s="13">
        <v>-149</v>
      </c>
      <c r="K61" s="13">
        <v>91</v>
      </c>
      <c r="L61" s="13">
        <v>91</v>
      </c>
      <c r="M61" s="13">
        <v>0</v>
      </c>
      <c r="N61" s="119">
        <v>306</v>
      </c>
      <c r="O61" s="22">
        <v>179</v>
      </c>
      <c r="P61" s="22">
        <v>-7</v>
      </c>
      <c r="Q61" s="119">
        <v>134</v>
      </c>
      <c r="R61" s="13">
        <v>72</v>
      </c>
      <c r="S61" s="13">
        <v>45</v>
      </c>
    </row>
    <row r="62" spans="1:19" x14ac:dyDescent="0.2">
      <c r="A62" s="128">
        <v>40711</v>
      </c>
      <c r="B62" s="13">
        <v>3154</v>
      </c>
      <c r="C62" s="13">
        <v>1225</v>
      </c>
      <c r="D62" s="13">
        <v>1225</v>
      </c>
      <c r="E62" s="13">
        <v>0</v>
      </c>
      <c r="F62" s="13">
        <v>1929</v>
      </c>
      <c r="G62" s="13">
        <v>1948</v>
      </c>
      <c r="H62" s="13">
        <v>1948</v>
      </c>
      <c r="I62" s="13">
        <v>0</v>
      </c>
      <c r="J62" s="13">
        <v>-19</v>
      </c>
      <c r="K62" s="13">
        <v>83</v>
      </c>
      <c r="L62" s="13">
        <v>83</v>
      </c>
      <c r="M62" s="13">
        <v>0</v>
      </c>
      <c r="N62" s="119">
        <v>368</v>
      </c>
      <c r="O62" s="22">
        <v>183</v>
      </c>
      <c r="P62" s="22">
        <v>7</v>
      </c>
      <c r="Q62" s="119">
        <v>178</v>
      </c>
      <c r="R62" s="13">
        <v>66</v>
      </c>
      <c r="S62" s="13">
        <v>42</v>
      </c>
    </row>
    <row r="63" spans="1:19" x14ac:dyDescent="0.2">
      <c r="A63" s="128">
        <v>40718</v>
      </c>
      <c r="B63" s="13">
        <v>3042</v>
      </c>
      <c r="C63" s="13">
        <v>1251</v>
      </c>
      <c r="D63" s="13">
        <v>1251</v>
      </c>
      <c r="E63" s="13">
        <v>0</v>
      </c>
      <c r="F63" s="13">
        <v>1791</v>
      </c>
      <c r="G63" s="13">
        <v>1943</v>
      </c>
      <c r="H63" s="13">
        <v>1943</v>
      </c>
      <c r="I63" s="13">
        <v>0</v>
      </c>
      <c r="J63" s="13">
        <v>-152</v>
      </c>
      <c r="K63" s="13">
        <v>85</v>
      </c>
      <c r="L63" s="13">
        <v>85</v>
      </c>
      <c r="M63" s="13">
        <v>0</v>
      </c>
      <c r="N63" s="119">
        <v>355</v>
      </c>
      <c r="O63" s="22">
        <v>210</v>
      </c>
      <c r="P63" s="22">
        <v>11</v>
      </c>
      <c r="Q63" s="119">
        <v>134</v>
      </c>
      <c r="R63" s="13">
        <v>76</v>
      </c>
      <c r="S63" s="13">
        <v>52</v>
      </c>
    </row>
    <row r="64" spans="1:19" x14ac:dyDescent="0.2">
      <c r="A64" s="128">
        <v>40725</v>
      </c>
      <c r="B64" s="13">
        <v>3053</v>
      </c>
      <c r="C64" s="13">
        <v>1211</v>
      </c>
      <c r="D64" s="13">
        <v>1211</v>
      </c>
      <c r="E64" s="13">
        <v>0</v>
      </c>
      <c r="F64" s="13">
        <v>1842</v>
      </c>
      <c r="G64" s="13">
        <v>1968</v>
      </c>
      <c r="H64" s="13">
        <v>1968</v>
      </c>
      <c r="I64" s="13">
        <v>0</v>
      </c>
      <c r="J64" s="13">
        <v>-126</v>
      </c>
      <c r="K64" s="13">
        <v>94</v>
      </c>
      <c r="L64" s="13">
        <v>94</v>
      </c>
      <c r="M64" s="13">
        <v>0</v>
      </c>
      <c r="N64" s="119">
        <v>376</v>
      </c>
      <c r="O64" s="22">
        <v>272</v>
      </c>
      <c r="P64" s="22">
        <v>11</v>
      </c>
      <c r="Q64" s="119">
        <v>94</v>
      </c>
      <c r="R64" s="13">
        <v>62</v>
      </c>
      <c r="S64" s="13">
        <v>54</v>
      </c>
    </row>
    <row r="65" spans="1:19" x14ac:dyDescent="0.2">
      <c r="A65" s="128">
        <v>40732</v>
      </c>
      <c r="B65" s="13">
        <v>2943</v>
      </c>
      <c r="C65" s="13">
        <v>1119</v>
      </c>
      <c r="D65" s="13">
        <v>1119</v>
      </c>
      <c r="E65" s="13">
        <v>0</v>
      </c>
      <c r="F65" s="13">
        <v>1824</v>
      </c>
      <c r="G65" s="13">
        <v>1932</v>
      </c>
      <c r="H65" s="13">
        <v>1932</v>
      </c>
      <c r="I65" s="13">
        <v>0</v>
      </c>
      <c r="J65" s="13">
        <v>-109</v>
      </c>
      <c r="K65" s="13">
        <v>97</v>
      </c>
      <c r="L65" s="13">
        <v>97</v>
      </c>
      <c r="M65" s="13">
        <v>0</v>
      </c>
      <c r="N65" s="119">
        <v>375</v>
      </c>
      <c r="O65" s="22">
        <v>274</v>
      </c>
      <c r="P65" s="22">
        <v>6</v>
      </c>
      <c r="Q65" s="119">
        <v>95</v>
      </c>
      <c r="R65" s="13">
        <v>63</v>
      </c>
      <c r="S65" s="13">
        <v>48</v>
      </c>
    </row>
    <row r="66" spans="1:19" x14ac:dyDescent="0.2">
      <c r="A66" s="128">
        <v>40739</v>
      </c>
      <c r="B66" s="13">
        <v>3048</v>
      </c>
      <c r="C66" s="13">
        <v>1210</v>
      </c>
      <c r="D66" s="13">
        <v>1210</v>
      </c>
      <c r="E66" s="13">
        <v>0</v>
      </c>
      <c r="F66" s="13">
        <v>1837</v>
      </c>
      <c r="G66" s="13">
        <v>1918</v>
      </c>
      <c r="H66" s="13">
        <v>1918</v>
      </c>
      <c r="I66" s="13">
        <v>0</v>
      </c>
      <c r="J66" s="13">
        <v>-81</v>
      </c>
      <c r="K66" s="13">
        <v>106</v>
      </c>
      <c r="L66" s="13">
        <v>106</v>
      </c>
      <c r="M66" s="13">
        <v>0</v>
      </c>
      <c r="N66" s="119">
        <v>394</v>
      </c>
      <c r="O66" s="22">
        <v>244</v>
      </c>
      <c r="P66" s="22">
        <v>9</v>
      </c>
      <c r="Q66" s="119">
        <v>142</v>
      </c>
      <c r="R66" s="13">
        <v>65</v>
      </c>
      <c r="S66" s="13">
        <v>48</v>
      </c>
    </row>
    <row r="67" spans="1:19" x14ac:dyDescent="0.2">
      <c r="A67" s="128">
        <v>40746</v>
      </c>
      <c r="B67" s="13">
        <v>3078</v>
      </c>
      <c r="C67" s="13">
        <v>1244</v>
      </c>
      <c r="D67" s="13">
        <v>1244</v>
      </c>
      <c r="E67" s="13">
        <v>0</v>
      </c>
      <c r="F67" s="13">
        <v>1834</v>
      </c>
      <c r="G67" s="13">
        <v>1951</v>
      </c>
      <c r="H67" s="13">
        <v>1951</v>
      </c>
      <c r="I67" s="13">
        <v>0</v>
      </c>
      <c r="J67" s="13">
        <v>-118</v>
      </c>
      <c r="K67" s="13">
        <v>106</v>
      </c>
      <c r="L67" s="13">
        <v>106</v>
      </c>
      <c r="M67" s="13">
        <v>0</v>
      </c>
      <c r="N67" s="119">
        <v>397</v>
      </c>
      <c r="O67" s="22">
        <v>255</v>
      </c>
      <c r="P67" s="22">
        <v>19</v>
      </c>
      <c r="Q67" s="119">
        <v>123</v>
      </c>
      <c r="R67" s="13">
        <v>59</v>
      </c>
      <c r="S67" s="13">
        <v>49</v>
      </c>
    </row>
    <row r="68" spans="1:19" x14ac:dyDescent="0.2">
      <c r="A68" s="128">
        <v>40753</v>
      </c>
      <c r="B68" s="13">
        <v>3133</v>
      </c>
      <c r="C68" s="13">
        <v>1250</v>
      </c>
      <c r="D68" s="13">
        <v>1250</v>
      </c>
      <c r="E68" s="13">
        <v>0</v>
      </c>
      <c r="F68" s="13">
        <v>1883</v>
      </c>
      <c r="G68" s="13">
        <v>1967</v>
      </c>
      <c r="H68" s="13">
        <v>1967</v>
      </c>
      <c r="I68" s="13">
        <v>0</v>
      </c>
      <c r="J68" s="13">
        <v>-84</v>
      </c>
      <c r="K68" s="13">
        <v>83</v>
      </c>
      <c r="L68" s="13">
        <v>83</v>
      </c>
      <c r="M68" s="13">
        <v>0</v>
      </c>
      <c r="N68" s="119">
        <v>378</v>
      </c>
      <c r="O68" s="22">
        <v>239</v>
      </c>
      <c r="P68" s="22">
        <v>-7</v>
      </c>
      <c r="Q68" s="119">
        <v>147</v>
      </c>
      <c r="R68" s="13">
        <v>59</v>
      </c>
      <c r="S68" s="13">
        <v>48</v>
      </c>
    </row>
    <row r="69" spans="1:19" x14ac:dyDescent="0.2">
      <c r="A69" s="128">
        <v>40760</v>
      </c>
      <c r="B69" s="13">
        <v>3216</v>
      </c>
      <c r="C69" s="13">
        <v>1254</v>
      </c>
      <c r="D69" s="13">
        <v>1254</v>
      </c>
      <c r="E69" s="13">
        <v>0</v>
      </c>
      <c r="F69" s="13">
        <v>1963</v>
      </c>
      <c r="G69" s="13">
        <v>2016</v>
      </c>
      <c r="H69" s="13">
        <v>2016</v>
      </c>
      <c r="I69" s="13">
        <v>0</v>
      </c>
      <c r="J69" s="13">
        <v>-54</v>
      </c>
      <c r="K69" s="13">
        <v>79</v>
      </c>
      <c r="L69" s="13">
        <v>79</v>
      </c>
      <c r="M69" s="13">
        <v>0</v>
      </c>
      <c r="N69" s="119">
        <v>380</v>
      </c>
      <c r="O69" s="22">
        <v>236</v>
      </c>
      <c r="P69" s="22">
        <v>15</v>
      </c>
      <c r="Q69" s="119">
        <v>129</v>
      </c>
      <c r="R69" s="13">
        <v>71</v>
      </c>
      <c r="S69" s="13">
        <v>45</v>
      </c>
    </row>
    <row r="70" spans="1:19" x14ac:dyDescent="0.2">
      <c r="A70" s="128">
        <v>40767</v>
      </c>
      <c r="B70" s="13">
        <v>3123</v>
      </c>
      <c r="C70" s="13">
        <v>1243</v>
      </c>
      <c r="D70" s="13">
        <v>1243</v>
      </c>
      <c r="E70" s="13">
        <v>0</v>
      </c>
      <c r="F70" s="13">
        <v>1881</v>
      </c>
      <c r="G70" s="13">
        <v>1977</v>
      </c>
      <c r="H70" s="13">
        <v>1977</v>
      </c>
      <c r="I70" s="13">
        <v>0</v>
      </c>
      <c r="J70" s="13">
        <v>-96</v>
      </c>
      <c r="K70" s="13">
        <v>79</v>
      </c>
      <c r="L70" s="13">
        <v>79</v>
      </c>
      <c r="M70" s="13">
        <v>0</v>
      </c>
      <c r="N70" s="119">
        <v>394</v>
      </c>
      <c r="O70" s="22">
        <v>276</v>
      </c>
      <c r="P70" s="22">
        <v>19</v>
      </c>
      <c r="Q70" s="119">
        <v>99</v>
      </c>
      <c r="R70" s="13">
        <v>56</v>
      </c>
      <c r="S70" s="13">
        <v>47</v>
      </c>
    </row>
    <row r="71" spans="1:19" x14ac:dyDescent="0.2">
      <c r="A71" s="128">
        <v>40774</v>
      </c>
      <c r="B71" s="13">
        <v>2983</v>
      </c>
      <c r="C71" s="13">
        <v>1188</v>
      </c>
      <c r="D71" s="13">
        <v>1188</v>
      </c>
      <c r="E71" s="13">
        <v>0</v>
      </c>
      <c r="F71" s="13">
        <v>1796</v>
      </c>
      <c r="G71" s="13">
        <v>1959</v>
      </c>
      <c r="H71" s="13">
        <v>1959</v>
      </c>
      <c r="I71" s="13">
        <v>0</v>
      </c>
      <c r="J71" s="13">
        <v>-163</v>
      </c>
      <c r="K71" s="13">
        <v>73</v>
      </c>
      <c r="L71" s="13">
        <v>73</v>
      </c>
      <c r="M71" s="13">
        <v>0</v>
      </c>
      <c r="N71" s="119">
        <v>390</v>
      </c>
      <c r="O71" s="22">
        <v>267</v>
      </c>
      <c r="P71" s="22">
        <v>-20</v>
      </c>
      <c r="Q71" s="119">
        <v>143</v>
      </c>
      <c r="R71" s="13">
        <v>61</v>
      </c>
      <c r="S71" s="13">
        <v>49</v>
      </c>
    </row>
    <row r="72" spans="1:19" x14ac:dyDescent="0.2">
      <c r="A72" s="128">
        <v>40781</v>
      </c>
      <c r="B72" s="13">
        <v>3177</v>
      </c>
      <c r="C72" s="13">
        <v>1261</v>
      </c>
      <c r="D72" s="13">
        <v>1261</v>
      </c>
      <c r="E72" s="13">
        <v>0</v>
      </c>
      <c r="F72" s="13">
        <v>1917</v>
      </c>
      <c r="G72" s="13">
        <v>1999</v>
      </c>
      <c r="H72" s="13">
        <v>1999</v>
      </c>
      <c r="I72" s="13">
        <v>0</v>
      </c>
      <c r="J72" s="13">
        <v>-82</v>
      </c>
      <c r="K72" s="13">
        <v>96</v>
      </c>
      <c r="L72" s="13">
        <v>96</v>
      </c>
      <c r="M72" s="13">
        <v>0</v>
      </c>
      <c r="N72" s="119">
        <v>445</v>
      </c>
      <c r="O72" s="22">
        <v>291</v>
      </c>
      <c r="P72" s="22">
        <v>16</v>
      </c>
      <c r="Q72" s="119">
        <v>139</v>
      </c>
      <c r="R72" s="13">
        <v>55</v>
      </c>
      <c r="S72" s="13">
        <v>48</v>
      </c>
    </row>
    <row r="73" spans="1:19" x14ac:dyDescent="0.2">
      <c r="A73" s="128">
        <v>40788</v>
      </c>
      <c r="B73" s="13">
        <v>2886</v>
      </c>
      <c r="C73" s="13">
        <v>1113</v>
      </c>
      <c r="D73" s="13">
        <v>1113</v>
      </c>
      <c r="E73" s="13">
        <v>0</v>
      </c>
      <c r="F73" s="13">
        <v>1774</v>
      </c>
      <c r="G73" s="13">
        <v>1883</v>
      </c>
      <c r="H73" s="13">
        <v>1882</v>
      </c>
      <c r="I73" s="13">
        <v>0</v>
      </c>
      <c r="J73" s="13">
        <v>-109</v>
      </c>
      <c r="K73" s="13">
        <v>97</v>
      </c>
      <c r="L73" s="13">
        <v>97</v>
      </c>
      <c r="M73" s="13">
        <v>0</v>
      </c>
      <c r="N73" s="119">
        <v>283</v>
      </c>
      <c r="O73" s="22">
        <v>164</v>
      </c>
      <c r="P73" s="22">
        <v>-11</v>
      </c>
      <c r="Q73" s="119">
        <v>130</v>
      </c>
      <c r="R73" s="13">
        <v>60</v>
      </c>
      <c r="S73" s="13">
        <v>46</v>
      </c>
    </row>
    <row r="74" spans="1:19" x14ac:dyDescent="0.2">
      <c r="A74" s="128">
        <v>40795</v>
      </c>
      <c r="B74" s="13">
        <v>2896</v>
      </c>
      <c r="C74" s="13">
        <v>1139</v>
      </c>
      <c r="D74" s="13">
        <v>1139</v>
      </c>
      <c r="E74" s="13">
        <v>0</v>
      </c>
      <c r="F74" s="13">
        <v>1757</v>
      </c>
      <c r="G74" s="13">
        <v>1879</v>
      </c>
      <c r="H74" s="13">
        <v>1879</v>
      </c>
      <c r="I74" s="13">
        <v>0</v>
      </c>
      <c r="J74" s="13">
        <v>-122</v>
      </c>
      <c r="K74" s="13">
        <v>94</v>
      </c>
      <c r="L74" s="13">
        <v>94</v>
      </c>
      <c r="M74" s="13">
        <v>0</v>
      </c>
      <c r="N74" s="119">
        <v>400</v>
      </c>
      <c r="O74" s="22">
        <v>245</v>
      </c>
      <c r="P74" s="22">
        <v>-15</v>
      </c>
      <c r="Q74" s="119">
        <v>170</v>
      </c>
      <c r="R74" s="13">
        <v>58</v>
      </c>
      <c r="S74" s="13">
        <v>50</v>
      </c>
    </row>
    <row r="75" spans="1:19" x14ac:dyDescent="0.2">
      <c r="A75" s="128">
        <v>40802</v>
      </c>
      <c r="B75" s="13">
        <v>3014</v>
      </c>
      <c r="C75" s="13">
        <v>1222</v>
      </c>
      <c r="D75" s="13">
        <v>1222</v>
      </c>
      <c r="E75" s="13">
        <v>0</v>
      </c>
      <c r="F75" s="13">
        <v>1792</v>
      </c>
      <c r="G75" s="13">
        <v>1880</v>
      </c>
      <c r="H75" s="13">
        <v>1880</v>
      </c>
      <c r="I75" s="13">
        <v>0</v>
      </c>
      <c r="J75" s="13">
        <v>-88</v>
      </c>
      <c r="K75" s="13">
        <v>96</v>
      </c>
      <c r="L75" s="13">
        <v>96</v>
      </c>
      <c r="M75" s="13">
        <v>0</v>
      </c>
      <c r="N75" s="119">
        <v>451</v>
      </c>
      <c r="O75" s="22">
        <v>283</v>
      </c>
      <c r="P75" s="22">
        <v>-54</v>
      </c>
      <c r="Q75" s="119">
        <v>221</v>
      </c>
      <c r="R75" s="13">
        <v>61</v>
      </c>
      <c r="S75" s="13">
        <v>52</v>
      </c>
    </row>
    <row r="76" spans="1:19" x14ac:dyDescent="0.2">
      <c r="A76" s="128">
        <v>40809</v>
      </c>
      <c r="B76" s="13">
        <v>2918</v>
      </c>
      <c r="C76" s="13">
        <v>1204</v>
      </c>
      <c r="D76" s="13">
        <v>1204</v>
      </c>
      <c r="E76" s="13">
        <v>0</v>
      </c>
      <c r="F76" s="13">
        <v>1713</v>
      </c>
      <c r="G76" s="13">
        <v>1853</v>
      </c>
      <c r="H76" s="13">
        <v>1853</v>
      </c>
      <c r="I76" s="13">
        <v>0</v>
      </c>
      <c r="J76" s="13">
        <v>-140</v>
      </c>
      <c r="K76" s="13">
        <v>93</v>
      </c>
      <c r="L76" s="13">
        <v>93</v>
      </c>
      <c r="M76" s="13">
        <v>0</v>
      </c>
      <c r="N76" s="119">
        <v>368</v>
      </c>
      <c r="O76" s="22">
        <v>264</v>
      </c>
      <c r="P76" s="22">
        <v>-11</v>
      </c>
      <c r="Q76" s="119">
        <v>115</v>
      </c>
      <c r="R76" s="13">
        <v>61</v>
      </c>
      <c r="S76" s="13">
        <v>55</v>
      </c>
    </row>
    <row r="77" spans="1:19" x14ac:dyDescent="0.2">
      <c r="A77" s="128">
        <v>40816</v>
      </c>
      <c r="B77" s="13">
        <v>2812</v>
      </c>
      <c r="C77" s="13">
        <v>1195</v>
      </c>
      <c r="D77" s="13">
        <v>1195</v>
      </c>
      <c r="E77" s="13">
        <v>0</v>
      </c>
      <c r="F77" s="13">
        <v>1617</v>
      </c>
      <c r="G77" s="13">
        <v>1881</v>
      </c>
      <c r="H77" s="13">
        <v>1881</v>
      </c>
      <c r="I77" s="13">
        <v>0</v>
      </c>
      <c r="J77" s="13">
        <v>-264</v>
      </c>
      <c r="K77" s="13">
        <v>100</v>
      </c>
      <c r="L77" s="13">
        <v>100</v>
      </c>
      <c r="M77" s="13">
        <v>0</v>
      </c>
      <c r="N77" s="119">
        <v>414</v>
      </c>
      <c r="O77" s="22">
        <v>252</v>
      </c>
      <c r="P77" s="22">
        <v>-24</v>
      </c>
      <c r="Q77" s="119">
        <v>186</v>
      </c>
      <c r="R77" s="13">
        <v>46</v>
      </c>
      <c r="S77" s="13">
        <v>51</v>
      </c>
    </row>
    <row r="78" spans="1:19" x14ac:dyDescent="0.2">
      <c r="A78" s="128">
        <v>40823</v>
      </c>
      <c r="B78" s="13">
        <v>2811</v>
      </c>
      <c r="C78" s="13">
        <v>1203</v>
      </c>
      <c r="D78" s="13">
        <v>1203</v>
      </c>
      <c r="E78" s="13">
        <v>0</v>
      </c>
      <c r="F78" s="13">
        <v>1608</v>
      </c>
      <c r="G78" s="13">
        <v>1860</v>
      </c>
      <c r="H78" s="13">
        <v>1860</v>
      </c>
      <c r="I78" s="13">
        <v>0</v>
      </c>
      <c r="J78" s="13">
        <v>-252</v>
      </c>
      <c r="K78" s="13">
        <v>62</v>
      </c>
      <c r="L78" s="13">
        <v>62</v>
      </c>
      <c r="M78" s="13">
        <v>0</v>
      </c>
      <c r="N78" s="119">
        <v>358</v>
      </c>
      <c r="O78" s="22">
        <v>224</v>
      </c>
      <c r="P78" s="22">
        <v>-2</v>
      </c>
      <c r="Q78" s="119">
        <v>135</v>
      </c>
      <c r="R78" s="13">
        <v>57</v>
      </c>
      <c r="S78" s="13">
        <v>77</v>
      </c>
    </row>
    <row r="79" spans="1:19" x14ac:dyDescent="0.2">
      <c r="A79" s="128">
        <v>40830</v>
      </c>
      <c r="B79" s="13">
        <v>2831</v>
      </c>
      <c r="C79" s="13">
        <v>1219</v>
      </c>
      <c r="D79" s="13">
        <v>1219</v>
      </c>
      <c r="E79" s="13">
        <v>0</v>
      </c>
      <c r="F79" s="13">
        <v>1611</v>
      </c>
      <c r="G79" s="13">
        <v>1883</v>
      </c>
      <c r="H79" s="13">
        <v>1883</v>
      </c>
      <c r="I79" s="13">
        <v>0</v>
      </c>
      <c r="J79" s="13">
        <v>-271</v>
      </c>
      <c r="K79" s="13">
        <v>56</v>
      </c>
      <c r="L79" s="13">
        <v>56</v>
      </c>
      <c r="M79" s="13">
        <v>0</v>
      </c>
      <c r="N79" s="119">
        <v>364</v>
      </c>
      <c r="O79" s="22">
        <v>252</v>
      </c>
      <c r="P79" s="22">
        <v>11</v>
      </c>
      <c r="Q79" s="119">
        <v>101</v>
      </c>
      <c r="R79" s="13">
        <v>46</v>
      </c>
      <c r="S79" s="13">
        <v>65</v>
      </c>
    </row>
    <row r="80" spans="1:19" x14ac:dyDescent="0.2">
      <c r="A80" s="128">
        <v>40837</v>
      </c>
      <c r="B80" s="13">
        <v>2906</v>
      </c>
      <c r="C80" s="13">
        <v>1184</v>
      </c>
      <c r="D80" s="13">
        <v>1184</v>
      </c>
      <c r="E80" s="13">
        <v>0</v>
      </c>
      <c r="F80" s="13">
        <v>1722</v>
      </c>
      <c r="G80" s="13">
        <v>1878</v>
      </c>
      <c r="H80" s="13">
        <v>1878</v>
      </c>
      <c r="I80" s="13">
        <v>0</v>
      </c>
      <c r="J80" s="13">
        <v>-156</v>
      </c>
      <c r="K80" s="13">
        <v>59</v>
      </c>
      <c r="L80" s="13">
        <v>59</v>
      </c>
      <c r="M80" s="13">
        <v>0</v>
      </c>
      <c r="N80" s="119">
        <v>380</v>
      </c>
      <c r="O80" s="22">
        <v>247</v>
      </c>
      <c r="P80" s="22">
        <v>7</v>
      </c>
      <c r="Q80" s="119">
        <v>126</v>
      </c>
      <c r="R80" s="13">
        <v>48</v>
      </c>
      <c r="S80" s="13">
        <v>64</v>
      </c>
    </row>
    <row r="81" spans="1:19" x14ac:dyDescent="0.2">
      <c r="A81" s="128">
        <v>40844</v>
      </c>
      <c r="B81" s="13">
        <v>2905</v>
      </c>
      <c r="C81" s="13">
        <v>1216</v>
      </c>
      <c r="D81" s="13">
        <v>1216</v>
      </c>
      <c r="E81" s="13">
        <v>0</v>
      </c>
      <c r="F81" s="13">
        <v>1688</v>
      </c>
      <c r="G81" s="13">
        <v>1893</v>
      </c>
      <c r="H81" s="13">
        <v>1893</v>
      </c>
      <c r="I81" s="13">
        <v>0</v>
      </c>
      <c r="J81" s="13">
        <v>-205</v>
      </c>
      <c r="K81" s="13">
        <v>76</v>
      </c>
      <c r="L81" s="13">
        <v>76</v>
      </c>
      <c r="M81" s="13">
        <v>0</v>
      </c>
      <c r="N81" s="119">
        <v>394</v>
      </c>
      <c r="O81" s="22">
        <v>208</v>
      </c>
      <c r="P81" s="22">
        <v>0</v>
      </c>
      <c r="Q81" s="119">
        <v>185</v>
      </c>
      <c r="R81" s="13">
        <v>67</v>
      </c>
      <c r="S81" s="13">
        <v>73</v>
      </c>
    </row>
    <row r="82" spans="1:19" x14ac:dyDescent="0.2">
      <c r="A82" s="128">
        <v>40851</v>
      </c>
      <c r="B82" s="13">
        <v>2743</v>
      </c>
      <c r="C82" s="13">
        <v>1154</v>
      </c>
      <c r="D82" s="13">
        <v>1154</v>
      </c>
      <c r="E82" s="13">
        <v>0</v>
      </c>
      <c r="F82" s="13">
        <v>1589</v>
      </c>
      <c r="G82" s="13">
        <v>1843</v>
      </c>
      <c r="H82" s="13">
        <v>1843</v>
      </c>
      <c r="I82" s="13">
        <v>0</v>
      </c>
      <c r="J82" s="13">
        <v>-254</v>
      </c>
      <c r="K82" s="13">
        <v>57</v>
      </c>
      <c r="L82" s="13">
        <v>57</v>
      </c>
      <c r="M82" s="13">
        <v>0</v>
      </c>
      <c r="N82" s="119">
        <v>358</v>
      </c>
      <c r="O82" s="22">
        <v>210</v>
      </c>
      <c r="P82" s="22">
        <v>4</v>
      </c>
      <c r="Q82" s="119">
        <v>143</v>
      </c>
      <c r="R82" s="13">
        <v>58</v>
      </c>
      <c r="S82" s="13">
        <v>69</v>
      </c>
    </row>
    <row r="83" spans="1:19" x14ac:dyDescent="0.2">
      <c r="A83" s="128">
        <v>40858</v>
      </c>
      <c r="B83" s="13">
        <v>2932</v>
      </c>
      <c r="C83" s="13">
        <v>1214</v>
      </c>
      <c r="D83" s="13">
        <v>1214</v>
      </c>
      <c r="E83" s="13">
        <v>0</v>
      </c>
      <c r="F83" s="13">
        <v>1718</v>
      </c>
      <c r="G83" s="13">
        <v>1879</v>
      </c>
      <c r="H83" s="13">
        <v>1879</v>
      </c>
      <c r="I83" s="13">
        <v>0</v>
      </c>
      <c r="J83" s="13">
        <v>-161</v>
      </c>
      <c r="K83" s="13">
        <v>72</v>
      </c>
      <c r="L83" s="13">
        <v>72</v>
      </c>
      <c r="M83" s="13">
        <v>0</v>
      </c>
      <c r="N83" s="119">
        <v>424</v>
      </c>
      <c r="O83" s="22">
        <v>236</v>
      </c>
      <c r="P83" s="22">
        <v>14</v>
      </c>
      <c r="Q83" s="119">
        <v>174</v>
      </c>
      <c r="R83" s="13">
        <v>58</v>
      </c>
      <c r="S83" s="13">
        <v>69</v>
      </c>
    </row>
    <row r="84" spans="1:19" x14ac:dyDescent="0.2">
      <c r="A84" s="128">
        <v>40865</v>
      </c>
      <c r="B84" s="13">
        <v>2931</v>
      </c>
      <c r="C84" s="13">
        <v>1179</v>
      </c>
      <c r="D84" s="13">
        <v>1179</v>
      </c>
      <c r="E84" s="13">
        <v>0</v>
      </c>
      <c r="F84" s="13">
        <v>1752</v>
      </c>
      <c r="G84" s="13">
        <v>1872</v>
      </c>
      <c r="H84" s="13">
        <v>1872</v>
      </c>
      <c r="I84" s="13">
        <v>0</v>
      </c>
      <c r="J84" s="13">
        <v>-120</v>
      </c>
      <c r="K84" s="13">
        <v>70</v>
      </c>
      <c r="L84" s="13">
        <v>70</v>
      </c>
      <c r="M84" s="13">
        <v>0</v>
      </c>
      <c r="N84" s="119">
        <v>426</v>
      </c>
      <c r="O84" s="22">
        <v>262</v>
      </c>
      <c r="P84" s="22">
        <v>-16</v>
      </c>
      <c r="Q84" s="119">
        <v>180</v>
      </c>
      <c r="R84" s="13">
        <v>53</v>
      </c>
      <c r="S84" s="13">
        <v>67</v>
      </c>
    </row>
    <row r="85" spans="1:19" x14ac:dyDescent="0.2">
      <c r="A85" s="128">
        <v>40872</v>
      </c>
      <c r="B85" s="13">
        <v>2815</v>
      </c>
      <c r="C85" s="13">
        <v>1200</v>
      </c>
      <c r="D85" s="13">
        <v>1200</v>
      </c>
      <c r="E85" s="13">
        <v>0</v>
      </c>
      <c r="F85" s="13">
        <v>1615</v>
      </c>
      <c r="G85" s="13">
        <v>1824</v>
      </c>
      <c r="H85" s="13">
        <v>1824</v>
      </c>
      <c r="I85" s="13">
        <v>0</v>
      </c>
      <c r="J85" s="13">
        <v>-210</v>
      </c>
      <c r="K85" s="13">
        <v>84</v>
      </c>
      <c r="L85" s="13">
        <v>84</v>
      </c>
      <c r="M85" s="13">
        <v>0</v>
      </c>
      <c r="N85" s="119">
        <v>431</v>
      </c>
      <c r="O85" s="22">
        <v>200</v>
      </c>
      <c r="P85" s="22">
        <v>-2</v>
      </c>
      <c r="Q85" s="119">
        <v>232</v>
      </c>
      <c r="R85" s="13">
        <v>55</v>
      </c>
      <c r="S85" s="13">
        <v>66</v>
      </c>
    </row>
    <row r="86" spans="1:19" x14ac:dyDescent="0.2">
      <c r="A86" s="128">
        <v>40879</v>
      </c>
      <c r="B86" s="13">
        <v>2688</v>
      </c>
      <c r="C86" s="13">
        <v>1129</v>
      </c>
      <c r="D86" s="13">
        <v>1129</v>
      </c>
      <c r="E86" s="13">
        <v>0</v>
      </c>
      <c r="F86" s="13">
        <v>1559</v>
      </c>
      <c r="G86" s="13">
        <v>1869</v>
      </c>
      <c r="H86" s="13">
        <v>1869</v>
      </c>
      <c r="I86" s="13">
        <v>0</v>
      </c>
      <c r="J86" s="13">
        <v>-310</v>
      </c>
      <c r="K86" s="13">
        <v>79</v>
      </c>
      <c r="L86" s="13">
        <v>79</v>
      </c>
      <c r="M86" s="13">
        <v>0</v>
      </c>
      <c r="N86" s="119">
        <v>377</v>
      </c>
      <c r="O86" s="22">
        <v>113</v>
      </c>
      <c r="P86" s="22">
        <v>-10</v>
      </c>
      <c r="Q86" s="119">
        <v>275</v>
      </c>
      <c r="R86" s="13">
        <v>51</v>
      </c>
      <c r="S86" s="13">
        <v>58</v>
      </c>
    </row>
    <row r="87" spans="1:19" x14ac:dyDescent="0.2">
      <c r="A87" s="128">
        <v>40886</v>
      </c>
      <c r="B87" s="13">
        <v>2809</v>
      </c>
      <c r="C87" s="13">
        <v>1219</v>
      </c>
      <c r="D87" s="13">
        <v>1219</v>
      </c>
      <c r="E87" s="13">
        <v>0</v>
      </c>
      <c r="F87" s="13">
        <v>1590</v>
      </c>
      <c r="G87" s="13">
        <v>1860</v>
      </c>
      <c r="H87" s="13">
        <v>1860</v>
      </c>
      <c r="I87" s="13">
        <v>0</v>
      </c>
      <c r="J87" s="13">
        <v>-270</v>
      </c>
      <c r="K87" s="13">
        <v>59</v>
      </c>
      <c r="L87" s="13">
        <v>59</v>
      </c>
      <c r="M87" s="13">
        <v>0</v>
      </c>
      <c r="N87" s="119">
        <v>395</v>
      </c>
      <c r="O87" s="22">
        <v>169</v>
      </c>
      <c r="P87" s="22">
        <v>3</v>
      </c>
      <c r="Q87" s="119">
        <v>223</v>
      </c>
      <c r="R87" s="13">
        <v>54</v>
      </c>
      <c r="S87" s="13">
        <v>79</v>
      </c>
    </row>
    <row r="88" spans="1:19" x14ac:dyDescent="0.2">
      <c r="A88" s="128">
        <v>40893</v>
      </c>
      <c r="B88" s="13">
        <v>2916</v>
      </c>
      <c r="C88" s="13">
        <v>1256</v>
      </c>
      <c r="D88" s="13">
        <v>1256</v>
      </c>
      <c r="E88" s="13">
        <v>0</v>
      </c>
      <c r="F88" s="13">
        <v>1660</v>
      </c>
      <c r="G88" s="13">
        <v>1902</v>
      </c>
      <c r="H88" s="13">
        <v>1902</v>
      </c>
      <c r="I88" s="13">
        <v>0</v>
      </c>
      <c r="J88" s="13">
        <v>-241</v>
      </c>
      <c r="K88" s="13">
        <v>52</v>
      </c>
      <c r="L88" s="13">
        <v>52</v>
      </c>
      <c r="M88" s="13">
        <v>0</v>
      </c>
      <c r="N88" s="119">
        <v>375</v>
      </c>
      <c r="O88" s="22">
        <v>194</v>
      </c>
      <c r="P88" s="22">
        <v>-5</v>
      </c>
      <c r="Q88" s="119">
        <v>186</v>
      </c>
      <c r="R88" s="13">
        <v>54</v>
      </c>
      <c r="S88" s="13">
        <v>66</v>
      </c>
    </row>
    <row r="89" spans="1:19" x14ac:dyDescent="0.2">
      <c r="A89" s="128">
        <v>40900</v>
      </c>
      <c r="B89" s="13">
        <v>2902</v>
      </c>
      <c r="C89" s="13">
        <v>1246</v>
      </c>
      <c r="D89" s="13">
        <v>1246</v>
      </c>
      <c r="E89" s="13">
        <v>0</v>
      </c>
      <c r="F89" s="13">
        <v>1656</v>
      </c>
      <c r="G89" s="13">
        <v>1928</v>
      </c>
      <c r="H89" s="13">
        <v>1928</v>
      </c>
      <c r="I89" s="13">
        <v>0</v>
      </c>
      <c r="J89" s="13">
        <v>-271</v>
      </c>
      <c r="K89" s="13">
        <v>48</v>
      </c>
      <c r="L89" s="13">
        <v>48</v>
      </c>
      <c r="M89" s="13">
        <v>0</v>
      </c>
      <c r="N89" s="119">
        <v>376</v>
      </c>
      <c r="O89" s="22">
        <v>157</v>
      </c>
      <c r="P89" s="22">
        <v>-12</v>
      </c>
      <c r="Q89" s="119">
        <v>231</v>
      </c>
      <c r="R89" s="13">
        <v>50</v>
      </c>
      <c r="S89" s="13">
        <v>64</v>
      </c>
    </row>
    <row r="90" spans="1:19" x14ac:dyDescent="0.2">
      <c r="A90" s="128">
        <v>40907</v>
      </c>
      <c r="B90" s="13">
        <v>2585</v>
      </c>
      <c r="C90" s="13">
        <v>1122</v>
      </c>
      <c r="D90" s="13">
        <v>1122</v>
      </c>
      <c r="E90" s="13">
        <v>0</v>
      </c>
      <c r="F90" s="13">
        <v>1463</v>
      </c>
      <c r="G90" s="13">
        <v>1761</v>
      </c>
      <c r="H90" s="13">
        <v>1761</v>
      </c>
      <c r="I90" s="13">
        <v>0</v>
      </c>
      <c r="J90" s="13">
        <v>-298</v>
      </c>
      <c r="K90" s="13">
        <v>49</v>
      </c>
      <c r="L90" s="13">
        <v>49</v>
      </c>
      <c r="M90" s="13">
        <v>0</v>
      </c>
      <c r="N90" s="119">
        <v>359</v>
      </c>
      <c r="O90" s="22">
        <v>261</v>
      </c>
      <c r="P90" s="22">
        <v>-9</v>
      </c>
      <c r="Q90" s="119">
        <v>106</v>
      </c>
      <c r="R90" s="13">
        <v>45</v>
      </c>
      <c r="S90" s="13">
        <v>61</v>
      </c>
    </row>
    <row r="91" spans="1:19" x14ac:dyDescent="0.2">
      <c r="A91" s="128">
        <v>40914</v>
      </c>
      <c r="B91" s="13">
        <v>2555</v>
      </c>
      <c r="C91" s="13">
        <v>1083</v>
      </c>
      <c r="D91" s="13">
        <v>1083</v>
      </c>
      <c r="E91" s="13">
        <v>0</v>
      </c>
      <c r="F91" s="13">
        <v>1472</v>
      </c>
      <c r="G91" s="13">
        <v>1748</v>
      </c>
      <c r="H91" s="13">
        <v>1748</v>
      </c>
      <c r="I91" s="13">
        <v>0</v>
      </c>
      <c r="J91" s="13">
        <v>-277</v>
      </c>
      <c r="K91" s="13">
        <v>58</v>
      </c>
      <c r="L91" s="13">
        <v>58</v>
      </c>
      <c r="M91" s="13">
        <v>0</v>
      </c>
      <c r="N91" s="119">
        <v>356</v>
      </c>
      <c r="O91" s="22">
        <v>245</v>
      </c>
      <c r="P91" s="22">
        <v>0</v>
      </c>
      <c r="Q91" s="119">
        <v>111</v>
      </c>
      <c r="R91" s="13">
        <v>42</v>
      </c>
      <c r="S91" s="13">
        <v>63</v>
      </c>
    </row>
    <row r="92" spans="1:19" x14ac:dyDescent="0.2">
      <c r="A92" s="128">
        <v>40921</v>
      </c>
      <c r="B92" s="13">
        <v>2682</v>
      </c>
      <c r="C92" s="13">
        <v>1128</v>
      </c>
      <c r="D92" s="13">
        <v>1128</v>
      </c>
      <c r="E92" s="13">
        <v>0</v>
      </c>
      <c r="F92" s="13">
        <v>1554</v>
      </c>
      <c r="G92" s="13">
        <v>1799</v>
      </c>
      <c r="H92" s="13">
        <v>1799</v>
      </c>
      <c r="I92" s="13">
        <v>0</v>
      </c>
      <c r="J92" s="13">
        <v>-245</v>
      </c>
      <c r="K92" s="13">
        <v>53</v>
      </c>
      <c r="L92" s="13">
        <v>53</v>
      </c>
      <c r="M92" s="13">
        <v>0</v>
      </c>
      <c r="N92" s="119">
        <v>324</v>
      </c>
      <c r="O92" s="22">
        <v>245</v>
      </c>
      <c r="P92" s="22">
        <v>-7</v>
      </c>
      <c r="Q92" s="119">
        <v>86</v>
      </c>
      <c r="R92" s="13">
        <v>48</v>
      </c>
      <c r="S92" s="13">
        <v>63</v>
      </c>
    </row>
    <row r="93" spans="1:19" x14ac:dyDescent="0.2">
      <c r="A93" s="128">
        <v>40928</v>
      </c>
      <c r="B93" s="13">
        <v>2691</v>
      </c>
      <c r="C93" s="13">
        <v>1162</v>
      </c>
      <c r="D93" s="13">
        <v>1162</v>
      </c>
      <c r="E93" s="13">
        <v>0</v>
      </c>
      <c r="F93" s="13">
        <v>1530</v>
      </c>
      <c r="G93" s="13">
        <v>1800</v>
      </c>
      <c r="H93" s="13">
        <v>1800</v>
      </c>
      <c r="I93" s="13">
        <v>0</v>
      </c>
      <c r="J93" s="13">
        <v>-270</v>
      </c>
      <c r="K93" s="13">
        <v>45</v>
      </c>
      <c r="L93" s="13">
        <v>45</v>
      </c>
      <c r="M93" s="13">
        <v>0</v>
      </c>
      <c r="N93" s="119">
        <v>326</v>
      </c>
      <c r="O93" s="22">
        <v>191</v>
      </c>
      <c r="P93" s="22">
        <v>8</v>
      </c>
      <c r="Q93" s="119">
        <v>126</v>
      </c>
      <c r="R93" s="13">
        <v>49</v>
      </c>
      <c r="S93" s="13">
        <v>59</v>
      </c>
    </row>
    <row r="94" spans="1:19" x14ac:dyDescent="0.2">
      <c r="A94" s="128">
        <v>40935</v>
      </c>
      <c r="B94" s="13">
        <v>2618</v>
      </c>
      <c r="C94" s="13">
        <v>1135</v>
      </c>
      <c r="D94" s="13">
        <v>1135</v>
      </c>
      <c r="E94" s="13">
        <v>0</v>
      </c>
      <c r="F94" s="13">
        <v>1484</v>
      </c>
      <c r="G94" s="13">
        <v>1767</v>
      </c>
      <c r="H94" s="13">
        <v>1767</v>
      </c>
      <c r="I94" s="13">
        <v>0</v>
      </c>
      <c r="J94" s="13">
        <v>-284</v>
      </c>
      <c r="K94" s="13">
        <v>54</v>
      </c>
      <c r="L94" s="13">
        <v>54</v>
      </c>
      <c r="M94" s="13">
        <v>0</v>
      </c>
      <c r="N94" s="119">
        <v>319</v>
      </c>
      <c r="O94" s="22">
        <v>203</v>
      </c>
      <c r="P94" s="22">
        <v>2</v>
      </c>
      <c r="Q94" s="119">
        <v>114</v>
      </c>
      <c r="R94" s="13">
        <v>47</v>
      </c>
      <c r="S94" s="13">
        <v>62</v>
      </c>
    </row>
    <row r="95" spans="1:19" x14ac:dyDescent="0.2">
      <c r="A95" s="128">
        <v>40942</v>
      </c>
      <c r="B95" s="13">
        <v>2751</v>
      </c>
      <c r="C95" s="13">
        <v>1153</v>
      </c>
      <c r="D95" s="13">
        <v>1153</v>
      </c>
      <c r="E95" s="13">
        <v>0</v>
      </c>
      <c r="F95" s="13">
        <v>1598</v>
      </c>
      <c r="G95" s="13">
        <v>1818</v>
      </c>
      <c r="H95" s="13">
        <v>1818</v>
      </c>
      <c r="I95" s="13">
        <v>0</v>
      </c>
      <c r="J95" s="13">
        <v>-220</v>
      </c>
      <c r="K95" s="13">
        <v>44</v>
      </c>
      <c r="L95" s="13">
        <v>44</v>
      </c>
      <c r="M95" s="13">
        <v>0</v>
      </c>
      <c r="N95" s="119">
        <v>296</v>
      </c>
      <c r="O95" s="22">
        <v>195</v>
      </c>
      <c r="P95" s="22">
        <v>7</v>
      </c>
      <c r="Q95" s="119">
        <v>94</v>
      </c>
      <c r="R95" s="13">
        <v>47</v>
      </c>
      <c r="S95" s="13">
        <v>54</v>
      </c>
    </row>
    <row r="96" spans="1:19" x14ac:dyDescent="0.2">
      <c r="A96" s="128">
        <v>40949</v>
      </c>
      <c r="B96" s="13">
        <v>2768</v>
      </c>
      <c r="C96" s="13">
        <v>1160</v>
      </c>
      <c r="D96" s="13">
        <v>1160</v>
      </c>
      <c r="E96" s="13">
        <v>0</v>
      </c>
      <c r="F96" s="13">
        <v>1608</v>
      </c>
      <c r="G96" s="13">
        <v>1862</v>
      </c>
      <c r="H96" s="13">
        <v>1862</v>
      </c>
      <c r="I96" s="13">
        <v>0</v>
      </c>
      <c r="J96" s="13">
        <v>-254</v>
      </c>
      <c r="K96" s="13">
        <v>38</v>
      </c>
      <c r="L96" s="13">
        <v>38</v>
      </c>
      <c r="M96" s="13">
        <v>0</v>
      </c>
      <c r="N96" s="119">
        <v>273</v>
      </c>
      <c r="O96" s="22">
        <v>159</v>
      </c>
      <c r="P96" s="22">
        <v>4</v>
      </c>
      <c r="Q96" s="119">
        <v>110</v>
      </c>
      <c r="R96" s="13">
        <v>43</v>
      </c>
      <c r="S96" s="13">
        <v>61</v>
      </c>
    </row>
    <row r="97" spans="1:19" x14ac:dyDescent="0.2">
      <c r="A97" s="128">
        <v>40956</v>
      </c>
      <c r="B97" s="13">
        <v>2729</v>
      </c>
      <c r="C97" s="13">
        <v>1159</v>
      </c>
      <c r="D97" s="13">
        <v>1159</v>
      </c>
      <c r="E97" s="13">
        <v>0</v>
      </c>
      <c r="F97" s="13">
        <v>1570</v>
      </c>
      <c r="G97" s="13">
        <v>1899</v>
      </c>
      <c r="H97" s="13">
        <v>1899</v>
      </c>
      <c r="I97" s="13">
        <v>0</v>
      </c>
      <c r="J97" s="13">
        <v>-329</v>
      </c>
      <c r="K97" s="13">
        <v>38</v>
      </c>
      <c r="L97" s="13">
        <v>38</v>
      </c>
      <c r="M97" s="13">
        <v>0</v>
      </c>
      <c r="N97" s="119">
        <v>312</v>
      </c>
      <c r="O97" s="22">
        <v>192</v>
      </c>
      <c r="P97" s="22">
        <v>3</v>
      </c>
      <c r="Q97" s="119">
        <v>117</v>
      </c>
      <c r="R97" s="13">
        <v>45</v>
      </c>
      <c r="S97" s="13">
        <v>77</v>
      </c>
    </row>
    <row r="98" spans="1:19" x14ac:dyDescent="0.2">
      <c r="A98" s="128">
        <v>40963</v>
      </c>
      <c r="B98" s="13">
        <v>2791</v>
      </c>
      <c r="C98" s="13">
        <v>1160</v>
      </c>
      <c r="D98" s="13">
        <v>1160</v>
      </c>
      <c r="E98" s="13">
        <v>0</v>
      </c>
      <c r="F98" s="13">
        <v>1630</v>
      </c>
      <c r="G98" s="13">
        <v>1923</v>
      </c>
      <c r="H98" s="13">
        <v>1923</v>
      </c>
      <c r="I98" s="13">
        <v>0</v>
      </c>
      <c r="J98" s="13">
        <v>-293</v>
      </c>
      <c r="K98" s="13">
        <v>62</v>
      </c>
      <c r="L98" s="13">
        <v>62</v>
      </c>
      <c r="M98" s="13">
        <v>0</v>
      </c>
      <c r="N98" s="119">
        <v>376</v>
      </c>
      <c r="O98" s="22">
        <v>140</v>
      </c>
      <c r="P98" s="22">
        <v>-53</v>
      </c>
      <c r="Q98" s="119">
        <v>289</v>
      </c>
      <c r="R98" s="13">
        <v>48</v>
      </c>
      <c r="S98" s="13">
        <v>83</v>
      </c>
    </row>
    <row r="99" spans="1:19" x14ac:dyDescent="0.2">
      <c r="A99" s="128">
        <v>40970</v>
      </c>
      <c r="B99" s="13">
        <v>2742</v>
      </c>
      <c r="C99" s="13">
        <v>1147</v>
      </c>
      <c r="D99" s="13">
        <v>1147</v>
      </c>
      <c r="E99" s="13">
        <v>0</v>
      </c>
      <c r="F99" s="13">
        <v>1595</v>
      </c>
      <c r="G99" s="13">
        <v>1907</v>
      </c>
      <c r="H99" s="13">
        <v>1907</v>
      </c>
      <c r="I99" s="13">
        <v>0</v>
      </c>
      <c r="J99" s="13">
        <v>-312</v>
      </c>
      <c r="K99" s="13">
        <v>52</v>
      </c>
      <c r="L99" s="13">
        <v>52</v>
      </c>
      <c r="M99" s="13">
        <v>0</v>
      </c>
      <c r="N99" s="119">
        <v>334</v>
      </c>
      <c r="O99" s="22">
        <v>144</v>
      </c>
      <c r="P99" s="22">
        <v>14</v>
      </c>
      <c r="Q99" s="119">
        <v>176</v>
      </c>
      <c r="R99" s="13">
        <v>44</v>
      </c>
      <c r="S99" s="13">
        <v>90</v>
      </c>
    </row>
    <row r="100" spans="1:19" x14ac:dyDescent="0.2">
      <c r="A100" s="128">
        <v>40977</v>
      </c>
      <c r="B100" s="13">
        <v>2828</v>
      </c>
      <c r="C100" s="13">
        <v>1181</v>
      </c>
      <c r="D100" s="13">
        <v>1181</v>
      </c>
      <c r="E100" s="13">
        <v>0</v>
      </c>
      <c r="F100" s="13">
        <v>1647</v>
      </c>
      <c r="G100" s="13">
        <v>1909</v>
      </c>
      <c r="H100" s="13">
        <v>1909</v>
      </c>
      <c r="I100" s="13">
        <v>0</v>
      </c>
      <c r="J100" s="13">
        <v>-263</v>
      </c>
      <c r="K100" s="13">
        <v>45</v>
      </c>
      <c r="L100" s="13">
        <v>45</v>
      </c>
      <c r="M100" s="13">
        <v>0</v>
      </c>
      <c r="N100" s="119">
        <v>322</v>
      </c>
      <c r="O100" s="22">
        <v>152</v>
      </c>
      <c r="P100" s="22">
        <v>-5</v>
      </c>
      <c r="Q100" s="119">
        <v>174</v>
      </c>
      <c r="R100" s="13">
        <v>48</v>
      </c>
      <c r="S100" s="13">
        <v>92</v>
      </c>
    </row>
    <row r="101" spans="1:19" x14ac:dyDescent="0.2">
      <c r="A101" s="128">
        <v>40984</v>
      </c>
      <c r="B101" s="13">
        <v>2769</v>
      </c>
      <c r="C101" s="13">
        <v>1159</v>
      </c>
      <c r="D101" s="13">
        <v>1159</v>
      </c>
      <c r="E101" s="13">
        <v>0</v>
      </c>
      <c r="F101" s="13">
        <v>1610</v>
      </c>
      <c r="G101" s="13">
        <v>1930</v>
      </c>
      <c r="H101" s="13">
        <v>1930</v>
      </c>
      <c r="I101" s="13">
        <v>0</v>
      </c>
      <c r="J101" s="13">
        <v>-319</v>
      </c>
      <c r="K101" s="13">
        <v>54</v>
      </c>
      <c r="L101" s="13">
        <v>54</v>
      </c>
      <c r="M101" s="13">
        <v>0</v>
      </c>
      <c r="N101" s="119">
        <v>354</v>
      </c>
      <c r="O101" s="22">
        <v>196</v>
      </c>
      <c r="P101" s="22">
        <v>1</v>
      </c>
      <c r="Q101" s="119">
        <v>158</v>
      </c>
      <c r="R101" s="13">
        <v>46</v>
      </c>
      <c r="S101" s="13">
        <v>86</v>
      </c>
    </row>
    <row r="102" spans="1:19" x14ac:dyDescent="0.2">
      <c r="A102" s="128">
        <v>40991</v>
      </c>
      <c r="B102" s="13">
        <v>2805</v>
      </c>
      <c r="C102" s="13">
        <v>1143</v>
      </c>
      <c r="D102" s="13">
        <v>1143</v>
      </c>
      <c r="E102" s="13">
        <v>0</v>
      </c>
      <c r="F102" s="13">
        <v>1662</v>
      </c>
      <c r="G102" s="13">
        <v>1968</v>
      </c>
      <c r="H102" s="13">
        <v>1968</v>
      </c>
      <c r="I102" s="13">
        <v>0</v>
      </c>
      <c r="J102" s="13">
        <v>-306</v>
      </c>
      <c r="K102" s="13">
        <v>53</v>
      </c>
      <c r="L102" s="13">
        <v>53</v>
      </c>
      <c r="M102" s="13">
        <v>0</v>
      </c>
      <c r="N102" s="119">
        <v>329</v>
      </c>
      <c r="O102" s="22">
        <v>184</v>
      </c>
      <c r="P102" s="22">
        <v>17</v>
      </c>
      <c r="Q102" s="119">
        <v>128</v>
      </c>
      <c r="R102" s="13">
        <v>49</v>
      </c>
      <c r="S102" s="13">
        <v>75</v>
      </c>
    </row>
    <row r="103" spans="1:19" x14ac:dyDescent="0.2">
      <c r="A103" s="128">
        <v>40998</v>
      </c>
      <c r="B103" s="13">
        <v>2852</v>
      </c>
      <c r="C103" s="13">
        <v>1183</v>
      </c>
      <c r="D103" s="13">
        <v>1183</v>
      </c>
      <c r="E103" s="13">
        <v>0</v>
      </c>
      <c r="F103" s="13">
        <v>1669</v>
      </c>
      <c r="G103" s="13">
        <v>1957</v>
      </c>
      <c r="H103" s="13">
        <v>1956</v>
      </c>
      <c r="I103" s="13">
        <v>0</v>
      </c>
      <c r="J103" s="13">
        <v>-287</v>
      </c>
      <c r="K103" s="13">
        <v>49</v>
      </c>
      <c r="L103" s="13">
        <v>49</v>
      </c>
      <c r="M103" s="13">
        <v>0</v>
      </c>
      <c r="N103" s="119">
        <v>300</v>
      </c>
      <c r="O103" s="22">
        <v>183</v>
      </c>
      <c r="P103" s="22">
        <v>0</v>
      </c>
      <c r="Q103" s="119">
        <v>117</v>
      </c>
      <c r="R103" s="13">
        <v>53</v>
      </c>
      <c r="S103" s="13">
        <v>83</v>
      </c>
    </row>
    <row r="104" spans="1:19" x14ac:dyDescent="0.2">
      <c r="A104" s="128">
        <v>41005</v>
      </c>
      <c r="B104" s="13">
        <v>2762</v>
      </c>
      <c r="C104" s="13">
        <v>1168</v>
      </c>
      <c r="D104" s="13">
        <v>1168</v>
      </c>
      <c r="E104" s="13">
        <v>0</v>
      </c>
      <c r="F104" s="13">
        <v>1594</v>
      </c>
      <c r="G104" s="13">
        <v>1944</v>
      </c>
      <c r="H104" s="13">
        <v>1944</v>
      </c>
      <c r="I104" s="13">
        <v>0</v>
      </c>
      <c r="J104" s="13">
        <v>-350</v>
      </c>
      <c r="K104" s="13">
        <v>52</v>
      </c>
      <c r="L104" s="13">
        <v>52</v>
      </c>
      <c r="M104" s="13">
        <v>0</v>
      </c>
      <c r="N104" s="119">
        <v>332</v>
      </c>
      <c r="O104" s="22">
        <v>221</v>
      </c>
      <c r="P104" s="22">
        <v>-19</v>
      </c>
      <c r="Q104" s="119">
        <v>130</v>
      </c>
      <c r="R104" s="13">
        <v>50</v>
      </c>
      <c r="S104" s="13">
        <v>70</v>
      </c>
    </row>
    <row r="105" spans="1:19" x14ac:dyDescent="0.2">
      <c r="A105" s="128">
        <v>41012</v>
      </c>
      <c r="B105" s="13">
        <v>2920</v>
      </c>
      <c r="C105" s="13">
        <v>1196</v>
      </c>
      <c r="D105" s="13">
        <v>1196</v>
      </c>
      <c r="E105" s="13">
        <v>0</v>
      </c>
      <c r="F105" s="13">
        <v>1724</v>
      </c>
      <c r="G105" s="13">
        <v>1973</v>
      </c>
      <c r="H105" s="13">
        <v>1973</v>
      </c>
      <c r="I105" s="13">
        <v>0</v>
      </c>
      <c r="J105" s="13">
        <v>-250</v>
      </c>
      <c r="K105" s="13">
        <v>51</v>
      </c>
      <c r="L105" s="13">
        <v>51</v>
      </c>
      <c r="M105" s="13">
        <v>0</v>
      </c>
      <c r="N105" s="119">
        <v>381</v>
      </c>
      <c r="O105" s="22">
        <v>269</v>
      </c>
      <c r="P105" s="22">
        <v>3</v>
      </c>
      <c r="Q105" s="119">
        <v>109</v>
      </c>
      <c r="R105" s="13">
        <v>45</v>
      </c>
      <c r="S105" s="13">
        <v>66</v>
      </c>
    </row>
    <row r="106" spans="1:19" x14ac:dyDescent="0.2">
      <c r="A106" s="128">
        <v>41019</v>
      </c>
      <c r="B106" s="13">
        <v>2793</v>
      </c>
      <c r="C106" s="13">
        <v>1137</v>
      </c>
      <c r="D106" s="13">
        <v>1137</v>
      </c>
      <c r="E106" s="13">
        <v>0</v>
      </c>
      <c r="F106" s="13">
        <v>1656</v>
      </c>
      <c r="G106" s="13">
        <v>1875</v>
      </c>
      <c r="H106" s="13">
        <v>1875</v>
      </c>
      <c r="I106" s="13">
        <v>0</v>
      </c>
      <c r="J106" s="13">
        <v>-219</v>
      </c>
      <c r="K106" s="13">
        <v>55</v>
      </c>
      <c r="L106" s="13">
        <v>55</v>
      </c>
      <c r="M106" s="13">
        <v>0</v>
      </c>
      <c r="N106" s="119">
        <v>304</v>
      </c>
      <c r="O106" s="22">
        <v>227</v>
      </c>
      <c r="P106" s="22">
        <v>25</v>
      </c>
      <c r="Q106" s="119">
        <v>52</v>
      </c>
      <c r="R106" s="13">
        <v>47</v>
      </c>
      <c r="S106" s="13">
        <v>62</v>
      </c>
    </row>
    <row r="107" spans="1:19" x14ac:dyDescent="0.2">
      <c r="A107" s="128">
        <v>41026</v>
      </c>
      <c r="B107" s="13">
        <v>2745</v>
      </c>
      <c r="C107" s="13">
        <v>1100</v>
      </c>
      <c r="D107" s="13">
        <v>1100</v>
      </c>
      <c r="E107" s="13">
        <v>0</v>
      </c>
      <c r="F107" s="13">
        <v>1645</v>
      </c>
      <c r="G107" s="13">
        <v>1878</v>
      </c>
      <c r="H107" s="13">
        <v>1878</v>
      </c>
      <c r="I107" s="13">
        <v>0</v>
      </c>
      <c r="J107" s="13">
        <v>-232</v>
      </c>
      <c r="K107" s="13">
        <v>43</v>
      </c>
      <c r="L107" s="13">
        <v>43</v>
      </c>
      <c r="M107" s="13">
        <v>0</v>
      </c>
      <c r="N107" s="119">
        <v>273</v>
      </c>
      <c r="O107" s="22">
        <v>250</v>
      </c>
      <c r="P107" s="22">
        <v>-29</v>
      </c>
      <c r="Q107" s="119">
        <v>52</v>
      </c>
      <c r="R107" s="13">
        <v>51</v>
      </c>
      <c r="S107" s="13">
        <v>68</v>
      </c>
    </row>
    <row r="108" spans="1:19" x14ac:dyDescent="0.2">
      <c r="A108" s="128">
        <v>41033</v>
      </c>
      <c r="B108" s="13">
        <v>2913</v>
      </c>
      <c r="C108" s="13">
        <v>1179</v>
      </c>
      <c r="D108" s="13">
        <v>1179</v>
      </c>
      <c r="E108" s="13">
        <v>0</v>
      </c>
      <c r="F108" s="13">
        <v>1734</v>
      </c>
      <c r="G108" s="13">
        <v>1945</v>
      </c>
      <c r="H108" s="13">
        <v>1945</v>
      </c>
      <c r="I108" s="13">
        <v>0</v>
      </c>
      <c r="J108" s="13">
        <v>-211</v>
      </c>
      <c r="K108" s="13">
        <v>33</v>
      </c>
      <c r="L108" s="13">
        <v>33</v>
      </c>
      <c r="M108" s="13">
        <v>0</v>
      </c>
      <c r="N108" s="119">
        <v>354</v>
      </c>
      <c r="O108" s="22">
        <v>269</v>
      </c>
      <c r="P108" s="22">
        <v>10</v>
      </c>
      <c r="Q108" s="119">
        <v>75</v>
      </c>
      <c r="R108" s="13">
        <v>47</v>
      </c>
      <c r="S108" s="13">
        <v>60</v>
      </c>
    </row>
    <row r="109" spans="1:19" x14ac:dyDescent="0.2">
      <c r="A109" s="128">
        <v>41040</v>
      </c>
      <c r="B109" s="13">
        <v>2938</v>
      </c>
      <c r="C109" s="13">
        <v>1191</v>
      </c>
      <c r="D109" s="13">
        <v>1191</v>
      </c>
      <c r="E109" s="13">
        <v>0</v>
      </c>
      <c r="F109" s="13">
        <v>1747</v>
      </c>
      <c r="G109" s="13">
        <v>1958</v>
      </c>
      <c r="H109" s="13">
        <v>1958</v>
      </c>
      <c r="I109" s="13">
        <v>0</v>
      </c>
      <c r="J109" s="13">
        <v>-210</v>
      </c>
      <c r="K109" s="13">
        <v>49</v>
      </c>
      <c r="L109" s="13">
        <v>49</v>
      </c>
      <c r="M109" s="13">
        <v>0</v>
      </c>
      <c r="N109" s="119">
        <v>341</v>
      </c>
      <c r="O109" s="22">
        <v>288</v>
      </c>
      <c r="P109" s="22">
        <v>1</v>
      </c>
      <c r="Q109" s="119">
        <v>53</v>
      </c>
      <c r="R109" s="13">
        <v>44</v>
      </c>
      <c r="S109" s="13">
        <v>75</v>
      </c>
    </row>
    <row r="110" spans="1:19" x14ac:dyDescent="0.2">
      <c r="A110" s="128">
        <v>41047</v>
      </c>
      <c r="B110" s="13">
        <v>3028</v>
      </c>
      <c r="C110" s="13">
        <v>1217</v>
      </c>
      <c r="D110" s="13">
        <v>1217</v>
      </c>
      <c r="E110" s="13">
        <v>0</v>
      </c>
      <c r="F110" s="13">
        <v>1811</v>
      </c>
      <c r="G110" s="13">
        <v>1953</v>
      </c>
      <c r="H110" s="13">
        <v>1953</v>
      </c>
      <c r="I110" s="13">
        <v>0</v>
      </c>
      <c r="J110" s="13">
        <v>-141</v>
      </c>
      <c r="K110" s="13">
        <v>52</v>
      </c>
      <c r="L110" s="13">
        <v>52</v>
      </c>
      <c r="M110" s="13">
        <v>0</v>
      </c>
      <c r="N110" s="119">
        <v>291</v>
      </c>
      <c r="O110" s="22">
        <v>219</v>
      </c>
      <c r="P110" s="22">
        <v>16</v>
      </c>
      <c r="Q110" s="119">
        <v>56</v>
      </c>
      <c r="R110" s="13">
        <v>26</v>
      </c>
      <c r="S110" s="13">
        <v>65</v>
      </c>
    </row>
    <row r="111" spans="1:19" x14ac:dyDescent="0.2">
      <c r="A111" s="128">
        <v>41054</v>
      </c>
      <c r="B111" s="13">
        <v>3008</v>
      </c>
      <c r="C111" s="13">
        <v>1215</v>
      </c>
      <c r="D111" s="13">
        <v>1215</v>
      </c>
      <c r="E111" s="13">
        <v>0</v>
      </c>
      <c r="F111" s="13">
        <v>1792</v>
      </c>
      <c r="G111" s="13">
        <v>1991</v>
      </c>
      <c r="H111" s="13">
        <v>1991</v>
      </c>
      <c r="I111" s="13">
        <v>0</v>
      </c>
      <c r="J111" s="13">
        <v>-198</v>
      </c>
      <c r="K111" s="13">
        <v>50</v>
      </c>
      <c r="L111" s="13">
        <v>50</v>
      </c>
      <c r="M111" s="13">
        <v>0</v>
      </c>
      <c r="N111" s="119">
        <v>325</v>
      </c>
      <c r="O111" s="22">
        <v>219</v>
      </c>
      <c r="P111" s="22">
        <v>-5</v>
      </c>
      <c r="Q111" s="119">
        <v>111</v>
      </c>
      <c r="R111" s="13">
        <v>30</v>
      </c>
      <c r="S111" s="13">
        <v>74</v>
      </c>
    </row>
    <row r="112" spans="1:19" x14ac:dyDescent="0.2">
      <c r="A112" s="128">
        <v>41061</v>
      </c>
      <c r="B112" s="13">
        <v>2858</v>
      </c>
      <c r="C112" s="13">
        <v>1151</v>
      </c>
      <c r="D112" s="13">
        <v>1151</v>
      </c>
      <c r="E112" s="13">
        <v>0</v>
      </c>
      <c r="F112" s="13">
        <v>1707</v>
      </c>
      <c r="G112" s="13">
        <v>1898</v>
      </c>
      <c r="H112" s="13">
        <v>1898</v>
      </c>
      <c r="I112" s="13">
        <v>0</v>
      </c>
      <c r="J112" s="13">
        <v>-191</v>
      </c>
      <c r="K112" s="13">
        <v>41</v>
      </c>
      <c r="L112" s="13">
        <v>41</v>
      </c>
      <c r="M112" s="13">
        <v>0</v>
      </c>
      <c r="N112" s="119">
        <v>331</v>
      </c>
      <c r="O112" s="22">
        <v>228</v>
      </c>
      <c r="P112" s="22">
        <v>-1</v>
      </c>
      <c r="Q112" s="119">
        <v>104</v>
      </c>
      <c r="R112" s="13">
        <v>42</v>
      </c>
      <c r="S112" s="13">
        <v>70</v>
      </c>
    </row>
    <row r="113" spans="1:20" x14ac:dyDescent="0.2">
      <c r="A113" s="128">
        <v>41068</v>
      </c>
      <c r="B113" s="13">
        <v>3007</v>
      </c>
      <c r="C113" s="13">
        <v>1210</v>
      </c>
      <c r="D113" s="13">
        <v>1210</v>
      </c>
      <c r="E113" s="13">
        <v>0</v>
      </c>
      <c r="F113" s="13">
        <v>1796</v>
      </c>
      <c r="G113" s="13">
        <v>1993</v>
      </c>
      <c r="H113" s="13">
        <v>1993</v>
      </c>
      <c r="I113" s="13">
        <v>0</v>
      </c>
      <c r="J113" s="13">
        <v>-197</v>
      </c>
      <c r="K113" s="13">
        <v>47</v>
      </c>
      <c r="L113" s="13">
        <v>47</v>
      </c>
      <c r="M113" s="13">
        <v>0</v>
      </c>
      <c r="N113" s="119">
        <v>323</v>
      </c>
      <c r="O113" s="22">
        <v>260</v>
      </c>
      <c r="P113" s="22">
        <v>18</v>
      </c>
      <c r="Q113" s="119">
        <v>45</v>
      </c>
      <c r="R113" s="13">
        <v>43</v>
      </c>
      <c r="S113" s="13">
        <v>63</v>
      </c>
    </row>
    <row r="114" spans="1:20" x14ac:dyDescent="0.2">
      <c r="A114" s="128">
        <v>41075</v>
      </c>
      <c r="B114" s="13">
        <v>2939</v>
      </c>
      <c r="C114" s="13">
        <v>1215</v>
      </c>
      <c r="D114" s="13">
        <v>1215</v>
      </c>
      <c r="E114" s="13">
        <v>0</v>
      </c>
      <c r="F114" s="13">
        <v>1724</v>
      </c>
      <c r="G114" s="13">
        <v>1945</v>
      </c>
      <c r="H114" s="13">
        <v>1945</v>
      </c>
      <c r="I114" s="13">
        <v>0</v>
      </c>
      <c r="J114" s="13">
        <v>-221</v>
      </c>
      <c r="K114" s="13">
        <v>42</v>
      </c>
      <c r="L114" s="13">
        <v>42</v>
      </c>
      <c r="M114" s="13">
        <v>0</v>
      </c>
      <c r="N114" s="119">
        <v>357</v>
      </c>
      <c r="O114" s="22">
        <v>257</v>
      </c>
      <c r="P114" s="22">
        <v>-6</v>
      </c>
      <c r="Q114" s="119">
        <v>106</v>
      </c>
      <c r="R114" s="13">
        <v>108</v>
      </c>
      <c r="S114" s="13">
        <v>69</v>
      </c>
    </row>
    <row r="115" spans="1:20" x14ac:dyDescent="0.2">
      <c r="A115" s="128">
        <v>41082</v>
      </c>
      <c r="B115" s="13">
        <v>3005</v>
      </c>
      <c r="C115" s="13">
        <v>1223</v>
      </c>
      <c r="D115" s="13">
        <v>1223</v>
      </c>
      <c r="E115" s="13">
        <v>0</v>
      </c>
      <c r="F115" s="13">
        <v>1781</v>
      </c>
      <c r="G115" s="13">
        <v>1974</v>
      </c>
      <c r="H115" s="13">
        <v>1974</v>
      </c>
      <c r="I115" s="13">
        <v>0</v>
      </c>
      <c r="J115" s="13">
        <v>-193</v>
      </c>
      <c r="K115" s="13">
        <v>49</v>
      </c>
      <c r="L115" s="13">
        <v>49</v>
      </c>
      <c r="M115" s="13">
        <v>0</v>
      </c>
      <c r="N115" s="119">
        <v>354</v>
      </c>
      <c r="O115" s="22">
        <v>261</v>
      </c>
      <c r="P115" s="22">
        <v>-7</v>
      </c>
      <c r="Q115" s="119">
        <v>100</v>
      </c>
      <c r="R115" s="13">
        <v>64</v>
      </c>
      <c r="S115" s="13">
        <v>69</v>
      </c>
    </row>
    <row r="116" spans="1:20" x14ac:dyDescent="0.2">
      <c r="A116" s="128">
        <v>41089</v>
      </c>
      <c r="B116" s="13">
        <v>3005</v>
      </c>
      <c r="C116" s="13">
        <v>1240</v>
      </c>
      <c r="D116" s="13">
        <v>1240</v>
      </c>
      <c r="E116" s="13">
        <v>0</v>
      </c>
      <c r="F116" s="13">
        <v>1765</v>
      </c>
      <c r="G116" s="13">
        <v>1951</v>
      </c>
      <c r="H116" s="13">
        <v>1951</v>
      </c>
      <c r="I116" s="13">
        <v>0</v>
      </c>
      <c r="J116" s="13">
        <v>-186</v>
      </c>
      <c r="K116" s="13">
        <v>43</v>
      </c>
      <c r="L116" s="13">
        <v>43</v>
      </c>
      <c r="M116" s="13">
        <v>0</v>
      </c>
      <c r="N116" s="119">
        <v>319</v>
      </c>
      <c r="O116" s="22">
        <v>247</v>
      </c>
      <c r="P116" s="22">
        <v>21</v>
      </c>
      <c r="Q116" s="119">
        <v>51</v>
      </c>
      <c r="R116" s="13">
        <v>38</v>
      </c>
      <c r="S116" s="13">
        <v>67</v>
      </c>
    </row>
    <row r="117" spans="1:20" x14ac:dyDescent="0.2">
      <c r="A117" s="128">
        <v>41096</v>
      </c>
      <c r="B117" s="13">
        <v>3000</v>
      </c>
      <c r="C117" s="13">
        <v>1194</v>
      </c>
      <c r="D117" s="13">
        <v>1194</v>
      </c>
      <c r="E117" s="13">
        <v>0</v>
      </c>
      <c r="F117" s="13">
        <v>1805</v>
      </c>
      <c r="G117" s="13">
        <v>2002</v>
      </c>
      <c r="H117" s="13">
        <v>2002</v>
      </c>
      <c r="I117" s="13">
        <v>0</v>
      </c>
      <c r="J117" s="13">
        <v>-196</v>
      </c>
      <c r="K117" s="13">
        <v>44</v>
      </c>
      <c r="L117" s="13">
        <v>44</v>
      </c>
      <c r="M117" s="13">
        <v>0</v>
      </c>
      <c r="N117" s="119">
        <v>322</v>
      </c>
      <c r="O117" s="22">
        <v>244</v>
      </c>
      <c r="P117" s="22">
        <v>3</v>
      </c>
      <c r="Q117" s="119">
        <v>75</v>
      </c>
      <c r="R117" s="13">
        <v>41</v>
      </c>
      <c r="S117" s="13">
        <v>56</v>
      </c>
    </row>
    <row r="118" spans="1:20" x14ac:dyDescent="0.2">
      <c r="A118" s="128">
        <v>41103</v>
      </c>
      <c r="B118" s="13">
        <v>2865</v>
      </c>
      <c r="C118" s="13">
        <v>1193</v>
      </c>
      <c r="D118" s="13">
        <v>1193</v>
      </c>
      <c r="E118" s="13">
        <v>0</v>
      </c>
      <c r="F118" s="13">
        <v>1672</v>
      </c>
      <c r="G118" s="13">
        <v>1908</v>
      </c>
      <c r="H118" s="13">
        <v>1908</v>
      </c>
      <c r="I118" s="13">
        <v>0</v>
      </c>
      <c r="J118" s="13">
        <v>-236</v>
      </c>
      <c r="K118" s="13">
        <v>48</v>
      </c>
      <c r="L118" s="13">
        <v>48</v>
      </c>
      <c r="M118" s="13">
        <v>0</v>
      </c>
      <c r="N118" s="119">
        <v>329</v>
      </c>
      <c r="O118" s="22">
        <v>239</v>
      </c>
      <c r="P118" s="22">
        <v>4</v>
      </c>
      <c r="Q118" s="119">
        <v>87</v>
      </c>
      <c r="R118" s="13">
        <v>38</v>
      </c>
      <c r="S118" s="13">
        <v>47</v>
      </c>
    </row>
    <row r="119" spans="1:20" x14ac:dyDescent="0.2">
      <c r="A119" s="128">
        <v>41110</v>
      </c>
      <c r="B119" s="13">
        <v>2974</v>
      </c>
      <c r="C119" s="13">
        <v>1246</v>
      </c>
      <c r="D119" s="13">
        <v>1246</v>
      </c>
      <c r="E119" s="13">
        <v>0</v>
      </c>
      <c r="F119" s="13">
        <v>1728</v>
      </c>
      <c r="G119" s="13">
        <v>1942</v>
      </c>
      <c r="H119" s="13">
        <v>1942</v>
      </c>
      <c r="I119" s="13">
        <v>0</v>
      </c>
      <c r="J119" s="13">
        <v>-214</v>
      </c>
      <c r="K119" s="13">
        <v>48</v>
      </c>
      <c r="L119" s="13">
        <v>48</v>
      </c>
      <c r="M119" s="13">
        <v>0</v>
      </c>
      <c r="N119" s="119">
        <v>356</v>
      </c>
      <c r="O119" s="22">
        <v>256</v>
      </c>
      <c r="P119" s="22">
        <v>-3</v>
      </c>
      <c r="Q119" s="119">
        <v>104</v>
      </c>
      <c r="R119" s="13">
        <v>47</v>
      </c>
      <c r="S119" s="13">
        <v>58</v>
      </c>
    </row>
    <row r="120" spans="1:20" x14ac:dyDescent="0.2">
      <c r="A120" s="128">
        <v>41117</v>
      </c>
      <c r="B120" s="13">
        <v>2872</v>
      </c>
      <c r="C120" s="13">
        <v>1208</v>
      </c>
      <c r="D120" s="13">
        <v>1208</v>
      </c>
      <c r="E120" s="13">
        <v>0</v>
      </c>
      <c r="F120" s="13">
        <v>1664</v>
      </c>
      <c r="G120" s="13">
        <v>1903</v>
      </c>
      <c r="H120" s="13">
        <v>1903</v>
      </c>
      <c r="I120" s="13">
        <v>0</v>
      </c>
      <c r="J120" s="13">
        <v>-239</v>
      </c>
      <c r="K120" s="13">
        <v>47</v>
      </c>
      <c r="L120" s="13">
        <v>47</v>
      </c>
      <c r="M120" s="13">
        <v>0</v>
      </c>
      <c r="N120" s="119">
        <v>369</v>
      </c>
      <c r="O120" s="22">
        <v>273</v>
      </c>
      <c r="P120" s="22">
        <v>15</v>
      </c>
      <c r="Q120" s="119">
        <v>81</v>
      </c>
      <c r="R120" s="13">
        <v>46</v>
      </c>
      <c r="S120" s="13">
        <v>51</v>
      </c>
    </row>
    <row r="121" spans="1:20" x14ac:dyDescent="0.2">
      <c r="A121" s="128">
        <v>41124</v>
      </c>
      <c r="B121" s="13">
        <v>2998</v>
      </c>
      <c r="C121" s="13">
        <v>1247</v>
      </c>
      <c r="D121" s="13">
        <v>1247</v>
      </c>
      <c r="E121" s="13">
        <v>0</v>
      </c>
      <c r="F121" s="13">
        <v>1752</v>
      </c>
      <c r="G121" s="13">
        <v>1955</v>
      </c>
      <c r="H121" s="13">
        <v>1955</v>
      </c>
      <c r="I121" s="13">
        <v>0</v>
      </c>
      <c r="J121" s="13">
        <v>-204</v>
      </c>
      <c r="K121" s="13">
        <v>57</v>
      </c>
      <c r="L121" s="13">
        <v>57</v>
      </c>
      <c r="M121" s="13">
        <v>0</v>
      </c>
      <c r="N121" s="119">
        <v>389</v>
      </c>
      <c r="O121" s="22">
        <v>265</v>
      </c>
      <c r="P121" s="22">
        <v>55</v>
      </c>
      <c r="Q121" s="119">
        <v>68</v>
      </c>
      <c r="R121" s="13">
        <v>50</v>
      </c>
      <c r="S121" s="13">
        <v>48</v>
      </c>
    </row>
    <row r="122" spans="1:20" x14ac:dyDescent="0.2">
      <c r="A122" s="128">
        <v>41131</v>
      </c>
      <c r="B122" s="13">
        <v>2975</v>
      </c>
      <c r="C122" s="13">
        <v>1225</v>
      </c>
      <c r="D122" s="13">
        <v>1225</v>
      </c>
      <c r="E122" s="13">
        <v>0</v>
      </c>
      <c r="F122" s="13">
        <v>1750</v>
      </c>
      <c r="G122" s="13">
        <v>1938</v>
      </c>
      <c r="H122" s="13">
        <v>1938</v>
      </c>
      <c r="I122" s="13">
        <v>0</v>
      </c>
      <c r="J122" s="13">
        <v>-188</v>
      </c>
      <c r="K122" s="13">
        <v>48</v>
      </c>
      <c r="L122" s="13">
        <v>48</v>
      </c>
      <c r="M122" s="13">
        <v>0</v>
      </c>
      <c r="N122" s="119">
        <v>376</v>
      </c>
      <c r="O122" s="22">
        <v>241</v>
      </c>
      <c r="P122" s="22">
        <v>45</v>
      </c>
      <c r="Q122" s="119">
        <v>90</v>
      </c>
      <c r="R122" s="13">
        <v>33</v>
      </c>
      <c r="S122" s="13">
        <v>51</v>
      </c>
    </row>
    <row r="123" spans="1:20" x14ac:dyDescent="0.2">
      <c r="A123" s="128"/>
    </row>
    <row r="126" spans="1:20" ht="15.75" x14ac:dyDescent="0.25">
      <c r="A126" s="101" t="s">
        <v>384</v>
      </c>
      <c r="B126" s="120" t="s">
        <v>714</v>
      </c>
    </row>
    <row r="127" spans="1:20" ht="24" x14ac:dyDescent="0.2">
      <c r="A127" s="122" t="s">
        <v>490</v>
      </c>
      <c r="B127" s="123" t="s">
        <v>715</v>
      </c>
      <c r="C127" s="123" t="s">
        <v>716</v>
      </c>
      <c r="D127" s="123" t="s">
        <v>717</v>
      </c>
      <c r="E127" s="123" t="s">
        <v>718</v>
      </c>
      <c r="F127" s="123" t="s">
        <v>719</v>
      </c>
      <c r="G127" s="123" t="s">
        <v>720</v>
      </c>
      <c r="H127" s="123" t="s">
        <v>721</v>
      </c>
      <c r="I127" s="123" t="s">
        <v>722</v>
      </c>
      <c r="J127" s="123" t="s">
        <v>723</v>
      </c>
      <c r="K127" s="123" t="s">
        <v>724</v>
      </c>
      <c r="L127" s="123" t="s">
        <v>725</v>
      </c>
      <c r="M127" s="123" t="s">
        <v>726</v>
      </c>
      <c r="N127" s="124" t="s">
        <v>727</v>
      </c>
      <c r="O127" s="123" t="s">
        <v>728</v>
      </c>
      <c r="P127" s="123" t="s">
        <v>729</v>
      </c>
      <c r="Q127" s="124" t="s">
        <v>730</v>
      </c>
      <c r="R127" s="123" t="s">
        <v>731</v>
      </c>
      <c r="S127" s="123" t="s">
        <v>732</v>
      </c>
      <c r="T127" s="123"/>
    </row>
    <row r="128" spans="1:20" ht="140.25" x14ac:dyDescent="0.2">
      <c r="A128" s="125" t="s">
        <v>508</v>
      </c>
      <c r="B128" s="126" t="s">
        <v>733</v>
      </c>
      <c r="C128" s="126" t="s">
        <v>734</v>
      </c>
      <c r="D128" s="126" t="s">
        <v>735</v>
      </c>
      <c r="E128" s="126" t="s">
        <v>736</v>
      </c>
      <c r="F128" s="126" t="s">
        <v>737</v>
      </c>
      <c r="G128" s="126" t="s">
        <v>738</v>
      </c>
      <c r="H128" s="126" t="s">
        <v>739</v>
      </c>
      <c r="I128" s="126" t="s">
        <v>740</v>
      </c>
      <c r="J128" s="126" t="s">
        <v>741</v>
      </c>
      <c r="K128" s="126" t="s">
        <v>742</v>
      </c>
      <c r="L128" s="126" t="s">
        <v>743</v>
      </c>
      <c r="M128" s="126" t="s">
        <v>744</v>
      </c>
      <c r="N128" s="127" t="s">
        <v>745</v>
      </c>
      <c r="O128" s="126" t="s">
        <v>746</v>
      </c>
      <c r="P128" s="126" t="s">
        <v>747</v>
      </c>
      <c r="Q128" s="127" t="s">
        <v>748</v>
      </c>
      <c r="R128" s="126" t="s">
        <v>749</v>
      </c>
      <c r="S128" s="126" t="s">
        <v>750</v>
      </c>
      <c r="T128" s="126"/>
    </row>
    <row r="129" spans="1:19" x14ac:dyDescent="0.2">
      <c r="A129" s="128">
        <v>40354</v>
      </c>
      <c r="B129" s="13">
        <v>2201</v>
      </c>
      <c r="C129" s="13">
        <v>356</v>
      </c>
      <c r="D129" s="13">
        <v>354</v>
      </c>
      <c r="E129" s="13">
        <v>2</v>
      </c>
      <c r="F129" s="13">
        <v>1845</v>
      </c>
      <c r="G129" s="13">
        <v>1812</v>
      </c>
      <c r="H129" s="13">
        <v>1811</v>
      </c>
      <c r="I129" s="13">
        <v>1</v>
      </c>
      <c r="J129" s="13">
        <v>33</v>
      </c>
      <c r="K129" s="13">
        <v>224</v>
      </c>
      <c r="L129" s="13">
        <v>211</v>
      </c>
      <c r="M129" s="13">
        <v>13</v>
      </c>
      <c r="N129" s="119">
        <v>1007</v>
      </c>
      <c r="O129" s="22">
        <v>955</v>
      </c>
      <c r="P129" s="22">
        <v>40</v>
      </c>
      <c r="Q129" s="119">
        <v>11</v>
      </c>
      <c r="R129" s="13">
        <v>52</v>
      </c>
      <c r="S129" s="13">
        <v>262</v>
      </c>
    </row>
    <row r="130" spans="1:19" x14ac:dyDescent="0.2">
      <c r="A130" s="128">
        <v>40361</v>
      </c>
      <c r="B130" s="13">
        <v>2227</v>
      </c>
      <c r="C130" s="13">
        <v>362</v>
      </c>
      <c r="D130" s="13">
        <v>360</v>
      </c>
      <c r="E130" s="13">
        <v>2</v>
      </c>
      <c r="F130" s="13">
        <v>1865</v>
      </c>
      <c r="G130" s="13">
        <v>1841</v>
      </c>
      <c r="H130" s="13">
        <v>1840</v>
      </c>
      <c r="I130" s="13">
        <v>1</v>
      </c>
      <c r="J130" s="13">
        <v>23</v>
      </c>
      <c r="K130" s="13">
        <v>231</v>
      </c>
      <c r="L130" s="13">
        <v>217</v>
      </c>
      <c r="M130" s="13">
        <v>14</v>
      </c>
      <c r="N130" s="119">
        <v>998</v>
      </c>
      <c r="O130" s="22">
        <v>952</v>
      </c>
      <c r="P130" s="22">
        <v>37</v>
      </c>
      <c r="Q130" s="119">
        <v>9</v>
      </c>
      <c r="R130" s="13">
        <v>52</v>
      </c>
      <c r="S130" s="13">
        <v>264</v>
      </c>
    </row>
    <row r="131" spans="1:19" x14ac:dyDescent="0.2">
      <c r="A131" s="128">
        <v>40368</v>
      </c>
      <c r="B131" s="13">
        <v>2252</v>
      </c>
      <c r="C131" s="13">
        <v>366</v>
      </c>
      <c r="D131" s="13">
        <v>365</v>
      </c>
      <c r="E131" s="13">
        <v>1</v>
      </c>
      <c r="F131" s="13">
        <v>1886</v>
      </c>
      <c r="G131" s="13">
        <v>1862</v>
      </c>
      <c r="H131" s="13">
        <v>1861</v>
      </c>
      <c r="I131" s="13">
        <v>1</v>
      </c>
      <c r="J131" s="13">
        <v>25</v>
      </c>
      <c r="K131" s="13">
        <v>241</v>
      </c>
      <c r="L131" s="13">
        <v>225</v>
      </c>
      <c r="M131" s="13">
        <v>16</v>
      </c>
      <c r="N131" s="119">
        <v>993</v>
      </c>
      <c r="O131" s="22">
        <v>949</v>
      </c>
      <c r="P131" s="22">
        <v>34</v>
      </c>
      <c r="Q131" s="119">
        <v>10</v>
      </c>
      <c r="R131" s="13">
        <v>50</v>
      </c>
      <c r="S131" s="13">
        <v>263</v>
      </c>
    </row>
    <row r="132" spans="1:19" x14ac:dyDescent="0.2">
      <c r="A132" s="128">
        <v>40375</v>
      </c>
      <c r="B132" s="13">
        <v>2262</v>
      </c>
      <c r="C132" s="13">
        <v>364</v>
      </c>
      <c r="D132" s="13">
        <v>364</v>
      </c>
      <c r="E132" s="13">
        <v>0</v>
      </c>
      <c r="F132" s="13">
        <v>1897</v>
      </c>
      <c r="G132" s="13">
        <v>1859</v>
      </c>
      <c r="H132" s="13">
        <v>1858</v>
      </c>
      <c r="I132" s="13">
        <v>1</v>
      </c>
      <c r="J132" s="13">
        <v>38</v>
      </c>
      <c r="K132" s="13">
        <v>248</v>
      </c>
      <c r="L132" s="13">
        <v>233</v>
      </c>
      <c r="M132" s="13">
        <v>15</v>
      </c>
      <c r="N132" s="119">
        <v>1019</v>
      </c>
      <c r="O132" s="22">
        <v>974</v>
      </c>
      <c r="P132" s="22">
        <v>32</v>
      </c>
      <c r="Q132" s="119">
        <v>13</v>
      </c>
      <c r="R132" s="13">
        <v>48</v>
      </c>
      <c r="S132" s="13">
        <v>263</v>
      </c>
    </row>
    <row r="133" spans="1:19" x14ac:dyDescent="0.2">
      <c r="A133" s="128">
        <v>40382</v>
      </c>
      <c r="B133" s="13">
        <v>2265</v>
      </c>
      <c r="C133" s="13">
        <v>367</v>
      </c>
      <c r="D133" s="13">
        <v>367</v>
      </c>
      <c r="E133" s="13">
        <v>0</v>
      </c>
      <c r="F133" s="13">
        <v>1899</v>
      </c>
      <c r="G133" s="13">
        <v>1872</v>
      </c>
      <c r="H133" s="13">
        <v>1871</v>
      </c>
      <c r="I133" s="13">
        <v>1</v>
      </c>
      <c r="J133" s="13">
        <v>27</v>
      </c>
      <c r="K133" s="13">
        <v>253</v>
      </c>
      <c r="L133" s="13">
        <v>238</v>
      </c>
      <c r="M133" s="13">
        <v>15</v>
      </c>
      <c r="N133" s="119">
        <v>1016</v>
      </c>
      <c r="O133" s="22">
        <v>965</v>
      </c>
      <c r="P133" s="22">
        <v>33</v>
      </c>
      <c r="Q133" s="119">
        <v>17</v>
      </c>
      <c r="R133" s="13">
        <v>44</v>
      </c>
      <c r="S133" s="13">
        <v>265</v>
      </c>
    </row>
    <row r="134" spans="1:19" x14ac:dyDescent="0.2">
      <c r="A134" s="128">
        <v>40389</v>
      </c>
      <c r="B134" s="13">
        <v>2271</v>
      </c>
      <c r="C134" s="13">
        <v>365</v>
      </c>
      <c r="D134" s="13">
        <v>365</v>
      </c>
      <c r="E134" s="13">
        <v>0</v>
      </c>
      <c r="F134" s="13">
        <v>1906</v>
      </c>
      <c r="G134" s="13">
        <v>1868</v>
      </c>
      <c r="H134" s="13">
        <v>1867</v>
      </c>
      <c r="I134" s="13">
        <v>1</v>
      </c>
      <c r="J134" s="13">
        <v>38</v>
      </c>
      <c r="K134" s="13">
        <v>251</v>
      </c>
      <c r="L134" s="13">
        <v>233</v>
      </c>
      <c r="M134" s="13">
        <v>17</v>
      </c>
      <c r="N134" s="119">
        <v>1023</v>
      </c>
      <c r="O134" s="22">
        <v>966</v>
      </c>
      <c r="P134" s="22">
        <v>33</v>
      </c>
      <c r="Q134" s="119">
        <v>23</v>
      </c>
      <c r="R134" s="13">
        <v>42</v>
      </c>
      <c r="S134" s="13">
        <v>262</v>
      </c>
    </row>
    <row r="135" spans="1:19" x14ac:dyDescent="0.2">
      <c r="A135" s="128">
        <v>40396</v>
      </c>
      <c r="B135" s="13">
        <v>2262</v>
      </c>
      <c r="C135" s="13">
        <v>366</v>
      </c>
      <c r="D135" s="13">
        <v>366</v>
      </c>
      <c r="E135" s="13">
        <v>0</v>
      </c>
      <c r="F135" s="13">
        <v>1896</v>
      </c>
      <c r="G135" s="13">
        <v>1862</v>
      </c>
      <c r="H135" s="13">
        <v>1861</v>
      </c>
      <c r="I135" s="13">
        <v>1</v>
      </c>
      <c r="J135" s="13">
        <v>35</v>
      </c>
      <c r="K135" s="13">
        <v>247</v>
      </c>
      <c r="L135" s="13">
        <v>233</v>
      </c>
      <c r="M135" s="13">
        <v>14</v>
      </c>
      <c r="N135" s="119">
        <v>1027</v>
      </c>
      <c r="O135" s="22">
        <v>966</v>
      </c>
      <c r="P135" s="22">
        <v>37</v>
      </c>
      <c r="Q135" s="119">
        <v>24</v>
      </c>
      <c r="R135" s="13">
        <v>47</v>
      </c>
      <c r="S135" s="13">
        <v>261</v>
      </c>
    </row>
    <row r="136" spans="1:19" x14ac:dyDescent="0.2">
      <c r="A136" s="128">
        <v>40403</v>
      </c>
      <c r="B136" s="13">
        <v>2267</v>
      </c>
      <c r="C136" s="13">
        <v>366</v>
      </c>
      <c r="D136" s="13">
        <v>366</v>
      </c>
      <c r="E136" s="13">
        <v>0</v>
      </c>
      <c r="F136" s="13">
        <v>1901</v>
      </c>
      <c r="G136" s="13">
        <v>1875</v>
      </c>
      <c r="H136" s="13">
        <v>1873</v>
      </c>
      <c r="I136" s="13">
        <v>1</v>
      </c>
      <c r="J136" s="13">
        <v>26</v>
      </c>
      <c r="K136" s="13">
        <v>244</v>
      </c>
      <c r="L136" s="13">
        <v>228</v>
      </c>
      <c r="M136" s="13">
        <v>16</v>
      </c>
      <c r="N136" s="119">
        <v>1007</v>
      </c>
      <c r="O136" s="22">
        <v>943</v>
      </c>
      <c r="P136" s="22">
        <v>41</v>
      </c>
      <c r="Q136" s="119">
        <v>24</v>
      </c>
      <c r="R136" s="13">
        <v>48</v>
      </c>
      <c r="S136" s="13">
        <v>261</v>
      </c>
    </row>
    <row r="137" spans="1:19" x14ac:dyDescent="0.2">
      <c r="A137" s="128">
        <v>40410</v>
      </c>
      <c r="B137" s="13">
        <v>2266</v>
      </c>
      <c r="C137" s="13">
        <v>369</v>
      </c>
      <c r="D137" s="13">
        <v>369</v>
      </c>
      <c r="E137" s="13">
        <v>0</v>
      </c>
      <c r="F137" s="13">
        <v>1897</v>
      </c>
      <c r="G137" s="13">
        <v>1886</v>
      </c>
      <c r="H137" s="13">
        <v>1884</v>
      </c>
      <c r="I137" s="13">
        <v>1</v>
      </c>
      <c r="J137" s="13">
        <v>12</v>
      </c>
      <c r="K137" s="13">
        <v>239</v>
      </c>
      <c r="L137" s="13">
        <v>223</v>
      </c>
      <c r="M137" s="13">
        <v>16</v>
      </c>
      <c r="N137" s="119">
        <v>1014</v>
      </c>
      <c r="O137" s="22">
        <v>944</v>
      </c>
      <c r="P137" s="22">
        <v>49</v>
      </c>
      <c r="Q137" s="119">
        <v>21</v>
      </c>
      <c r="R137" s="13">
        <v>48</v>
      </c>
      <c r="S137" s="13">
        <v>260</v>
      </c>
    </row>
    <row r="138" spans="1:19" x14ac:dyDescent="0.2">
      <c r="A138" s="128">
        <v>40417</v>
      </c>
      <c r="B138" s="13">
        <v>2262</v>
      </c>
      <c r="C138" s="13">
        <v>370</v>
      </c>
      <c r="D138" s="13">
        <v>370</v>
      </c>
      <c r="E138" s="13">
        <v>0</v>
      </c>
      <c r="F138" s="13">
        <v>1892</v>
      </c>
      <c r="G138" s="13">
        <v>1890</v>
      </c>
      <c r="H138" s="13">
        <v>1888</v>
      </c>
      <c r="I138" s="13">
        <v>1</v>
      </c>
      <c r="J138" s="13">
        <v>2</v>
      </c>
      <c r="K138" s="13">
        <v>240</v>
      </c>
      <c r="L138" s="13">
        <v>225</v>
      </c>
      <c r="M138" s="13">
        <v>15</v>
      </c>
      <c r="N138" s="119">
        <v>1013</v>
      </c>
      <c r="O138" s="22">
        <v>940</v>
      </c>
      <c r="P138" s="22">
        <v>54</v>
      </c>
      <c r="Q138" s="119">
        <v>19</v>
      </c>
      <c r="R138" s="13">
        <v>51</v>
      </c>
      <c r="S138" s="13">
        <v>261</v>
      </c>
    </row>
    <row r="139" spans="1:19" x14ac:dyDescent="0.2">
      <c r="A139" s="128">
        <v>40424</v>
      </c>
      <c r="B139" s="13">
        <v>2256</v>
      </c>
      <c r="C139" s="13">
        <v>372</v>
      </c>
      <c r="D139" s="13">
        <v>372</v>
      </c>
      <c r="E139" s="13">
        <v>0</v>
      </c>
      <c r="F139" s="13">
        <v>1884</v>
      </c>
      <c r="G139" s="13">
        <v>1881</v>
      </c>
      <c r="H139" s="13">
        <v>1879</v>
      </c>
      <c r="I139" s="13">
        <v>1</v>
      </c>
      <c r="J139" s="13">
        <v>4</v>
      </c>
      <c r="K139" s="13">
        <v>230</v>
      </c>
      <c r="L139" s="13">
        <v>215</v>
      </c>
      <c r="M139" s="13">
        <v>15</v>
      </c>
      <c r="N139" s="119">
        <v>991</v>
      </c>
      <c r="O139" s="22">
        <v>918</v>
      </c>
      <c r="P139" s="22">
        <v>52</v>
      </c>
      <c r="Q139" s="119">
        <v>21</v>
      </c>
      <c r="R139" s="13">
        <v>51</v>
      </c>
      <c r="S139" s="13">
        <v>260</v>
      </c>
    </row>
    <row r="140" spans="1:19" x14ac:dyDescent="0.2">
      <c r="A140" s="128">
        <v>40431</v>
      </c>
      <c r="B140" s="13">
        <v>2213</v>
      </c>
      <c r="C140" s="13">
        <v>368</v>
      </c>
      <c r="D140" s="13">
        <v>368</v>
      </c>
      <c r="E140" s="13">
        <v>0</v>
      </c>
      <c r="F140" s="13">
        <v>1845</v>
      </c>
      <c r="G140" s="13">
        <v>1853</v>
      </c>
      <c r="H140" s="13">
        <v>1852</v>
      </c>
      <c r="I140" s="13">
        <v>1</v>
      </c>
      <c r="J140" s="13">
        <v>-8</v>
      </c>
      <c r="K140" s="13">
        <v>233</v>
      </c>
      <c r="L140" s="13">
        <v>219</v>
      </c>
      <c r="M140" s="13">
        <v>15</v>
      </c>
      <c r="N140" s="119">
        <v>998</v>
      </c>
      <c r="O140" s="22">
        <v>920</v>
      </c>
      <c r="P140" s="22">
        <v>59</v>
      </c>
      <c r="Q140" s="119">
        <v>19</v>
      </c>
      <c r="R140" s="13">
        <v>47</v>
      </c>
      <c r="S140" s="13">
        <v>260</v>
      </c>
    </row>
    <row r="141" spans="1:19" x14ac:dyDescent="0.2">
      <c r="A141" s="128">
        <v>40438</v>
      </c>
      <c r="B141" s="13">
        <v>2168</v>
      </c>
      <c r="C141" s="13">
        <v>360</v>
      </c>
      <c r="D141" s="13">
        <v>360</v>
      </c>
      <c r="E141" s="13">
        <v>0</v>
      </c>
      <c r="F141" s="13">
        <v>1808</v>
      </c>
      <c r="G141" s="13">
        <v>1798</v>
      </c>
      <c r="H141" s="13">
        <v>1796</v>
      </c>
      <c r="I141" s="13">
        <v>1</v>
      </c>
      <c r="J141" s="13">
        <v>10</v>
      </c>
      <c r="K141" s="13">
        <v>234</v>
      </c>
      <c r="L141" s="13">
        <v>221</v>
      </c>
      <c r="M141" s="13">
        <v>13</v>
      </c>
      <c r="N141" s="119">
        <v>1001</v>
      </c>
      <c r="O141" s="22">
        <v>927</v>
      </c>
      <c r="P141" s="22">
        <v>54</v>
      </c>
      <c r="Q141" s="119">
        <v>19</v>
      </c>
      <c r="R141" s="13">
        <v>46</v>
      </c>
      <c r="S141" s="13">
        <v>257</v>
      </c>
    </row>
    <row r="142" spans="1:19" x14ac:dyDescent="0.2">
      <c r="A142" s="128">
        <v>40445</v>
      </c>
      <c r="B142" s="13">
        <v>2154</v>
      </c>
      <c r="C142" s="13">
        <v>358</v>
      </c>
      <c r="D142" s="13">
        <v>358</v>
      </c>
      <c r="E142" s="13">
        <v>0</v>
      </c>
      <c r="F142" s="13">
        <v>1796</v>
      </c>
      <c r="G142" s="13">
        <v>1789</v>
      </c>
      <c r="H142" s="13">
        <v>1788</v>
      </c>
      <c r="I142" s="13">
        <v>1</v>
      </c>
      <c r="J142" s="13">
        <v>7</v>
      </c>
      <c r="K142" s="13">
        <v>231</v>
      </c>
      <c r="L142" s="13">
        <v>216</v>
      </c>
      <c r="M142" s="13">
        <v>15</v>
      </c>
      <c r="N142" s="119">
        <v>990</v>
      </c>
      <c r="O142" s="22">
        <v>934</v>
      </c>
      <c r="P142" s="22">
        <v>47</v>
      </c>
      <c r="Q142" s="119">
        <v>8</v>
      </c>
      <c r="R142" s="13">
        <v>42</v>
      </c>
      <c r="S142" s="13">
        <v>258</v>
      </c>
    </row>
    <row r="143" spans="1:19" x14ac:dyDescent="0.2">
      <c r="A143" s="128">
        <v>40452</v>
      </c>
      <c r="B143" s="13">
        <v>2151</v>
      </c>
      <c r="C143" s="13">
        <v>355</v>
      </c>
      <c r="D143" s="13">
        <v>355</v>
      </c>
      <c r="E143" s="13">
        <v>0</v>
      </c>
      <c r="F143" s="13">
        <v>1796</v>
      </c>
      <c r="G143" s="13">
        <v>1794</v>
      </c>
      <c r="H143" s="13">
        <v>1793</v>
      </c>
      <c r="I143" s="13">
        <v>1</v>
      </c>
      <c r="J143" s="13">
        <v>2</v>
      </c>
      <c r="K143" s="13">
        <v>237</v>
      </c>
      <c r="L143" s="13">
        <v>223</v>
      </c>
      <c r="M143" s="13">
        <v>13</v>
      </c>
      <c r="N143" s="119">
        <v>979</v>
      </c>
      <c r="O143" s="22">
        <v>935</v>
      </c>
      <c r="P143" s="22">
        <v>44</v>
      </c>
      <c r="Q143" s="119">
        <v>0</v>
      </c>
      <c r="R143" s="13">
        <v>39</v>
      </c>
      <c r="S143" s="13">
        <v>260</v>
      </c>
    </row>
    <row r="144" spans="1:19" x14ac:dyDescent="0.2">
      <c r="A144" s="128">
        <v>40459</v>
      </c>
      <c r="B144" s="13">
        <v>2200</v>
      </c>
      <c r="C144" s="13">
        <v>358</v>
      </c>
      <c r="D144" s="13">
        <v>358</v>
      </c>
      <c r="E144" s="13">
        <v>0</v>
      </c>
      <c r="F144" s="13">
        <v>1841</v>
      </c>
      <c r="G144" s="13">
        <v>1824</v>
      </c>
      <c r="H144" s="13">
        <v>1823</v>
      </c>
      <c r="I144" s="13">
        <v>1</v>
      </c>
      <c r="J144" s="13">
        <v>17</v>
      </c>
      <c r="K144" s="13">
        <v>221</v>
      </c>
      <c r="L144" s="13">
        <v>210</v>
      </c>
      <c r="M144" s="13">
        <v>11</v>
      </c>
      <c r="N144" s="119">
        <v>962</v>
      </c>
      <c r="O144" s="22">
        <v>934</v>
      </c>
      <c r="P144" s="22">
        <v>34</v>
      </c>
      <c r="Q144" s="119">
        <v>-6</v>
      </c>
      <c r="R144" s="13">
        <v>39</v>
      </c>
      <c r="S144" s="13">
        <v>249</v>
      </c>
    </row>
    <row r="145" spans="1:19" x14ac:dyDescent="0.2">
      <c r="A145" s="128">
        <v>40466</v>
      </c>
      <c r="B145" s="13">
        <v>2215</v>
      </c>
      <c r="C145" s="13">
        <v>360</v>
      </c>
      <c r="D145" s="13">
        <v>360</v>
      </c>
      <c r="E145" s="13">
        <v>0</v>
      </c>
      <c r="F145" s="13">
        <v>1855</v>
      </c>
      <c r="G145" s="13">
        <v>1849</v>
      </c>
      <c r="H145" s="13">
        <v>1848</v>
      </c>
      <c r="I145" s="13">
        <v>1</v>
      </c>
      <c r="J145" s="13">
        <v>6</v>
      </c>
      <c r="K145" s="13">
        <v>219</v>
      </c>
      <c r="L145" s="13">
        <v>206</v>
      </c>
      <c r="M145" s="13">
        <v>13</v>
      </c>
      <c r="N145" s="119">
        <v>947</v>
      </c>
      <c r="O145" s="22">
        <v>922</v>
      </c>
      <c r="P145" s="22">
        <v>36</v>
      </c>
      <c r="Q145" s="119">
        <v>-11</v>
      </c>
      <c r="R145" s="13">
        <v>44</v>
      </c>
      <c r="S145" s="13">
        <v>251</v>
      </c>
    </row>
    <row r="146" spans="1:19" x14ac:dyDescent="0.2">
      <c r="A146" s="128">
        <v>40473</v>
      </c>
      <c r="B146" s="13">
        <v>2210</v>
      </c>
      <c r="C146" s="13">
        <v>360</v>
      </c>
      <c r="D146" s="13">
        <v>360</v>
      </c>
      <c r="E146" s="13">
        <v>0</v>
      </c>
      <c r="F146" s="13">
        <v>1850</v>
      </c>
      <c r="G146" s="13">
        <v>1845</v>
      </c>
      <c r="H146" s="13">
        <v>1844</v>
      </c>
      <c r="I146" s="13">
        <v>1</v>
      </c>
      <c r="J146" s="13">
        <v>5</v>
      </c>
      <c r="K146" s="13">
        <v>219</v>
      </c>
      <c r="L146" s="13">
        <v>208</v>
      </c>
      <c r="M146" s="13">
        <v>12</v>
      </c>
      <c r="N146" s="119">
        <v>939</v>
      </c>
      <c r="O146" s="22">
        <v>903</v>
      </c>
      <c r="P146" s="22">
        <v>36</v>
      </c>
      <c r="Q146" s="119">
        <v>0</v>
      </c>
      <c r="R146" s="13">
        <v>46</v>
      </c>
      <c r="S146" s="13">
        <v>248</v>
      </c>
    </row>
    <row r="147" spans="1:19" x14ac:dyDescent="0.2">
      <c r="A147" s="128">
        <v>40480</v>
      </c>
      <c r="B147" s="13">
        <v>2180</v>
      </c>
      <c r="C147" s="13">
        <v>359</v>
      </c>
      <c r="D147" s="13">
        <v>359</v>
      </c>
      <c r="E147" s="13">
        <v>0</v>
      </c>
      <c r="F147" s="13">
        <v>1822</v>
      </c>
      <c r="G147" s="13">
        <v>1829</v>
      </c>
      <c r="H147" s="13">
        <v>1828</v>
      </c>
      <c r="I147" s="13">
        <v>1</v>
      </c>
      <c r="J147" s="13">
        <v>-8</v>
      </c>
      <c r="K147" s="13">
        <v>218</v>
      </c>
      <c r="L147" s="13">
        <v>206</v>
      </c>
      <c r="M147" s="13">
        <v>12</v>
      </c>
      <c r="N147" s="119">
        <v>942</v>
      </c>
      <c r="O147" s="22">
        <v>898</v>
      </c>
      <c r="P147" s="22">
        <v>39</v>
      </c>
      <c r="Q147" s="119">
        <v>5</v>
      </c>
      <c r="R147" s="13">
        <v>45</v>
      </c>
      <c r="S147" s="13">
        <v>245</v>
      </c>
    </row>
    <row r="148" spans="1:19" x14ac:dyDescent="0.2">
      <c r="A148" s="128">
        <v>40487</v>
      </c>
      <c r="B148" s="13">
        <v>2155</v>
      </c>
      <c r="C148" s="13">
        <v>363</v>
      </c>
      <c r="D148" s="13">
        <v>363</v>
      </c>
      <c r="E148" s="13">
        <v>0</v>
      </c>
      <c r="F148" s="13">
        <v>1792</v>
      </c>
      <c r="G148" s="13">
        <v>1812</v>
      </c>
      <c r="H148" s="13">
        <v>1811</v>
      </c>
      <c r="I148" s="13">
        <v>1</v>
      </c>
      <c r="J148" s="13">
        <v>-21</v>
      </c>
      <c r="K148" s="13">
        <v>226</v>
      </c>
      <c r="L148" s="13">
        <v>214</v>
      </c>
      <c r="M148" s="13">
        <v>12</v>
      </c>
      <c r="N148" s="119">
        <v>940</v>
      </c>
      <c r="O148" s="22">
        <v>887</v>
      </c>
      <c r="P148" s="22">
        <v>43</v>
      </c>
      <c r="Q148" s="119">
        <v>10</v>
      </c>
      <c r="R148" s="13">
        <v>47</v>
      </c>
      <c r="S148" s="13">
        <v>251</v>
      </c>
    </row>
    <row r="149" spans="1:19" x14ac:dyDescent="0.2">
      <c r="A149" s="128">
        <v>40494</v>
      </c>
      <c r="B149" s="13">
        <v>2140</v>
      </c>
      <c r="C149" s="13">
        <v>366</v>
      </c>
      <c r="D149" s="13">
        <v>366</v>
      </c>
      <c r="E149" s="13">
        <v>0</v>
      </c>
      <c r="F149" s="13">
        <v>1774</v>
      </c>
      <c r="G149" s="13">
        <v>1789</v>
      </c>
      <c r="H149" s="13">
        <v>1788</v>
      </c>
      <c r="I149" s="13">
        <v>1</v>
      </c>
      <c r="J149" s="13">
        <v>-15</v>
      </c>
      <c r="K149" s="13">
        <v>223</v>
      </c>
      <c r="L149" s="13">
        <v>212</v>
      </c>
      <c r="M149" s="13">
        <v>11</v>
      </c>
      <c r="N149" s="119">
        <v>930</v>
      </c>
      <c r="O149" s="22">
        <v>876</v>
      </c>
      <c r="P149" s="22">
        <v>45</v>
      </c>
      <c r="Q149" s="119">
        <v>10</v>
      </c>
      <c r="R149" s="13">
        <v>43</v>
      </c>
      <c r="S149" s="13">
        <v>247</v>
      </c>
    </row>
    <row r="150" spans="1:19" x14ac:dyDescent="0.2">
      <c r="A150" s="128">
        <v>40501</v>
      </c>
      <c r="B150" s="13">
        <v>2134</v>
      </c>
      <c r="C150" s="13">
        <v>367</v>
      </c>
      <c r="D150" s="13">
        <v>367</v>
      </c>
      <c r="E150" s="13">
        <v>0</v>
      </c>
      <c r="F150" s="13">
        <v>1767</v>
      </c>
      <c r="G150" s="13">
        <v>1774</v>
      </c>
      <c r="H150" s="13">
        <v>1773</v>
      </c>
      <c r="I150" s="13">
        <v>1</v>
      </c>
      <c r="J150" s="13">
        <v>-7</v>
      </c>
      <c r="K150" s="13">
        <v>223</v>
      </c>
      <c r="L150" s="13">
        <v>214</v>
      </c>
      <c r="M150" s="13">
        <v>9</v>
      </c>
      <c r="N150" s="119">
        <v>928</v>
      </c>
      <c r="O150" s="22">
        <v>871</v>
      </c>
      <c r="P150" s="22">
        <v>51</v>
      </c>
      <c r="Q150" s="119">
        <v>7</v>
      </c>
      <c r="R150" s="13">
        <v>42</v>
      </c>
      <c r="S150" s="13">
        <v>242</v>
      </c>
    </row>
    <row r="151" spans="1:19" x14ac:dyDescent="0.2">
      <c r="A151" s="128">
        <v>40508</v>
      </c>
      <c r="B151" s="13">
        <v>2117</v>
      </c>
      <c r="C151" s="13">
        <v>362</v>
      </c>
      <c r="D151" s="13">
        <v>362</v>
      </c>
      <c r="E151" s="13">
        <v>0</v>
      </c>
      <c r="F151" s="13">
        <v>1755</v>
      </c>
      <c r="G151" s="13">
        <v>1730</v>
      </c>
      <c r="H151" s="13">
        <v>1729</v>
      </c>
      <c r="I151" s="13">
        <v>1</v>
      </c>
      <c r="J151" s="13">
        <v>25</v>
      </c>
      <c r="K151" s="13">
        <v>209</v>
      </c>
      <c r="L151" s="13">
        <v>200</v>
      </c>
      <c r="M151" s="13">
        <v>10</v>
      </c>
      <c r="N151" s="119">
        <v>935</v>
      </c>
      <c r="O151" s="22">
        <v>879</v>
      </c>
      <c r="P151" s="22">
        <v>48</v>
      </c>
      <c r="Q151" s="119">
        <v>8</v>
      </c>
      <c r="R151" s="13">
        <v>42</v>
      </c>
      <c r="S151" s="13">
        <v>239</v>
      </c>
    </row>
    <row r="152" spans="1:19" x14ac:dyDescent="0.2">
      <c r="A152" s="128">
        <v>40515</v>
      </c>
      <c r="B152" s="13">
        <v>2179</v>
      </c>
      <c r="C152" s="13">
        <v>363</v>
      </c>
      <c r="D152" s="13">
        <v>363</v>
      </c>
      <c r="E152" s="13">
        <v>0</v>
      </c>
      <c r="F152" s="13">
        <v>1815</v>
      </c>
      <c r="G152" s="13">
        <v>1768</v>
      </c>
      <c r="H152" s="13">
        <v>1767</v>
      </c>
      <c r="I152" s="13">
        <v>1</v>
      </c>
      <c r="J152" s="13">
        <v>47</v>
      </c>
      <c r="K152" s="13">
        <v>212</v>
      </c>
      <c r="L152" s="13">
        <v>203</v>
      </c>
      <c r="M152" s="13">
        <v>9</v>
      </c>
      <c r="N152" s="119">
        <v>948</v>
      </c>
      <c r="O152" s="22">
        <v>896</v>
      </c>
      <c r="P152" s="22">
        <v>45</v>
      </c>
      <c r="Q152" s="119">
        <v>6</v>
      </c>
      <c r="R152" s="13">
        <v>46</v>
      </c>
      <c r="S152" s="13">
        <v>241</v>
      </c>
    </row>
    <row r="153" spans="1:19" x14ac:dyDescent="0.2">
      <c r="A153" s="128">
        <v>40522</v>
      </c>
      <c r="B153" s="13">
        <v>2229</v>
      </c>
      <c r="C153" s="13">
        <v>367</v>
      </c>
      <c r="D153" s="13">
        <v>367</v>
      </c>
      <c r="E153" s="13">
        <v>0</v>
      </c>
      <c r="F153" s="13">
        <v>1863</v>
      </c>
      <c r="G153" s="13">
        <v>1798</v>
      </c>
      <c r="H153" s="13">
        <v>1797</v>
      </c>
      <c r="I153" s="13">
        <v>1</v>
      </c>
      <c r="J153" s="13">
        <v>64</v>
      </c>
      <c r="K153" s="13">
        <v>207</v>
      </c>
      <c r="L153" s="13">
        <v>196</v>
      </c>
      <c r="M153" s="13">
        <v>10</v>
      </c>
      <c r="N153" s="119">
        <v>967</v>
      </c>
      <c r="O153" s="22">
        <v>912</v>
      </c>
      <c r="P153" s="22">
        <v>48</v>
      </c>
      <c r="Q153" s="119">
        <v>8</v>
      </c>
      <c r="R153" s="13">
        <v>47</v>
      </c>
      <c r="S153" s="13">
        <v>239</v>
      </c>
    </row>
    <row r="154" spans="1:19" x14ac:dyDescent="0.2">
      <c r="A154" s="128">
        <v>40529</v>
      </c>
      <c r="B154" s="13">
        <v>2237</v>
      </c>
      <c r="C154" s="13">
        <v>369</v>
      </c>
      <c r="D154" s="13">
        <v>369</v>
      </c>
      <c r="E154" s="13">
        <v>0</v>
      </c>
      <c r="F154" s="13">
        <v>1867</v>
      </c>
      <c r="G154" s="13">
        <v>1801</v>
      </c>
      <c r="H154" s="13">
        <v>1801</v>
      </c>
      <c r="I154" s="13">
        <v>1</v>
      </c>
      <c r="J154" s="13">
        <v>66</v>
      </c>
      <c r="K154" s="13">
        <v>205</v>
      </c>
      <c r="L154" s="13">
        <v>194</v>
      </c>
      <c r="M154" s="13">
        <v>10</v>
      </c>
      <c r="N154" s="119">
        <v>983</v>
      </c>
      <c r="O154" s="22">
        <v>930</v>
      </c>
      <c r="P154" s="22">
        <v>49</v>
      </c>
      <c r="Q154" s="119">
        <v>4</v>
      </c>
      <c r="R154" s="13">
        <v>47</v>
      </c>
      <c r="S154" s="13">
        <v>238</v>
      </c>
    </row>
    <row r="155" spans="1:19" x14ac:dyDescent="0.2">
      <c r="A155" s="128">
        <v>40536</v>
      </c>
      <c r="B155" s="13">
        <v>2284</v>
      </c>
      <c r="C155" s="13">
        <v>380</v>
      </c>
      <c r="D155" s="13">
        <v>380</v>
      </c>
      <c r="E155" s="13">
        <v>0</v>
      </c>
      <c r="F155" s="13">
        <v>1904</v>
      </c>
      <c r="G155" s="13">
        <v>1845</v>
      </c>
      <c r="H155" s="13">
        <v>1845</v>
      </c>
      <c r="I155" s="13">
        <v>1</v>
      </c>
      <c r="J155" s="13">
        <v>59</v>
      </c>
      <c r="K155" s="13">
        <v>215</v>
      </c>
      <c r="L155" s="13">
        <v>203</v>
      </c>
      <c r="M155" s="13">
        <v>12</v>
      </c>
      <c r="N155" s="119">
        <v>1005</v>
      </c>
      <c r="O155" s="22">
        <v>948</v>
      </c>
      <c r="P155" s="22">
        <v>53</v>
      </c>
      <c r="Q155" s="119">
        <v>5</v>
      </c>
      <c r="R155" s="13">
        <v>47</v>
      </c>
      <c r="S155" s="13">
        <v>240</v>
      </c>
    </row>
    <row r="156" spans="1:19" x14ac:dyDescent="0.2">
      <c r="A156" s="128">
        <v>40543</v>
      </c>
      <c r="B156" s="13">
        <v>2232</v>
      </c>
      <c r="C156" s="13">
        <v>364</v>
      </c>
      <c r="D156" s="13">
        <v>364</v>
      </c>
      <c r="E156" s="13">
        <v>0</v>
      </c>
      <c r="F156" s="13">
        <v>1868</v>
      </c>
      <c r="G156" s="13">
        <v>1776</v>
      </c>
      <c r="H156" s="13">
        <v>1775</v>
      </c>
      <c r="I156" s="13">
        <v>1</v>
      </c>
      <c r="J156" s="13">
        <v>92</v>
      </c>
      <c r="K156" s="13">
        <v>211</v>
      </c>
      <c r="L156" s="13">
        <v>197</v>
      </c>
      <c r="M156" s="13">
        <v>14</v>
      </c>
      <c r="N156" s="119">
        <v>1012</v>
      </c>
      <c r="O156" s="22">
        <v>944</v>
      </c>
      <c r="P156" s="22">
        <v>59</v>
      </c>
      <c r="Q156" s="119">
        <v>9</v>
      </c>
      <c r="R156" s="13">
        <v>44</v>
      </c>
      <c r="S156" s="13">
        <v>240</v>
      </c>
    </row>
    <row r="157" spans="1:19" x14ac:dyDescent="0.2">
      <c r="A157" s="128">
        <v>40550</v>
      </c>
      <c r="B157" s="13">
        <v>2167</v>
      </c>
      <c r="C157" s="13">
        <v>350</v>
      </c>
      <c r="D157" s="13">
        <v>350</v>
      </c>
      <c r="E157" s="13">
        <v>0</v>
      </c>
      <c r="F157" s="13">
        <v>1816</v>
      </c>
      <c r="G157" s="13">
        <v>1715</v>
      </c>
      <c r="H157" s="13">
        <v>1714</v>
      </c>
      <c r="I157" s="13">
        <v>1</v>
      </c>
      <c r="J157" s="13">
        <v>101</v>
      </c>
      <c r="K157" s="13">
        <v>221</v>
      </c>
      <c r="L157" s="13">
        <v>209</v>
      </c>
      <c r="M157" s="13">
        <v>12</v>
      </c>
      <c r="N157" s="119">
        <v>1002</v>
      </c>
      <c r="O157" s="22">
        <v>934</v>
      </c>
      <c r="P157" s="22">
        <v>58</v>
      </c>
      <c r="Q157" s="119">
        <v>11</v>
      </c>
      <c r="R157" s="13">
        <v>45</v>
      </c>
      <c r="S157" s="13">
        <v>241</v>
      </c>
    </row>
    <row r="158" spans="1:19" x14ac:dyDescent="0.2">
      <c r="A158" s="128">
        <v>40557</v>
      </c>
      <c r="B158" s="13">
        <v>2169</v>
      </c>
      <c r="C158" s="13">
        <v>343</v>
      </c>
      <c r="D158" s="13">
        <v>343</v>
      </c>
      <c r="E158" s="13">
        <v>0</v>
      </c>
      <c r="F158" s="13">
        <v>1826</v>
      </c>
      <c r="G158" s="13">
        <v>1685</v>
      </c>
      <c r="H158" s="13">
        <v>1684</v>
      </c>
      <c r="I158" s="13">
        <v>1</v>
      </c>
      <c r="J158" s="13">
        <v>141</v>
      </c>
      <c r="K158" s="13">
        <v>221</v>
      </c>
      <c r="L158" s="13">
        <v>208</v>
      </c>
      <c r="M158" s="13">
        <v>12</v>
      </c>
      <c r="N158" s="119">
        <v>990</v>
      </c>
      <c r="O158" s="22">
        <v>923</v>
      </c>
      <c r="P158" s="22">
        <v>54</v>
      </c>
      <c r="Q158" s="119">
        <v>13</v>
      </c>
      <c r="R158" s="13">
        <v>42</v>
      </c>
      <c r="S158" s="13">
        <v>245</v>
      </c>
    </row>
    <row r="159" spans="1:19" x14ac:dyDescent="0.2">
      <c r="A159" s="128">
        <v>40564</v>
      </c>
      <c r="B159" s="13">
        <v>2169</v>
      </c>
      <c r="C159" s="13">
        <v>335</v>
      </c>
      <c r="D159" s="13">
        <v>335</v>
      </c>
      <c r="E159" s="13">
        <v>0</v>
      </c>
      <c r="F159" s="13">
        <v>1834</v>
      </c>
      <c r="G159" s="13">
        <v>1662</v>
      </c>
      <c r="H159" s="13">
        <v>1660</v>
      </c>
      <c r="I159" s="13">
        <v>1</v>
      </c>
      <c r="J159" s="13">
        <v>172</v>
      </c>
      <c r="K159" s="13">
        <v>226</v>
      </c>
      <c r="L159" s="13">
        <v>216</v>
      </c>
      <c r="M159" s="13">
        <v>10</v>
      </c>
      <c r="N159" s="119">
        <v>965</v>
      </c>
      <c r="O159" s="22">
        <v>901</v>
      </c>
      <c r="P159" s="22">
        <v>55</v>
      </c>
      <c r="Q159" s="119">
        <v>9</v>
      </c>
      <c r="R159" s="13">
        <v>46</v>
      </c>
      <c r="S159" s="13">
        <v>244</v>
      </c>
    </row>
    <row r="160" spans="1:19" x14ac:dyDescent="0.2">
      <c r="A160" s="128">
        <v>40571</v>
      </c>
      <c r="B160" s="13">
        <v>2159</v>
      </c>
      <c r="C160" s="13">
        <v>342</v>
      </c>
      <c r="D160" s="13">
        <v>342</v>
      </c>
      <c r="E160" s="13">
        <v>0</v>
      </c>
      <c r="F160" s="13">
        <v>1817</v>
      </c>
      <c r="G160" s="13">
        <v>1664</v>
      </c>
      <c r="H160" s="13">
        <v>1662</v>
      </c>
      <c r="I160" s="13">
        <v>1</v>
      </c>
      <c r="J160" s="13">
        <v>153</v>
      </c>
      <c r="K160" s="13">
        <v>223</v>
      </c>
      <c r="L160" s="13">
        <v>213</v>
      </c>
      <c r="M160" s="13">
        <v>9</v>
      </c>
      <c r="N160" s="119">
        <v>945</v>
      </c>
      <c r="O160" s="22">
        <v>892</v>
      </c>
      <c r="P160" s="22">
        <v>50</v>
      </c>
      <c r="Q160" s="119">
        <v>4</v>
      </c>
      <c r="R160" s="13">
        <v>45</v>
      </c>
      <c r="S160" s="13">
        <v>243</v>
      </c>
    </row>
    <row r="161" spans="1:19" x14ac:dyDescent="0.2">
      <c r="A161" s="128">
        <v>40578</v>
      </c>
      <c r="B161" s="13">
        <v>2217</v>
      </c>
      <c r="C161" s="13">
        <v>342</v>
      </c>
      <c r="D161" s="13">
        <v>342</v>
      </c>
      <c r="E161" s="13">
        <v>0</v>
      </c>
      <c r="F161" s="13">
        <v>1875</v>
      </c>
      <c r="G161" s="13">
        <v>1680</v>
      </c>
      <c r="H161" s="13">
        <v>1679</v>
      </c>
      <c r="I161" s="13">
        <v>1</v>
      </c>
      <c r="J161" s="13">
        <v>195</v>
      </c>
      <c r="K161" s="13">
        <v>218</v>
      </c>
      <c r="L161" s="13">
        <v>208</v>
      </c>
      <c r="M161" s="13">
        <v>10</v>
      </c>
      <c r="N161" s="119">
        <v>960</v>
      </c>
      <c r="O161" s="22">
        <v>908</v>
      </c>
      <c r="P161" s="22">
        <v>47</v>
      </c>
      <c r="Q161" s="119">
        <v>6</v>
      </c>
      <c r="R161" s="13">
        <v>46</v>
      </c>
      <c r="S161" s="13">
        <v>242</v>
      </c>
    </row>
    <row r="162" spans="1:19" x14ac:dyDescent="0.2">
      <c r="A162" s="128">
        <v>40585</v>
      </c>
      <c r="B162" s="13">
        <v>2215</v>
      </c>
      <c r="C162" s="13">
        <v>340</v>
      </c>
      <c r="D162" s="13">
        <v>340</v>
      </c>
      <c r="E162" s="13">
        <v>0</v>
      </c>
      <c r="F162" s="13">
        <v>1875</v>
      </c>
      <c r="G162" s="13">
        <v>1679</v>
      </c>
      <c r="H162" s="13">
        <v>1678</v>
      </c>
      <c r="I162" s="13">
        <v>1</v>
      </c>
      <c r="J162" s="13">
        <v>196</v>
      </c>
      <c r="K162" s="13">
        <v>210</v>
      </c>
      <c r="L162" s="13">
        <v>200</v>
      </c>
      <c r="M162" s="13">
        <v>10</v>
      </c>
      <c r="N162" s="119">
        <v>976</v>
      </c>
      <c r="O162" s="22">
        <v>914</v>
      </c>
      <c r="P162" s="22">
        <v>52</v>
      </c>
      <c r="Q162" s="119">
        <v>10</v>
      </c>
      <c r="R162" s="13">
        <v>49</v>
      </c>
      <c r="S162" s="13">
        <v>241</v>
      </c>
    </row>
    <row r="163" spans="1:19" x14ac:dyDescent="0.2">
      <c r="A163" s="128">
        <v>40592</v>
      </c>
      <c r="B163" s="13">
        <v>2222</v>
      </c>
      <c r="C163" s="13">
        <v>343</v>
      </c>
      <c r="D163" s="13">
        <v>343</v>
      </c>
      <c r="E163" s="13">
        <v>0</v>
      </c>
      <c r="F163" s="13">
        <v>1878</v>
      </c>
      <c r="G163" s="13">
        <v>1706</v>
      </c>
      <c r="H163" s="13">
        <v>1704</v>
      </c>
      <c r="I163" s="13">
        <v>1</v>
      </c>
      <c r="J163" s="13">
        <v>173</v>
      </c>
      <c r="K163" s="13">
        <v>208</v>
      </c>
      <c r="L163" s="13">
        <v>197</v>
      </c>
      <c r="M163" s="13">
        <v>12</v>
      </c>
      <c r="N163" s="119">
        <v>986</v>
      </c>
      <c r="O163" s="22">
        <v>921</v>
      </c>
      <c r="P163" s="22">
        <v>55</v>
      </c>
      <c r="Q163" s="119">
        <v>10</v>
      </c>
      <c r="R163" s="13">
        <v>46</v>
      </c>
      <c r="S163" s="13">
        <v>241</v>
      </c>
    </row>
    <row r="164" spans="1:19" x14ac:dyDescent="0.2">
      <c r="A164" s="128">
        <v>40599</v>
      </c>
      <c r="B164" s="13">
        <v>2246</v>
      </c>
      <c r="C164" s="13">
        <v>346</v>
      </c>
      <c r="D164" s="13">
        <v>346</v>
      </c>
      <c r="E164" s="13">
        <v>0</v>
      </c>
      <c r="F164" s="13">
        <v>1900</v>
      </c>
      <c r="G164" s="13">
        <v>1734</v>
      </c>
      <c r="H164" s="13">
        <v>1733</v>
      </c>
      <c r="I164" s="13">
        <v>1</v>
      </c>
      <c r="J164" s="13">
        <v>166</v>
      </c>
      <c r="K164" s="13">
        <v>206</v>
      </c>
      <c r="L164" s="13">
        <v>196</v>
      </c>
      <c r="M164" s="13">
        <v>10</v>
      </c>
      <c r="N164" s="119">
        <v>999</v>
      </c>
      <c r="O164" s="22">
        <v>921</v>
      </c>
      <c r="P164" s="22">
        <v>57</v>
      </c>
      <c r="Q164" s="119">
        <v>21</v>
      </c>
      <c r="R164" s="13">
        <v>48</v>
      </c>
      <c r="S164" s="13">
        <v>242</v>
      </c>
    </row>
    <row r="165" spans="1:19" x14ac:dyDescent="0.2">
      <c r="A165" s="128">
        <v>40606</v>
      </c>
      <c r="B165" s="13">
        <v>2232</v>
      </c>
      <c r="C165" s="13">
        <v>350</v>
      </c>
      <c r="D165" s="13">
        <v>350</v>
      </c>
      <c r="E165" s="13">
        <v>0</v>
      </c>
      <c r="F165" s="13">
        <v>1882</v>
      </c>
      <c r="G165" s="13">
        <v>1748</v>
      </c>
      <c r="H165" s="13">
        <v>1747</v>
      </c>
      <c r="I165" s="13">
        <v>1</v>
      </c>
      <c r="J165" s="13">
        <v>134</v>
      </c>
      <c r="K165" s="13">
        <v>201</v>
      </c>
      <c r="L165" s="13">
        <v>191</v>
      </c>
      <c r="M165" s="13">
        <v>9</v>
      </c>
      <c r="N165" s="119">
        <v>982</v>
      </c>
      <c r="O165" s="22">
        <v>898</v>
      </c>
      <c r="P165" s="22">
        <v>56</v>
      </c>
      <c r="Q165" s="119">
        <v>28</v>
      </c>
      <c r="R165" s="13">
        <v>45</v>
      </c>
      <c r="S165" s="13">
        <v>247</v>
      </c>
    </row>
    <row r="166" spans="1:19" x14ac:dyDescent="0.2">
      <c r="A166" s="128">
        <v>40613</v>
      </c>
      <c r="B166" s="13">
        <v>2202</v>
      </c>
      <c r="C166" s="13">
        <v>351</v>
      </c>
      <c r="D166" s="13">
        <v>351</v>
      </c>
      <c r="E166" s="13">
        <v>0</v>
      </c>
      <c r="F166" s="13">
        <v>1851</v>
      </c>
      <c r="G166" s="13">
        <v>1761</v>
      </c>
      <c r="H166" s="13">
        <v>1760</v>
      </c>
      <c r="I166" s="13">
        <v>1</v>
      </c>
      <c r="J166" s="13">
        <v>90</v>
      </c>
      <c r="K166" s="13">
        <v>212</v>
      </c>
      <c r="L166" s="13">
        <v>201</v>
      </c>
      <c r="M166" s="13">
        <v>11</v>
      </c>
      <c r="N166" s="119">
        <v>951</v>
      </c>
      <c r="O166" s="22">
        <v>869</v>
      </c>
      <c r="P166" s="22">
        <v>56</v>
      </c>
      <c r="Q166" s="119">
        <v>27</v>
      </c>
      <c r="R166" s="13">
        <v>43</v>
      </c>
      <c r="S166" s="13">
        <v>248</v>
      </c>
    </row>
    <row r="167" spans="1:19" x14ac:dyDescent="0.2">
      <c r="A167" s="128">
        <v>40620</v>
      </c>
      <c r="B167" s="13">
        <v>2167</v>
      </c>
      <c r="C167" s="13">
        <v>352</v>
      </c>
      <c r="D167" s="13">
        <v>352</v>
      </c>
      <c r="E167" s="13">
        <v>0</v>
      </c>
      <c r="F167" s="13">
        <v>1815</v>
      </c>
      <c r="G167" s="13">
        <v>1749</v>
      </c>
      <c r="H167" s="13">
        <v>1747</v>
      </c>
      <c r="I167" s="13">
        <v>1</v>
      </c>
      <c r="J167" s="13">
        <v>66</v>
      </c>
      <c r="K167" s="13">
        <v>215</v>
      </c>
      <c r="L167" s="13">
        <v>203</v>
      </c>
      <c r="M167" s="13">
        <v>13</v>
      </c>
      <c r="N167" s="119">
        <v>926</v>
      </c>
      <c r="O167" s="22">
        <v>846</v>
      </c>
      <c r="P167" s="22">
        <v>49</v>
      </c>
      <c r="Q167" s="119">
        <v>30</v>
      </c>
      <c r="R167" s="13">
        <v>44</v>
      </c>
      <c r="S167" s="13">
        <v>253</v>
      </c>
    </row>
    <row r="168" spans="1:19" x14ac:dyDescent="0.2">
      <c r="A168" s="128">
        <v>40627</v>
      </c>
      <c r="B168" s="13">
        <v>2127</v>
      </c>
      <c r="C168" s="13">
        <v>347</v>
      </c>
      <c r="D168" s="13">
        <v>347</v>
      </c>
      <c r="E168" s="13">
        <v>0</v>
      </c>
      <c r="F168" s="13">
        <v>1779</v>
      </c>
      <c r="G168" s="13">
        <v>1719</v>
      </c>
      <c r="H168" s="13">
        <v>1718</v>
      </c>
      <c r="I168" s="13">
        <v>2</v>
      </c>
      <c r="J168" s="13">
        <v>60</v>
      </c>
      <c r="K168" s="13">
        <v>220</v>
      </c>
      <c r="L168" s="13">
        <v>206</v>
      </c>
      <c r="M168" s="13">
        <v>14</v>
      </c>
      <c r="N168" s="119">
        <v>922</v>
      </c>
      <c r="O168" s="22">
        <v>849</v>
      </c>
      <c r="P168" s="22">
        <v>47</v>
      </c>
      <c r="Q168" s="119">
        <v>26</v>
      </c>
      <c r="R168" s="13">
        <v>43</v>
      </c>
      <c r="S168" s="13">
        <v>250</v>
      </c>
    </row>
    <row r="169" spans="1:19" x14ac:dyDescent="0.2">
      <c r="A169" s="128">
        <v>40634</v>
      </c>
      <c r="B169" s="13">
        <v>2102</v>
      </c>
      <c r="C169" s="13">
        <v>349</v>
      </c>
      <c r="D169" s="13">
        <v>349</v>
      </c>
      <c r="E169" s="13">
        <v>0</v>
      </c>
      <c r="F169" s="13">
        <v>1753</v>
      </c>
      <c r="G169" s="13">
        <v>1714</v>
      </c>
      <c r="H169" s="13">
        <v>1712</v>
      </c>
      <c r="I169" s="13">
        <v>2</v>
      </c>
      <c r="J169" s="13">
        <v>39</v>
      </c>
      <c r="K169" s="13">
        <v>225</v>
      </c>
      <c r="L169" s="13">
        <v>211</v>
      </c>
      <c r="M169" s="13">
        <v>14</v>
      </c>
      <c r="N169" s="119">
        <v>912</v>
      </c>
      <c r="O169" s="22">
        <v>839</v>
      </c>
      <c r="P169" s="22">
        <v>52</v>
      </c>
      <c r="Q169" s="119">
        <v>20</v>
      </c>
      <c r="R169" s="13">
        <v>48</v>
      </c>
      <c r="S169" s="13">
        <v>246</v>
      </c>
    </row>
    <row r="170" spans="1:19" x14ac:dyDescent="0.2">
      <c r="A170" s="128">
        <v>40641</v>
      </c>
      <c r="B170" s="13">
        <v>2119</v>
      </c>
      <c r="C170" s="13">
        <v>346</v>
      </c>
      <c r="D170" s="13">
        <v>346</v>
      </c>
      <c r="E170" s="13">
        <v>0</v>
      </c>
      <c r="F170" s="13">
        <v>1773</v>
      </c>
      <c r="G170" s="13">
        <v>1716</v>
      </c>
      <c r="H170" s="13">
        <v>1714</v>
      </c>
      <c r="I170" s="13">
        <v>2</v>
      </c>
      <c r="J170" s="13">
        <v>57</v>
      </c>
      <c r="K170" s="13">
        <v>231</v>
      </c>
      <c r="L170" s="13">
        <v>216</v>
      </c>
      <c r="M170" s="13">
        <v>15</v>
      </c>
      <c r="N170" s="119">
        <v>916</v>
      </c>
      <c r="O170" s="22">
        <v>849</v>
      </c>
      <c r="P170" s="22">
        <v>50</v>
      </c>
      <c r="Q170" s="119">
        <v>16</v>
      </c>
      <c r="R170" s="13">
        <v>48</v>
      </c>
      <c r="S170" s="13">
        <v>244</v>
      </c>
    </row>
    <row r="171" spans="1:19" x14ac:dyDescent="0.2">
      <c r="A171" s="128">
        <v>40648</v>
      </c>
      <c r="B171" s="13">
        <v>2137</v>
      </c>
      <c r="C171" s="13">
        <v>340</v>
      </c>
      <c r="D171" s="13">
        <v>340</v>
      </c>
      <c r="E171" s="13">
        <v>0</v>
      </c>
      <c r="F171" s="13">
        <v>1797</v>
      </c>
      <c r="G171" s="13">
        <v>1717</v>
      </c>
      <c r="H171" s="13">
        <v>1715</v>
      </c>
      <c r="I171" s="13">
        <v>2</v>
      </c>
      <c r="J171" s="13">
        <v>80</v>
      </c>
      <c r="K171" s="13">
        <v>230</v>
      </c>
      <c r="L171" s="13">
        <v>216</v>
      </c>
      <c r="M171" s="13">
        <v>13</v>
      </c>
      <c r="N171" s="119">
        <v>925</v>
      </c>
      <c r="O171" s="22">
        <v>859</v>
      </c>
      <c r="P171" s="22">
        <v>55</v>
      </c>
      <c r="Q171" s="119">
        <v>11</v>
      </c>
      <c r="R171" s="13">
        <v>45</v>
      </c>
      <c r="S171" s="13">
        <v>241</v>
      </c>
    </row>
    <row r="172" spans="1:19" x14ac:dyDescent="0.2">
      <c r="A172" s="128">
        <v>40655</v>
      </c>
      <c r="B172" s="13">
        <v>2116</v>
      </c>
      <c r="C172" s="13">
        <v>338</v>
      </c>
      <c r="D172" s="13">
        <v>338</v>
      </c>
      <c r="E172" s="13">
        <v>0</v>
      </c>
      <c r="F172" s="13">
        <v>1778</v>
      </c>
      <c r="G172" s="13">
        <v>1712</v>
      </c>
      <c r="H172" s="13">
        <v>1710</v>
      </c>
      <c r="I172" s="13">
        <v>2</v>
      </c>
      <c r="J172" s="13">
        <v>66</v>
      </c>
      <c r="K172" s="13">
        <v>233</v>
      </c>
      <c r="L172" s="13">
        <v>218</v>
      </c>
      <c r="M172" s="13">
        <v>15</v>
      </c>
      <c r="N172" s="119">
        <v>920</v>
      </c>
      <c r="O172" s="22">
        <v>853</v>
      </c>
      <c r="P172" s="22">
        <v>56</v>
      </c>
      <c r="Q172" s="119">
        <v>11</v>
      </c>
      <c r="R172" s="13">
        <v>46</v>
      </c>
      <c r="S172" s="13">
        <v>246</v>
      </c>
    </row>
    <row r="173" spans="1:19" x14ac:dyDescent="0.2">
      <c r="A173" s="128">
        <v>40662</v>
      </c>
      <c r="B173" s="13">
        <v>2147</v>
      </c>
      <c r="C173" s="13">
        <v>335</v>
      </c>
      <c r="D173" s="13">
        <v>335</v>
      </c>
      <c r="E173" s="13">
        <v>0</v>
      </c>
      <c r="F173" s="13">
        <v>1812</v>
      </c>
      <c r="G173" s="13">
        <v>1739</v>
      </c>
      <c r="H173" s="13">
        <v>1737</v>
      </c>
      <c r="I173" s="13">
        <v>2</v>
      </c>
      <c r="J173" s="13">
        <v>73</v>
      </c>
      <c r="K173" s="13">
        <v>237</v>
      </c>
      <c r="L173" s="13">
        <v>221</v>
      </c>
      <c r="M173" s="13">
        <v>16</v>
      </c>
      <c r="N173" s="119">
        <v>913</v>
      </c>
      <c r="O173" s="22">
        <v>853</v>
      </c>
      <c r="P173" s="22">
        <v>53</v>
      </c>
      <c r="Q173" s="119">
        <v>7</v>
      </c>
      <c r="R173" s="13">
        <v>45</v>
      </c>
      <c r="S173" s="13">
        <v>249</v>
      </c>
    </row>
    <row r="174" spans="1:19" x14ac:dyDescent="0.2">
      <c r="A174" s="128">
        <v>40669</v>
      </c>
      <c r="B174" s="13">
        <v>2121</v>
      </c>
      <c r="C174" s="13">
        <v>332</v>
      </c>
      <c r="D174" s="13">
        <v>332</v>
      </c>
      <c r="E174" s="13">
        <v>0</v>
      </c>
      <c r="F174" s="13">
        <v>1789</v>
      </c>
      <c r="G174" s="13">
        <v>1731</v>
      </c>
      <c r="H174" s="13">
        <v>1728</v>
      </c>
      <c r="I174" s="13">
        <v>2</v>
      </c>
      <c r="J174" s="13">
        <v>59</v>
      </c>
      <c r="K174" s="13">
        <v>227</v>
      </c>
      <c r="L174" s="13">
        <v>215</v>
      </c>
      <c r="M174" s="13">
        <v>13</v>
      </c>
      <c r="N174" s="119">
        <v>912</v>
      </c>
      <c r="O174" s="22">
        <v>856</v>
      </c>
      <c r="P174" s="22">
        <v>52</v>
      </c>
      <c r="Q174" s="119">
        <v>3</v>
      </c>
      <c r="R174" s="13">
        <v>45</v>
      </c>
      <c r="S174" s="13">
        <v>250</v>
      </c>
    </row>
    <row r="175" spans="1:19" x14ac:dyDescent="0.2">
      <c r="A175" s="128">
        <v>40676</v>
      </c>
      <c r="B175" s="13">
        <v>2132</v>
      </c>
      <c r="C175" s="13">
        <v>333</v>
      </c>
      <c r="D175" s="13">
        <v>333</v>
      </c>
      <c r="E175" s="13">
        <v>0</v>
      </c>
      <c r="F175" s="13">
        <v>1799</v>
      </c>
      <c r="G175" s="13">
        <v>1745</v>
      </c>
      <c r="H175" s="13">
        <v>1742</v>
      </c>
      <c r="I175" s="13">
        <v>2</v>
      </c>
      <c r="J175" s="13">
        <v>54</v>
      </c>
      <c r="K175" s="13">
        <v>227</v>
      </c>
      <c r="L175" s="13">
        <v>213</v>
      </c>
      <c r="M175" s="13">
        <v>15</v>
      </c>
      <c r="N175" s="119">
        <v>890</v>
      </c>
      <c r="O175" s="22">
        <v>837</v>
      </c>
      <c r="P175" s="22">
        <v>47</v>
      </c>
      <c r="Q175" s="119">
        <v>5</v>
      </c>
      <c r="R175" s="13">
        <v>45</v>
      </c>
      <c r="S175" s="13">
        <v>251</v>
      </c>
    </row>
    <row r="176" spans="1:19" x14ac:dyDescent="0.2">
      <c r="A176" s="128">
        <v>40683</v>
      </c>
      <c r="B176" s="13">
        <v>2183</v>
      </c>
      <c r="C176" s="13">
        <v>339</v>
      </c>
      <c r="D176" s="13">
        <v>339</v>
      </c>
      <c r="E176" s="13">
        <v>0</v>
      </c>
      <c r="F176" s="13">
        <v>1844</v>
      </c>
      <c r="G176" s="13">
        <v>1781</v>
      </c>
      <c r="H176" s="13">
        <v>1779</v>
      </c>
      <c r="I176" s="13">
        <v>2</v>
      </c>
      <c r="J176" s="13">
        <v>63</v>
      </c>
      <c r="K176" s="13">
        <v>231</v>
      </c>
      <c r="L176" s="13">
        <v>218</v>
      </c>
      <c r="M176" s="13">
        <v>13</v>
      </c>
      <c r="N176" s="119">
        <v>867</v>
      </c>
      <c r="O176" s="22">
        <v>803</v>
      </c>
      <c r="P176" s="22">
        <v>55</v>
      </c>
      <c r="Q176" s="119">
        <v>10</v>
      </c>
      <c r="R176" s="13">
        <v>41</v>
      </c>
      <c r="S176" s="13">
        <v>256</v>
      </c>
    </row>
    <row r="177" spans="1:19" x14ac:dyDescent="0.2">
      <c r="A177" s="128">
        <v>40690</v>
      </c>
      <c r="B177" s="13">
        <v>2192</v>
      </c>
      <c r="C177" s="13">
        <v>346</v>
      </c>
      <c r="D177" s="13">
        <v>346</v>
      </c>
      <c r="E177" s="13">
        <v>0</v>
      </c>
      <c r="F177" s="13">
        <v>1847</v>
      </c>
      <c r="G177" s="13">
        <v>1789</v>
      </c>
      <c r="H177" s="13">
        <v>1786</v>
      </c>
      <c r="I177" s="13">
        <v>3</v>
      </c>
      <c r="J177" s="13">
        <v>58</v>
      </c>
      <c r="K177" s="13">
        <v>234</v>
      </c>
      <c r="L177" s="13">
        <v>219</v>
      </c>
      <c r="M177" s="13">
        <v>15</v>
      </c>
      <c r="N177" s="119">
        <v>860</v>
      </c>
      <c r="O177" s="22">
        <v>792</v>
      </c>
      <c r="P177" s="22">
        <v>59</v>
      </c>
      <c r="Q177" s="119">
        <v>9</v>
      </c>
      <c r="R177" s="13">
        <v>39</v>
      </c>
      <c r="S177" s="13">
        <v>260</v>
      </c>
    </row>
    <row r="178" spans="1:19" x14ac:dyDescent="0.2">
      <c r="A178" s="128">
        <v>40697</v>
      </c>
      <c r="B178" s="13">
        <v>2201</v>
      </c>
      <c r="C178" s="13">
        <v>343</v>
      </c>
      <c r="D178" s="13">
        <v>343</v>
      </c>
      <c r="E178" s="13">
        <v>0</v>
      </c>
      <c r="F178" s="13">
        <v>1858</v>
      </c>
      <c r="G178" s="13">
        <v>1784</v>
      </c>
      <c r="H178" s="13">
        <v>1781</v>
      </c>
      <c r="I178" s="13">
        <v>2</v>
      </c>
      <c r="J178" s="13">
        <v>74</v>
      </c>
      <c r="K178" s="13">
        <v>235</v>
      </c>
      <c r="L178" s="13">
        <v>219</v>
      </c>
      <c r="M178" s="13">
        <v>16</v>
      </c>
      <c r="N178" s="119">
        <v>872</v>
      </c>
      <c r="O178" s="22">
        <v>798</v>
      </c>
      <c r="P178" s="22">
        <v>63</v>
      </c>
      <c r="Q178" s="119">
        <v>11</v>
      </c>
      <c r="R178" s="13">
        <v>35</v>
      </c>
      <c r="S178" s="13">
        <v>266</v>
      </c>
    </row>
    <row r="179" spans="1:19" x14ac:dyDescent="0.2">
      <c r="A179" s="128">
        <v>40704</v>
      </c>
      <c r="B179" s="13">
        <v>2230</v>
      </c>
      <c r="C179" s="13">
        <v>347</v>
      </c>
      <c r="D179" s="13">
        <v>347</v>
      </c>
      <c r="E179" s="13">
        <v>0</v>
      </c>
      <c r="F179" s="13">
        <v>1884</v>
      </c>
      <c r="G179" s="13">
        <v>1808</v>
      </c>
      <c r="H179" s="13">
        <v>1806</v>
      </c>
      <c r="I179" s="13">
        <v>2</v>
      </c>
      <c r="J179" s="13">
        <v>75</v>
      </c>
      <c r="K179" s="13">
        <v>235</v>
      </c>
      <c r="L179" s="13">
        <v>219</v>
      </c>
      <c r="M179" s="13">
        <v>16</v>
      </c>
      <c r="N179" s="119">
        <v>910</v>
      </c>
      <c r="O179" s="22">
        <v>832</v>
      </c>
      <c r="P179" s="22">
        <v>68</v>
      </c>
      <c r="Q179" s="119">
        <v>11</v>
      </c>
      <c r="R179" s="13">
        <v>38</v>
      </c>
      <c r="S179" s="13">
        <v>271</v>
      </c>
    </row>
    <row r="180" spans="1:19" x14ac:dyDescent="0.2">
      <c r="A180" s="128">
        <v>40711</v>
      </c>
      <c r="B180" s="13">
        <v>2254</v>
      </c>
      <c r="C180" s="13">
        <v>348</v>
      </c>
      <c r="D180" s="13">
        <v>348</v>
      </c>
      <c r="E180" s="13">
        <v>0</v>
      </c>
      <c r="F180" s="13">
        <v>1906</v>
      </c>
      <c r="G180" s="13">
        <v>1818</v>
      </c>
      <c r="H180" s="13">
        <v>1816</v>
      </c>
      <c r="I180" s="13">
        <v>2</v>
      </c>
      <c r="J180" s="13">
        <v>88</v>
      </c>
      <c r="K180" s="13">
        <v>235</v>
      </c>
      <c r="L180" s="13">
        <v>218</v>
      </c>
      <c r="M180" s="13">
        <v>17</v>
      </c>
      <c r="N180" s="119">
        <v>935</v>
      </c>
      <c r="O180" s="22">
        <v>876</v>
      </c>
      <c r="P180" s="22">
        <v>54</v>
      </c>
      <c r="Q180" s="119">
        <v>5</v>
      </c>
      <c r="R180" s="13">
        <v>37</v>
      </c>
      <c r="S180" s="13">
        <v>267</v>
      </c>
    </row>
    <row r="181" spans="1:19" x14ac:dyDescent="0.2">
      <c r="A181" s="128">
        <v>40718</v>
      </c>
      <c r="B181" s="13">
        <v>2250</v>
      </c>
      <c r="C181" s="13">
        <v>344</v>
      </c>
      <c r="D181" s="13">
        <v>344</v>
      </c>
      <c r="E181" s="13">
        <v>0</v>
      </c>
      <c r="F181" s="13">
        <v>1906</v>
      </c>
      <c r="G181" s="13">
        <v>1821</v>
      </c>
      <c r="H181" s="13">
        <v>1819</v>
      </c>
      <c r="I181" s="13">
        <v>2</v>
      </c>
      <c r="J181" s="13">
        <v>85</v>
      </c>
      <c r="K181" s="13">
        <v>236</v>
      </c>
      <c r="L181" s="13">
        <v>220</v>
      </c>
      <c r="M181" s="13">
        <v>16</v>
      </c>
      <c r="N181" s="119">
        <v>972</v>
      </c>
      <c r="O181" s="22">
        <v>920</v>
      </c>
      <c r="P181" s="22">
        <v>50</v>
      </c>
      <c r="Q181" s="119">
        <v>2</v>
      </c>
      <c r="R181" s="13">
        <v>39</v>
      </c>
      <c r="S181" s="13">
        <v>264</v>
      </c>
    </row>
    <row r="182" spans="1:19" x14ac:dyDescent="0.2">
      <c r="A182" s="128">
        <v>40725</v>
      </c>
      <c r="B182" s="13">
        <v>2297</v>
      </c>
      <c r="C182" s="13">
        <v>353</v>
      </c>
      <c r="D182" s="13">
        <v>353</v>
      </c>
      <c r="E182" s="13">
        <v>0</v>
      </c>
      <c r="F182" s="13">
        <v>1945</v>
      </c>
      <c r="G182" s="13">
        <v>1874</v>
      </c>
      <c r="H182" s="13">
        <v>1871</v>
      </c>
      <c r="I182" s="13">
        <v>2</v>
      </c>
      <c r="J182" s="13">
        <v>71</v>
      </c>
      <c r="K182" s="13">
        <v>231</v>
      </c>
      <c r="L182" s="13">
        <v>215</v>
      </c>
      <c r="M182" s="13">
        <v>16</v>
      </c>
      <c r="N182" s="119">
        <v>976</v>
      </c>
      <c r="O182" s="22">
        <v>928</v>
      </c>
      <c r="P182" s="22">
        <v>45</v>
      </c>
      <c r="Q182" s="119">
        <v>3</v>
      </c>
      <c r="R182" s="13">
        <v>45</v>
      </c>
      <c r="S182" s="13">
        <v>260</v>
      </c>
    </row>
    <row r="183" spans="1:19" x14ac:dyDescent="0.2">
      <c r="A183" s="128">
        <v>40732</v>
      </c>
      <c r="B183" s="13">
        <v>2264</v>
      </c>
      <c r="C183" s="13">
        <v>347</v>
      </c>
      <c r="D183" s="13">
        <v>347</v>
      </c>
      <c r="E183" s="13">
        <v>0</v>
      </c>
      <c r="F183" s="13">
        <v>1917</v>
      </c>
      <c r="G183" s="13">
        <v>1863</v>
      </c>
      <c r="H183" s="13">
        <v>1862</v>
      </c>
      <c r="I183" s="13">
        <v>2</v>
      </c>
      <c r="J183" s="13">
        <v>54</v>
      </c>
      <c r="K183" s="13">
        <v>229</v>
      </c>
      <c r="L183" s="13">
        <v>215</v>
      </c>
      <c r="M183" s="13">
        <v>15</v>
      </c>
      <c r="N183" s="119">
        <v>974</v>
      </c>
      <c r="O183" s="22">
        <v>926</v>
      </c>
      <c r="P183" s="22">
        <v>47</v>
      </c>
      <c r="Q183" s="119">
        <v>2</v>
      </c>
      <c r="R183" s="13">
        <v>48</v>
      </c>
      <c r="S183" s="13">
        <v>259</v>
      </c>
    </row>
    <row r="184" spans="1:19" x14ac:dyDescent="0.2">
      <c r="A184" s="128">
        <v>40739</v>
      </c>
      <c r="B184" s="13">
        <v>2246</v>
      </c>
      <c r="C184" s="13">
        <v>345</v>
      </c>
      <c r="D184" s="13">
        <v>345</v>
      </c>
      <c r="E184" s="13">
        <v>0</v>
      </c>
      <c r="F184" s="13">
        <v>1901</v>
      </c>
      <c r="G184" s="13">
        <v>1859</v>
      </c>
      <c r="H184" s="13">
        <v>1857</v>
      </c>
      <c r="I184" s="13">
        <v>2</v>
      </c>
      <c r="J184" s="13">
        <v>42</v>
      </c>
      <c r="K184" s="13">
        <v>226</v>
      </c>
      <c r="L184" s="13">
        <v>210</v>
      </c>
      <c r="M184" s="13">
        <v>16</v>
      </c>
      <c r="N184" s="119">
        <v>989</v>
      </c>
      <c r="O184" s="22">
        <v>922</v>
      </c>
      <c r="P184" s="22">
        <v>59</v>
      </c>
      <c r="Q184" s="119">
        <v>8</v>
      </c>
      <c r="R184" s="13">
        <v>51</v>
      </c>
      <c r="S184" s="13">
        <v>260</v>
      </c>
    </row>
    <row r="185" spans="1:19" x14ac:dyDescent="0.2">
      <c r="A185" s="128">
        <v>40746</v>
      </c>
      <c r="B185" s="13">
        <v>2260</v>
      </c>
      <c r="C185" s="13">
        <v>346</v>
      </c>
      <c r="D185" s="13">
        <v>346</v>
      </c>
      <c r="E185" s="13">
        <v>0</v>
      </c>
      <c r="F185" s="13">
        <v>1914</v>
      </c>
      <c r="G185" s="13">
        <v>1862</v>
      </c>
      <c r="H185" s="13">
        <v>1861</v>
      </c>
      <c r="I185" s="13">
        <v>2</v>
      </c>
      <c r="J185" s="13">
        <v>51</v>
      </c>
      <c r="K185" s="13">
        <v>225</v>
      </c>
      <c r="L185" s="13">
        <v>210</v>
      </c>
      <c r="M185" s="13">
        <v>15</v>
      </c>
      <c r="N185" s="119">
        <v>989</v>
      </c>
      <c r="O185" s="22">
        <v>919</v>
      </c>
      <c r="P185" s="22">
        <v>56</v>
      </c>
      <c r="Q185" s="119">
        <v>14</v>
      </c>
      <c r="R185" s="13">
        <v>54</v>
      </c>
      <c r="S185" s="13">
        <v>257</v>
      </c>
    </row>
    <row r="186" spans="1:19" x14ac:dyDescent="0.2">
      <c r="A186" s="128">
        <v>40753</v>
      </c>
      <c r="B186" s="13">
        <v>2268</v>
      </c>
      <c r="C186" s="13">
        <v>345</v>
      </c>
      <c r="D186" s="13">
        <v>345</v>
      </c>
      <c r="E186" s="13">
        <v>0</v>
      </c>
      <c r="F186" s="13">
        <v>1923</v>
      </c>
      <c r="G186" s="13">
        <v>1856</v>
      </c>
      <c r="H186" s="13">
        <v>1854</v>
      </c>
      <c r="I186" s="13">
        <v>2</v>
      </c>
      <c r="J186" s="13">
        <v>67</v>
      </c>
      <c r="K186" s="13">
        <v>233</v>
      </c>
      <c r="L186" s="13">
        <v>219</v>
      </c>
      <c r="M186" s="13">
        <v>14</v>
      </c>
      <c r="N186" s="119">
        <v>1009</v>
      </c>
      <c r="O186" s="22">
        <v>930</v>
      </c>
      <c r="P186" s="22">
        <v>58</v>
      </c>
      <c r="Q186" s="119">
        <v>21</v>
      </c>
      <c r="R186" s="13">
        <v>50</v>
      </c>
      <c r="S186" s="13">
        <v>253</v>
      </c>
    </row>
    <row r="187" spans="1:19" x14ac:dyDescent="0.2">
      <c r="A187" s="128">
        <v>40760</v>
      </c>
      <c r="B187" s="13">
        <v>2294</v>
      </c>
      <c r="C187" s="13">
        <v>350</v>
      </c>
      <c r="D187" s="13">
        <v>350</v>
      </c>
      <c r="E187" s="13">
        <v>0</v>
      </c>
      <c r="F187" s="13">
        <v>1945</v>
      </c>
      <c r="G187" s="13">
        <v>1860</v>
      </c>
      <c r="H187" s="13">
        <v>1858</v>
      </c>
      <c r="I187" s="13">
        <v>2</v>
      </c>
      <c r="J187" s="13">
        <v>85</v>
      </c>
      <c r="K187" s="13">
        <v>235</v>
      </c>
      <c r="L187" s="13">
        <v>219</v>
      </c>
      <c r="M187" s="13">
        <v>15</v>
      </c>
      <c r="N187" s="119">
        <v>1018</v>
      </c>
      <c r="O187" s="22">
        <v>935</v>
      </c>
      <c r="P187" s="22">
        <v>60</v>
      </c>
      <c r="Q187" s="119">
        <v>23</v>
      </c>
      <c r="R187" s="13">
        <v>47</v>
      </c>
      <c r="S187" s="13">
        <v>246</v>
      </c>
    </row>
    <row r="188" spans="1:19" x14ac:dyDescent="0.2">
      <c r="A188" s="128">
        <v>40767</v>
      </c>
      <c r="B188" s="13">
        <v>2293</v>
      </c>
      <c r="C188" s="13">
        <v>353</v>
      </c>
      <c r="D188" s="13">
        <v>353</v>
      </c>
      <c r="E188" s="13">
        <v>0</v>
      </c>
      <c r="F188" s="13">
        <v>1939</v>
      </c>
      <c r="G188" s="13">
        <v>1876</v>
      </c>
      <c r="H188" s="13">
        <v>1874</v>
      </c>
      <c r="I188" s="13">
        <v>2</v>
      </c>
      <c r="J188" s="13">
        <v>63</v>
      </c>
      <c r="K188" s="13">
        <v>233</v>
      </c>
      <c r="L188" s="13">
        <v>219</v>
      </c>
      <c r="M188" s="13">
        <v>14</v>
      </c>
      <c r="N188" s="119">
        <v>1003</v>
      </c>
      <c r="O188" s="22">
        <v>925</v>
      </c>
      <c r="P188" s="22">
        <v>54</v>
      </c>
      <c r="Q188" s="119">
        <v>24</v>
      </c>
      <c r="R188" s="13">
        <v>47</v>
      </c>
      <c r="S188" s="13">
        <v>240</v>
      </c>
    </row>
    <row r="189" spans="1:19" x14ac:dyDescent="0.2">
      <c r="A189" s="128">
        <v>40774</v>
      </c>
      <c r="B189" s="13">
        <v>2256</v>
      </c>
      <c r="C189" s="13">
        <v>352</v>
      </c>
      <c r="D189" s="13">
        <v>352</v>
      </c>
      <c r="E189" s="13">
        <v>0</v>
      </c>
      <c r="F189" s="13">
        <v>1904</v>
      </c>
      <c r="G189" s="13">
        <v>1865</v>
      </c>
      <c r="H189" s="13">
        <v>1863</v>
      </c>
      <c r="I189" s="13">
        <v>2</v>
      </c>
      <c r="J189" s="13">
        <v>39</v>
      </c>
      <c r="K189" s="13">
        <v>227</v>
      </c>
      <c r="L189" s="13">
        <v>216</v>
      </c>
      <c r="M189" s="13">
        <v>11</v>
      </c>
      <c r="N189" s="119">
        <v>1001</v>
      </c>
      <c r="O189" s="22">
        <v>909</v>
      </c>
      <c r="P189" s="22">
        <v>61</v>
      </c>
      <c r="Q189" s="119">
        <v>30</v>
      </c>
      <c r="R189" s="13">
        <v>42</v>
      </c>
      <c r="S189" s="13">
        <v>238</v>
      </c>
    </row>
    <row r="190" spans="1:19" x14ac:dyDescent="0.2">
      <c r="A190" s="128">
        <v>40781</v>
      </c>
      <c r="B190" s="13">
        <v>2232</v>
      </c>
      <c r="C190" s="13">
        <v>352</v>
      </c>
      <c r="D190" s="13">
        <v>352</v>
      </c>
      <c r="E190" s="13">
        <v>0</v>
      </c>
      <c r="F190" s="13">
        <v>1880</v>
      </c>
      <c r="G190" s="13">
        <v>1858</v>
      </c>
      <c r="H190" s="13">
        <v>1856</v>
      </c>
      <c r="I190" s="13">
        <v>2</v>
      </c>
      <c r="J190" s="13">
        <v>22</v>
      </c>
      <c r="K190" s="13">
        <v>232</v>
      </c>
      <c r="L190" s="13">
        <v>219</v>
      </c>
      <c r="M190" s="13">
        <v>13</v>
      </c>
      <c r="N190" s="119">
        <v>986</v>
      </c>
      <c r="O190" s="22">
        <v>893</v>
      </c>
      <c r="P190" s="22">
        <v>60</v>
      </c>
      <c r="Q190" s="119">
        <v>32</v>
      </c>
      <c r="R190" s="13">
        <v>42</v>
      </c>
      <c r="S190" s="13">
        <v>242</v>
      </c>
    </row>
    <row r="191" spans="1:19" x14ac:dyDescent="0.2">
      <c r="A191" s="128">
        <v>40788</v>
      </c>
      <c r="B191" s="13">
        <v>2219</v>
      </c>
      <c r="C191" s="13">
        <v>352</v>
      </c>
      <c r="D191" s="13">
        <v>352</v>
      </c>
      <c r="E191" s="13">
        <v>0</v>
      </c>
      <c r="F191" s="13">
        <v>1868</v>
      </c>
      <c r="G191" s="13">
        <v>1848</v>
      </c>
      <c r="H191" s="13">
        <v>1846</v>
      </c>
      <c r="I191" s="13">
        <v>2</v>
      </c>
      <c r="J191" s="13">
        <v>20</v>
      </c>
      <c r="K191" s="13">
        <v>236</v>
      </c>
      <c r="L191" s="13">
        <v>221</v>
      </c>
      <c r="M191" s="13">
        <v>15</v>
      </c>
      <c r="N191" s="119">
        <v>975</v>
      </c>
      <c r="O191" s="22">
        <v>879</v>
      </c>
      <c r="P191" s="22">
        <v>56</v>
      </c>
      <c r="Q191" s="119">
        <v>39</v>
      </c>
      <c r="R191" s="13">
        <v>42</v>
      </c>
      <c r="S191" s="13">
        <v>246</v>
      </c>
    </row>
    <row r="192" spans="1:19" x14ac:dyDescent="0.2">
      <c r="A192" s="128">
        <v>40795</v>
      </c>
      <c r="B192" s="13">
        <v>2225</v>
      </c>
      <c r="C192" s="13">
        <v>346</v>
      </c>
      <c r="D192" s="13">
        <v>346</v>
      </c>
      <c r="E192" s="13">
        <v>0</v>
      </c>
      <c r="F192" s="13">
        <v>1879</v>
      </c>
      <c r="G192" s="13">
        <v>1818</v>
      </c>
      <c r="H192" s="13">
        <v>1817</v>
      </c>
      <c r="I192" s="13">
        <v>2</v>
      </c>
      <c r="J192" s="13">
        <v>61</v>
      </c>
      <c r="K192" s="13">
        <v>241</v>
      </c>
      <c r="L192" s="13">
        <v>229</v>
      </c>
      <c r="M192" s="13">
        <v>13</v>
      </c>
      <c r="N192" s="119">
        <v>966</v>
      </c>
      <c r="O192" s="22">
        <v>875</v>
      </c>
      <c r="P192" s="22">
        <v>61</v>
      </c>
      <c r="Q192" s="119">
        <v>29</v>
      </c>
      <c r="R192" s="13">
        <v>42</v>
      </c>
      <c r="S192" s="13">
        <v>252</v>
      </c>
    </row>
    <row r="193" spans="1:19" x14ac:dyDescent="0.2">
      <c r="A193" s="128">
        <v>40802</v>
      </c>
      <c r="B193" s="13">
        <v>2263</v>
      </c>
      <c r="C193" s="13">
        <v>345</v>
      </c>
      <c r="D193" s="13">
        <v>345</v>
      </c>
      <c r="E193" s="13">
        <v>0</v>
      </c>
      <c r="F193" s="13">
        <v>1918</v>
      </c>
      <c r="G193" s="13">
        <v>1827</v>
      </c>
      <c r="H193" s="13">
        <v>1826</v>
      </c>
      <c r="I193" s="13">
        <v>2</v>
      </c>
      <c r="J193" s="13">
        <v>90</v>
      </c>
      <c r="K193" s="13">
        <v>249</v>
      </c>
      <c r="L193" s="13">
        <v>233</v>
      </c>
      <c r="M193" s="13">
        <v>16</v>
      </c>
      <c r="N193" s="119">
        <v>954</v>
      </c>
      <c r="O193" s="22">
        <v>881</v>
      </c>
      <c r="P193" s="22">
        <v>59</v>
      </c>
      <c r="Q193" s="119">
        <v>15</v>
      </c>
      <c r="R193" s="13">
        <v>44</v>
      </c>
      <c r="S193" s="13">
        <v>254</v>
      </c>
    </row>
    <row r="194" spans="1:19" x14ac:dyDescent="0.2">
      <c r="A194" s="128">
        <v>40809</v>
      </c>
      <c r="B194" s="13">
        <v>2282</v>
      </c>
      <c r="C194" s="13">
        <v>344</v>
      </c>
      <c r="D194" s="13">
        <v>344</v>
      </c>
      <c r="E194" s="13">
        <v>0</v>
      </c>
      <c r="F194" s="13">
        <v>1938</v>
      </c>
      <c r="G194" s="13">
        <v>1828</v>
      </c>
      <c r="H194" s="13">
        <v>1826</v>
      </c>
      <c r="I194" s="13">
        <v>2</v>
      </c>
      <c r="J194" s="13">
        <v>111</v>
      </c>
      <c r="K194" s="13">
        <v>246</v>
      </c>
      <c r="L194" s="13">
        <v>230</v>
      </c>
      <c r="M194" s="13">
        <v>16</v>
      </c>
      <c r="N194" s="119">
        <v>957</v>
      </c>
      <c r="O194" s="22">
        <v>890</v>
      </c>
      <c r="P194" s="22">
        <v>57</v>
      </c>
      <c r="Q194" s="119">
        <v>11</v>
      </c>
      <c r="R194" s="13">
        <v>45</v>
      </c>
      <c r="S194" s="13">
        <v>254</v>
      </c>
    </row>
    <row r="195" spans="1:19" x14ac:dyDescent="0.2">
      <c r="A195" s="128">
        <v>40816</v>
      </c>
      <c r="B195" s="13">
        <v>2304</v>
      </c>
      <c r="C195" s="13">
        <v>344</v>
      </c>
      <c r="D195" s="13">
        <v>344</v>
      </c>
      <c r="E195" s="13">
        <v>0</v>
      </c>
      <c r="F195" s="13">
        <v>1960</v>
      </c>
      <c r="G195" s="13">
        <v>1833</v>
      </c>
      <c r="H195" s="13">
        <v>1831</v>
      </c>
      <c r="I195" s="13">
        <v>2</v>
      </c>
      <c r="J195" s="13">
        <v>127</v>
      </c>
      <c r="K195" s="13">
        <v>250</v>
      </c>
      <c r="L195" s="13">
        <v>237</v>
      </c>
      <c r="M195" s="13">
        <v>13</v>
      </c>
      <c r="N195" s="119">
        <v>966</v>
      </c>
      <c r="O195" s="22">
        <v>904</v>
      </c>
      <c r="P195" s="22">
        <v>57</v>
      </c>
      <c r="Q195" s="119">
        <v>5</v>
      </c>
      <c r="R195" s="13">
        <v>46</v>
      </c>
      <c r="S195" s="13">
        <v>256</v>
      </c>
    </row>
    <row r="196" spans="1:19" x14ac:dyDescent="0.2">
      <c r="A196" s="128">
        <v>40823</v>
      </c>
      <c r="B196" s="13">
        <v>2309</v>
      </c>
      <c r="C196" s="13">
        <v>349</v>
      </c>
      <c r="D196" s="13">
        <v>349</v>
      </c>
      <c r="E196" s="13">
        <v>0</v>
      </c>
      <c r="F196" s="13">
        <v>1960</v>
      </c>
      <c r="G196" s="13">
        <v>1859</v>
      </c>
      <c r="H196" s="13">
        <v>1857</v>
      </c>
      <c r="I196" s="13">
        <v>2</v>
      </c>
      <c r="J196" s="13">
        <v>101</v>
      </c>
      <c r="K196" s="13">
        <v>249</v>
      </c>
      <c r="L196" s="13">
        <v>234</v>
      </c>
      <c r="M196" s="13">
        <v>15</v>
      </c>
      <c r="N196" s="119">
        <v>975</v>
      </c>
      <c r="O196" s="22">
        <v>915</v>
      </c>
      <c r="P196" s="22">
        <v>56</v>
      </c>
      <c r="Q196" s="119">
        <v>4</v>
      </c>
      <c r="R196" s="13">
        <v>43</v>
      </c>
      <c r="S196" s="13">
        <v>255</v>
      </c>
    </row>
    <row r="197" spans="1:19" x14ac:dyDescent="0.2">
      <c r="A197" s="128">
        <v>40830</v>
      </c>
      <c r="B197" s="13">
        <v>2285</v>
      </c>
      <c r="C197" s="13">
        <v>350</v>
      </c>
      <c r="D197" s="13">
        <v>350</v>
      </c>
      <c r="E197" s="13">
        <v>0</v>
      </c>
      <c r="F197" s="13">
        <v>1935</v>
      </c>
      <c r="G197" s="13">
        <v>1857</v>
      </c>
      <c r="H197" s="13">
        <v>1855</v>
      </c>
      <c r="I197" s="13">
        <v>2</v>
      </c>
      <c r="J197" s="13">
        <v>78</v>
      </c>
      <c r="K197" s="13">
        <v>246</v>
      </c>
      <c r="L197" s="13">
        <v>229</v>
      </c>
      <c r="M197" s="13">
        <v>16</v>
      </c>
      <c r="N197" s="119">
        <v>960</v>
      </c>
      <c r="O197" s="22">
        <v>900</v>
      </c>
      <c r="P197" s="22">
        <v>53</v>
      </c>
      <c r="Q197" s="119">
        <v>7</v>
      </c>
      <c r="R197" s="13">
        <v>44</v>
      </c>
      <c r="S197" s="13">
        <v>261</v>
      </c>
    </row>
    <row r="198" spans="1:19" x14ac:dyDescent="0.2">
      <c r="A198" s="128">
        <v>40837</v>
      </c>
      <c r="B198" s="13">
        <v>2234</v>
      </c>
      <c r="C198" s="13">
        <v>353</v>
      </c>
      <c r="D198" s="13">
        <v>353</v>
      </c>
      <c r="E198" s="13">
        <v>0</v>
      </c>
      <c r="F198" s="13">
        <v>1881</v>
      </c>
      <c r="G198" s="13">
        <v>1863</v>
      </c>
      <c r="H198" s="13">
        <v>1862</v>
      </c>
      <c r="I198" s="13">
        <v>1</v>
      </c>
      <c r="J198" s="13">
        <v>18</v>
      </c>
      <c r="K198" s="13">
        <v>252</v>
      </c>
      <c r="L198" s="13">
        <v>236</v>
      </c>
      <c r="M198" s="13">
        <v>15</v>
      </c>
      <c r="N198" s="119">
        <v>952</v>
      </c>
      <c r="O198" s="22">
        <v>888</v>
      </c>
      <c r="P198" s="22">
        <v>58</v>
      </c>
      <c r="Q198" s="119">
        <v>6</v>
      </c>
      <c r="R198" s="13">
        <v>43</v>
      </c>
      <c r="S198" s="13">
        <v>264</v>
      </c>
    </row>
    <row r="199" spans="1:19" x14ac:dyDescent="0.2">
      <c r="A199" s="128">
        <v>40844</v>
      </c>
      <c r="B199" s="13">
        <v>2206</v>
      </c>
      <c r="C199" s="13">
        <v>360</v>
      </c>
      <c r="D199" s="13">
        <v>360</v>
      </c>
      <c r="E199" s="13">
        <v>0</v>
      </c>
      <c r="F199" s="13">
        <v>1846</v>
      </c>
      <c r="G199" s="13">
        <v>1872</v>
      </c>
      <c r="H199" s="13">
        <v>1870</v>
      </c>
      <c r="I199" s="13">
        <v>1</v>
      </c>
      <c r="J199" s="13">
        <v>-26</v>
      </c>
      <c r="K199" s="13">
        <v>239</v>
      </c>
      <c r="L199" s="13">
        <v>224</v>
      </c>
      <c r="M199" s="13">
        <v>15</v>
      </c>
      <c r="N199" s="119">
        <v>952</v>
      </c>
      <c r="O199" s="22">
        <v>888</v>
      </c>
      <c r="P199" s="22">
        <v>63</v>
      </c>
      <c r="Q199" s="119">
        <v>1</v>
      </c>
      <c r="R199" s="13">
        <v>48</v>
      </c>
      <c r="S199" s="13">
        <v>263</v>
      </c>
    </row>
    <row r="200" spans="1:19" x14ac:dyDescent="0.2">
      <c r="A200" s="128">
        <v>40851</v>
      </c>
      <c r="B200" s="13">
        <v>2138</v>
      </c>
      <c r="C200" s="13">
        <v>362</v>
      </c>
      <c r="D200" s="13">
        <v>362</v>
      </c>
      <c r="E200" s="13">
        <v>0</v>
      </c>
      <c r="F200" s="13">
        <v>1775</v>
      </c>
      <c r="G200" s="13">
        <v>1849</v>
      </c>
      <c r="H200" s="13">
        <v>1848</v>
      </c>
      <c r="I200" s="13">
        <v>1</v>
      </c>
      <c r="J200" s="13">
        <v>-74</v>
      </c>
      <c r="K200" s="13">
        <v>232</v>
      </c>
      <c r="L200" s="13">
        <v>217</v>
      </c>
      <c r="M200" s="13">
        <v>16</v>
      </c>
      <c r="N200" s="119">
        <v>944</v>
      </c>
      <c r="O200" s="22">
        <v>883</v>
      </c>
      <c r="P200" s="22">
        <v>64</v>
      </c>
      <c r="Q200" s="119">
        <v>-3</v>
      </c>
      <c r="R200" s="13">
        <v>53</v>
      </c>
      <c r="S200" s="13">
        <v>263</v>
      </c>
    </row>
    <row r="201" spans="1:19" x14ac:dyDescent="0.2">
      <c r="A201" s="128">
        <v>40858</v>
      </c>
      <c r="B201" s="13">
        <v>2139</v>
      </c>
      <c r="C201" s="13">
        <v>365</v>
      </c>
      <c r="D201" s="13">
        <v>365</v>
      </c>
      <c r="E201" s="13">
        <v>0</v>
      </c>
      <c r="F201" s="13">
        <v>1775</v>
      </c>
      <c r="G201" s="13">
        <v>1866</v>
      </c>
      <c r="H201" s="13">
        <v>1865</v>
      </c>
      <c r="I201" s="13">
        <v>1</v>
      </c>
      <c r="J201" s="13">
        <v>-92</v>
      </c>
      <c r="K201" s="13">
        <v>227</v>
      </c>
      <c r="L201" s="13">
        <v>213</v>
      </c>
      <c r="M201" s="13">
        <v>14</v>
      </c>
      <c r="N201" s="119">
        <v>965</v>
      </c>
      <c r="O201" s="22">
        <v>911</v>
      </c>
      <c r="P201" s="22">
        <v>67</v>
      </c>
      <c r="Q201" s="119">
        <v>-13</v>
      </c>
      <c r="R201" s="13">
        <v>54</v>
      </c>
      <c r="S201" s="13">
        <v>263</v>
      </c>
    </row>
    <row r="202" spans="1:19" x14ac:dyDescent="0.2">
      <c r="A202" s="128">
        <v>40865</v>
      </c>
      <c r="B202" s="13">
        <v>2193</v>
      </c>
      <c r="C202" s="13">
        <v>368</v>
      </c>
      <c r="D202" s="13">
        <v>368</v>
      </c>
      <c r="E202" s="13">
        <v>0</v>
      </c>
      <c r="F202" s="13">
        <v>1825</v>
      </c>
      <c r="G202" s="13">
        <v>1866</v>
      </c>
      <c r="H202" s="13">
        <v>1865</v>
      </c>
      <c r="I202" s="13">
        <v>1</v>
      </c>
      <c r="J202" s="13">
        <v>-41</v>
      </c>
      <c r="K202" s="13">
        <v>212</v>
      </c>
      <c r="L202" s="13">
        <v>198</v>
      </c>
      <c r="M202" s="13">
        <v>14</v>
      </c>
      <c r="N202" s="119">
        <v>973</v>
      </c>
      <c r="O202" s="22">
        <v>926</v>
      </c>
      <c r="P202" s="22">
        <v>70</v>
      </c>
      <c r="Q202" s="119">
        <v>-22</v>
      </c>
      <c r="R202" s="13">
        <v>56</v>
      </c>
      <c r="S202" s="13">
        <v>263</v>
      </c>
    </row>
    <row r="203" spans="1:19" x14ac:dyDescent="0.2">
      <c r="A203" s="128">
        <v>40872</v>
      </c>
      <c r="B203" s="13">
        <v>2168</v>
      </c>
      <c r="C203" s="13">
        <v>360</v>
      </c>
      <c r="D203" s="13">
        <v>360</v>
      </c>
      <c r="E203" s="13">
        <v>0</v>
      </c>
      <c r="F203" s="13">
        <v>1808</v>
      </c>
      <c r="G203" s="13">
        <v>1821</v>
      </c>
      <c r="H203" s="13">
        <v>1819</v>
      </c>
      <c r="I203" s="13">
        <v>1</v>
      </c>
      <c r="J203" s="13">
        <v>-13</v>
      </c>
      <c r="K203" s="13">
        <v>212</v>
      </c>
      <c r="L203" s="13">
        <v>200</v>
      </c>
      <c r="M203" s="13">
        <v>12</v>
      </c>
      <c r="N203" s="119">
        <v>1004</v>
      </c>
      <c r="O203" s="22">
        <v>960</v>
      </c>
      <c r="P203" s="22">
        <v>70</v>
      </c>
      <c r="Q203" s="119">
        <v>-25</v>
      </c>
      <c r="R203" s="13">
        <v>52</v>
      </c>
      <c r="S203" s="13">
        <v>263</v>
      </c>
    </row>
    <row r="204" spans="1:19" x14ac:dyDescent="0.2">
      <c r="A204" s="128">
        <v>40879</v>
      </c>
      <c r="B204" s="13">
        <v>2291</v>
      </c>
      <c r="C204" s="13">
        <v>361</v>
      </c>
      <c r="D204" s="13">
        <v>361</v>
      </c>
      <c r="E204" s="13">
        <v>0</v>
      </c>
      <c r="F204" s="13">
        <v>1930</v>
      </c>
      <c r="G204" s="13">
        <v>1851</v>
      </c>
      <c r="H204" s="13">
        <v>1850</v>
      </c>
      <c r="I204" s="13">
        <v>1</v>
      </c>
      <c r="J204" s="13">
        <v>79</v>
      </c>
      <c r="K204" s="13">
        <v>217</v>
      </c>
      <c r="L204" s="13">
        <v>205</v>
      </c>
      <c r="M204" s="13">
        <v>12</v>
      </c>
      <c r="N204" s="119">
        <v>1064</v>
      </c>
      <c r="O204" s="22">
        <v>1018</v>
      </c>
      <c r="P204" s="22">
        <v>67</v>
      </c>
      <c r="Q204" s="119">
        <v>-21</v>
      </c>
      <c r="R204" s="13">
        <v>49</v>
      </c>
      <c r="S204" s="13">
        <v>273</v>
      </c>
    </row>
    <row r="205" spans="1:19" x14ac:dyDescent="0.2">
      <c r="A205" s="128">
        <v>40886</v>
      </c>
      <c r="B205" s="13">
        <v>2326</v>
      </c>
      <c r="C205" s="13">
        <v>366</v>
      </c>
      <c r="D205" s="13">
        <v>366</v>
      </c>
      <c r="E205" s="13">
        <v>0</v>
      </c>
      <c r="F205" s="13">
        <v>1960</v>
      </c>
      <c r="G205" s="13">
        <v>1834</v>
      </c>
      <c r="H205" s="13">
        <v>1833</v>
      </c>
      <c r="I205" s="13">
        <v>1</v>
      </c>
      <c r="J205" s="13">
        <v>126</v>
      </c>
      <c r="K205" s="13">
        <v>219</v>
      </c>
      <c r="L205" s="13">
        <v>208</v>
      </c>
      <c r="M205" s="13">
        <v>11</v>
      </c>
      <c r="N205" s="119">
        <v>1107</v>
      </c>
      <c r="O205" s="22">
        <v>1053</v>
      </c>
      <c r="P205" s="22">
        <v>66</v>
      </c>
      <c r="Q205" s="119">
        <v>-12</v>
      </c>
      <c r="R205" s="13">
        <v>52</v>
      </c>
      <c r="S205" s="13">
        <v>271</v>
      </c>
    </row>
    <row r="206" spans="1:19" x14ac:dyDescent="0.2">
      <c r="A206" s="128">
        <v>40893</v>
      </c>
      <c r="B206" s="13">
        <v>2344</v>
      </c>
      <c r="C206" s="13">
        <v>367</v>
      </c>
      <c r="D206" s="13">
        <v>367</v>
      </c>
      <c r="E206" s="13">
        <v>0</v>
      </c>
      <c r="F206" s="13">
        <v>1977</v>
      </c>
      <c r="G206" s="13">
        <v>1839</v>
      </c>
      <c r="H206" s="13">
        <v>1838</v>
      </c>
      <c r="I206" s="13">
        <v>1</v>
      </c>
      <c r="J206" s="13">
        <v>138</v>
      </c>
      <c r="K206" s="13">
        <v>222</v>
      </c>
      <c r="L206" s="13">
        <v>212</v>
      </c>
      <c r="M206" s="13">
        <v>10</v>
      </c>
      <c r="N206" s="119">
        <v>1143</v>
      </c>
      <c r="O206" s="22">
        <v>1078</v>
      </c>
      <c r="P206" s="22">
        <v>72</v>
      </c>
      <c r="Q206" s="119">
        <v>-7</v>
      </c>
      <c r="R206" s="13">
        <v>54</v>
      </c>
      <c r="S206" s="13">
        <v>268</v>
      </c>
    </row>
    <row r="207" spans="1:19" x14ac:dyDescent="0.2">
      <c r="A207" s="128">
        <v>40900</v>
      </c>
      <c r="B207" s="13">
        <v>2388</v>
      </c>
      <c r="C207" s="13">
        <v>375</v>
      </c>
      <c r="D207" s="13">
        <v>375</v>
      </c>
      <c r="E207" s="13">
        <v>0</v>
      </c>
      <c r="F207" s="13">
        <v>2013</v>
      </c>
      <c r="G207" s="13">
        <v>1866</v>
      </c>
      <c r="H207" s="13">
        <v>1865</v>
      </c>
      <c r="I207" s="13">
        <v>1</v>
      </c>
      <c r="J207" s="13">
        <v>147</v>
      </c>
      <c r="K207" s="13">
        <v>223</v>
      </c>
      <c r="L207" s="13">
        <v>211</v>
      </c>
      <c r="M207" s="13">
        <v>12</v>
      </c>
      <c r="N207" s="119">
        <v>1139</v>
      </c>
      <c r="O207" s="22">
        <v>1069</v>
      </c>
      <c r="P207" s="22">
        <v>71</v>
      </c>
      <c r="Q207" s="119">
        <v>-2</v>
      </c>
      <c r="R207" s="13">
        <v>54</v>
      </c>
      <c r="S207" s="13">
        <v>267</v>
      </c>
    </row>
    <row r="208" spans="1:19" x14ac:dyDescent="0.2">
      <c r="A208" s="128">
        <v>40907</v>
      </c>
      <c r="B208" s="13">
        <v>2315</v>
      </c>
      <c r="C208" s="13">
        <v>369</v>
      </c>
      <c r="D208" s="13">
        <v>369</v>
      </c>
      <c r="E208" s="13">
        <v>0</v>
      </c>
      <c r="F208" s="13">
        <v>1946</v>
      </c>
      <c r="G208" s="13">
        <v>1805</v>
      </c>
      <c r="H208" s="13">
        <v>1804</v>
      </c>
      <c r="I208" s="13">
        <v>1</v>
      </c>
      <c r="J208" s="13">
        <v>141</v>
      </c>
      <c r="K208" s="13">
        <v>221</v>
      </c>
      <c r="L208" s="13">
        <v>209</v>
      </c>
      <c r="M208" s="13">
        <v>12</v>
      </c>
      <c r="N208" s="119">
        <v>1129</v>
      </c>
      <c r="O208" s="22">
        <v>1054</v>
      </c>
      <c r="P208" s="22">
        <v>76</v>
      </c>
      <c r="Q208" s="119">
        <v>-2</v>
      </c>
      <c r="R208" s="13">
        <v>55</v>
      </c>
      <c r="S208" s="13">
        <v>255</v>
      </c>
    </row>
    <row r="209" spans="1:19" x14ac:dyDescent="0.2">
      <c r="A209" s="128">
        <v>40914</v>
      </c>
      <c r="B209" s="13">
        <v>2272</v>
      </c>
      <c r="C209" s="13">
        <v>353</v>
      </c>
      <c r="D209" s="13">
        <v>353</v>
      </c>
      <c r="E209" s="13">
        <v>0</v>
      </c>
      <c r="F209" s="13">
        <v>1919</v>
      </c>
      <c r="G209" s="13">
        <v>1749</v>
      </c>
      <c r="H209" s="13">
        <v>1748</v>
      </c>
      <c r="I209" s="13">
        <v>1</v>
      </c>
      <c r="J209" s="13">
        <v>170</v>
      </c>
      <c r="K209" s="13">
        <v>224</v>
      </c>
      <c r="L209" s="13">
        <v>214</v>
      </c>
      <c r="M209" s="13">
        <v>10</v>
      </c>
      <c r="N209" s="119">
        <v>1127</v>
      </c>
      <c r="O209" s="22">
        <v>1056</v>
      </c>
      <c r="P209" s="22">
        <v>74</v>
      </c>
      <c r="Q209" s="119">
        <v>-4</v>
      </c>
      <c r="R209" s="13">
        <v>52</v>
      </c>
      <c r="S209" s="13">
        <v>255</v>
      </c>
    </row>
    <row r="210" spans="1:19" x14ac:dyDescent="0.2">
      <c r="A210" s="128">
        <v>40921</v>
      </c>
      <c r="B210" s="13">
        <v>2233</v>
      </c>
      <c r="C210" s="13">
        <v>344</v>
      </c>
      <c r="D210" s="13">
        <v>344</v>
      </c>
      <c r="E210" s="13">
        <v>0</v>
      </c>
      <c r="F210" s="13">
        <v>1889</v>
      </c>
      <c r="G210" s="13">
        <v>1705</v>
      </c>
      <c r="H210" s="13">
        <v>1704</v>
      </c>
      <c r="I210" s="13">
        <v>1</v>
      </c>
      <c r="J210" s="13">
        <v>184</v>
      </c>
      <c r="K210" s="13">
        <v>229</v>
      </c>
      <c r="L210" s="13">
        <v>217</v>
      </c>
      <c r="M210" s="13">
        <v>11</v>
      </c>
      <c r="N210" s="119">
        <v>1094</v>
      </c>
      <c r="O210" s="22">
        <v>1029</v>
      </c>
      <c r="P210" s="22">
        <v>70</v>
      </c>
      <c r="Q210" s="119">
        <v>-5</v>
      </c>
      <c r="R210" s="13">
        <v>52</v>
      </c>
      <c r="S210" s="13">
        <v>258</v>
      </c>
    </row>
    <row r="211" spans="1:19" x14ac:dyDescent="0.2">
      <c r="A211" s="128">
        <v>40928</v>
      </c>
      <c r="B211" s="13">
        <v>2200</v>
      </c>
      <c r="C211" s="13">
        <v>337</v>
      </c>
      <c r="D211" s="13">
        <v>337</v>
      </c>
      <c r="E211" s="13">
        <v>0</v>
      </c>
      <c r="F211" s="13">
        <v>1863</v>
      </c>
      <c r="G211" s="13">
        <v>1681</v>
      </c>
      <c r="H211" s="13">
        <v>1680</v>
      </c>
      <c r="I211" s="13">
        <v>1</v>
      </c>
      <c r="J211" s="13">
        <v>181</v>
      </c>
      <c r="K211" s="13">
        <v>239</v>
      </c>
      <c r="L211" s="13">
        <v>227</v>
      </c>
      <c r="M211" s="13">
        <v>12</v>
      </c>
      <c r="N211" s="119">
        <v>1056</v>
      </c>
      <c r="O211" s="22">
        <v>997</v>
      </c>
      <c r="P211" s="22">
        <v>67</v>
      </c>
      <c r="Q211" s="119">
        <v>-8</v>
      </c>
      <c r="R211" s="13">
        <v>53</v>
      </c>
      <c r="S211" s="13">
        <v>261</v>
      </c>
    </row>
    <row r="212" spans="1:19" x14ac:dyDescent="0.2">
      <c r="A212" s="128">
        <v>40935</v>
      </c>
      <c r="B212" s="13">
        <v>2205</v>
      </c>
      <c r="C212" s="13">
        <v>339</v>
      </c>
      <c r="D212" s="13">
        <v>339</v>
      </c>
      <c r="E212" s="13">
        <v>0</v>
      </c>
      <c r="F212" s="13">
        <v>1866</v>
      </c>
      <c r="G212" s="13">
        <v>1701</v>
      </c>
      <c r="H212" s="13">
        <v>1700</v>
      </c>
      <c r="I212" s="13">
        <v>1</v>
      </c>
      <c r="J212" s="13">
        <v>165</v>
      </c>
      <c r="K212" s="13">
        <v>235</v>
      </c>
      <c r="L212" s="13">
        <v>226</v>
      </c>
      <c r="M212" s="13">
        <v>9</v>
      </c>
      <c r="N212" s="119">
        <v>1036</v>
      </c>
      <c r="O212" s="22">
        <v>980</v>
      </c>
      <c r="P212" s="22">
        <v>63</v>
      </c>
      <c r="Q212" s="119">
        <v>-8</v>
      </c>
      <c r="R212" s="13">
        <v>48</v>
      </c>
      <c r="S212" s="13">
        <v>264</v>
      </c>
    </row>
    <row r="213" spans="1:19" x14ac:dyDescent="0.2">
      <c r="A213" s="128">
        <v>40942</v>
      </c>
      <c r="B213" s="13">
        <v>2184</v>
      </c>
      <c r="C213" s="13">
        <v>346</v>
      </c>
      <c r="D213" s="13">
        <v>346</v>
      </c>
      <c r="E213" s="13">
        <v>0</v>
      </c>
      <c r="F213" s="13">
        <v>1838</v>
      </c>
      <c r="G213" s="13">
        <v>1725</v>
      </c>
      <c r="H213" s="13">
        <v>1724</v>
      </c>
      <c r="I213" s="13">
        <v>1</v>
      </c>
      <c r="J213" s="13">
        <v>113</v>
      </c>
      <c r="K213" s="13">
        <v>225</v>
      </c>
      <c r="L213" s="13">
        <v>215</v>
      </c>
      <c r="M213" s="13">
        <v>10</v>
      </c>
      <c r="N213" s="119">
        <v>1015</v>
      </c>
      <c r="O213" s="22">
        <v>949</v>
      </c>
      <c r="P213" s="22">
        <v>68</v>
      </c>
      <c r="Q213" s="119">
        <v>-2</v>
      </c>
      <c r="R213" s="13">
        <v>48</v>
      </c>
      <c r="S213" s="13">
        <v>266</v>
      </c>
    </row>
    <row r="214" spans="1:19" x14ac:dyDescent="0.2">
      <c r="A214" s="128">
        <v>40949</v>
      </c>
      <c r="B214" s="13">
        <v>2174</v>
      </c>
      <c r="C214" s="13">
        <v>349</v>
      </c>
      <c r="D214" s="13">
        <v>349</v>
      </c>
      <c r="E214" s="13">
        <v>0</v>
      </c>
      <c r="F214" s="13">
        <v>1824</v>
      </c>
      <c r="G214" s="13">
        <v>1740</v>
      </c>
      <c r="H214" s="13">
        <v>1739</v>
      </c>
      <c r="I214" s="13">
        <v>1</v>
      </c>
      <c r="J214" s="13">
        <v>85</v>
      </c>
      <c r="K214" s="13">
        <v>224</v>
      </c>
      <c r="L214" s="13">
        <v>214</v>
      </c>
      <c r="M214" s="13">
        <v>9</v>
      </c>
      <c r="N214" s="119">
        <v>1022</v>
      </c>
      <c r="O214" s="22">
        <v>959</v>
      </c>
      <c r="P214" s="22">
        <v>68</v>
      </c>
      <c r="Q214" s="119">
        <v>-5</v>
      </c>
      <c r="R214" s="13">
        <v>46</v>
      </c>
      <c r="S214" s="13">
        <v>265</v>
      </c>
    </row>
    <row r="215" spans="1:19" x14ac:dyDescent="0.2">
      <c r="A215" s="128">
        <v>40956</v>
      </c>
      <c r="B215" s="13">
        <v>2175</v>
      </c>
      <c r="C215" s="13">
        <v>355</v>
      </c>
      <c r="D215" s="13">
        <v>355</v>
      </c>
      <c r="E215" s="13">
        <v>0</v>
      </c>
      <c r="F215" s="13">
        <v>1820</v>
      </c>
      <c r="G215" s="13">
        <v>1771</v>
      </c>
      <c r="H215" s="13">
        <v>1771</v>
      </c>
      <c r="I215" s="13">
        <v>1</v>
      </c>
      <c r="J215" s="13">
        <v>49</v>
      </c>
      <c r="K215" s="13">
        <v>218</v>
      </c>
      <c r="L215" s="13">
        <v>207</v>
      </c>
      <c r="M215" s="13">
        <v>11</v>
      </c>
      <c r="N215" s="119">
        <v>1039</v>
      </c>
      <c r="O215" s="22">
        <v>976</v>
      </c>
      <c r="P215" s="22">
        <v>67</v>
      </c>
      <c r="Q215" s="119">
        <v>-4</v>
      </c>
      <c r="R215" s="13">
        <v>42</v>
      </c>
      <c r="S215" s="13">
        <v>267</v>
      </c>
    </row>
    <row r="216" spans="1:19" x14ac:dyDescent="0.2">
      <c r="A216" s="128">
        <v>40963</v>
      </c>
      <c r="B216" s="13">
        <v>2158</v>
      </c>
      <c r="C216" s="13">
        <v>359</v>
      </c>
      <c r="D216" s="13">
        <v>359</v>
      </c>
      <c r="E216" s="13">
        <v>0</v>
      </c>
      <c r="F216" s="13">
        <v>1799</v>
      </c>
      <c r="G216" s="13">
        <v>1790</v>
      </c>
      <c r="H216" s="13">
        <v>1789</v>
      </c>
      <c r="I216" s="13">
        <v>1</v>
      </c>
      <c r="J216" s="13">
        <v>8</v>
      </c>
      <c r="K216" s="13">
        <v>223</v>
      </c>
      <c r="L216" s="13">
        <v>210</v>
      </c>
      <c r="M216" s="13">
        <v>12</v>
      </c>
      <c r="N216" s="119">
        <v>1037</v>
      </c>
      <c r="O216" s="22">
        <v>971</v>
      </c>
      <c r="P216" s="22">
        <v>68</v>
      </c>
      <c r="Q216" s="119">
        <v>-2</v>
      </c>
      <c r="R216" s="13">
        <v>44</v>
      </c>
      <c r="S216" s="13">
        <v>266</v>
      </c>
    </row>
    <row r="217" spans="1:19" x14ac:dyDescent="0.2">
      <c r="A217" s="128">
        <v>40970</v>
      </c>
      <c r="B217" s="13">
        <v>2162</v>
      </c>
      <c r="C217" s="13">
        <v>363</v>
      </c>
      <c r="D217" s="13">
        <v>363</v>
      </c>
      <c r="E217" s="13">
        <v>0</v>
      </c>
      <c r="F217" s="13">
        <v>1799</v>
      </c>
      <c r="G217" s="13">
        <v>1794</v>
      </c>
      <c r="H217" s="13">
        <v>1793</v>
      </c>
      <c r="I217" s="13">
        <v>1</v>
      </c>
      <c r="J217" s="13">
        <v>5</v>
      </c>
      <c r="K217" s="13">
        <v>225</v>
      </c>
      <c r="L217" s="13">
        <v>213</v>
      </c>
      <c r="M217" s="13">
        <v>12</v>
      </c>
      <c r="N217" s="119">
        <v>1034</v>
      </c>
      <c r="O217" s="22">
        <v>976</v>
      </c>
      <c r="P217" s="22">
        <v>63</v>
      </c>
      <c r="Q217" s="119">
        <v>-5</v>
      </c>
      <c r="R217" s="13">
        <v>42</v>
      </c>
      <c r="S217" s="13">
        <v>260</v>
      </c>
    </row>
    <row r="218" spans="1:19" x14ac:dyDescent="0.2">
      <c r="A218" s="128">
        <v>40977</v>
      </c>
      <c r="B218" s="13">
        <v>2145</v>
      </c>
      <c r="C218" s="13">
        <v>365</v>
      </c>
      <c r="D218" s="13">
        <v>365</v>
      </c>
      <c r="E218" s="13">
        <v>0</v>
      </c>
      <c r="F218" s="13">
        <v>1780</v>
      </c>
      <c r="G218" s="13">
        <v>1797</v>
      </c>
      <c r="H218" s="13">
        <v>1796</v>
      </c>
      <c r="I218" s="13">
        <v>1</v>
      </c>
      <c r="J218" s="13">
        <v>-17</v>
      </c>
      <c r="K218" s="13">
        <v>230</v>
      </c>
      <c r="L218" s="13">
        <v>215</v>
      </c>
      <c r="M218" s="13">
        <v>15</v>
      </c>
      <c r="N218" s="119">
        <v>1022</v>
      </c>
      <c r="O218" s="22">
        <v>965</v>
      </c>
      <c r="P218" s="22">
        <v>59</v>
      </c>
      <c r="Q218" s="119">
        <v>-2</v>
      </c>
      <c r="R218" s="13">
        <v>41</v>
      </c>
      <c r="S218" s="13">
        <v>250</v>
      </c>
    </row>
    <row r="219" spans="1:19" x14ac:dyDescent="0.2">
      <c r="A219" s="128">
        <v>40984</v>
      </c>
      <c r="B219" s="13">
        <v>2110</v>
      </c>
      <c r="C219" s="13">
        <v>359</v>
      </c>
      <c r="D219" s="13">
        <v>359</v>
      </c>
      <c r="E219" s="13">
        <v>0</v>
      </c>
      <c r="F219" s="13">
        <v>1751</v>
      </c>
      <c r="G219" s="13">
        <v>1767</v>
      </c>
      <c r="H219" s="13">
        <v>1766</v>
      </c>
      <c r="I219" s="13">
        <v>1</v>
      </c>
      <c r="J219" s="13">
        <v>-16</v>
      </c>
      <c r="K219" s="13">
        <v>225</v>
      </c>
      <c r="L219" s="13">
        <v>212</v>
      </c>
      <c r="M219" s="13">
        <v>13</v>
      </c>
      <c r="N219" s="119">
        <v>1015</v>
      </c>
      <c r="O219" s="22">
        <v>954</v>
      </c>
      <c r="P219" s="22">
        <v>62</v>
      </c>
      <c r="Q219" s="119">
        <v>-1</v>
      </c>
      <c r="R219" s="13">
        <v>39</v>
      </c>
      <c r="S219" s="13">
        <v>251</v>
      </c>
    </row>
    <row r="220" spans="1:19" x14ac:dyDescent="0.2">
      <c r="A220" s="128">
        <v>40991</v>
      </c>
      <c r="B220" s="13">
        <v>2093</v>
      </c>
      <c r="C220" s="13">
        <v>352</v>
      </c>
      <c r="D220" s="13">
        <v>352</v>
      </c>
      <c r="E220" s="13">
        <v>0</v>
      </c>
      <c r="F220" s="13">
        <v>1740</v>
      </c>
      <c r="G220" s="13">
        <v>1750</v>
      </c>
      <c r="H220" s="13">
        <v>1748</v>
      </c>
      <c r="I220" s="13">
        <v>1</v>
      </c>
      <c r="J220" s="13">
        <v>-9</v>
      </c>
      <c r="K220" s="13">
        <v>217</v>
      </c>
      <c r="L220" s="13">
        <v>202</v>
      </c>
      <c r="M220" s="13">
        <v>15</v>
      </c>
      <c r="N220" s="119">
        <v>986</v>
      </c>
      <c r="O220" s="22">
        <v>917</v>
      </c>
      <c r="P220" s="22">
        <v>64</v>
      </c>
      <c r="Q220" s="119">
        <v>5</v>
      </c>
      <c r="R220" s="13">
        <v>39</v>
      </c>
      <c r="S220" s="13">
        <v>259</v>
      </c>
    </row>
    <row r="221" spans="1:19" x14ac:dyDescent="0.2">
      <c r="A221" s="128">
        <v>40998</v>
      </c>
      <c r="B221" s="13">
        <v>2073</v>
      </c>
      <c r="C221" s="13">
        <v>346</v>
      </c>
      <c r="D221" s="13">
        <v>346</v>
      </c>
      <c r="E221" s="13">
        <v>0</v>
      </c>
      <c r="F221" s="13">
        <v>1727</v>
      </c>
      <c r="G221" s="13">
        <v>1770</v>
      </c>
      <c r="H221" s="13">
        <v>1769</v>
      </c>
      <c r="I221" s="13">
        <v>1</v>
      </c>
      <c r="J221" s="13">
        <v>-43</v>
      </c>
      <c r="K221" s="13">
        <v>228</v>
      </c>
      <c r="L221" s="13">
        <v>212</v>
      </c>
      <c r="M221" s="13">
        <v>16</v>
      </c>
      <c r="N221" s="119">
        <v>948</v>
      </c>
      <c r="O221" s="22">
        <v>879</v>
      </c>
      <c r="P221" s="22">
        <v>65</v>
      </c>
      <c r="Q221" s="119">
        <v>4</v>
      </c>
      <c r="R221" s="13">
        <v>38</v>
      </c>
      <c r="S221" s="13">
        <v>262</v>
      </c>
    </row>
    <row r="222" spans="1:19" x14ac:dyDescent="0.2">
      <c r="A222" s="128">
        <v>41005</v>
      </c>
      <c r="B222" s="13">
        <v>2062</v>
      </c>
      <c r="C222" s="13">
        <v>340</v>
      </c>
      <c r="D222" s="13">
        <v>340</v>
      </c>
      <c r="E222" s="13">
        <v>0</v>
      </c>
      <c r="F222" s="13">
        <v>1722</v>
      </c>
      <c r="G222" s="13">
        <v>1783</v>
      </c>
      <c r="H222" s="13">
        <v>1782</v>
      </c>
      <c r="I222" s="13">
        <v>1</v>
      </c>
      <c r="J222" s="13">
        <v>-62</v>
      </c>
      <c r="K222" s="13">
        <v>225</v>
      </c>
      <c r="L222" s="13">
        <v>214</v>
      </c>
      <c r="M222" s="13">
        <v>11</v>
      </c>
      <c r="N222" s="119">
        <v>965</v>
      </c>
      <c r="O222" s="22">
        <v>892</v>
      </c>
      <c r="P222" s="22">
        <v>71</v>
      </c>
      <c r="Q222" s="119">
        <v>2</v>
      </c>
      <c r="R222" s="13">
        <v>40</v>
      </c>
      <c r="S222" s="13">
        <v>271</v>
      </c>
    </row>
    <row r="223" spans="1:19" x14ac:dyDescent="0.2">
      <c r="A223" s="128">
        <v>41012</v>
      </c>
      <c r="B223" s="13">
        <v>2114</v>
      </c>
      <c r="C223" s="13">
        <v>341</v>
      </c>
      <c r="D223" s="13">
        <v>341</v>
      </c>
      <c r="E223" s="13">
        <v>0</v>
      </c>
      <c r="F223" s="13">
        <v>1773</v>
      </c>
      <c r="G223" s="13">
        <v>1835</v>
      </c>
      <c r="H223" s="13">
        <v>1834</v>
      </c>
      <c r="I223" s="13">
        <v>1</v>
      </c>
      <c r="J223" s="13">
        <v>-62</v>
      </c>
      <c r="K223" s="13">
        <v>231</v>
      </c>
      <c r="L223" s="13">
        <v>220</v>
      </c>
      <c r="M223" s="13">
        <v>11</v>
      </c>
      <c r="N223" s="119">
        <v>984</v>
      </c>
      <c r="O223" s="22">
        <v>907</v>
      </c>
      <c r="P223" s="22">
        <v>73</v>
      </c>
      <c r="Q223" s="119">
        <v>4</v>
      </c>
      <c r="R223" s="13">
        <v>43</v>
      </c>
      <c r="S223" s="13">
        <v>265</v>
      </c>
    </row>
    <row r="224" spans="1:19" x14ac:dyDescent="0.2">
      <c r="A224" s="128">
        <v>41019</v>
      </c>
      <c r="B224" s="13">
        <v>2116</v>
      </c>
      <c r="C224" s="13">
        <v>341</v>
      </c>
      <c r="D224" s="13">
        <v>341</v>
      </c>
      <c r="E224" s="13">
        <v>0</v>
      </c>
      <c r="F224" s="13">
        <v>1775</v>
      </c>
      <c r="G224" s="13">
        <v>1846</v>
      </c>
      <c r="H224" s="13">
        <v>1845</v>
      </c>
      <c r="I224" s="13">
        <v>1</v>
      </c>
      <c r="J224" s="13">
        <v>-72</v>
      </c>
      <c r="K224" s="13">
        <v>245</v>
      </c>
      <c r="L224" s="13">
        <v>233</v>
      </c>
      <c r="M224" s="13">
        <v>12</v>
      </c>
      <c r="N224" s="119">
        <v>1017</v>
      </c>
      <c r="O224" s="22">
        <v>952</v>
      </c>
      <c r="P224" s="22">
        <v>69</v>
      </c>
      <c r="Q224" s="119">
        <v>-3</v>
      </c>
      <c r="R224" s="13">
        <v>43</v>
      </c>
      <c r="S224" s="13">
        <v>265</v>
      </c>
    </row>
    <row r="225" spans="1:19" x14ac:dyDescent="0.2">
      <c r="A225" s="128">
        <v>41026</v>
      </c>
      <c r="B225" s="13">
        <v>2163</v>
      </c>
      <c r="C225" s="13">
        <v>348</v>
      </c>
      <c r="D225" s="13">
        <v>348</v>
      </c>
      <c r="E225" s="13">
        <v>0</v>
      </c>
      <c r="F225" s="13">
        <v>1815</v>
      </c>
      <c r="G225" s="13">
        <v>1868</v>
      </c>
      <c r="H225" s="13">
        <v>1867</v>
      </c>
      <c r="I225" s="13">
        <v>1</v>
      </c>
      <c r="J225" s="13">
        <v>-53</v>
      </c>
      <c r="K225" s="13">
        <v>245</v>
      </c>
      <c r="L225" s="13">
        <v>233</v>
      </c>
      <c r="M225" s="13">
        <v>12</v>
      </c>
      <c r="N225" s="119">
        <v>1040</v>
      </c>
      <c r="O225" s="22">
        <v>980</v>
      </c>
      <c r="P225" s="22">
        <v>64</v>
      </c>
      <c r="Q225" s="119">
        <v>-4</v>
      </c>
      <c r="R225" s="13">
        <v>45</v>
      </c>
      <c r="S225" s="13">
        <v>261</v>
      </c>
    </row>
    <row r="226" spans="1:19" x14ac:dyDescent="0.2">
      <c r="A226" s="128">
        <v>41033</v>
      </c>
      <c r="B226" s="13">
        <v>2156</v>
      </c>
      <c r="C226" s="13">
        <v>345</v>
      </c>
      <c r="D226" s="13">
        <v>345</v>
      </c>
      <c r="E226" s="13">
        <v>0</v>
      </c>
      <c r="F226" s="13">
        <v>1811</v>
      </c>
      <c r="G226" s="13">
        <v>1876</v>
      </c>
      <c r="H226" s="13">
        <v>1875</v>
      </c>
      <c r="I226" s="13">
        <v>1</v>
      </c>
      <c r="J226" s="13">
        <v>-65</v>
      </c>
      <c r="K226" s="13">
        <v>238</v>
      </c>
      <c r="L226" s="13">
        <v>223</v>
      </c>
      <c r="M226" s="13">
        <v>15</v>
      </c>
      <c r="N226" s="119">
        <v>1020</v>
      </c>
      <c r="O226" s="22">
        <v>976</v>
      </c>
      <c r="P226" s="22">
        <v>42</v>
      </c>
      <c r="Q226" s="119">
        <v>2</v>
      </c>
      <c r="R226" s="13">
        <v>40</v>
      </c>
      <c r="S226" s="13">
        <v>271</v>
      </c>
    </row>
    <row r="227" spans="1:19" x14ac:dyDescent="0.2">
      <c r="A227" s="128">
        <v>41040</v>
      </c>
      <c r="B227" s="13">
        <v>2143</v>
      </c>
      <c r="C227" s="13">
        <v>345</v>
      </c>
      <c r="D227" s="13">
        <v>345</v>
      </c>
      <c r="E227" s="13">
        <v>0</v>
      </c>
      <c r="F227" s="13">
        <v>1798</v>
      </c>
      <c r="G227" s="13">
        <v>1883</v>
      </c>
      <c r="H227" s="13">
        <v>1881</v>
      </c>
      <c r="I227" s="13">
        <v>1</v>
      </c>
      <c r="J227" s="13">
        <v>-84</v>
      </c>
      <c r="K227" s="13">
        <v>230</v>
      </c>
      <c r="L227" s="13">
        <v>215</v>
      </c>
      <c r="M227" s="13">
        <v>15</v>
      </c>
      <c r="N227" s="119">
        <v>1010</v>
      </c>
      <c r="O227" s="22">
        <v>980</v>
      </c>
      <c r="P227" s="22">
        <v>25</v>
      </c>
      <c r="Q227" s="119">
        <v>4</v>
      </c>
      <c r="R227" s="13">
        <v>38</v>
      </c>
      <c r="S227" s="13">
        <v>272</v>
      </c>
    </row>
    <row r="228" spans="1:19" x14ac:dyDescent="0.2">
      <c r="A228" s="128">
        <v>41047</v>
      </c>
      <c r="B228" s="13">
        <v>2192</v>
      </c>
      <c r="C228" s="13">
        <v>351</v>
      </c>
      <c r="D228" s="13">
        <v>351</v>
      </c>
      <c r="E228" s="13">
        <v>0</v>
      </c>
      <c r="F228" s="13">
        <v>1841</v>
      </c>
      <c r="G228" s="13">
        <v>1915</v>
      </c>
      <c r="H228" s="13">
        <v>1914</v>
      </c>
      <c r="I228" s="13">
        <v>1</v>
      </c>
      <c r="J228" s="13">
        <v>-74</v>
      </c>
      <c r="K228" s="13">
        <v>229</v>
      </c>
      <c r="L228" s="13">
        <v>215</v>
      </c>
      <c r="M228" s="13">
        <v>14</v>
      </c>
      <c r="N228" s="119">
        <v>999</v>
      </c>
      <c r="O228" s="22">
        <v>977</v>
      </c>
      <c r="P228" s="22">
        <v>11</v>
      </c>
      <c r="Q228" s="119">
        <v>11</v>
      </c>
      <c r="R228" s="13">
        <v>38</v>
      </c>
      <c r="S228" s="13">
        <v>276</v>
      </c>
    </row>
    <row r="229" spans="1:19" x14ac:dyDescent="0.2">
      <c r="A229" s="128">
        <v>41054</v>
      </c>
      <c r="B229" s="13">
        <v>2185</v>
      </c>
      <c r="C229" s="13">
        <v>355</v>
      </c>
      <c r="D229" s="13">
        <v>355</v>
      </c>
      <c r="E229" s="13">
        <v>0</v>
      </c>
      <c r="F229" s="13">
        <v>1830</v>
      </c>
      <c r="G229" s="13">
        <v>1939</v>
      </c>
      <c r="H229" s="13">
        <v>1937</v>
      </c>
      <c r="I229" s="13">
        <v>1</v>
      </c>
      <c r="J229" s="13">
        <v>-109</v>
      </c>
      <c r="K229" s="13">
        <v>227</v>
      </c>
      <c r="L229" s="13">
        <v>214</v>
      </c>
      <c r="M229" s="13">
        <v>13</v>
      </c>
      <c r="N229" s="119">
        <v>995</v>
      </c>
      <c r="O229" s="22">
        <v>981</v>
      </c>
      <c r="P229" s="22">
        <v>3</v>
      </c>
      <c r="Q229" s="119">
        <v>11</v>
      </c>
      <c r="R229" s="13">
        <v>42</v>
      </c>
      <c r="S229" s="13">
        <v>288</v>
      </c>
    </row>
    <row r="230" spans="1:19" x14ac:dyDescent="0.2">
      <c r="A230" s="128">
        <v>41061</v>
      </c>
      <c r="B230" s="13">
        <v>2221</v>
      </c>
      <c r="C230" s="13">
        <v>358</v>
      </c>
      <c r="D230" s="13">
        <v>358</v>
      </c>
      <c r="E230" s="13">
        <v>0</v>
      </c>
      <c r="F230" s="13">
        <v>1864</v>
      </c>
      <c r="G230" s="13">
        <v>1944</v>
      </c>
      <c r="H230" s="13">
        <v>1942</v>
      </c>
      <c r="I230" s="13">
        <v>1</v>
      </c>
      <c r="J230" s="13">
        <v>-80</v>
      </c>
      <c r="K230" s="13">
        <v>231</v>
      </c>
      <c r="L230" s="13">
        <v>216</v>
      </c>
      <c r="M230" s="13">
        <v>15</v>
      </c>
      <c r="N230" s="119">
        <v>1004</v>
      </c>
      <c r="O230" s="22">
        <v>989</v>
      </c>
      <c r="P230" s="22">
        <v>7</v>
      </c>
      <c r="Q230" s="119">
        <v>7</v>
      </c>
      <c r="R230" s="13">
        <v>49</v>
      </c>
      <c r="S230" s="13">
        <v>286</v>
      </c>
    </row>
    <row r="231" spans="1:19" x14ac:dyDescent="0.2">
      <c r="A231" s="128">
        <v>41068</v>
      </c>
      <c r="B231" s="13">
        <v>2227</v>
      </c>
      <c r="C231" s="13">
        <v>359</v>
      </c>
      <c r="D231" s="13">
        <v>359</v>
      </c>
      <c r="E231" s="13">
        <v>0</v>
      </c>
      <c r="F231" s="13">
        <v>1868</v>
      </c>
      <c r="G231" s="13">
        <v>1948</v>
      </c>
      <c r="H231" s="13">
        <v>1946</v>
      </c>
      <c r="I231" s="13">
        <v>1</v>
      </c>
      <c r="J231" s="13">
        <v>-80</v>
      </c>
      <c r="K231" s="13">
        <v>239</v>
      </c>
      <c r="L231" s="13">
        <v>224</v>
      </c>
      <c r="M231" s="13">
        <v>16</v>
      </c>
      <c r="N231" s="119">
        <v>991</v>
      </c>
      <c r="O231" s="22">
        <v>986</v>
      </c>
      <c r="P231" s="22">
        <v>5</v>
      </c>
      <c r="Q231" s="119">
        <v>0</v>
      </c>
      <c r="R231" s="13">
        <v>49</v>
      </c>
      <c r="S231" s="13">
        <v>290</v>
      </c>
    </row>
    <row r="232" spans="1:19" x14ac:dyDescent="0.2">
      <c r="A232" s="128">
        <v>41075</v>
      </c>
      <c r="B232" s="13">
        <v>2205</v>
      </c>
      <c r="C232" s="13">
        <v>358</v>
      </c>
      <c r="D232" s="13">
        <v>358</v>
      </c>
      <c r="E232" s="13">
        <v>0</v>
      </c>
      <c r="F232" s="13">
        <v>1847</v>
      </c>
      <c r="G232" s="13">
        <v>1944</v>
      </c>
      <c r="H232" s="13">
        <v>1943</v>
      </c>
      <c r="I232" s="13">
        <v>1</v>
      </c>
      <c r="J232" s="13">
        <v>-97</v>
      </c>
      <c r="K232" s="13">
        <v>232</v>
      </c>
      <c r="L232" s="13">
        <v>219</v>
      </c>
      <c r="M232" s="13">
        <v>13</v>
      </c>
      <c r="N232" s="119">
        <v>976</v>
      </c>
      <c r="O232" s="22">
        <v>970</v>
      </c>
      <c r="P232" s="22">
        <v>10</v>
      </c>
      <c r="Q232" s="119">
        <v>-4</v>
      </c>
      <c r="R232" s="13">
        <v>48</v>
      </c>
      <c r="S232" s="13">
        <v>285</v>
      </c>
    </row>
    <row r="233" spans="1:19" x14ac:dyDescent="0.2">
      <c r="A233" s="128">
        <v>41082</v>
      </c>
      <c r="B233" s="13">
        <v>2223</v>
      </c>
      <c r="C233" s="13">
        <v>358</v>
      </c>
      <c r="D233" s="13">
        <v>358</v>
      </c>
      <c r="E233" s="13">
        <v>0</v>
      </c>
      <c r="F233" s="13">
        <v>1865</v>
      </c>
      <c r="G233" s="13">
        <v>1939</v>
      </c>
      <c r="H233" s="13">
        <v>1938</v>
      </c>
      <c r="I233" s="13">
        <v>1</v>
      </c>
      <c r="J233" s="13">
        <v>-74</v>
      </c>
      <c r="K233" s="13">
        <v>233</v>
      </c>
      <c r="L233" s="13">
        <v>218</v>
      </c>
      <c r="M233" s="13">
        <v>15</v>
      </c>
      <c r="N233" s="119">
        <v>975</v>
      </c>
      <c r="O233" s="22">
        <v>956</v>
      </c>
      <c r="P233" s="22">
        <v>20</v>
      </c>
      <c r="Q233" s="119">
        <v>-1</v>
      </c>
      <c r="R233" s="13">
        <v>46</v>
      </c>
      <c r="S233" s="13">
        <v>289</v>
      </c>
    </row>
    <row r="234" spans="1:19" x14ac:dyDescent="0.2">
      <c r="A234" s="128">
        <v>41089</v>
      </c>
      <c r="B234" s="13">
        <v>2264</v>
      </c>
      <c r="C234" s="13">
        <v>367</v>
      </c>
      <c r="D234" s="13">
        <v>367</v>
      </c>
      <c r="E234" s="13">
        <v>0</v>
      </c>
      <c r="F234" s="13">
        <v>1897</v>
      </c>
      <c r="G234" s="13">
        <v>1978</v>
      </c>
      <c r="H234" s="13">
        <v>1976</v>
      </c>
      <c r="I234" s="13">
        <v>2</v>
      </c>
      <c r="J234" s="13">
        <v>-81</v>
      </c>
      <c r="K234" s="13">
        <v>244</v>
      </c>
      <c r="L234" s="13">
        <v>232</v>
      </c>
      <c r="M234" s="13">
        <v>12</v>
      </c>
      <c r="N234" s="119">
        <v>966</v>
      </c>
      <c r="O234" s="22">
        <v>932</v>
      </c>
      <c r="P234" s="22">
        <v>33</v>
      </c>
      <c r="Q234" s="119">
        <v>1</v>
      </c>
      <c r="R234" s="13">
        <v>43</v>
      </c>
      <c r="S234" s="13">
        <v>284</v>
      </c>
    </row>
    <row r="235" spans="1:19" x14ac:dyDescent="0.2">
      <c r="A235" s="128">
        <v>41096</v>
      </c>
      <c r="B235" s="13">
        <v>2265</v>
      </c>
      <c r="C235" s="13">
        <v>364</v>
      </c>
      <c r="D235" s="13">
        <v>364</v>
      </c>
      <c r="E235" s="13">
        <v>0</v>
      </c>
      <c r="F235" s="13">
        <v>1902</v>
      </c>
      <c r="G235" s="13">
        <v>1984</v>
      </c>
      <c r="H235" s="13">
        <v>1982</v>
      </c>
      <c r="I235" s="13">
        <v>2</v>
      </c>
      <c r="J235" s="13">
        <v>-82</v>
      </c>
      <c r="K235" s="13">
        <v>251</v>
      </c>
      <c r="L235" s="13">
        <v>239</v>
      </c>
      <c r="M235" s="13">
        <v>12</v>
      </c>
      <c r="N235" s="119">
        <v>970</v>
      </c>
      <c r="O235" s="22">
        <v>928</v>
      </c>
      <c r="P235" s="22">
        <v>46</v>
      </c>
      <c r="Q235" s="119">
        <v>-5</v>
      </c>
      <c r="R235" s="13">
        <v>48</v>
      </c>
      <c r="S235" s="13">
        <v>285</v>
      </c>
    </row>
    <row r="236" spans="1:19" x14ac:dyDescent="0.2">
      <c r="A236" s="128">
        <v>41103</v>
      </c>
      <c r="B236" s="13">
        <v>2258</v>
      </c>
      <c r="C236" s="13">
        <v>362</v>
      </c>
      <c r="D236" s="13">
        <v>362</v>
      </c>
      <c r="E236" s="13">
        <v>0</v>
      </c>
      <c r="F236" s="13">
        <v>1896</v>
      </c>
      <c r="G236" s="13">
        <v>1997</v>
      </c>
      <c r="H236" s="13">
        <v>1995</v>
      </c>
      <c r="I236" s="13">
        <v>2</v>
      </c>
      <c r="J236" s="13">
        <v>-101</v>
      </c>
      <c r="K236" s="13">
        <v>250</v>
      </c>
      <c r="L236" s="13">
        <v>234</v>
      </c>
      <c r="M236" s="13">
        <v>16</v>
      </c>
      <c r="N236" s="119">
        <v>983</v>
      </c>
      <c r="O236" s="22">
        <v>931</v>
      </c>
      <c r="P236" s="22">
        <v>57</v>
      </c>
      <c r="Q236" s="119">
        <v>-6</v>
      </c>
      <c r="R236" s="13">
        <v>48</v>
      </c>
      <c r="S236" s="13">
        <v>286</v>
      </c>
    </row>
    <row r="237" spans="1:19" x14ac:dyDescent="0.2">
      <c r="A237" s="128">
        <v>41110</v>
      </c>
      <c r="B237" s="13">
        <v>2257</v>
      </c>
      <c r="C237" s="13">
        <v>360</v>
      </c>
      <c r="D237" s="13">
        <v>360</v>
      </c>
      <c r="E237" s="13">
        <v>0</v>
      </c>
      <c r="F237" s="13">
        <v>1897</v>
      </c>
      <c r="G237" s="13">
        <v>1999</v>
      </c>
      <c r="H237" s="13">
        <v>1998</v>
      </c>
      <c r="I237" s="13">
        <v>1</v>
      </c>
      <c r="J237" s="13">
        <v>-103</v>
      </c>
      <c r="K237" s="13">
        <v>242</v>
      </c>
      <c r="L237" s="13">
        <v>227</v>
      </c>
      <c r="M237" s="13">
        <v>16</v>
      </c>
      <c r="N237" s="119">
        <v>980</v>
      </c>
      <c r="O237" s="22">
        <v>925</v>
      </c>
      <c r="P237" s="22">
        <v>61</v>
      </c>
      <c r="Q237" s="119">
        <v>-6</v>
      </c>
      <c r="R237" s="13">
        <v>51</v>
      </c>
      <c r="S237" s="13">
        <v>281</v>
      </c>
    </row>
    <row r="238" spans="1:19" x14ac:dyDescent="0.2">
      <c r="A238" s="128">
        <v>41117</v>
      </c>
      <c r="B238" s="13">
        <v>2228</v>
      </c>
      <c r="C238" s="13">
        <v>357</v>
      </c>
      <c r="D238" s="13">
        <v>357</v>
      </c>
      <c r="E238" s="13">
        <v>0</v>
      </c>
      <c r="F238" s="13">
        <v>1871</v>
      </c>
      <c r="G238" s="13">
        <v>1980</v>
      </c>
      <c r="H238" s="13">
        <v>1978</v>
      </c>
      <c r="I238" s="13">
        <v>1</v>
      </c>
      <c r="J238" s="13">
        <v>-109</v>
      </c>
      <c r="K238" s="13">
        <v>244</v>
      </c>
      <c r="L238" s="13">
        <v>229</v>
      </c>
      <c r="M238" s="13">
        <v>15</v>
      </c>
      <c r="N238" s="119">
        <v>994</v>
      </c>
      <c r="O238" s="22">
        <v>961</v>
      </c>
      <c r="P238" s="22">
        <v>44</v>
      </c>
      <c r="Q238" s="119">
        <v>-11</v>
      </c>
      <c r="R238" s="13">
        <v>54</v>
      </c>
      <c r="S238" s="13">
        <v>281</v>
      </c>
    </row>
    <row r="239" spans="1:19" x14ac:dyDescent="0.2">
      <c r="A239" s="128">
        <v>41124</v>
      </c>
      <c r="B239" s="13">
        <v>2211</v>
      </c>
      <c r="C239" s="13">
        <v>360</v>
      </c>
      <c r="D239" s="13">
        <v>360</v>
      </c>
      <c r="E239" s="13">
        <v>0</v>
      </c>
      <c r="F239" s="13">
        <v>1851</v>
      </c>
      <c r="G239" s="13">
        <v>1966</v>
      </c>
      <c r="H239" s="13">
        <v>1965</v>
      </c>
      <c r="I239" s="13">
        <v>1</v>
      </c>
      <c r="J239" s="13">
        <v>-115</v>
      </c>
      <c r="K239" s="13">
        <v>246</v>
      </c>
      <c r="L239" s="13">
        <v>229</v>
      </c>
      <c r="M239" s="13">
        <v>17</v>
      </c>
      <c r="N239" s="119">
        <v>1000</v>
      </c>
      <c r="O239" s="22">
        <v>972</v>
      </c>
      <c r="P239" s="22">
        <v>31</v>
      </c>
      <c r="Q239" s="119">
        <v>-3</v>
      </c>
      <c r="R239" s="13">
        <v>50</v>
      </c>
      <c r="S239" s="13">
        <v>275</v>
      </c>
    </row>
    <row r="240" spans="1:19" x14ac:dyDescent="0.2">
      <c r="A240" s="128">
        <v>41131</v>
      </c>
      <c r="B240" s="13">
        <v>2229</v>
      </c>
      <c r="C240" s="13">
        <v>364</v>
      </c>
      <c r="D240" s="13">
        <v>364</v>
      </c>
      <c r="E240" s="13">
        <v>0</v>
      </c>
      <c r="F240" s="13">
        <v>1865</v>
      </c>
      <c r="G240" s="13">
        <v>1958</v>
      </c>
      <c r="H240" s="13">
        <v>1956</v>
      </c>
      <c r="I240" s="13">
        <v>1</v>
      </c>
      <c r="J240" s="13">
        <v>-93</v>
      </c>
      <c r="K240" s="13">
        <v>260</v>
      </c>
      <c r="L240" s="13">
        <v>244</v>
      </c>
      <c r="M240" s="13">
        <v>16</v>
      </c>
      <c r="N240" s="119">
        <v>995</v>
      </c>
      <c r="O240" s="22">
        <v>976</v>
      </c>
      <c r="P240" s="22">
        <v>16</v>
      </c>
      <c r="Q240" s="119">
        <v>2</v>
      </c>
      <c r="R240" s="13">
        <v>54</v>
      </c>
      <c r="S240" s="13">
        <v>273</v>
      </c>
    </row>
    <row r="241" spans="1:20" x14ac:dyDescent="0.2">
      <c r="A241" s="128"/>
    </row>
    <row r="243" spans="1:20" ht="15.75" x14ac:dyDescent="0.25">
      <c r="A243" s="101" t="s">
        <v>384</v>
      </c>
      <c r="B243" s="120" t="s">
        <v>751</v>
      </c>
    </row>
    <row r="244" spans="1:20" ht="24" x14ac:dyDescent="0.2">
      <c r="A244" s="122" t="s">
        <v>490</v>
      </c>
      <c r="B244" s="123" t="s">
        <v>752</v>
      </c>
      <c r="C244" s="123" t="s">
        <v>753</v>
      </c>
      <c r="D244" s="123" t="s">
        <v>754</v>
      </c>
      <c r="E244" s="123" t="s">
        <v>755</v>
      </c>
      <c r="F244" s="123" t="s">
        <v>756</v>
      </c>
      <c r="G244" s="123" t="s">
        <v>757</v>
      </c>
      <c r="H244" s="123" t="s">
        <v>758</v>
      </c>
      <c r="I244" s="123" t="s">
        <v>759</v>
      </c>
      <c r="J244" s="123" t="s">
        <v>760</v>
      </c>
      <c r="K244" s="123" t="s">
        <v>761</v>
      </c>
      <c r="L244" s="123" t="s">
        <v>762</v>
      </c>
      <c r="M244" s="123" t="s">
        <v>763</v>
      </c>
      <c r="N244" s="124" t="s">
        <v>764</v>
      </c>
      <c r="O244" s="123" t="s">
        <v>765</v>
      </c>
      <c r="P244" s="123" t="s">
        <v>766</v>
      </c>
      <c r="Q244" s="124" t="s">
        <v>767</v>
      </c>
      <c r="R244" s="123" t="s">
        <v>768</v>
      </c>
      <c r="S244" s="123" t="s">
        <v>769</v>
      </c>
      <c r="T244" s="123"/>
    </row>
    <row r="245" spans="1:20" ht="140.25" x14ac:dyDescent="0.2">
      <c r="A245" s="125" t="s">
        <v>508</v>
      </c>
      <c r="B245" s="126" t="s">
        <v>770</v>
      </c>
      <c r="C245" s="126" t="s">
        <v>771</v>
      </c>
      <c r="D245" s="126" t="s">
        <v>772</v>
      </c>
      <c r="E245" s="126" t="s">
        <v>773</v>
      </c>
      <c r="F245" s="126" t="s">
        <v>774</v>
      </c>
      <c r="G245" s="126" t="s">
        <v>775</v>
      </c>
      <c r="H245" s="126" t="s">
        <v>776</v>
      </c>
      <c r="I245" s="126" t="s">
        <v>777</v>
      </c>
      <c r="J245" s="126" t="s">
        <v>778</v>
      </c>
      <c r="K245" s="126" t="s">
        <v>779</v>
      </c>
      <c r="L245" s="126" t="s">
        <v>780</v>
      </c>
      <c r="M245" s="126" t="s">
        <v>781</v>
      </c>
      <c r="N245" s="127" t="s">
        <v>782</v>
      </c>
      <c r="O245" s="126" t="s">
        <v>783</v>
      </c>
      <c r="P245" s="126" t="s">
        <v>784</v>
      </c>
      <c r="Q245" s="127" t="s">
        <v>785</v>
      </c>
      <c r="R245" s="126" t="s">
        <v>786</v>
      </c>
      <c r="S245" s="126" t="s">
        <v>787</v>
      </c>
      <c r="T245" s="126"/>
    </row>
    <row r="246" spans="1:20" x14ac:dyDescent="0.2">
      <c r="A246" s="128">
        <v>40354</v>
      </c>
      <c r="B246" s="13">
        <v>2501</v>
      </c>
      <c r="C246" s="13">
        <v>396</v>
      </c>
      <c r="D246" s="13">
        <v>378</v>
      </c>
      <c r="E246" s="13">
        <v>18</v>
      </c>
      <c r="F246" s="13">
        <v>2105</v>
      </c>
      <c r="G246" s="13">
        <v>614</v>
      </c>
      <c r="H246" s="13">
        <v>614</v>
      </c>
      <c r="I246" s="13">
        <v>0</v>
      </c>
      <c r="J246" s="13">
        <v>1491</v>
      </c>
      <c r="K246" s="13">
        <v>721</v>
      </c>
      <c r="L246" s="13">
        <v>641</v>
      </c>
      <c r="M246" s="13">
        <v>80</v>
      </c>
      <c r="N246" s="119">
        <v>2228</v>
      </c>
      <c r="O246" s="22">
        <v>1728</v>
      </c>
      <c r="P246" s="22">
        <v>319</v>
      </c>
      <c r="Q246" s="119">
        <v>181</v>
      </c>
      <c r="R246" s="13">
        <v>249</v>
      </c>
      <c r="S246" s="13">
        <v>709</v>
      </c>
    </row>
    <row r="247" spans="1:20" x14ac:dyDescent="0.2">
      <c r="A247" s="128">
        <v>40361</v>
      </c>
      <c r="B247" s="13">
        <v>2505</v>
      </c>
      <c r="C247" s="13">
        <v>387</v>
      </c>
      <c r="D247" s="13">
        <v>372</v>
      </c>
      <c r="E247" s="13">
        <v>15</v>
      </c>
      <c r="F247" s="13">
        <v>2119</v>
      </c>
      <c r="G247" s="13">
        <v>632</v>
      </c>
      <c r="H247" s="13">
        <v>632</v>
      </c>
      <c r="I247" s="13">
        <v>0</v>
      </c>
      <c r="J247" s="13">
        <v>1486</v>
      </c>
      <c r="K247" s="13">
        <v>736</v>
      </c>
      <c r="L247" s="13">
        <v>661</v>
      </c>
      <c r="M247" s="13">
        <v>75</v>
      </c>
      <c r="N247" s="119">
        <v>2253</v>
      </c>
      <c r="O247" s="22">
        <v>1725</v>
      </c>
      <c r="P247" s="22">
        <v>322</v>
      </c>
      <c r="Q247" s="119">
        <v>205</v>
      </c>
      <c r="R247" s="13">
        <v>249</v>
      </c>
      <c r="S247" s="13">
        <v>702</v>
      </c>
    </row>
    <row r="248" spans="1:20" x14ac:dyDescent="0.2">
      <c r="A248" s="128">
        <v>40368</v>
      </c>
      <c r="B248" s="13">
        <v>2511</v>
      </c>
      <c r="C248" s="13">
        <v>384</v>
      </c>
      <c r="D248" s="13">
        <v>368</v>
      </c>
      <c r="E248" s="13">
        <v>16</v>
      </c>
      <c r="F248" s="13">
        <v>2127</v>
      </c>
      <c r="G248" s="13">
        <v>640</v>
      </c>
      <c r="H248" s="13">
        <v>640</v>
      </c>
      <c r="I248" s="13">
        <v>0</v>
      </c>
      <c r="J248" s="13">
        <v>1487</v>
      </c>
      <c r="K248" s="13">
        <v>738</v>
      </c>
      <c r="L248" s="13">
        <v>672</v>
      </c>
      <c r="M248" s="13">
        <v>66</v>
      </c>
      <c r="N248" s="119">
        <v>2288</v>
      </c>
      <c r="O248" s="22">
        <v>1731</v>
      </c>
      <c r="P248" s="22">
        <v>331</v>
      </c>
      <c r="Q248" s="119">
        <v>226</v>
      </c>
      <c r="R248" s="13">
        <v>239</v>
      </c>
      <c r="S248" s="13">
        <v>710</v>
      </c>
    </row>
    <row r="249" spans="1:20" x14ac:dyDescent="0.2">
      <c r="A249" s="128">
        <v>40375</v>
      </c>
      <c r="B249" s="13">
        <v>2475</v>
      </c>
      <c r="C249" s="13">
        <v>378</v>
      </c>
      <c r="D249" s="13">
        <v>364</v>
      </c>
      <c r="E249" s="13">
        <v>14</v>
      </c>
      <c r="F249" s="13">
        <v>2097</v>
      </c>
      <c r="G249" s="13">
        <v>638</v>
      </c>
      <c r="H249" s="13">
        <v>638</v>
      </c>
      <c r="I249" s="13">
        <v>0</v>
      </c>
      <c r="J249" s="13">
        <v>1459</v>
      </c>
      <c r="K249" s="13">
        <v>758</v>
      </c>
      <c r="L249" s="13">
        <v>676</v>
      </c>
      <c r="M249" s="13">
        <v>82</v>
      </c>
      <c r="N249" s="119">
        <v>2309</v>
      </c>
      <c r="O249" s="22">
        <v>1759</v>
      </c>
      <c r="P249" s="22">
        <v>333</v>
      </c>
      <c r="Q249" s="119">
        <v>218</v>
      </c>
      <c r="R249" s="13">
        <v>226</v>
      </c>
      <c r="S249" s="13">
        <v>711</v>
      </c>
    </row>
    <row r="250" spans="1:20" x14ac:dyDescent="0.2">
      <c r="A250" s="128">
        <v>40382</v>
      </c>
      <c r="B250" s="13">
        <v>2463</v>
      </c>
      <c r="C250" s="13">
        <v>381</v>
      </c>
      <c r="D250" s="13">
        <v>369</v>
      </c>
      <c r="E250" s="13">
        <v>13</v>
      </c>
      <c r="F250" s="13">
        <v>2082</v>
      </c>
      <c r="G250" s="13">
        <v>637</v>
      </c>
      <c r="H250" s="13">
        <v>637</v>
      </c>
      <c r="I250" s="13">
        <v>0</v>
      </c>
      <c r="J250" s="13">
        <v>1445</v>
      </c>
      <c r="K250" s="13">
        <v>770</v>
      </c>
      <c r="L250" s="13">
        <v>688</v>
      </c>
      <c r="M250" s="13">
        <v>82</v>
      </c>
      <c r="N250" s="119">
        <v>2303</v>
      </c>
      <c r="O250" s="22">
        <v>1750</v>
      </c>
      <c r="P250" s="22">
        <v>364</v>
      </c>
      <c r="Q250" s="119">
        <v>189</v>
      </c>
      <c r="R250" s="13">
        <v>205</v>
      </c>
      <c r="S250" s="13">
        <v>713</v>
      </c>
    </row>
    <row r="251" spans="1:20" x14ac:dyDescent="0.2">
      <c r="A251" s="128">
        <v>40389</v>
      </c>
      <c r="B251" s="13">
        <v>2445</v>
      </c>
      <c r="C251" s="13">
        <v>387</v>
      </c>
      <c r="D251" s="13">
        <v>376</v>
      </c>
      <c r="E251" s="13">
        <v>11</v>
      </c>
      <c r="F251" s="13">
        <v>2058</v>
      </c>
      <c r="G251" s="13">
        <v>620</v>
      </c>
      <c r="H251" s="13">
        <v>620</v>
      </c>
      <c r="I251" s="13">
        <v>0</v>
      </c>
      <c r="J251" s="13">
        <v>1438</v>
      </c>
      <c r="K251" s="13">
        <v>770</v>
      </c>
      <c r="L251" s="13">
        <v>681</v>
      </c>
      <c r="M251" s="13">
        <v>89</v>
      </c>
      <c r="N251" s="119">
        <v>2300</v>
      </c>
      <c r="O251" s="22">
        <v>1762</v>
      </c>
      <c r="P251" s="22">
        <v>364</v>
      </c>
      <c r="Q251" s="119">
        <v>174</v>
      </c>
      <c r="R251" s="13">
        <v>190</v>
      </c>
      <c r="S251" s="13">
        <v>706</v>
      </c>
    </row>
    <row r="252" spans="1:20" x14ac:dyDescent="0.2">
      <c r="A252" s="128">
        <v>40396</v>
      </c>
      <c r="B252" s="13">
        <v>2435</v>
      </c>
      <c r="C252" s="13">
        <v>391</v>
      </c>
      <c r="D252" s="13">
        <v>377</v>
      </c>
      <c r="E252" s="13">
        <v>14</v>
      </c>
      <c r="F252" s="13">
        <v>2044</v>
      </c>
      <c r="G252" s="13">
        <v>618</v>
      </c>
      <c r="H252" s="13">
        <v>618</v>
      </c>
      <c r="I252" s="13">
        <v>0</v>
      </c>
      <c r="J252" s="13">
        <v>1426</v>
      </c>
      <c r="K252" s="13">
        <v>758</v>
      </c>
      <c r="L252" s="13">
        <v>660</v>
      </c>
      <c r="M252" s="13">
        <v>98</v>
      </c>
      <c r="N252" s="119">
        <v>2293</v>
      </c>
      <c r="O252" s="22">
        <v>1771</v>
      </c>
      <c r="P252" s="22">
        <v>371</v>
      </c>
      <c r="Q252" s="119">
        <v>152</v>
      </c>
      <c r="R252" s="13">
        <v>191</v>
      </c>
      <c r="S252" s="13">
        <v>705</v>
      </c>
    </row>
    <row r="253" spans="1:20" x14ac:dyDescent="0.2">
      <c r="A253" s="128">
        <v>40403</v>
      </c>
      <c r="B253" s="13">
        <v>2406</v>
      </c>
      <c r="C253" s="13">
        <v>406</v>
      </c>
      <c r="D253" s="13">
        <v>389</v>
      </c>
      <c r="E253" s="13">
        <v>17</v>
      </c>
      <c r="F253" s="13">
        <v>2000</v>
      </c>
      <c r="G253" s="13">
        <v>621</v>
      </c>
      <c r="H253" s="13">
        <v>621</v>
      </c>
      <c r="I253" s="13">
        <v>0</v>
      </c>
      <c r="J253" s="13">
        <v>1379</v>
      </c>
      <c r="K253" s="13">
        <v>734</v>
      </c>
      <c r="L253" s="13">
        <v>657</v>
      </c>
      <c r="M253" s="13">
        <v>76</v>
      </c>
      <c r="N253" s="119">
        <v>2269</v>
      </c>
      <c r="O253" s="22">
        <v>1751</v>
      </c>
      <c r="P253" s="22">
        <v>365</v>
      </c>
      <c r="Q253" s="119">
        <v>154</v>
      </c>
      <c r="R253" s="13">
        <v>188</v>
      </c>
      <c r="S253" s="13">
        <v>705</v>
      </c>
    </row>
    <row r="254" spans="1:20" x14ac:dyDescent="0.2">
      <c r="A254" s="128">
        <v>40410</v>
      </c>
      <c r="B254" s="13">
        <v>2420</v>
      </c>
      <c r="C254" s="13">
        <v>409</v>
      </c>
      <c r="D254" s="13">
        <v>393</v>
      </c>
      <c r="E254" s="13">
        <v>16</v>
      </c>
      <c r="F254" s="13">
        <v>2011</v>
      </c>
      <c r="G254" s="13">
        <v>627</v>
      </c>
      <c r="H254" s="13">
        <v>627</v>
      </c>
      <c r="I254" s="13">
        <v>0</v>
      </c>
      <c r="J254" s="13">
        <v>1384</v>
      </c>
      <c r="K254" s="13">
        <v>719</v>
      </c>
      <c r="L254" s="13">
        <v>636</v>
      </c>
      <c r="M254" s="13">
        <v>83</v>
      </c>
      <c r="N254" s="119">
        <v>2280</v>
      </c>
      <c r="O254" s="22">
        <v>1765</v>
      </c>
      <c r="P254" s="22">
        <v>342</v>
      </c>
      <c r="Q254" s="119">
        <v>173</v>
      </c>
      <c r="R254" s="13">
        <v>179</v>
      </c>
      <c r="S254" s="13">
        <v>706</v>
      </c>
    </row>
    <row r="255" spans="1:20" x14ac:dyDescent="0.2">
      <c r="A255" s="128">
        <v>40417</v>
      </c>
      <c r="B255" s="13">
        <v>2422</v>
      </c>
      <c r="C255" s="13">
        <v>416</v>
      </c>
      <c r="D255" s="13">
        <v>397</v>
      </c>
      <c r="E255" s="13">
        <v>19</v>
      </c>
      <c r="F255" s="13">
        <v>2006</v>
      </c>
      <c r="G255" s="13">
        <v>640</v>
      </c>
      <c r="H255" s="13">
        <v>640</v>
      </c>
      <c r="I255" s="13">
        <v>0</v>
      </c>
      <c r="J255" s="13">
        <v>1365</v>
      </c>
      <c r="K255" s="13">
        <v>694</v>
      </c>
      <c r="L255" s="13">
        <v>615</v>
      </c>
      <c r="M255" s="13">
        <v>80</v>
      </c>
      <c r="N255" s="119">
        <v>2260</v>
      </c>
      <c r="O255" s="22">
        <v>1750</v>
      </c>
      <c r="P255" s="22">
        <v>331</v>
      </c>
      <c r="Q255" s="119">
        <v>179</v>
      </c>
      <c r="R255" s="13">
        <v>179</v>
      </c>
      <c r="S255" s="13">
        <v>706</v>
      </c>
    </row>
    <row r="256" spans="1:20" x14ac:dyDescent="0.2">
      <c r="A256" s="128">
        <v>40424</v>
      </c>
      <c r="B256" s="13">
        <v>2401</v>
      </c>
      <c r="C256" s="13">
        <v>405</v>
      </c>
      <c r="D256" s="13">
        <v>389</v>
      </c>
      <c r="E256" s="13">
        <v>16</v>
      </c>
      <c r="F256" s="13">
        <v>1996</v>
      </c>
      <c r="G256" s="13">
        <v>654</v>
      </c>
      <c r="H256" s="13">
        <v>654</v>
      </c>
      <c r="I256" s="13">
        <v>0</v>
      </c>
      <c r="J256" s="13">
        <v>1341</v>
      </c>
      <c r="K256" s="13">
        <v>695</v>
      </c>
      <c r="L256" s="13">
        <v>615</v>
      </c>
      <c r="M256" s="13">
        <v>81</v>
      </c>
      <c r="N256" s="119">
        <v>2258</v>
      </c>
      <c r="O256" s="22">
        <v>1762</v>
      </c>
      <c r="P256" s="22">
        <v>310</v>
      </c>
      <c r="Q256" s="119">
        <v>185</v>
      </c>
      <c r="R256" s="13">
        <v>213</v>
      </c>
      <c r="S256" s="13">
        <v>712</v>
      </c>
    </row>
    <row r="257" spans="1:19" x14ac:dyDescent="0.2">
      <c r="A257" s="128">
        <v>40431</v>
      </c>
      <c r="B257" s="13">
        <v>2414</v>
      </c>
      <c r="C257" s="13">
        <v>392</v>
      </c>
      <c r="D257" s="13">
        <v>377</v>
      </c>
      <c r="E257" s="13">
        <v>15</v>
      </c>
      <c r="F257" s="13">
        <v>2022</v>
      </c>
      <c r="G257" s="13">
        <v>667</v>
      </c>
      <c r="H257" s="13">
        <v>667</v>
      </c>
      <c r="I257" s="13">
        <v>0</v>
      </c>
      <c r="J257" s="13">
        <v>1355</v>
      </c>
      <c r="K257" s="13">
        <v>697</v>
      </c>
      <c r="L257" s="13">
        <v>608</v>
      </c>
      <c r="M257" s="13">
        <v>89</v>
      </c>
      <c r="N257" s="119">
        <v>2263</v>
      </c>
      <c r="O257" s="22">
        <v>1796</v>
      </c>
      <c r="P257" s="22">
        <v>285</v>
      </c>
      <c r="Q257" s="119">
        <v>182</v>
      </c>
      <c r="R257" s="13">
        <v>230</v>
      </c>
      <c r="S257" s="13">
        <v>712</v>
      </c>
    </row>
    <row r="258" spans="1:19" x14ac:dyDescent="0.2">
      <c r="A258" s="128">
        <v>40438</v>
      </c>
      <c r="B258" s="13">
        <v>2365</v>
      </c>
      <c r="C258" s="13">
        <v>380</v>
      </c>
      <c r="D258" s="13">
        <v>365</v>
      </c>
      <c r="E258" s="13">
        <v>15</v>
      </c>
      <c r="F258" s="13">
        <v>1985</v>
      </c>
      <c r="G258" s="13">
        <v>675</v>
      </c>
      <c r="H258" s="13">
        <v>675</v>
      </c>
      <c r="I258" s="13">
        <v>0</v>
      </c>
      <c r="J258" s="13">
        <v>1310</v>
      </c>
      <c r="K258" s="13">
        <v>698</v>
      </c>
      <c r="L258" s="13">
        <v>619</v>
      </c>
      <c r="M258" s="13">
        <v>79</v>
      </c>
      <c r="N258" s="119">
        <v>2226</v>
      </c>
      <c r="O258" s="22">
        <v>1787</v>
      </c>
      <c r="P258" s="22">
        <v>270</v>
      </c>
      <c r="Q258" s="119">
        <v>169</v>
      </c>
      <c r="R258" s="13">
        <v>277</v>
      </c>
      <c r="S258" s="13">
        <v>707</v>
      </c>
    </row>
    <row r="259" spans="1:19" x14ac:dyDescent="0.2">
      <c r="A259" s="128">
        <v>40445</v>
      </c>
      <c r="B259" s="13">
        <v>2336</v>
      </c>
      <c r="C259" s="13">
        <v>371</v>
      </c>
      <c r="D259" s="13">
        <v>356</v>
      </c>
      <c r="E259" s="13">
        <v>15</v>
      </c>
      <c r="F259" s="13">
        <v>1965</v>
      </c>
      <c r="G259" s="13">
        <v>683</v>
      </c>
      <c r="H259" s="13">
        <v>683</v>
      </c>
      <c r="I259" s="13">
        <v>0</v>
      </c>
      <c r="J259" s="13">
        <v>1282</v>
      </c>
      <c r="K259" s="13">
        <v>683</v>
      </c>
      <c r="L259" s="13">
        <v>609</v>
      </c>
      <c r="M259" s="13">
        <v>74</v>
      </c>
      <c r="N259" s="119">
        <v>2241</v>
      </c>
      <c r="O259" s="22">
        <v>1823</v>
      </c>
      <c r="P259" s="22">
        <v>242</v>
      </c>
      <c r="Q259" s="119">
        <v>176</v>
      </c>
      <c r="R259" s="13">
        <v>289</v>
      </c>
      <c r="S259" s="13">
        <v>700</v>
      </c>
    </row>
    <row r="260" spans="1:19" x14ac:dyDescent="0.2">
      <c r="A260" s="128">
        <v>40452</v>
      </c>
      <c r="B260" s="13">
        <v>2302</v>
      </c>
      <c r="C260" s="13">
        <v>380</v>
      </c>
      <c r="D260" s="13">
        <v>365</v>
      </c>
      <c r="E260" s="13">
        <v>16</v>
      </c>
      <c r="F260" s="13">
        <v>1922</v>
      </c>
      <c r="G260" s="13">
        <v>693</v>
      </c>
      <c r="H260" s="13">
        <v>693</v>
      </c>
      <c r="I260" s="13">
        <v>0</v>
      </c>
      <c r="J260" s="13">
        <v>1229</v>
      </c>
      <c r="K260" s="13">
        <v>664</v>
      </c>
      <c r="L260" s="13">
        <v>595</v>
      </c>
      <c r="M260" s="13">
        <v>69</v>
      </c>
      <c r="N260" s="119">
        <v>2238</v>
      </c>
      <c r="O260" s="22">
        <v>1842</v>
      </c>
      <c r="P260" s="22">
        <v>228</v>
      </c>
      <c r="Q260" s="119">
        <v>167</v>
      </c>
      <c r="R260" s="13">
        <v>274</v>
      </c>
      <c r="S260" s="13">
        <v>684</v>
      </c>
    </row>
    <row r="261" spans="1:19" x14ac:dyDescent="0.2">
      <c r="A261" s="128">
        <v>40459</v>
      </c>
      <c r="B261" s="13">
        <v>2252</v>
      </c>
      <c r="C261" s="13">
        <v>397</v>
      </c>
      <c r="D261" s="13">
        <v>381</v>
      </c>
      <c r="E261" s="13">
        <v>17</v>
      </c>
      <c r="F261" s="13">
        <v>1854</v>
      </c>
      <c r="G261" s="13">
        <v>699</v>
      </c>
      <c r="H261" s="13">
        <v>699</v>
      </c>
      <c r="I261" s="13">
        <v>0</v>
      </c>
      <c r="J261" s="13">
        <v>1156</v>
      </c>
      <c r="K261" s="13">
        <v>667</v>
      </c>
      <c r="L261" s="13">
        <v>601</v>
      </c>
      <c r="M261" s="13">
        <v>66</v>
      </c>
      <c r="N261" s="119">
        <v>2269</v>
      </c>
      <c r="O261" s="22">
        <v>1871</v>
      </c>
      <c r="P261" s="22">
        <v>215</v>
      </c>
      <c r="Q261" s="119">
        <v>184</v>
      </c>
      <c r="R261" s="13">
        <v>281</v>
      </c>
      <c r="S261" s="13">
        <v>685</v>
      </c>
    </row>
    <row r="262" spans="1:19" x14ac:dyDescent="0.2">
      <c r="A262" s="128">
        <v>40466</v>
      </c>
      <c r="B262" s="13">
        <v>2260</v>
      </c>
      <c r="C262" s="13">
        <v>404</v>
      </c>
      <c r="D262" s="13">
        <v>392</v>
      </c>
      <c r="E262" s="13">
        <v>13</v>
      </c>
      <c r="F262" s="13">
        <v>1855</v>
      </c>
      <c r="G262" s="13">
        <v>713</v>
      </c>
      <c r="H262" s="13">
        <v>713</v>
      </c>
      <c r="I262" s="13">
        <v>0</v>
      </c>
      <c r="J262" s="13">
        <v>1142</v>
      </c>
      <c r="K262" s="13">
        <v>639</v>
      </c>
      <c r="L262" s="13">
        <v>579</v>
      </c>
      <c r="M262" s="13">
        <v>60</v>
      </c>
      <c r="N262" s="119">
        <v>2301</v>
      </c>
      <c r="O262" s="22">
        <v>1937</v>
      </c>
      <c r="P262" s="22">
        <v>164</v>
      </c>
      <c r="Q262" s="119">
        <v>199</v>
      </c>
      <c r="R262" s="13">
        <v>244</v>
      </c>
      <c r="S262" s="13">
        <v>689</v>
      </c>
    </row>
    <row r="263" spans="1:19" x14ac:dyDescent="0.2">
      <c r="A263" s="128">
        <v>40473</v>
      </c>
      <c r="B263" s="13">
        <v>2214</v>
      </c>
      <c r="C263" s="13">
        <v>408</v>
      </c>
      <c r="D263" s="13">
        <v>399</v>
      </c>
      <c r="E263" s="13">
        <v>9</v>
      </c>
      <c r="F263" s="13">
        <v>1806</v>
      </c>
      <c r="G263" s="13">
        <v>724</v>
      </c>
      <c r="H263" s="13">
        <v>724</v>
      </c>
      <c r="I263" s="13">
        <v>0</v>
      </c>
      <c r="J263" s="13">
        <v>1082</v>
      </c>
      <c r="K263" s="13">
        <v>641</v>
      </c>
      <c r="L263" s="13">
        <v>574</v>
      </c>
      <c r="M263" s="13">
        <v>66</v>
      </c>
      <c r="N263" s="119">
        <v>2336</v>
      </c>
      <c r="O263" s="22">
        <v>1985</v>
      </c>
      <c r="P263" s="22">
        <v>129</v>
      </c>
      <c r="Q263" s="119">
        <v>223</v>
      </c>
      <c r="R263" s="13">
        <v>234</v>
      </c>
      <c r="S263" s="13">
        <v>687</v>
      </c>
    </row>
    <row r="264" spans="1:19" x14ac:dyDescent="0.2">
      <c r="A264" s="128">
        <v>40480</v>
      </c>
      <c r="B264" s="13">
        <v>2191</v>
      </c>
      <c r="C264" s="13">
        <v>404</v>
      </c>
      <c r="D264" s="13">
        <v>400</v>
      </c>
      <c r="E264" s="13">
        <v>5</v>
      </c>
      <c r="F264" s="13">
        <v>1786</v>
      </c>
      <c r="G264" s="13">
        <v>731</v>
      </c>
      <c r="H264" s="13">
        <v>731</v>
      </c>
      <c r="I264" s="13">
        <v>0</v>
      </c>
      <c r="J264" s="13">
        <v>1055</v>
      </c>
      <c r="K264" s="13">
        <v>633</v>
      </c>
      <c r="L264" s="13">
        <v>570</v>
      </c>
      <c r="M264" s="13">
        <v>62</v>
      </c>
      <c r="N264" s="119">
        <v>2357</v>
      </c>
      <c r="O264" s="22">
        <v>2005</v>
      </c>
      <c r="P264" s="22">
        <v>113</v>
      </c>
      <c r="Q264" s="119">
        <v>238</v>
      </c>
      <c r="R264" s="13">
        <v>216</v>
      </c>
      <c r="S264" s="13">
        <v>688</v>
      </c>
    </row>
    <row r="265" spans="1:19" x14ac:dyDescent="0.2">
      <c r="A265" s="128">
        <v>40487</v>
      </c>
      <c r="B265" s="13">
        <v>2195</v>
      </c>
      <c r="C265" s="13">
        <v>400</v>
      </c>
      <c r="D265" s="13">
        <v>397</v>
      </c>
      <c r="E265" s="13">
        <v>3</v>
      </c>
      <c r="F265" s="13">
        <v>1796</v>
      </c>
      <c r="G265" s="13">
        <v>731</v>
      </c>
      <c r="H265" s="13">
        <v>731</v>
      </c>
      <c r="I265" s="13">
        <v>0</v>
      </c>
      <c r="J265" s="13">
        <v>1064</v>
      </c>
      <c r="K265" s="13">
        <v>615</v>
      </c>
      <c r="L265" s="13">
        <v>544</v>
      </c>
      <c r="M265" s="13">
        <v>70</v>
      </c>
      <c r="N265" s="119">
        <v>2340</v>
      </c>
      <c r="O265" s="22">
        <v>2002</v>
      </c>
      <c r="P265" s="22">
        <v>106</v>
      </c>
      <c r="Q265" s="119">
        <v>232</v>
      </c>
      <c r="R265" s="13">
        <v>217</v>
      </c>
      <c r="S265" s="13">
        <v>677</v>
      </c>
    </row>
    <row r="266" spans="1:19" x14ac:dyDescent="0.2">
      <c r="A266" s="128">
        <v>40494</v>
      </c>
      <c r="B266" s="13">
        <v>2163</v>
      </c>
      <c r="C266" s="13">
        <v>399</v>
      </c>
      <c r="D266" s="13">
        <v>396</v>
      </c>
      <c r="E266" s="13">
        <v>3</v>
      </c>
      <c r="F266" s="13">
        <v>1764</v>
      </c>
      <c r="G266" s="13">
        <v>721</v>
      </c>
      <c r="H266" s="13">
        <v>721</v>
      </c>
      <c r="I266" s="13">
        <v>0</v>
      </c>
      <c r="J266" s="13">
        <v>1043</v>
      </c>
      <c r="K266" s="13">
        <v>628</v>
      </c>
      <c r="L266" s="13">
        <v>553</v>
      </c>
      <c r="M266" s="13">
        <v>75</v>
      </c>
      <c r="N266" s="119">
        <v>2371</v>
      </c>
      <c r="O266" s="22">
        <v>2005</v>
      </c>
      <c r="P266" s="22">
        <v>139</v>
      </c>
      <c r="Q266" s="119">
        <v>227</v>
      </c>
      <c r="R266" s="13">
        <v>228</v>
      </c>
      <c r="S266" s="13">
        <v>671</v>
      </c>
    </row>
    <row r="267" spans="1:19" x14ac:dyDescent="0.2">
      <c r="A267" s="128">
        <v>40501</v>
      </c>
      <c r="B267" s="13">
        <v>2190</v>
      </c>
      <c r="C267" s="13">
        <v>400</v>
      </c>
      <c r="D267" s="13">
        <v>388</v>
      </c>
      <c r="E267" s="13">
        <v>12</v>
      </c>
      <c r="F267" s="13">
        <v>1790</v>
      </c>
      <c r="G267" s="13">
        <v>714</v>
      </c>
      <c r="H267" s="13">
        <v>714</v>
      </c>
      <c r="I267" s="13">
        <v>0</v>
      </c>
      <c r="J267" s="13">
        <v>1076</v>
      </c>
      <c r="K267" s="13">
        <v>640</v>
      </c>
      <c r="L267" s="13">
        <v>570</v>
      </c>
      <c r="M267" s="13">
        <v>70</v>
      </c>
      <c r="N267" s="119">
        <v>2392</v>
      </c>
      <c r="O267" s="22">
        <v>2015</v>
      </c>
      <c r="P267" s="22">
        <v>161</v>
      </c>
      <c r="Q267" s="119">
        <v>217</v>
      </c>
      <c r="R267" s="13">
        <v>230</v>
      </c>
      <c r="S267" s="13">
        <v>682</v>
      </c>
    </row>
    <row r="268" spans="1:19" x14ac:dyDescent="0.2">
      <c r="A268" s="128">
        <v>40508</v>
      </c>
      <c r="B268" s="13">
        <v>2196</v>
      </c>
      <c r="C268" s="13">
        <v>401</v>
      </c>
      <c r="D268" s="13">
        <v>389</v>
      </c>
      <c r="E268" s="13">
        <v>12</v>
      </c>
      <c r="F268" s="13">
        <v>1795</v>
      </c>
      <c r="G268" s="13">
        <v>701</v>
      </c>
      <c r="H268" s="13">
        <v>701</v>
      </c>
      <c r="I268" s="13">
        <v>0</v>
      </c>
      <c r="J268" s="13">
        <v>1094</v>
      </c>
      <c r="K268" s="13">
        <v>657</v>
      </c>
      <c r="L268" s="13">
        <v>582</v>
      </c>
      <c r="M268" s="13">
        <v>75</v>
      </c>
      <c r="N268" s="119">
        <v>2390</v>
      </c>
      <c r="O268" s="22">
        <v>2038</v>
      </c>
      <c r="P268" s="22">
        <v>148</v>
      </c>
      <c r="Q268" s="119">
        <v>204</v>
      </c>
      <c r="R268" s="13">
        <v>257</v>
      </c>
      <c r="S268" s="13">
        <v>688</v>
      </c>
    </row>
    <row r="269" spans="1:19" x14ac:dyDescent="0.2">
      <c r="A269" s="128">
        <v>40515</v>
      </c>
      <c r="B269" s="13">
        <v>2212</v>
      </c>
      <c r="C269" s="13">
        <v>393</v>
      </c>
      <c r="D269" s="13">
        <v>384</v>
      </c>
      <c r="E269" s="13">
        <v>9</v>
      </c>
      <c r="F269" s="13">
        <v>1819</v>
      </c>
      <c r="G269" s="13">
        <v>701</v>
      </c>
      <c r="H269" s="13">
        <v>701</v>
      </c>
      <c r="I269" s="13">
        <v>0</v>
      </c>
      <c r="J269" s="13">
        <v>1118</v>
      </c>
      <c r="K269" s="13">
        <v>663</v>
      </c>
      <c r="L269" s="13">
        <v>600</v>
      </c>
      <c r="M269" s="13">
        <v>63</v>
      </c>
      <c r="N269" s="119">
        <v>2407</v>
      </c>
      <c r="O269" s="22">
        <v>2048</v>
      </c>
      <c r="P269" s="22">
        <v>136</v>
      </c>
      <c r="Q269" s="119">
        <v>223</v>
      </c>
      <c r="R269" s="13">
        <v>263</v>
      </c>
      <c r="S269" s="13">
        <v>704</v>
      </c>
    </row>
    <row r="270" spans="1:19" x14ac:dyDescent="0.2">
      <c r="A270" s="128">
        <v>40522</v>
      </c>
      <c r="B270" s="13">
        <v>2229</v>
      </c>
      <c r="C270" s="13">
        <v>393</v>
      </c>
      <c r="D270" s="13">
        <v>384</v>
      </c>
      <c r="E270" s="13">
        <v>9</v>
      </c>
      <c r="F270" s="13">
        <v>1835</v>
      </c>
      <c r="G270" s="13">
        <v>712</v>
      </c>
      <c r="H270" s="13">
        <v>712</v>
      </c>
      <c r="I270" s="13">
        <v>0</v>
      </c>
      <c r="J270" s="13">
        <v>1124</v>
      </c>
      <c r="K270" s="13">
        <v>675</v>
      </c>
      <c r="L270" s="13">
        <v>603</v>
      </c>
      <c r="M270" s="13">
        <v>72</v>
      </c>
      <c r="N270" s="119">
        <v>2412</v>
      </c>
      <c r="O270" s="22">
        <v>2045</v>
      </c>
      <c r="P270" s="22">
        <v>128</v>
      </c>
      <c r="Q270" s="119">
        <v>239</v>
      </c>
      <c r="R270" s="13">
        <v>269</v>
      </c>
      <c r="S270" s="13">
        <v>715</v>
      </c>
    </row>
    <row r="271" spans="1:19" x14ac:dyDescent="0.2">
      <c r="A271" s="128">
        <v>40529</v>
      </c>
      <c r="B271" s="13">
        <v>2248</v>
      </c>
      <c r="C271" s="13">
        <v>392</v>
      </c>
      <c r="D271" s="13">
        <v>392</v>
      </c>
      <c r="E271" s="13">
        <v>0</v>
      </c>
      <c r="F271" s="13">
        <v>1856</v>
      </c>
      <c r="G271" s="13">
        <v>718</v>
      </c>
      <c r="H271" s="13">
        <v>718</v>
      </c>
      <c r="I271" s="13">
        <v>0</v>
      </c>
      <c r="J271" s="13">
        <v>1138</v>
      </c>
      <c r="K271" s="13">
        <v>684</v>
      </c>
      <c r="L271" s="13">
        <v>611</v>
      </c>
      <c r="M271" s="13">
        <v>73</v>
      </c>
      <c r="N271" s="119">
        <v>2432</v>
      </c>
      <c r="O271" s="22">
        <v>2046</v>
      </c>
      <c r="P271" s="22">
        <v>124</v>
      </c>
      <c r="Q271" s="119">
        <v>263</v>
      </c>
      <c r="R271" s="13">
        <v>283</v>
      </c>
      <c r="S271" s="13">
        <v>718</v>
      </c>
    </row>
    <row r="272" spans="1:19" x14ac:dyDescent="0.2">
      <c r="A272" s="128">
        <v>40536</v>
      </c>
      <c r="B272" s="13">
        <v>2243</v>
      </c>
      <c r="C272" s="13">
        <v>397</v>
      </c>
      <c r="D272" s="13">
        <v>397</v>
      </c>
      <c r="E272" s="13">
        <v>0</v>
      </c>
      <c r="F272" s="13">
        <v>1846</v>
      </c>
      <c r="G272" s="13">
        <v>736</v>
      </c>
      <c r="H272" s="13">
        <v>736</v>
      </c>
      <c r="I272" s="13">
        <v>0</v>
      </c>
      <c r="J272" s="13">
        <v>1110</v>
      </c>
      <c r="K272" s="13">
        <v>684</v>
      </c>
      <c r="L272" s="13">
        <v>608</v>
      </c>
      <c r="M272" s="13">
        <v>77</v>
      </c>
      <c r="N272" s="119">
        <v>2492</v>
      </c>
      <c r="O272" s="22">
        <v>2070</v>
      </c>
      <c r="P272" s="22">
        <v>133</v>
      </c>
      <c r="Q272" s="119">
        <v>290</v>
      </c>
      <c r="R272" s="13">
        <v>256</v>
      </c>
      <c r="S272" s="13">
        <v>724</v>
      </c>
    </row>
    <row r="273" spans="1:19" x14ac:dyDescent="0.2">
      <c r="A273" s="128">
        <v>40543</v>
      </c>
      <c r="B273" s="13">
        <v>2223</v>
      </c>
      <c r="C273" s="13">
        <v>392</v>
      </c>
      <c r="D273" s="13">
        <v>392</v>
      </c>
      <c r="E273" s="13">
        <v>0</v>
      </c>
      <c r="F273" s="13">
        <v>1830</v>
      </c>
      <c r="G273" s="13">
        <v>719</v>
      </c>
      <c r="H273" s="13">
        <v>719</v>
      </c>
      <c r="I273" s="13">
        <v>0</v>
      </c>
      <c r="J273" s="13">
        <v>1111</v>
      </c>
      <c r="K273" s="13">
        <v>685</v>
      </c>
      <c r="L273" s="13">
        <v>613</v>
      </c>
      <c r="M273" s="13">
        <v>73</v>
      </c>
      <c r="N273" s="119">
        <v>2549</v>
      </c>
      <c r="O273" s="22">
        <v>2119</v>
      </c>
      <c r="P273" s="22">
        <v>145</v>
      </c>
      <c r="Q273" s="119">
        <v>285</v>
      </c>
      <c r="R273" s="13">
        <v>263</v>
      </c>
      <c r="S273" s="13">
        <v>723</v>
      </c>
    </row>
    <row r="274" spans="1:19" x14ac:dyDescent="0.2">
      <c r="A274" s="128">
        <v>40550</v>
      </c>
      <c r="B274" s="13">
        <v>2226</v>
      </c>
      <c r="C274" s="13">
        <v>386</v>
      </c>
      <c r="D274" s="13">
        <v>386</v>
      </c>
      <c r="E274" s="13">
        <v>0</v>
      </c>
      <c r="F274" s="13">
        <v>1840</v>
      </c>
      <c r="G274" s="13">
        <v>701</v>
      </c>
      <c r="H274" s="13">
        <v>701</v>
      </c>
      <c r="I274" s="13">
        <v>0</v>
      </c>
      <c r="J274" s="13">
        <v>1140</v>
      </c>
      <c r="K274" s="13">
        <v>690</v>
      </c>
      <c r="L274" s="13">
        <v>616</v>
      </c>
      <c r="M274" s="13">
        <v>74</v>
      </c>
      <c r="N274" s="119">
        <v>2559</v>
      </c>
      <c r="O274" s="22">
        <v>2148</v>
      </c>
      <c r="P274" s="22">
        <v>136</v>
      </c>
      <c r="Q274" s="119">
        <v>275</v>
      </c>
      <c r="R274" s="13">
        <v>274</v>
      </c>
      <c r="S274" s="13">
        <v>734</v>
      </c>
    </row>
    <row r="275" spans="1:19" x14ac:dyDescent="0.2">
      <c r="A275" s="128">
        <v>40557</v>
      </c>
      <c r="B275" s="13">
        <v>2180</v>
      </c>
      <c r="C275" s="13">
        <v>380</v>
      </c>
      <c r="D275" s="13">
        <v>380</v>
      </c>
      <c r="E275" s="13">
        <v>0</v>
      </c>
      <c r="F275" s="13">
        <v>1800</v>
      </c>
      <c r="G275" s="13">
        <v>684</v>
      </c>
      <c r="H275" s="13">
        <v>684</v>
      </c>
      <c r="I275" s="13">
        <v>0</v>
      </c>
      <c r="J275" s="13">
        <v>1116</v>
      </c>
      <c r="K275" s="13">
        <v>672</v>
      </c>
      <c r="L275" s="13">
        <v>601</v>
      </c>
      <c r="M275" s="13">
        <v>71</v>
      </c>
      <c r="N275" s="119">
        <v>2527</v>
      </c>
      <c r="O275" s="22">
        <v>2128</v>
      </c>
      <c r="P275" s="22">
        <v>143</v>
      </c>
      <c r="Q275" s="119">
        <v>256</v>
      </c>
      <c r="R275" s="13">
        <v>271</v>
      </c>
      <c r="S275" s="13">
        <v>736</v>
      </c>
    </row>
    <row r="276" spans="1:19" x14ac:dyDescent="0.2">
      <c r="A276" s="128">
        <v>40564</v>
      </c>
      <c r="B276" s="13">
        <v>2194</v>
      </c>
      <c r="C276" s="13">
        <v>371</v>
      </c>
      <c r="D276" s="13">
        <v>371</v>
      </c>
      <c r="E276" s="13">
        <v>0</v>
      </c>
      <c r="F276" s="13">
        <v>1823</v>
      </c>
      <c r="G276" s="13">
        <v>665</v>
      </c>
      <c r="H276" s="13">
        <v>665</v>
      </c>
      <c r="I276" s="13">
        <v>0</v>
      </c>
      <c r="J276" s="13">
        <v>1159</v>
      </c>
      <c r="K276" s="13">
        <v>675</v>
      </c>
      <c r="L276" s="13">
        <v>609</v>
      </c>
      <c r="M276" s="13">
        <v>66</v>
      </c>
      <c r="N276" s="119">
        <v>2457</v>
      </c>
      <c r="O276" s="22">
        <v>2082</v>
      </c>
      <c r="P276" s="22">
        <v>129</v>
      </c>
      <c r="Q276" s="119">
        <v>246</v>
      </c>
      <c r="R276" s="13">
        <v>305</v>
      </c>
      <c r="S276" s="13">
        <v>732</v>
      </c>
    </row>
    <row r="277" spans="1:19" x14ac:dyDescent="0.2">
      <c r="A277" s="128">
        <v>40571</v>
      </c>
      <c r="B277" s="13">
        <v>2207</v>
      </c>
      <c r="C277" s="13">
        <v>378</v>
      </c>
      <c r="D277" s="13">
        <v>378</v>
      </c>
      <c r="E277" s="13">
        <v>0</v>
      </c>
      <c r="F277" s="13">
        <v>1829</v>
      </c>
      <c r="G277" s="13">
        <v>673</v>
      </c>
      <c r="H277" s="13">
        <v>673</v>
      </c>
      <c r="I277" s="13">
        <v>0</v>
      </c>
      <c r="J277" s="13">
        <v>1156</v>
      </c>
      <c r="K277" s="13">
        <v>689</v>
      </c>
      <c r="L277" s="13">
        <v>619</v>
      </c>
      <c r="M277" s="13">
        <v>70</v>
      </c>
      <c r="N277" s="119">
        <v>2379</v>
      </c>
      <c r="O277" s="22">
        <v>2011</v>
      </c>
      <c r="P277" s="22">
        <v>102</v>
      </c>
      <c r="Q277" s="119">
        <v>266</v>
      </c>
      <c r="R277" s="13">
        <v>269</v>
      </c>
      <c r="S277" s="13">
        <v>727</v>
      </c>
    </row>
    <row r="278" spans="1:19" x14ac:dyDescent="0.2">
      <c r="A278" s="128">
        <v>40578</v>
      </c>
      <c r="B278" s="13">
        <v>2143</v>
      </c>
      <c r="C278" s="13">
        <v>362</v>
      </c>
      <c r="D278" s="13">
        <v>362</v>
      </c>
      <c r="E278" s="13">
        <v>0</v>
      </c>
      <c r="F278" s="13">
        <v>1781</v>
      </c>
      <c r="G278" s="13">
        <v>679</v>
      </c>
      <c r="H278" s="13">
        <v>679</v>
      </c>
      <c r="I278" s="13">
        <v>0</v>
      </c>
      <c r="J278" s="13">
        <v>1102</v>
      </c>
      <c r="K278" s="13">
        <v>672</v>
      </c>
      <c r="L278" s="13">
        <v>603</v>
      </c>
      <c r="M278" s="13">
        <v>69</v>
      </c>
      <c r="N278" s="119">
        <v>2329</v>
      </c>
      <c r="O278" s="22">
        <v>1958</v>
      </c>
      <c r="P278" s="22">
        <v>94</v>
      </c>
      <c r="Q278" s="119">
        <v>277</v>
      </c>
      <c r="R278" s="13">
        <v>278</v>
      </c>
      <c r="S278" s="13">
        <v>713</v>
      </c>
    </row>
    <row r="279" spans="1:19" x14ac:dyDescent="0.2">
      <c r="A279" s="128">
        <v>40585</v>
      </c>
      <c r="B279" s="13">
        <v>2111</v>
      </c>
      <c r="C279" s="13">
        <v>358</v>
      </c>
      <c r="D279" s="13">
        <v>358</v>
      </c>
      <c r="E279" s="13">
        <v>0</v>
      </c>
      <c r="F279" s="13">
        <v>1753</v>
      </c>
      <c r="G279" s="13">
        <v>681</v>
      </c>
      <c r="H279" s="13">
        <v>681</v>
      </c>
      <c r="I279" s="13">
        <v>0</v>
      </c>
      <c r="J279" s="13">
        <v>1071</v>
      </c>
      <c r="K279" s="13">
        <v>651</v>
      </c>
      <c r="L279" s="13">
        <v>580</v>
      </c>
      <c r="M279" s="13">
        <v>71</v>
      </c>
      <c r="N279" s="119">
        <v>2240</v>
      </c>
      <c r="O279" s="22">
        <v>1891</v>
      </c>
      <c r="P279" s="22">
        <v>58</v>
      </c>
      <c r="Q279" s="119">
        <v>291</v>
      </c>
      <c r="R279" s="13">
        <v>291</v>
      </c>
      <c r="S279" s="13">
        <v>683</v>
      </c>
    </row>
    <row r="280" spans="1:19" x14ac:dyDescent="0.2">
      <c r="A280" s="128">
        <v>40592</v>
      </c>
      <c r="B280" s="13">
        <v>2056</v>
      </c>
      <c r="C280" s="13">
        <v>360</v>
      </c>
      <c r="D280" s="13">
        <v>360</v>
      </c>
      <c r="E280" s="13">
        <v>0</v>
      </c>
      <c r="F280" s="13">
        <v>1696</v>
      </c>
      <c r="G280" s="13">
        <v>696</v>
      </c>
      <c r="H280" s="13">
        <v>696</v>
      </c>
      <c r="I280" s="13">
        <v>0</v>
      </c>
      <c r="J280" s="13">
        <v>1000</v>
      </c>
      <c r="K280" s="13">
        <v>637</v>
      </c>
      <c r="L280" s="13">
        <v>572</v>
      </c>
      <c r="M280" s="13">
        <v>66</v>
      </c>
      <c r="N280" s="119">
        <v>2176</v>
      </c>
      <c r="O280" s="22">
        <v>1847</v>
      </c>
      <c r="P280" s="22">
        <v>46</v>
      </c>
      <c r="Q280" s="119">
        <v>282</v>
      </c>
      <c r="R280" s="13">
        <v>296</v>
      </c>
      <c r="S280" s="13">
        <v>669</v>
      </c>
    </row>
    <row r="281" spans="1:19" x14ac:dyDescent="0.2">
      <c r="A281" s="128">
        <v>40599</v>
      </c>
      <c r="B281" s="13">
        <v>2016</v>
      </c>
      <c r="C281" s="13">
        <v>363</v>
      </c>
      <c r="D281" s="13">
        <v>363</v>
      </c>
      <c r="E281" s="13">
        <v>0</v>
      </c>
      <c r="F281" s="13">
        <v>1653</v>
      </c>
      <c r="G281" s="13">
        <v>711</v>
      </c>
      <c r="H281" s="13">
        <v>711</v>
      </c>
      <c r="I281" s="13">
        <v>0</v>
      </c>
      <c r="J281" s="13">
        <v>942</v>
      </c>
      <c r="K281" s="13">
        <v>608</v>
      </c>
      <c r="L281" s="13">
        <v>538</v>
      </c>
      <c r="M281" s="13">
        <v>70</v>
      </c>
      <c r="N281" s="119">
        <v>2120</v>
      </c>
      <c r="O281" s="22">
        <v>1831</v>
      </c>
      <c r="P281" s="22">
        <v>55</v>
      </c>
      <c r="Q281" s="119">
        <v>234</v>
      </c>
      <c r="R281" s="13">
        <v>335</v>
      </c>
      <c r="S281" s="13">
        <v>658</v>
      </c>
    </row>
    <row r="282" spans="1:19" x14ac:dyDescent="0.2">
      <c r="A282" s="128">
        <v>40606</v>
      </c>
      <c r="B282" s="13">
        <v>2028</v>
      </c>
      <c r="C282" s="13">
        <v>382</v>
      </c>
      <c r="D282" s="13">
        <v>382</v>
      </c>
      <c r="E282" s="13">
        <v>0</v>
      </c>
      <c r="F282" s="13">
        <v>1645</v>
      </c>
      <c r="G282" s="13">
        <v>723</v>
      </c>
      <c r="H282" s="13">
        <v>723</v>
      </c>
      <c r="I282" s="13">
        <v>0</v>
      </c>
      <c r="J282" s="13">
        <v>922</v>
      </c>
      <c r="K282" s="13">
        <v>619</v>
      </c>
      <c r="L282" s="13">
        <v>553</v>
      </c>
      <c r="M282" s="13">
        <v>66</v>
      </c>
      <c r="N282" s="119">
        <v>2070</v>
      </c>
      <c r="O282" s="22">
        <v>1791</v>
      </c>
      <c r="P282" s="22">
        <v>60</v>
      </c>
      <c r="Q282" s="119">
        <v>218</v>
      </c>
      <c r="R282" s="13">
        <v>338</v>
      </c>
      <c r="S282" s="13">
        <v>638</v>
      </c>
    </row>
    <row r="283" spans="1:19" x14ac:dyDescent="0.2">
      <c r="A283" s="128">
        <v>40613</v>
      </c>
      <c r="B283" s="13">
        <v>2060</v>
      </c>
      <c r="C283" s="13">
        <v>388</v>
      </c>
      <c r="D283" s="13">
        <v>388</v>
      </c>
      <c r="E283" s="13">
        <v>0</v>
      </c>
      <c r="F283" s="13">
        <v>1671</v>
      </c>
      <c r="G283" s="13">
        <v>739</v>
      </c>
      <c r="H283" s="13">
        <v>739</v>
      </c>
      <c r="I283" s="13">
        <v>0</v>
      </c>
      <c r="J283" s="13">
        <v>932</v>
      </c>
      <c r="K283" s="13">
        <v>636</v>
      </c>
      <c r="L283" s="13">
        <v>566</v>
      </c>
      <c r="M283" s="13">
        <v>71</v>
      </c>
      <c r="N283" s="119">
        <v>2080</v>
      </c>
      <c r="O283" s="22">
        <v>1787</v>
      </c>
      <c r="P283" s="22">
        <v>81</v>
      </c>
      <c r="Q283" s="119">
        <v>212</v>
      </c>
      <c r="R283" s="13">
        <v>323</v>
      </c>
      <c r="S283" s="13">
        <v>652</v>
      </c>
    </row>
    <row r="284" spans="1:19" x14ac:dyDescent="0.2">
      <c r="A284" s="128">
        <v>40620</v>
      </c>
      <c r="B284" s="13">
        <v>2114</v>
      </c>
      <c r="C284" s="13">
        <v>385</v>
      </c>
      <c r="D284" s="13">
        <v>385</v>
      </c>
      <c r="E284" s="13">
        <v>0</v>
      </c>
      <c r="F284" s="13">
        <v>1729</v>
      </c>
      <c r="G284" s="13">
        <v>746</v>
      </c>
      <c r="H284" s="13">
        <v>746</v>
      </c>
      <c r="I284" s="13">
        <v>0</v>
      </c>
      <c r="J284" s="13">
        <v>983</v>
      </c>
      <c r="K284" s="13">
        <v>651</v>
      </c>
      <c r="L284" s="13">
        <v>567</v>
      </c>
      <c r="M284" s="13">
        <v>84</v>
      </c>
      <c r="N284" s="119">
        <v>2170</v>
      </c>
      <c r="O284" s="22">
        <v>1861</v>
      </c>
      <c r="P284" s="22">
        <v>108</v>
      </c>
      <c r="Q284" s="119">
        <v>201</v>
      </c>
      <c r="R284" s="13">
        <v>309</v>
      </c>
      <c r="S284" s="13">
        <v>659</v>
      </c>
    </row>
    <row r="285" spans="1:19" x14ac:dyDescent="0.2">
      <c r="A285" s="128">
        <v>40627</v>
      </c>
      <c r="B285" s="13">
        <v>2152</v>
      </c>
      <c r="C285" s="13">
        <v>381</v>
      </c>
      <c r="D285" s="13">
        <v>381</v>
      </c>
      <c r="E285" s="13">
        <v>0</v>
      </c>
      <c r="F285" s="13">
        <v>1771</v>
      </c>
      <c r="G285" s="13">
        <v>749</v>
      </c>
      <c r="H285" s="13">
        <v>749</v>
      </c>
      <c r="I285" s="13">
        <v>0</v>
      </c>
      <c r="J285" s="13">
        <v>1022</v>
      </c>
      <c r="K285" s="13">
        <v>692</v>
      </c>
      <c r="L285" s="13">
        <v>604</v>
      </c>
      <c r="M285" s="13">
        <v>88</v>
      </c>
      <c r="N285" s="119">
        <v>2213</v>
      </c>
      <c r="O285" s="22">
        <v>1889</v>
      </c>
      <c r="P285" s="22">
        <v>114</v>
      </c>
      <c r="Q285" s="119">
        <v>211</v>
      </c>
      <c r="R285" s="13">
        <v>313</v>
      </c>
      <c r="S285" s="13">
        <v>663</v>
      </c>
    </row>
    <row r="286" spans="1:19" x14ac:dyDescent="0.2">
      <c r="A286" s="128">
        <v>40634</v>
      </c>
      <c r="B286" s="13">
        <v>2179</v>
      </c>
      <c r="C286" s="13">
        <v>380</v>
      </c>
      <c r="D286" s="13">
        <v>380</v>
      </c>
      <c r="E286" s="13">
        <v>0</v>
      </c>
      <c r="F286" s="13">
        <v>1798</v>
      </c>
      <c r="G286" s="13">
        <v>746</v>
      </c>
      <c r="H286" s="13">
        <v>746</v>
      </c>
      <c r="I286" s="13">
        <v>0</v>
      </c>
      <c r="J286" s="13">
        <v>1052</v>
      </c>
      <c r="K286" s="13">
        <v>708</v>
      </c>
      <c r="L286" s="13">
        <v>619</v>
      </c>
      <c r="M286" s="13">
        <v>89</v>
      </c>
      <c r="N286" s="119">
        <v>2305</v>
      </c>
      <c r="O286" s="22">
        <v>1973</v>
      </c>
      <c r="P286" s="22">
        <v>116</v>
      </c>
      <c r="Q286" s="119">
        <v>216</v>
      </c>
      <c r="R286" s="13">
        <v>298</v>
      </c>
      <c r="S286" s="13">
        <v>678</v>
      </c>
    </row>
    <row r="287" spans="1:19" x14ac:dyDescent="0.2">
      <c r="A287" s="128">
        <v>40641</v>
      </c>
      <c r="B287" s="13">
        <v>2197</v>
      </c>
      <c r="C287" s="13">
        <v>384</v>
      </c>
      <c r="D287" s="13">
        <v>379</v>
      </c>
      <c r="E287" s="13">
        <v>5</v>
      </c>
      <c r="F287" s="13">
        <v>1813</v>
      </c>
      <c r="G287" s="13">
        <v>755</v>
      </c>
      <c r="H287" s="13">
        <v>755</v>
      </c>
      <c r="I287" s="13">
        <v>0</v>
      </c>
      <c r="J287" s="13">
        <v>1058</v>
      </c>
      <c r="K287" s="13">
        <v>733</v>
      </c>
      <c r="L287" s="13">
        <v>640</v>
      </c>
      <c r="M287" s="13">
        <v>93</v>
      </c>
      <c r="N287" s="119">
        <v>2318</v>
      </c>
      <c r="O287" s="22">
        <v>2015</v>
      </c>
      <c r="P287" s="22">
        <v>110</v>
      </c>
      <c r="Q287" s="119">
        <v>194</v>
      </c>
      <c r="R287" s="13">
        <v>303</v>
      </c>
      <c r="S287" s="13">
        <v>683</v>
      </c>
    </row>
    <row r="288" spans="1:19" x14ac:dyDescent="0.2">
      <c r="A288" s="128">
        <v>40648</v>
      </c>
      <c r="B288" s="13">
        <v>2214</v>
      </c>
      <c r="C288" s="13">
        <v>389</v>
      </c>
      <c r="D288" s="13">
        <v>381</v>
      </c>
      <c r="E288" s="13">
        <v>8</v>
      </c>
      <c r="F288" s="13">
        <v>1825</v>
      </c>
      <c r="G288" s="13">
        <v>754</v>
      </c>
      <c r="H288" s="13">
        <v>754</v>
      </c>
      <c r="I288" s="13">
        <v>0</v>
      </c>
      <c r="J288" s="13">
        <v>1071</v>
      </c>
      <c r="K288" s="13">
        <v>738</v>
      </c>
      <c r="L288" s="13">
        <v>651</v>
      </c>
      <c r="M288" s="13">
        <v>87</v>
      </c>
      <c r="N288" s="119">
        <v>2285</v>
      </c>
      <c r="O288" s="22">
        <v>1981</v>
      </c>
      <c r="P288" s="22">
        <v>104</v>
      </c>
      <c r="Q288" s="119">
        <v>199</v>
      </c>
      <c r="R288" s="13">
        <v>308</v>
      </c>
      <c r="S288" s="13">
        <v>684</v>
      </c>
    </row>
    <row r="289" spans="1:19" x14ac:dyDescent="0.2">
      <c r="A289" s="128">
        <v>40655</v>
      </c>
      <c r="B289" s="13">
        <v>2202</v>
      </c>
      <c r="C289" s="13">
        <v>396</v>
      </c>
      <c r="D289" s="13">
        <v>382</v>
      </c>
      <c r="E289" s="13">
        <v>14</v>
      </c>
      <c r="F289" s="13">
        <v>1806</v>
      </c>
      <c r="G289" s="13">
        <v>755</v>
      </c>
      <c r="H289" s="13">
        <v>755</v>
      </c>
      <c r="I289" s="13">
        <v>0</v>
      </c>
      <c r="J289" s="13">
        <v>1051</v>
      </c>
      <c r="K289" s="13">
        <v>714</v>
      </c>
      <c r="L289" s="13">
        <v>631</v>
      </c>
      <c r="M289" s="13">
        <v>83</v>
      </c>
      <c r="N289" s="119">
        <v>2262</v>
      </c>
      <c r="O289" s="22">
        <v>1951</v>
      </c>
      <c r="P289" s="22">
        <v>107</v>
      </c>
      <c r="Q289" s="119">
        <v>204</v>
      </c>
      <c r="R289" s="13">
        <v>290</v>
      </c>
      <c r="S289" s="13">
        <v>691</v>
      </c>
    </row>
    <row r="290" spans="1:19" x14ac:dyDescent="0.2">
      <c r="A290" s="128">
        <v>40662</v>
      </c>
      <c r="B290" s="13">
        <v>2146</v>
      </c>
      <c r="C290" s="13">
        <v>398</v>
      </c>
      <c r="D290" s="13">
        <v>380</v>
      </c>
      <c r="E290" s="13">
        <v>18</v>
      </c>
      <c r="F290" s="13">
        <v>1748</v>
      </c>
      <c r="G290" s="13">
        <v>759</v>
      </c>
      <c r="H290" s="13">
        <v>759</v>
      </c>
      <c r="I290" s="13">
        <v>0</v>
      </c>
      <c r="J290" s="13">
        <v>989</v>
      </c>
      <c r="K290" s="13">
        <v>711</v>
      </c>
      <c r="L290" s="13">
        <v>618</v>
      </c>
      <c r="M290" s="13">
        <v>93</v>
      </c>
      <c r="N290" s="119">
        <v>2226</v>
      </c>
      <c r="O290" s="22">
        <v>1918</v>
      </c>
      <c r="P290" s="22">
        <v>114</v>
      </c>
      <c r="Q290" s="119">
        <v>194</v>
      </c>
      <c r="R290" s="13">
        <v>299</v>
      </c>
      <c r="S290" s="13">
        <v>696</v>
      </c>
    </row>
    <row r="291" spans="1:19" x14ac:dyDescent="0.2">
      <c r="A291" s="128">
        <v>40669</v>
      </c>
      <c r="B291" s="13">
        <v>2129</v>
      </c>
      <c r="C291" s="13">
        <v>403</v>
      </c>
      <c r="D291" s="13">
        <v>385</v>
      </c>
      <c r="E291" s="13">
        <v>17</v>
      </c>
      <c r="F291" s="13">
        <v>1726</v>
      </c>
      <c r="G291" s="13">
        <v>758</v>
      </c>
      <c r="H291" s="13">
        <v>758</v>
      </c>
      <c r="I291" s="13">
        <v>0</v>
      </c>
      <c r="J291" s="13">
        <v>968</v>
      </c>
      <c r="K291" s="13">
        <v>708</v>
      </c>
      <c r="L291" s="13">
        <v>614</v>
      </c>
      <c r="M291" s="13">
        <v>94</v>
      </c>
      <c r="N291" s="119">
        <v>2245</v>
      </c>
      <c r="O291" s="22">
        <v>1947</v>
      </c>
      <c r="P291" s="22">
        <v>128</v>
      </c>
      <c r="Q291" s="119">
        <v>170</v>
      </c>
      <c r="R291" s="13">
        <v>306</v>
      </c>
      <c r="S291" s="13">
        <v>705</v>
      </c>
    </row>
    <row r="292" spans="1:19" x14ac:dyDescent="0.2">
      <c r="A292" s="128">
        <v>40676</v>
      </c>
      <c r="B292" s="13">
        <v>2119</v>
      </c>
      <c r="C292" s="13">
        <v>414</v>
      </c>
      <c r="D292" s="13">
        <v>393</v>
      </c>
      <c r="E292" s="13">
        <v>21</v>
      </c>
      <c r="F292" s="13">
        <v>1705</v>
      </c>
      <c r="G292" s="13">
        <v>774</v>
      </c>
      <c r="H292" s="13">
        <v>774</v>
      </c>
      <c r="I292" s="13">
        <v>0</v>
      </c>
      <c r="J292" s="13">
        <v>931</v>
      </c>
      <c r="K292" s="13">
        <v>702</v>
      </c>
      <c r="L292" s="13">
        <v>612</v>
      </c>
      <c r="M292" s="13">
        <v>90</v>
      </c>
      <c r="N292" s="119">
        <v>2234</v>
      </c>
      <c r="O292" s="22">
        <v>1964</v>
      </c>
      <c r="P292" s="22">
        <v>122</v>
      </c>
      <c r="Q292" s="119">
        <v>148</v>
      </c>
      <c r="R292" s="13">
        <v>298</v>
      </c>
      <c r="S292" s="13">
        <v>701</v>
      </c>
    </row>
    <row r="293" spans="1:19" x14ac:dyDescent="0.2">
      <c r="A293" s="128">
        <v>40683</v>
      </c>
      <c r="B293" s="13">
        <v>2162</v>
      </c>
      <c r="C293" s="13">
        <v>422</v>
      </c>
      <c r="D293" s="13">
        <v>401</v>
      </c>
      <c r="E293" s="13">
        <v>21</v>
      </c>
      <c r="F293" s="13">
        <v>1740</v>
      </c>
      <c r="G293" s="13">
        <v>781</v>
      </c>
      <c r="H293" s="13">
        <v>781</v>
      </c>
      <c r="I293" s="13">
        <v>0</v>
      </c>
      <c r="J293" s="13">
        <v>959</v>
      </c>
      <c r="K293" s="13">
        <v>708</v>
      </c>
      <c r="L293" s="13">
        <v>617</v>
      </c>
      <c r="M293" s="13">
        <v>91</v>
      </c>
      <c r="N293" s="119">
        <v>2278</v>
      </c>
      <c r="O293" s="22">
        <v>2029</v>
      </c>
      <c r="P293" s="22">
        <v>120</v>
      </c>
      <c r="Q293" s="119">
        <v>128</v>
      </c>
      <c r="R293" s="13">
        <v>308</v>
      </c>
      <c r="S293" s="13">
        <v>692</v>
      </c>
    </row>
    <row r="294" spans="1:19" x14ac:dyDescent="0.2">
      <c r="A294" s="128">
        <v>40690</v>
      </c>
      <c r="B294" s="13">
        <v>2261</v>
      </c>
      <c r="C294" s="13">
        <v>434</v>
      </c>
      <c r="D294" s="13">
        <v>411</v>
      </c>
      <c r="E294" s="13">
        <v>23</v>
      </c>
      <c r="F294" s="13">
        <v>1826</v>
      </c>
      <c r="G294" s="13">
        <v>798</v>
      </c>
      <c r="H294" s="13">
        <v>798</v>
      </c>
      <c r="I294" s="13">
        <v>0</v>
      </c>
      <c r="J294" s="13">
        <v>1028</v>
      </c>
      <c r="K294" s="13">
        <v>702</v>
      </c>
      <c r="L294" s="13">
        <v>628</v>
      </c>
      <c r="M294" s="13">
        <v>74</v>
      </c>
      <c r="N294" s="119">
        <v>2287</v>
      </c>
      <c r="O294" s="22">
        <v>2050</v>
      </c>
      <c r="P294" s="22">
        <v>107</v>
      </c>
      <c r="Q294" s="119">
        <v>131</v>
      </c>
      <c r="R294" s="13">
        <v>294</v>
      </c>
      <c r="S294" s="13">
        <v>691</v>
      </c>
    </row>
    <row r="295" spans="1:19" x14ac:dyDescent="0.2">
      <c r="A295" s="128">
        <v>40697</v>
      </c>
      <c r="B295" s="13">
        <v>2312</v>
      </c>
      <c r="C295" s="13">
        <v>434</v>
      </c>
      <c r="D295" s="13">
        <v>409</v>
      </c>
      <c r="E295" s="13">
        <v>25</v>
      </c>
      <c r="F295" s="13">
        <v>1878</v>
      </c>
      <c r="G295" s="13">
        <v>808</v>
      </c>
      <c r="H295" s="13">
        <v>807</v>
      </c>
      <c r="I295" s="13">
        <v>0</v>
      </c>
      <c r="J295" s="13">
        <v>1070</v>
      </c>
      <c r="K295" s="13">
        <v>713</v>
      </c>
      <c r="L295" s="13">
        <v>639</v>
      </c>
      <c r="M295" s="13">
        <v>75</v>
      </c>
      <c r="N295" s="119">
        <v>2343</v>
      </c>
      <c r="O295" s="22">
        <v>2093</v>
      </c>
      <c r="P295" s="22">
        <v>105</v>
      </c>
      <c r="Q295" s="119">
        <v>145</v>
      </c>
      <c r="R295" s="13">
        <v>279</v>
      </c>
      <c r="S295" s="13">
        <v>703</v>
      </c>
    </row>
    <row r="296" spans="1:19" x14ac:dyDescent="0.2">
      <c r="A296" s="128">
        <v>40704</v>
      </c>
      <c r="B296" s="13">
        <v>2275</v>
      </c>
      <c r="C296" s="13">
        <v>427</v>
      </c>
      <c r="D296" s="13">
        <v>407</v>
      </c>
      <c r="E296" s="13">
        <v>19</v>
      </c>
      <c r="F296" s="13">
        <v>1849</v>
      </c>
      <c r="G296" s="13">
        <v>786</v>
      </c>
      <c r="H296" s="13">
        <v>786</v>
      </c>
      <c r="I296" s="13">
        <v>0</v>
      </c>
      <c r="J296" s="13">
        <v>1063</v>
      </c>
      <c r="K296" s="13">
        <v>716</v>
      </c>
      <c r="L296" s="13">
        <v>642</v>
      </c>
      <c r="M296" s="13">
        <v>74</v>
      </c>
      <c r="N296" s="119">
        <v>2371</v>
      </c>
      <c r="O296" s="22">
        <v>2100</v>
      </c>
      <c r="P296" s="22">
        <v>108</v>
      </c>
      <c r="Q296" s="119">
        <v>164</v>
      </c>
      <c r="R296" s="13">
        <v>274</v>
      </c>
      <c r="S296" s="13">
        <v>717</v>
      </c>
    </row>
    <row r="297" spans="1:19" x14ac:dyDescent="0.2">
      <c r="A297" s="128">
        <v>40711</v>
      </c>
      <c r="B297" s="13">
        <v>2240</v>
      </c>
      <c r="C297" s="13">
        <v>419</v>
      </c>
      <c r="D297" s="13">
        <v>402</v>
      </c>
      <c r="E297" s="13">
        <v>17</v>
      </c>
      <c r="F297" s="13">
        <v>1821</v>
      </c>
      <c r="G297" s="13">
        <v>783</v>
      </c>
      <c r="H297" s="13">
        <v>782</v>
      </c>
      <c r="I297" s="13">
        <v>0</v>
      </c>
      <c r="J297" s="13">
        <v>1039</v>
      </c>
      <c r="K297" s="13">
        <v>726</v>
      </c>
      <c r="L297" s="13">
        <v>654</v>
      </c>
      <c r="M297" s="13">
        <v>72</v>
      </c>
      <c r="N297" s="119">
        <v>2341</v>
      </c>
      <c r="O297" s="22">
        <v>2060</v>
      </c>
      <c r="P297" s="22">
        <v>115</v>
      </c>
      <c r="Q297" s="119">
        <v>167</v>
      </c>
      <c r="R297" s="13">
        <v>283</v>
      </c>
      <c r="S297" s="13">
        <v>725</v>
      </c>
    </row>
    <row r="298" spans="1:19" x14ac:dyDescent="0.2">
      <c r="A298" s="128">
        <v>40718</v>
      </c>
      <c r="B298" s="13">
        <v>2190</v>
      </c>
      <c r="C298" s="13">
        <v>414</v>
      </c>
      <c r="D298" s="13">
        <v>399</v>
      </c>
      <c r="E298" s="13">
        <v>15</v>
      </c>
      <c r="F298" s="13">
        <v>1776</v>
      </c>
      <c r="G298" s="13">
        <v>773</v>
      </c>
      <c r="H298" s="13">
        <v>773</v>
      </c>
      <c r="I298" s="13">
        <v>0</v>
      </c>
      <c r="J298" s="13">
        <v>1003</v>
      </c>
      <c r="K298" s="13">
        <v>743</v>
      </c>
      <c r="L298" s="13">
        <v>670</v>
      </c>
      <c r="M298" s="13">
        <v>73</v>
      </c>
      <c r="N298" s="119">
        <v>2334</v>
      </c>
      <c r="O298" s="22">
        <v>2050</v>
      </c>
      <c r="P298" s="22">
        <v>129</v>
      </c>
      <c r="Q298" s="119">
        <v>156</v>
      </c>
      <c r="R298" s="13">
        <v>305</v>
      </c>
      <c r="S298" s="13">
        <v>724</v>
      </c>
    </row>
    <row r="299" spans="1:19" x14ac:dyDescent="0.2">
      <c r="A299" s="128">
        <v>40725</v>
      </c>
      <c r="B299" s="13">
        <v>2179</v>
      </c>
      <c r="C299" s="13">
        <v>417</v>
      </c>
      <c r="D299" s="13">
        <v>403</v>
      </c>
      <c r="E299" s="13">
        <v>14</v>
      </c>
      <c r="F299" s="13">
        <v>1762</v>
      </c>
      <c r="G299" s="13">
        <v>764</v>
      </c>
      <c r="H299" s="13">
        <v>764</v>
      </c>
      <c r="I299" s="13">
        <v>0</v>
      </c>
      <c r="J299" s="13">
        <v>998</v>
      </c>
      <c r="K299" s="13">
        <v>742</v>
      </c>
      <c r="L299" s="13">
        <v>656</v>
      </c>
      <c r="M299" s="13">
        <v>86</v>
      </c>
      <c r="N299" s="119">
        <v>2306</v>
      </c>
      <c r="O299" s="22">
        <v>2030</v>
      </c>
      <c r="P299" s="22">
        <v>141</v>
      </c>
      <c r="Q299" s="119">
        <v>135</v>
      </c>
      <c r="R299" s="13">
        <v>314</v>
      </c>
      <c r="S299" s="13">
        <v>713</v>
      </c>
    </row>
    <row r="300" spans="1:19" x14ac:dyDescent="0.2">
      <c r="A300" s="128">
        <v>40732</v>
      </c>
      <c r="B300" s="13">
        <v>2190</v>
      </c>
      <c r="C300" s="13">
        <v>408</v>
      </c>
      <c r="D300" s="13">
        <v>394</v>
      </c>
      <c r="E300" s="13">
        <v>14</v>
      </c>
      <c r="F300" s="13">
        <v>1782</v>
      </c>
      <c r="G300" s="13">
        <v>770</v>
      </c>
      <c r="H300" s="13">
        <v>770</v>
      </c>
      <c r="I300" s="13">
        <v>0</v>
      </c>
      <c r="J300" s="13">
        <v>1012</v>
      </c>
      <c r="K300" s="13">
        <v>757</v>
      </c>
      <c r="L300" s="13">
        <v>669</v>
      </c>
      <c r="M300" s="13">
        <v>88</v>
      </c>
      <c r="N300" s="119">
        <v>2316</v>
      </c>
      <c r="O300" s="22">
        <v>2040</v>
      </c>
      <c r="P300" s="22">
        <v>141</v>
      </c>
      <c r="Q300" s="119">
        <v>134</v>
      </c>
      <c r="R300" s="13">
        <v>328</v>
      </c>
      <c r="S300" s="13">
        <v>719</v>
      </c>
    </row>
    <row r="301" spans="1:19" x14ac:dyDescent="0.2">
      <c r="A301" s="128">
        <v>40739</v>
      </c>
      <c r="B301" s="13">
        <v>2171</v>
      </c>
      <c r="C301" s="13">
        <v>402</v>
      </c>
      <c r="D301" s="13">
        <v>388</v>
      </c>
      <c r="E301" s="13">
        <v>14</v>
      </c>
      <c r="F301" s="13">
        <v>1769</v>
      </c>
      <c r="G301" s="13">
        <v>766</v>
      </c>
      <c r="H301" s="13">
        <v>766</v>
      </c>
      <c r="I301" s="13">
        <v>0</v>
      </c>
      <c r="J301" s="13">
        <v>1002</v>
      </c>
      <c r="K301" s="13">
        <v>776</v>
      </c>
      <c r="L301" s="13">
        <v>684</v>
      </c>
      <c r="M301" s="13">
        <v>93</v>
      </c>
      <c r="N301" s="119">
        <v>2352</v>
      </c>
      <c r="O301" s="22">
        <v>2061</v>
      </c>
      <c r="P301" s="22">
        <v>144</v>
      </c>
      <c r="Q301" s="119">
        <v>147</v>
      </c>
      <c r="R301" s="13">
        <v>311</v>
      </c>
      <c r="S301" s="13">
        <v>719</v>
      </c>
    </row>
    <row r="302" spans="1:19" x14ac:dyDescent="0.2">
      <c r="A302" s="128">
        <v>40746</v>
      </c>
      <c r="B302" s="13">
        <v>2138</v>
      </c>
      <c r="C302" s="13">
        <v>398</v>
      </c>
      <c r="D302" s="13">
        <v>386</v>
      </c>
      <c r="E302" s="13">
        <v>12</v>
      </c>
      <c r="F302" s="13">
        <v>1740</v>
      </c>
      <c r="G302" s="13">
        <v>763</v>
      </c>
      <c r="H302" s="13">
        <v>763</v>
      </c>
      <c r="I302" s="13">
        <v>0</v>
      </c>
      <c r="J302" s="13">
        <v>977</v>
      </c>
      <c r="K302" s="13">
        <v>764</v>
      </c>
      <c r="L302" s="13">
        <v>668</v>
      </c>
      <c r="M302" s="13">
        <v>97</v>
      </c>
      <c r="N302" s="119">
        <v>2365</v>
      </c>
      <c r="O302" s="22">
        <v>2069</v>
      </c>
      <c r="P302" s="22">
        <v>151</v>
      </c>
      <c r="Q302" s="119">
        <v>145</v>
      </c>
      <c r="R302" s="13">
        <v>295</v>
      </c>
      <c r="S302" s="13">
        <v>719</v>
      </c>
    </row>
    <row r="303" spans="1:19" x14ac:dyDescent="0.2">
      <c r="A303" s="128">
        <v>40753</v>
      </c>
      <c r="B303" s="13">
        <v>2050</v>
      </c>
      <c r="C303" s="13">
        <v>392</v>
      </c>
      <c r="D303" s="13">
        <v>380</v>
      </c>
      <c r="E303" s="13">
        <v>12</v>
      </c>
      <c r="F303" s="13">
        <v>1658</v>
      </c>
      <c r="G303" s="13">
        <v>760</v>
      </c>
      <c r="H303" s="13">
        <v>760</v>
      </c>
      <c r="I303" s="13">
        <v>0</v>
      </c>
      <c r="J303" s="13">
        <v>898</v>
      </c>
      <c r="K303" s="13">
        <v>749</v>
      </c>
      <c r="L303" s="13">
        <v>678</v>
      </c>
      <c r="M303" s="13">
        <v>71</v>
      </c>
      <c r="N303" s="119">
        <v>2375</v>
      </c>
      <c r="O303" s="22">
        <v>2061</v>
      </c>
      <c r="P303" s="22">
        <v>138</v>
      </c>
      <c r="Q303" s="119">
        <v>177</v>
      </c>
      <c r="R303" s="13">
        <v>301</v>
      </c>
      <c r="S303" s="13">
        <v>710</v>
      </c>
    </row>
    <row r="304" spans="1:19" x14ac:dyDescent="0.2">
      <c r="A304" s="128">
        <v>40760</v>
      </c>
      <c r="B304" s="13">
        <v>2020</v>
      </c>
      <c r="C304" s="13">
        <v>400</v>
      </c>
      <c r="D304" s="13">
        <v>386</v>
      </c>
      <c r="E304" s="13">
        <v>13</v>
      </c>
      <c r="F304" s="13">
        <v>1620</v>
      </c>
      <c r="G304" s="13">
        <v>761</v>
      </c>
      <c r="H304" s="13">
        <v>761</v>
      </c>
      <c r="I304" s="13">
        <v>0</v>
      </c>
      <c r="J304" s="13">
        <v>859</v>
      </c>
      <c r="K304" s="13">
        <v>745</v>
      </c>
      <c r="L304" s="13">
        <v>669</v>
      </c>
      <c r="M304" s="13">
        <v>76</v>
      </c>
      <c r="N304" s="119">
        <v>2369</v>
      </c>
      <c r="O304" s="22">
        <v>2072</v>
      </c>
      <c r="P304" s="22">
        <v>133</v>
      </c>
      <c r="Q304" s="119">
        <v>164</v>
      </c>
      <c r="R304" s="13">
        <v>308</v>
      </c>
      <c r="S304" s="13">
        <v>694</v>
      </c>
    </row>
    <row r="305" spans="1:19" x14ac:dyDescent="0.2">
      <c r="A305" s="128">
        <v>40767</v>
      </c>
      <c r="B305" s="13">
        <v>2009</v>
      </c>
      <c r="C305" s="13">
        <v>407</v>
      </c>
      <c r="D305" s="13">
        <v>393</v>
      </c>
      <c r="E305" s="13">
        <v>14</v>
      </c>
      <c r="F305" s="13">
        <v>1602</v>
      </c>
      <c r="G305" s="13">
        <v>767</v>
      </c>
      <c r="H305" s="13">
        <v>767</v>
      </c>
      <c r="I305" s="13">
        <v>0</v>
      </c>
      <c r="J305" s="13">
        <v>834</v>
      </c>
      <c r="K305" s="13">
        <v>721</v>
      </c>
      <c r="L305" s="13">
        <v>643</v>
      </c>
      <c r="M305" s="13">
        <v>78</v>
      </c>
      <c r="N305" s="119">
        <v>2375</v>
      </c>
      <c r="O305" s="22">
        <v>2098</v>
      </c>
      <c r="P305" s="22">
        <v>129</v>
      </c>
      <c r="Q305" s="119">
        <v>149</v>
      </c>
      <c r="R305" s="13">
        <v>336</v>
      </c>
      <c r="S305" s="13">
        <v>689</v>
      </c>
    </row>
    <row r="306" spans="1:19" x14ac:dyDescent="0.2">
      <c r="A306" s="128">
        <v>40774</v>
      </c>
      <c r="B306" s="13">
        <v>2051</v>
      </c>
      <c r="C306" s="13">
        <v>410</v>
      </c>
      <c r="D306" s="13">
        <v>394</v>
      </c>
      <c r="E306" s="13">
        <v>16</v>
      </c>
      <c r="F306" s="13">
        <v>1640</v>
      </c>
      <c r="G306" s="13">
        <v>772</v>
      </c>
      <c r="H306" s="13">
        <v>772</v>
      </c>
      <c r="I306" s="13">
        <v>0</v>
      </c>
      <c r="J306" s="13">
        <v>868</v>
      </c>
      <c r="K306" s="13">
        <v>719</v>
      </c>
      <c r="L306" s="13">
        <v>634</v>
      </c>
      <c r="M306" s="13">
        <v>85</v>
      </c>
      <c r="N306" s="119">
        <v>2419</v>
      </c>
      <c r="O306" s="22">
        <v>2143</v>
      </c>
      <c r="P306" s="22">
        <v>125</v>
      </c>
      <c r="Q306" s="119">
        <v>151</v>
      </c>
      <c r="R306" s="13">
        <v>354</v>
      </c>
      <c r="S306" s="13">
        <v>693</v>
      </c>
    </row>
    <row r="307" spans="1:19" x14ac:dyDescent="0.2">
      <c r="A307" s="128">
        <v>40781</v>
      </c>
      <c r="B307" s="13">
        <v>2130</v>
      </c>
      <c r="C307" s="13">
        <v>415</v>
      </c>
      <c r="D307" s="13">
        <v>397</v>
      </c>
      <c r="E307" s="13">
        <v>18</v>
      </c>
      <c r="F307" s="13">
        <v>1715</v>
      </c>
      <c r="G307" s="13">
        <v>778</v>
      </c>
      <c r="H307" s="13">
        <v>778</v>
      </c>
      <c r="I307" s="13">
        <v>0</v>
      </c>
      <c r="J307" s="13">
        <v>937</v>
      </c>
      <c r="K307" s="13">
        <v>735</v>
      </c>
      <c r="L307" s="13">
        <v>640</v>
      </c>
      <c r="M307" s="13">
        <v>95</v>
      </c>
      <c r="N307" s="119">
        <v>2461</v>
      </c>
      <c r="O307" s="22">
        <v>2195</v>
      </c>
      <c r="P307" s="22">
        <v>113</v>
      </c>
      <c r="Q307" s="119">
        <v>154</v>
      </c>
      <c r="R307" s="13">
        <v>363</v>
      </c>
      <c r="S307" s="13">
        <v>693</v>
      </c>
    </row>
    <row r="308" spans="1:19" x14ac:dyDescent="0.2">
      <c r="A308" s="128">
        <v>40788</v>
      </c>
      <c r="B308" s="13">
        <v>2148</v>
      </c>
      <c r="C308" s="13">
        <v>416</v>
      </c>
      <c r="D308" s="13">
        <v>397</v>
      </c>
      <c r="E308" s="13">
        <v>19</v>
      </c>
      <c r="F308" s="13">
        <v>1732</v>
      </c>
      <c r="G308" s="13">
        <v>775</v>
      </c>
      <c r="H308" s="13">
        <v>775</v>
      </c>
      <c r="I308" s="13">
        <v>0</v>
      </c>
      <c r="J308" s="13">
        <v>957</v>
      </c>
      <c r="K308" s="13">
        <v>737</v>
      </c>
      <c r="L308" s="13">
        <v>635</v>
      </c>
      <c r="M308" s="13">
        <v>102</v>
      </c>
      <c r="N308" s="119">
        <v>2522</v>
      </c>
      <c r="O308" s="22">
        <v>2234</v>
      </c>
      <c r="P308" s="22">
        <v>121</v>
      </c>
      <c r="Q308" s="119">
        <v>167</v>
      </c>
      <c r="R308" s="13">
        <v>351</v>
      </c>
      <c r="S308" s="13">
        <v>695</v>
      </c>
    </row>
    <row r="309" spans="1:19" x14ac:dyDescent="0.2">
      <c r="A309" s="128">
        <v>40795</v>
      </c>
      <c r="B309" s="13">
        <v>2188</v>
      </c>
      <c r="C309" s="13">
        <v>412</v>
      </c>
      <c r="D309" s="13">
        <v>394</v>
      </c>
      <c r="E309" s="13">
        <v>19</v>
      </c>
      <c r="F309" s="13">
        <v>1776</v>
      </c>
      <c r="G309" s="13">
        <v>771</v>
      </c>
      <c r="H309" s="13">
        <v>771</v>
      </c>
      <c r="I309" s="13">
        <v>0</v>
      </c>
      <c r="J309" s="13">
        <v>1005</v>
      </c>
      <c r="K309" s="13">
        <v>728</v>
      </c>
      <c r="L309" s="13">
        <v>631</v>
      </c>
      <c r="M309" s="13">
        <v>98</v>
      </c>
      <c r="N309" s="119">
        <v>2547</v>
      </c>
      <c r="O309" s="22">
        <v>2256</v>
      </c>
      <c r="P309" s="22">
        <v>118</v>
      </c>
      <c r="Q309" s="119">
        <v>173</v>
      </c>
      <c r="R309" s="13">
        <v>305</v>
      </c>
      <c r="S309" s="13">
        <v>704</v>
      </c>
    </row>
    <row r="310" spans="1:19" x14ac:dyDescent="0.2">
      <c r="A310" s="128">
        <v>40802</v>
      </c>
      <c r="B310" s="13">
        <v>2140</v>
      </c>
      <c r="C310" s="13">
        <v>409</v>
      </c>
      <c r="D310" s="13">
        <v>392</v>
      </c>
      <c r="E310" s="13">
        <v>17</v>
      </c>
      <c r="F310" s="13">
        <v>1731</v>
      </c>
      <c r="G310" s="13">
        <v>767</v>
      </c>
      <c r="H310" s="13">
        <v>767</v>
      </c>
      <c r="I310" s="13">
        <v>0</v>
      </c>
      <c r="J310" s="13">
        <v>963</v>
      </c>
      <c r="K310" s="13">
        <v>726</v>
      </c>
      <c r="L310" s="13">
        <v>641</v>
      </c>
      <c r="M310" s="13">
        <v>86</v>
      </c>
      <c r="N310" s="119">
        <v>2516</v>
      </c>
      <c r="O310" s="22">
        <v>2234</v>
      </c>
      <c r="P310" s="22">
        <v>118</v>
      </c>
      <c r="Q310" s="119">
        <v>164</v>
      </c>
      <c r="R310" s="13">
        <v>279</v>
      </c>
      <c r="S310" s="13">
        <v>708</v>
      </c>
    </row>
    <row r="311" spans="1:19" x14ac:dyDescent="0.2">
      <c r="A311" s="128">
        <v>40809</v>
      </c>
      <c r="B311" s="13">
        <v>2095</v>
      </c>
      <c r="C311" s="13">
        <v>406</v>
      </c>
      <c r="D311" s="13">
        <v>390</v>
      </c>
      <c r="E311" s="13">
        <v>16</v>
      </c>
      <c r="F311" s="13">
        <v>1688</v>
      </c>
      <c r="G311" s="13">
        <v>762</v>
      </c>
      <c r="H311" s="13">
        <v>762</v>
      </c>
      <c r="I311" s="13">
        <v>0</v>
      </c>
      <c r="J311" s="13">
        <v>926</v>
      </c>
      <c r="K311" s="13">
        <v>720</v>
      </c>
      <c r="L311" s="13">
        <v>640</v>
      </c>
      <c r="M311" s="13">
        <v>80</v>
      </c>
      <c r="N311" s="119">
        <v>2481</v>
      </c>
      <c r="O311" s="22">
        <v>2208</v>
      </c>
      <c r="P311" s="22">
        <v>122</v>
      </c>
      <c r="Q311" s="119">
        <v>151</v>
      </c>
      <c r="R311" s="13">
        <v>255</v>
      </c>
      <c r="S311" s="13">
        <v>720</v>
      </c>
    </row>
    <row r="312" spans="1:19" x14ac:dyDescent="0.2">
      <c r="A312" s="128">
        <v>40816</v>
      </c>
      <c r="B312" s="13">
        <v>2114</v>
      </c>
      <c r="C312" s="13">
        <v>402</v>
      </c>
      <c r="D312" s="13">
        <v>389</v>
      </c>
      <c r="E312" s="13">
        <v>13</v>
      </c>
      <c r="F312" s="13">
        <v>1712</v>
      </c>
      <c r="G312" s="13">
        <v>770</v>
      </c>
      <c r="H312" s="13">
        <v>770</v>
      </c>
      <c r="I312" s="13">
        <v>0</v>
      </c>
      <c r="J312" s="13">
        <v>942</v>
      </c>
      <c r="K312" s="13">
        <v>730</v>
      </c>
      <c r="L312" s="13">
        <v>662</v>
      </c>
      <c r="M312" s="13">
        <v>68</v>
      </c>
      <c r="N312" s="119">
        <v>2467</v>
      </c>
      <c r="O312" s="22">
        <v>2191</v>
      </c>
      <c r="P312" s="22">
        <v>120</v>
      </c>
      <c r="Q312" s="119">
        <v>156</v>
      </c>
      <c r="R312" s="13">
        <v>269</v>
      </c>
      <c r="S312" s="13">
        <v>719</v>
      </c>
    </row>
    <row r="313" spans="1:19" x14ac:dyDescent="0.2">
      <c r="A313" s="128">
        <v>40823</v>
      </c>
      <c r="B313" s="13">
        <v>2052</v>
      </c>
      <c r="C313" s="13">
        <v>400</v>
      </c>
      <c r="D313" s="13">
        <v>390</v>
      </c>
      <c r="E313" s="13">
        <v>9</v>
      </c>
      <c r="F313" s="13">
        <v>1652</v>
      </c>
      <c r="G313" s="13">
        <v>782</v>
      </c>
      <c r="H313" s="13">
        <v>782</v>
      </c>
      <c r="I313" s="13">
        <v>0</v>
      </c>
      <c r="J313" s="13">
        <v>870</v>
      </c>
      <c r="K313" s="13">
        <v>749</v>
      </c>
      <c r="L313" s="13">
        <v>680</v>
      </c>
      <c r="M313" s="13">
        <v>69</v>
      </c>
      <c r="N313" s="119">
        <v>2449</v>
      </c>
      <c r="O313" s="22">
        <v>2173</v>
      </c>
      <c r="P313" s="22">
        <v>114</v>
      </c>
      <c r="Q313" s="119">
        <v>162</v>
      </c>
      <c r="R313" s="13">
        <v>296</v>
      </c>
      <c r="S313" s="13">
        <v>719</v>
      </c>
    </row>
    <row r="314" spans="1:19" x14ac:dyDescent="0.2">
      <c r="A314" s="128">
        <v>40830</v>
      </c>
      <c r="B314" s="13">
        <v>2084</v>
      </c>
      <c r="C314" s="13">
        <v>396</v>
      </c>
      <c r="D314" s="13">
        <v>390</v>
      </c>
      <c r="E314" s="13">
        <v>7</v>
      </c>
      <c r="F314" s="13">
        <v>1688</v>
      </c>
      <c r="G314" s="13">
        <v>791</v>
      </c>
      <c r="H314" s="13">
        <v>791</v>
      </c>
      <c r="I314" s="13">
        <v>0</v>
      </c>
      <c r="J314" s="13">
        <v>897</v>
      </c>
      <c r="K314" s="13">
        <v>743</v>
      </c>
      <c r="L314" s="13">
        <v>673</v>
      </c>
      <c r="M314" s="13">
        <v>71</v>
      </c>
      <c r="N314" s="119">
        <v>2464</v>
      </c>
      <c r="O314" s="22">
        <v>2192</v>
      </c>
      <c r="P314" s="22">
        <v>104</v>
      </c>
      <c r="Q314" s="119">
        <v>169</v>
      </c>
      <c r="R314" s="13">
        <v>297</v>
      </c>
      <c r="S314" s="13">
        <v>703</v>
      </c>
    </row>
    <row r="315" spans="1:19" x14ac:dyDescent="0.2">
      <c r="A315" s="128">
        <v>40837</v>
      </c>
      <c r="B315" s="13">
        <v>2111</v>
      </c>
      <c r="C315" s="13">
        <v>395</v>
      </c>
      <c r="D315" s="13">
        <v>393</v>
      </c>
      <c r="E315" s="13">
        <v>2</v>
      </c>
      <c r="F315" s="13">
        <v>1716</v>
      </c>
      <c r="G315" s="13">
        <v>807</v>
      </c>
      <c r="H315" s="13">
        <v>807</v>
      </c>
      <c r="I315" s="13">
        <v>0</v>
      </c>
      <c r="J315" s="13">
        <v>909</v>
      </c>
      <c r="K315" s="13">
        <v>736</v>
      </c>
      <c r="L315" s="13">
        <v>657</v>
      </c>
      <c r="M315" s="13">
        <v>78</v>
      </c>
      <c r="N315" s="119">
        <v>2461</v>
      </c>
      <c r="O315" s="22">
        <v>2200</v>
      </c>
      <c r="P315" s="22">
        <v>104</v>
      </c>
      <c r="Q315" s="119">
        <v>158</v>
      </c>
      <c r="R315" s="13">
        <v>309</v>
      </c>
      <c r="S315" s="13">
        <v>693</v>
      </c>
    </row>
    <row r="316" spans="1:19" x14ac:dyDescent="0.2">
      <c r="A316" s="128">
        <v>40844</v>
      </c>
      <c r="B316" s="13">
        <v>2106</v>
      </c>
      <c r="C316" s="13">
        <v>394</v>
      </c>
      <c r="D316" s="13">
        <v>394</v>
      </c>
      <c r="E316" s="13">
        <v>0</v>
      </c>
      <c r="F316" s="13">
        <v>1712</v>
      </c>
      <c r="G316" s="13">
        <v>818</v>
      </c>
      <c r="H316" s="13">
        <v>818</v>
      </c>
      <c r="I316" s="13">
        <v>0</v>
      </c>
      <c r="J316" s="13">
        <v>894</v>
      </c>
      <c r="K316" s="13">
        <v>715</v>
      </c>
      <c r="L316" s="13">
        <v>635</v>
      </c>
      <c r="M316" s="13">
        <v>80</v>
      </c>
      <c r="N316" s="119">
        <v>2459</v>
      </c>
      <c r="O316" s="22">
        <v>2213</v>
      </c>
      <c r="P316" s="22">
        <v>104</v>
      </c>
      <c r="Q316" s="119">
        <v>142</v>
      </c>
      <c r="R316" s="13">
        <v>298</v>
      </c>
      <c r="S316" s="13">
        <v>700</v>
      </c>
    </row>
    <row r="317" spans="1:19" x14ac:dyDescent="0.2">
      <c r="A317" s="128">
        <v>40851</v>
      </c>
      <c r="B317" s="13">
        <v>2148</v>
      </c>
      <c r="C317" s="13">
        <v>397</v>
      </c>
      <c r="D317" s="13">
        <v>397</v>
      </c>
      <c r="E317" s="13">
        <v>0</v>
      </c>
      <c r="F317" s="13">
        <v>1752</v>
      </c>
      <c r="G317" s="13">
        <v>821</v>
      </c>
      <c r="H317" s="13">
        <v>821</v>
      </c>
      <c r="I317" s="13">
        <v>0</v>
      </c>
      <c r="J317" s="13">
        <v>931</v>
      </c>
      <c r="K317" s="13">
        <v>690</v>
      </c>
      <c r="L317" s="13">
        <v>616</v>
      </c>
      <c r="M317" s="13">
        <v>74</v>
      </c>
      <c r="N317" s="119">
        <v>2449</v>
      </c>
      <c r="O317" s="22">
        <v>2212</v>
      </c>
      <c r="P317" s="22">
        <v>107</v>
      </c>
      <c r="Q317" s="119">
        <v>130</v>
      </c>
      <c r="R317" s="13">
        <v>289</v>
      </c>
      <c r="S317" s="13">
        <v>705</v>
      </c>
    </row>
    <row r="318" spans="1:19" x14ac:dyDescent="0.2">
      <c r="A318" s="128">
        <v>40858</v>
      </c>
      <c r="B318" s="13">
        <v>2130</v>
      </c>
      <c r="C318" s="13">
        <v>401</v>
      </c>
      <c r="D318" s="13">
        <v>401</v>
      </c>
      <c r="E318" s="13">
        <v>0</v>
      </c>
      <c r="F318" s="13">
        <v>1729</v>
      </c>
      <c r="G318" s="13">
        <v>828</v>
      </c>
      <c r="H318" s="13">
        <v>828</v>
      </c>
      <c r="I318" s="13">
        <v>0</v>
      </c>
      <c r="J318" s="13">
        <v>901</v>
      </c>
      <c r="K318" s="13">
        <v>684</v>
      </c>
      <c r="L318" s="13">
        <v>611</v>
      </c>
      <c r="M318" s="13">
        <v>73</v>
      </c>
      <c r="N318" s="119">
        <v>2492</v>
      </c>
      <c r="O318" s="22">
        <v>2242</v>
      </c>
      <c r="P318" s="22">
        <v>112</v>
      </c>
      <c r="Q318" s="119">
        <v>139</v>
      </c>
      <c r="R318" s="13">
        <v>292</v>
      </c>
      <c r="S318" s="13">
        <v>729</v>
      </c>
    </row>
    <row r="319" spans="1:19" x14ac:dyDescent="0.2">
      <c r="A319" s="128">
        <v>40865</v>
      </c>
      <c r="B319" s="13">
        <v>2127</v>
      </c>
      <c r="C319" s="13">
        <v>400</v>
      </c>
      <c r="D319" s="13">
        <v>400</v>
      </c>
      <c r="E319" s="13">
        <v>0</v>
      </c>
      <c r="F319" s="13">
        <v>1727</v>
      </c>
      <c r="G319" s="13">
        <v>826</v>
      </c>
      <c r="H319" s="13">
        <v>826</v>
      </c>
      <c r="I319" s="13">
        <v>0</v>
      </c>
      <c r="J319" s="13">
        <v>901</v>
      </c>
      <c r="K319" s="13">
        <v>691</v>
      </c>
      <c r="L319" s="13">
        <v>621</v>
      </c>
      <c r="M319" s="13">
        <v>70</v>
      </c>
      <c r="N319" s="119">
        <v>2533</v>
      </c>
      <c r="O319" s="22">
        <v>2266</v>
      </c>
      <c r="P319" s="22">
        <v>112</v>
      </c>
      <c r="Q319" s="119">
        <v>155</v>
      </c>
      <c r="R319" s="13">
        <v>270</v>
      </c>
      <c r="S319" s="13">
        <v>735</v>
      </c>
    </row>
    <row r="320" spans="1:19" x14ac:dyDescent="0.2">
      <c r="A320" s="128">
        <v>40872</v>
      </c>
      <c r="B320" s="13">
        <v>2153</v>
      </c>
      <c r="C320" s="13">
        <v>398</v>
      </c>
      <c r="D320" s="13">
        <v>398</v>
      </c>
      <c r="E320" s="13">
        <v>0</v>
      </c>
      <c r="F320" s="13">
        <v>1755</v>
      </c>
      <c r="G320" s="13">
        <v>822</v>
      </c>
      <c r="H320" s="13">
        <v>821</v>
      </c>
      <c r="I320" s="13">
        <v>0</v>
      </c>
      <c r="J320" s="13">
        <v>934</v>
      </c>
      <c r="K320" s="13">
        <v>683</v>
      </c>
      <c r="L320" s="13">
        <v>607</v>
      </c>
      <c r="M320" s="13">
        <v>75</v>
      </c>
      <c r="N320" s="119">
        <v>2527</v>
      </c>
      <c r="O320" s="22">
        <v>2261</v>
      </c>
      <c r="P320" s="22">
        <v>110</v>
      </c>
      <c r="Q320" s="119">
        <v>156</v>
      </c>
      <c r="R320" s="13">
        <v>255</v>
      </c>
      <c r="S320" s="13">
        <v>741</v>
      </c>
    </row>
    <row r="321" spans="1:19" x14ac:dyDescent="0.2">
      <c r="A321" s="128">
        <v>40879</v>
      </c>
      <c r="B321" s="13">
        <v>2165</v>
      </c>
      <c r="C321" s="13">
        <v>390</v>
      </c>
      <c r="D321" s="13">
        <v>390</v>
      </c>
      <c r="E321" s="13">
        <v>0</v>
      </c>
      <c r="F321" s="13">
        <v>1775</v>
      </c>
      <c r="G321" s="13">
        <v>824</v>
      </c>
      <c r="H321" s="13">
        <v>824</v>
      </c>
      <c r="I321" s="13">
        <v>0</v>
      </c>
      <c r="J321" s="13">
        <v>952</v>
      </c>
      <c r="K321" s="13">
        <v>695</v>
      </c>
      <c r="L321" s="13">
        <v>620</v>
      </c>
      <c r="M321" s="13">
        <v>75</v>
      </c>
      <c r="N321" s="119">
        <v>2612</v>
      </c>
      <c r="O321" s="22">
        <v>2297</v>
      </c>
      <c r="P321" s="22">
        <v>112</v>
      </c>
      <c r="Q321" s="119">
        <v>203</v>
      </c>
      <c r="R321" s="13">
        <v>261</v>
      </c>
      <c r="S321" s="13">
        <v>750</v>
      </c>
    </row>
    <row r="322" spans="1:19" x14ac:dyDescent="0.2">
      <c r="A322" s="128">
        <v>40886</v>
      </c>
      <c r="B322" s="13">
        <v>2216</v>
      </c>
      <c r="C322" s="13">
        <v>385</v>
      </c>
      <c r="D322" s="13">
        <v>385</v>
      </c>
      <c r="E322" s="13">
        <v>0</v>
      </c>
      <c r="F322" s="13">
        <v>1832</v>
      </c>
      <c r="G322" s="13">
        <v>826</v>
      </c>
      <c r="H322" s="13">
        <v>826</v>
      </c>
      <c r="I322" s="13">
        <v>0</v>
      </c>
      <c r="J322" s="13">
        <v>1005</v>
      </c>
      <c r="K322" s="13">
        <v>714</v>
      </c>
      <c r="L322" s="13">
        <v>633</v>
      </c>
      <c r="M322" s="13">
        <v>81</v>
      </c>
      <c r="N322" s="119">
        <v>2626</v>
      </c>
      <c r="O322" s="22">
        <v>2282</v>
      </c>
      <c r="P322" s="22">
        <v>113</v>
      </c>
      <c r="Q322" s="119">
        <v>232</v>
      </c>
      <c r="R322" s="13">
        <v>255</v>
      </c>
      <c r="S322" s="13">
        <v>743</v>
      </c>
    </row>
    <row r="323" spans="1:19" x14ac:dyDescent="0.2">
      <c r="A323" s="128">
        <v>40893</v>
      </c>
      <c r="B323" s="13">
        <v>2217</v>
      </c>
      <c r="C323" s="13">
        <v>383</v>
      </c>
      <c r="D323" s="13">
        <v>383</v>
      </c>
      <c r="E323" s="13">
        <v>0</v>
      </c>
      <c r="F323" s="13">
        <v>1834</v>
      </c>
      <c r="G323" s="13">
        <v>843</v>
      </c>
      <c r="H323" s="13">
        <v>842</v>
      </c>
      <c r="I323" s="13">
        <v>0</v>
      </c>
      <c r="J323" s="13">
        <v>992</v>
      </c>
      <c r="K323" s="13">
        <v>702</v>
      </c>
      <c r="L323" s="13">
        <v>629</v>
      </c>
      <c r="M323" s="13">
        <v>73</v>
      </c>
      <c r="N323" s="119">
        <v>2651</v>
      </c>
      <c r="O323" s="22">
        <v>2250</v>
      </c>
      <c r="P323" s="22">
        <v>113</v>
      </c>
      <c r="Q323" s="119">
        <v>288</v>
      </c>
      <c r="R323" s="13">
        <v>267</v>
      </c>
      <c r="S323" s="13">
        <v>752</v>
      </c>
    </row>
    <row r="324" spans="1:19" x14ac:dyDescent="0.2">
      <c r="A324" s="128">
        <v>40900</v>
      </c>
      <c r="B324" s="13">
        <v>2223</v>
      </c>
      <c r="C324" s="13">
        <v>386</v>
      </c>
      <c r="D324" s="13">
        <v>386</v>
      </c>
      <c r="E324" s="13">
        <v>0</v>
      </c>
      <c r="F324" s="13">
        <v>1836</v>
      </c>
      <c r="G324" s="13">
        <v>857</v>
      </c>
      <c r="H324" s="13">
        <v>857</v>
      </c>
      <c r="I324" s="13">
        <v>0</v>
      </c>
      <c r="J324" s="13">
        <v>979</v>
      </c>
      <c r="K324" s="13">
        <v>707</v>
      </c>
      <c r="L324" s="13">
        <v>641</v>
      </c>
      <c r="M324" s="13">
        <v>66</v>
      </c>
      <c r="N324" s="119">
        <v>2681</v>
      </c>
      <c r="O324" s="22">
        <v>2258</v>
      </c>
      <c r="P324" s="22">
        <v>105</v>
      </c>
      <c r="Q324" s="119">
        <v>319</v>
      </c>
      <c r="R324" s="13">
        <v>263</v>
      </c>
      <c r="S324" s="13">
        <v>755</v>
      </c>
    </row>
    <row r="325" spans="1:19" x14ac:dyDescent="0.2">
      <c r="A325" s="128">
        <v>40907</v>
      </c>
      <c r="B325" s="13">
        <v>2222</v>
      </c>
      <c r="C325" s="13">
        <v>377</v>
      </c>
      <c r="D325" s="13">
        <v>377</v>
      </c>
      <c r="E325" s="13">
        <v>0</v>
      </c>
      <c r="F325" s="13">
        <v>1845</v>
      </c>
      <c r="G325" s="13">
        <v>848</v>
      </c>
      <c r="H325" s="13">
        <v>848</v>
      </c>
      <c r="I325" s="13">
        <v>0</v>
      </c>
      <c r="J325" s="13">
        <v>997</v>
      </c>
      <c r="K325" s="13">
        <v>695</v>
      </c>
      <c r="L325" s="13">
        <v>621</v>
      </c>
      <c r="M325" s="13">
        <v>75</v>
      </c>
      <c r="N325" s="119">
        <v>2649</v>
      </c>
      <c r="O325" s="22">
        <v>2242</v>
      </c>
      <c r="P325" s="22">
        <v>93</v>
      </c>
      <c r="Q325" s="119">
        <v>314</v>
      </c>
      <c r="R325" s="13">
        <v>253</v>
      </c>
      <c r="S325" s="13">
        <v>750</v>
      </c>
    </row>
    <row r="326" spans="1:19" x14ac:dyDescent="0.2">
      <c r="A326" s="128">
        <v>40914</v>
      </c>
      <c r="B326" s="13">
        <v>2200</v>
      </c>
      <c r="C326" s="13">
        <v>370</v>
      </c>
      <c r="D326" s="13">
        <v>370</v>
      </c>
      <c r="E326" s="13">
        <v>0</v>
      </c>
      <c r="F326" s="13">
        <v>1830</v>
      </c>
      <c r="G326" s="13">
        <v>837</v>
      </c>
      <c r="H326" s="13">
        <v>837</v>
      </c>
      <c r="I326" s="13">
        <v>0</v>
      </c>
      <c r="J326" s="13">
        <v>992</v>
      </c>
      <c r="K326" s="13">
        <v>676</v>
      </c>
      <c r="L326" s="13">
        <v>605</v>
      </c>
      <c r="M326" s="13">
        <v>71</v>
      </c>
      <c r="N326" s="119">
        <v>2604</v>
      </c>
      <c r="O326" s="22">
        <v>2254</v>
      </c>
      <c r="P326" s="22">
        <v>81</v>
      </c>
      <c r="Q326" s="119">
        <v>268</v>
      </c>
      <c r="R326" s="13">
        <v>251</v>
      </c>
      <c r="S326" s="13">
        <v>761</v>
      </c>
    </row>
    <row r="327" spans="1:19" x14ac:dyDescent="0.2">
      <c r="A327" s="128">
        <v>40921</v>
      </c>
      <c r="B327" s="13">
        <v>2187</v>
      </c>
      <c r="C327" s="13">
        <v>362</v>
      </c>
      <c r="D327" s="13">
        <v>362</v>
      </c>
      <c r="E327" s="13">
        <v>0</v>
      </c>
      <c r="F327" s="13">
        <v>1825</v>
      </c>
      <c r="G327" s="13">
        <v>813</v>
      </c>
      <c r="H327" s="13">
        <v>813</v>
      </c>
      <c r="I327" s="13">
        <v>0</v>
      </c>
      <c r="J327" s="13">
        <v>1012</v>
      </c>
      <c r="K327" s="13">
        <v>678</v>
      </c>
      <c r="L327" s="13">
        <v>603</v>
      </c>
      <c r="M327" s="13">
        <v>75</v>
      </c>
      <c r="N327" s="119">
        <v>2524</v>
      </c>
      <c r="O327" s="22">
        <v>2232</v>
      </c>
      <c r="P327" s="22">
        <v>73</v>
      </c>
      <c r="Q327" s="119">
        <v>218</v>
      </c>
      <c r="R327" s="13">
        <v>248</v>
      </c>
      <c r="S327" s="13">
        <v>750</v>
      </c>
    </row>
    <row r="328" spans="1:19" x14ac:dyDescent="0.2">
      <c r="A328" s="128">
        <v>40928</v>
      </c>
      <c r="B328" s="13">
        <v>2113</v>
      </c>
      <c r="C328" s="13">
        <v>357</v>
      </c>
      <c r="D328" s="13">
        <v>355</v>
      </c>
      <c r="E328" s="13">
        <v>2</v>
      </c>
      <c r="F328" s="13">
        <v>1756</v>
      </c>
      <c r="G328" s="13">
        <v>793</v>
      </c>
      <c r="H328" s="13">
        <v>793</v>
      </c>
      <c r="I328" s="13">
        <v>0</v>
      </c>
      <c r="J328" s="13">
        <v>964</v>
      </c>
      <c r="K328" s="13">
        <v>685</v>
      </c>
      <c r="L328" s="13">
        <v>610</v>
      </c>
      <c r="M328" s="13">
        <v>74</v>
      </c>
      <c r="N328" s="119">
        <v>2455</v>
      </c>
      <c r="O328" s="22">
        <v>2178</v>
      </c>
      <c r="P328" s="22">
        <v>67</v>
      </c>
      <c r="Q328" s="119">
        <v>209</v>
      </c>
      <c r="R328" s="13">
        <v>251</v>
      </c>
      <c r="S328" s="13">
        <v>743</v>
      </c>
    </row>
    <row r="329" spans="1:19" x14ac:dyDescent="0.2">
      <c r="A329" s="128">
        <v>40935</v>
      </c>
      <c r="B329" s="13">
        <v>2052</v>
      </c>
      <c r="C329" s="13">
        <v>367</v>
      </c>
      <c r="D329" s="13">
        <v>366</v>
      </c>
      <c r="E329" s="13">
        <v>2</v>
      </c>
      <c r="F329" s="13">
        <v>1684</v>
      </c>
      <c r="G329" s="13">
        <v>789</v>
      </c>
      <c r="H329" s="13">
        <v>789</v>
      </c>
      <c r="I329" s="13">
        <v>0</v>
      </c>
      <c r="J329" s="13">
        <v>895</v>
      </c>
      <c r="K329" s="13">
        <v>683</v>
      </c>
      <c r="L329" s="13">
        <v>618</v>
      </c>
      <c r="M329" s="13">
        <v>65</v>
      </c>
      <c r="N329" s="119">
        <v>2423</v>
      </c>
      <c r="O329" s="22">
        <v>2146</v>
      </c>
      <c r="P329" s="22">
        <v>71</v>
      </c>
      <c r="Q329" s="119">
        <v>206</v>
      </c>
      <c r="R329" s="13">
        <v>250</v>
      </c>
      <c r="S329" s="13">
        <v>722</v>
      </c>
    </row>
    <row r="330" spans="1:19" x14ac:dyDescent="0.2">
      <c r="A330" s="128">
        <v>40942</v>
      </c>
      <c r="B330" s="13">
        <v>1966</v>
      </c>
      <c r="C330" s="13">
        <v>370</v>
      </c>
      <c r="D330" s="13">
        <v>368</v>
      </c>
      <c r="E330" s="13">
        <v>2</v>
      </c>
      <c r="F330" s="13">
        <v>1596</v>
      </c>
      <c r="G330" s="13">
        <v>790</v>
      </c>
      <c r="H330" s="13">
        <v>790</v>
      </c>
      <c r="I330" s="13">
        <v>0</v>
      </c>
      <c r="J330" s="13">
        <v>806</v>
      </c>
      <c r="K330" s="13">
        <v>687</v>
      </c>
      <c r="L330" s="13">
        <v>626</v>
      </c>
      <c r="M330" s="13">
        <v>61</v>
      </c>
      <c r="N330" s="119">
        <v>2395</v>
      </c>
      <c r="O330" s="22">
        <v>2080</v>
      </c>
      <c r="P330" s="22">
        <v>76</v>
      </c>
      <c r="Q330" s="119">
        <v>239</v>
      </c>
      <c r="R330" s="13">
        <v>257</v>
      </c>
      <c r="S330" s="13">
        <v>712</v>
      </c>
    </row>
    <row r="331" spans="1:19" x14ac:dyDescent="0.2">
      <c r="A331" s="128">
        <v>40949</v>
      </c>
      <c r="B331" s="13">
        <v>1912</v>
      </c>
      <c r="C331" s="13">
        <v>377</v>
      </c>
      <c r="D331" s="13">
        <v>372</v>
      </c>
      <c r="E331" s="13">
        <v>5</v>
      </c>
      <c r="F331" s="13">
        <v>1534</v>
      </c>
      <c r="G331" s="13">
        <v>804</v>
      </c>
      <c r="H331" s="13">
        <v>803</v>
      </c>
      <c r="I331" s="13">
        <v>0</v>
      </c>
      <c r="J331" s="13">
        <v>731</v>
      </c>
      <c r="K331" s="13">
        <v>679</v>
      </c>
      <c r="L331" s="13">
        <v>622</v>
      </c>
      <c r="M331" s="13">
        <v>57</v>
      </c>
      <c r="N331" s="119">
        <v>2403</v>
      </c>
      <c r="O331" s="22">
        <v>2055</v>
      </c>
      <c r="P331" s="22">
        <v>91</v>
      </c>
      <c r="Q331" s="119">
        <v>257</v>
      </c>
      <c r="R331" s="13">
        <v>272</v>
      </c>
      <c r="S331" s="13">
        <v>714</v>
      </c>
    </row>
    <row r="332" spans="1:19" x14ac:dyDescent="0.2">
      <c r="A332" s="128">
        <v>40956</v>
      </c>
      <c r="B332" s="13">
        <v>1892</v>
      </c>
      <c r="C332" s="13">
        <v>378</v>
      </c>
      <c r="D332" s="13">
        <v>374</v>
      </c>
      <c r="E332" s="13">
        <v>4</v>
      </c>
      <c r="F332" s="13">
        <v>1515</v>
      </c>
      <c r="G332" s="13">
        <v>821</v>
      </c>
      <c r="H332" s="13">
        <v>821</v>
      </c>
      <c r="I332" s="13">
        <v>0</v>
      </c>
      <c r="J332" s="13">
        <v>693</v>
      </c>
      <c r="K332" s="13">
        <v>681</v>
      </c>
      <c r="L332" s="13">
        <v>631</v>
      </c>
      <c r="M332" s="13">
        <v>50</v>
      </c>
      <c r="N332" s="119">
        <v>2379</v>
      </c>
      <c r="O332" s="22">
        <v>2030</v>
      </c>
      <c r="P332" s="22">
        <v>105</v>
      </c>
      <c r="Q332" s="119">
        <v>244</v>
      </c>
      <c r="R332" s="13">
        <v>281</v>
      </c>
      <c r="S332" s="13">
        <v>713</v>
      </c>
    </row>
    <row r="333" spans="1:19" x14ac:dyDescent="0.2">
      <c r="A333" s="128">
        <v>40963</v>
      </c>
      <c r="B333" s="13">
        <v>1896</v>
      </c>
      <c r="C333" s="13">
        <v>380</v>
      </c>
      <c r="D333" s="13">
        <v>377</v>
      </c>
      <c r="E333" s="13">
        <v>4</v>
      </c>
      <c r="F333" s="13">
        <v>1516</v>
      </c>
      <c r="G333" s="13">
        <v>840</v>
      </c>
      <c r="H333" s="13">
        <v>840</v>
      </c>
      <c r="I333" s="13">
        <v>0</v>
      </c>
      <c r="J333" s="13">
        <v>676</v>
      </c>
      <c r="K333" s="13">
        <v>696</v>
      </c>
      <c r="L333" s="13">
        <v>642</v>
      </c>
      <c r="M333" s="13">
        <v>54</v>
      </c>
      <c r="N333" s="119">
        <v>2342</v>
      </c>
      <c r="O333" s="22">
        <v>1991</v>
      </c>
      <c r="P333" s="22">
        <v>118</v>
      </c>
      <c r="Q333" s="119">
        <v>234</v>
      </c>
      <c r="R333" s="13">
        <v>296</v>
      </c>
      <c r="S333" s="13">
        <v>722</v>
      </c>
    </row>
    <row r="334" spans="1:19" x14ac:dyDescent="0.2">
      <c r="A334" s="128">
        <v>40970</v>
      </c>
      <c r="B334" s="13">
        <v>1928</v>
      </c>
      <c r="C334" s="13">
        <v>389</v>
      </c>
      <c r="D334" s="13">
        <v>385</v>
      </c>
      <c r="E334" s="13">
        <v>4</v>
      </c>
      <c r="F334" s="13">
        <v>1539</v>
      </c>
      <c r="G334" s="13">
        <v>850</v>
      </c>
      <c r="H334" s="13">
        <v>849</v>
      </c>
      <c r="I334" s="13">
        <v>0</v>
      </c>
      <c r="J334" s="13">
        <v>690</v>
      </c>
      <c r="K334" s="13">
        <v>693</v>
      </c>
      <c r="L334" s="13">
        <v>638</v>
      </c>
      <c r="M334" s="13">
        <v>55</v>
      </c>
      <c r="N334" s="119">
        <v>2314</v>
      </c>
      <c r="O334" s="22">
        <v>1966</v>
      </c>
      <c r="P334" s="22">
        <v>128</v>
      </c>
      <c r="Q334" s="119">
        <v>220</v>
      </c>
      <c r="R334" s="13">
        <v>316</v>
      </c>
      <c r="S334" s="13">
        <v>724</v>
      </c>
    </row>
    <row r="335" spans="1:19" x14ac:dyDescent="0.2">
      <c r="A335" s="128">
        <v>40977</v>
      </c>
      <c r="B335" s="13">
        <v>1942</v>
      </c>
      <c r="C335" s="13">
        <v>392</v>
      </c>
      <c r="D335" s="13">
        <v>392</v>
      </c>
      <c r="E335" s="13">
        <v>0</v>
      </c>
      <c r="F335" s="13">
        <v>1550</v>
      </c>
      <c r="G335" s="13">
        <v>858</v>
      </c>
      <c r="H335" s="13">
        <v>858</v>
      </c>
      <c r="I335" s="13">
        <v>0</v>
      </c>
      <c r="J335" s="13">
        <v>692</v>
      </c>
      <c r="K335" s="13">
        <v>697</v>
      </c>
      <c r="L335" s="13">
        <v>637</v>
      </c>
      <c r="M335" s="13">
        <v>60</v>
      </c>
      <c r="N335" s="119">
        <v>2262</v>
      </c>
      <c r="O335" s="22">
        <v>1938</v>
      </c>
      <c r="P335" s="22">
        <v>134</v>
      </c>
      <c r="Q335" s="119">
        <v>190</v>
      </c>
      <c r="R335" s="13">
        <v>314</v>
      </c>
      <c r="S335" s="13">
        <v>729</v>
      </c>
    </row>
    <row r="336" spans="1:19" x14ac:dyDescent="0.2">
      <c r="A336" s="128">
        <v>40984</v>
      </c>
      <c r="B336" s="13">
        <v>1969</v>
      </c>
      <c r="C336" s="13">
        <v>390</v>
      </c>
      <c r="D336" s="13">
        <v>390</v>
      </c>
      <c r="E336" s="13">
        <v>0</v>
      </c>
      <c r="F336" s="13">
        <v>1580</v>
      </c>
      <c r="G336" s="13">
        <v>859</v>
      </c>
      <c r="H336" s="13">
        <v>859</v>
      </c>
      <c r="I336" s="13">
        <v>0</v>
      </c>
      <c r="J336" s="13">
        <v>721</v>
      </c>
      <c r="K336" s="13">
        <v>695</v>
      </c>
      <c r="L336" s="13">
        <v>627</v>
      </c>
      <c r="M336" s="13">
        <v>68</v>
      </c>
      <c r="N336" s="119">
        <v>2258</v>
      </c>
      <c r="O336" s="22">
        <v>1935</v>
      </c>
      <c r="P336" s="22">
        <v>125</v>
      </c>
      <c r="Q336" s="119">
        <v>198</v>
      </c>
      <c r="R336" s="13">
        <v>314</v>
      </c>
      <c r="S336" s="13">
        <v>731</v>
      </c>
    </row>
    <row r="337" spans="1:19" x14ac:dyDescent="0.2">
      <c r="A337" s="128">
        <v>40991</v>
      </c>
      <c r="B337" s="13">
        <v>1976</v>
      </c>
      <c r="C337" s="13">
        <v>387</v>
      </c>
      <c r="D337" s="13">
        <v>387</v>
      </c>
      <c r="E337" s="13">
        <v>0</v>
      </c>
      <c r="F337" s="13">
        <v>1589</v>
      </c>
      <c r="G337" s="13">
        <v>863</v>
      </c>
      <c r="H337" s="13">
        <v>863</v>
      </c>
      <c r="I337" s="13">
        <v>0</v>
      </c>
      <c r="J337" s="13">
        <v>726</v>
      </c>
      <c r="K337" s="13">
        <v>701</v>
      </c>
      <c r="L337" s="13">
        <v>625</v>
      </c>
      <c r="M337" s="13">
        <v>76</v>
      </c>
      <c r="N337" s="119">
        <v>2264</v>
      </c>
      <c r="O337" s="22">
        <v>1943</v>
      </c>
      <c r="P337" s="22">
        <v>109</v>
      </c>
      <c r="Q337" s="119">
        <v>212</v>
      </c>
      <c r="R337" s="13">
        <v>308</v>
      </c>
      <c r="S337" s="13">
        <v>743</v>
      </c>
    </row>
    <row r="338" spans="1:19" x14ac:dyDescent="0.2">
      <c r="A338" s="128">
        <v>40998</v>
      </c>
      <c r="B338" s="13">
        <v>1998</v>
      </c>
      <c r="C338" s="13">
        <v>386</v>
      </c>
      <c r="D338" s="13">
        <v>386</v>
      </c>
      <c r="E338" s="13">
        <v>0</v>
      </c>
      <c r="F338" s="13">
        <v>1612</v>
      </c>
      <c r="G338" s="13">
        <v>870</v>
      </c>
      <c r="H338" s="13">
        <v>870</v>
      </c>
      <c r="I338" s="13">
        <v>0</v>
      </c>
      <c r="J338" s="13">
        <v>743</v>
      </c>
      <c r="K338" s="13">
        <v>713</v>
      </c>
      <c r="L338" s="13">
        <v>624</v>
      </c>
      <c r="M338" s="13">
        <v>88</v>
      </c>
      <c r="N338" s="119">
        <v>2309</v>
      </c>
      <c r="O338" s="22">
        <v>1989</v>
      </c>
      <c r="P338" s="22">
        <v>95</v>
      </c>
      <c r="Q338" s="119">
        <v>226</v>
      </c>
      <c r="R338" s="13">
        <v>321</v>
      </c>
      <c r="S338" s="13">
        <v>740</v>
      </c>
    </row>
    <row r="339" spans="1:19" x14ac:dyDescent="0.2">
      <c r="A339" s="128">
        <v>41005</v>
      </c>
      <c r="B339" s="13">
        <v>2018</v>
      </c>
      <c r="C339" s="13">
        <v>389</v>
      </c>
      <c r="D339" s="13">
        <v>385</v>
      </c>
      <c r="E339" s="13">
        <v>4</v>
      </c>
      <c r="F339" s="13">
        <v>1629</v>
      </c>
      <c r="G339" s="13">
        <v>877</v>
      </c>
      <c r="H339" s="13">
        <v>876</v>
      </c>
      <c r="I339" s="13">
        <v>0</v>
      </c>
      <c r="J339" s="13">
        <v>752</v>
      </c>
      <c r="K339" s="13">
        <v>715</v>
      </c>
      <c r="L339" s="13">
        <v>624</v>
      </c>
      <c r="M339" s="13">
        <v>91</v>
      </c>
      <c r="N339" s="119">
        <v>2325</v>
      </c>
      <c r="O339" s="22">
        <v>2003</v>
      </c>
      <c r="P339" s="22">
        <v>83</v>
      </c>
      <c r="Q339" s="119">
        <v>239</v>
      </c>
      <c r="R339" s="13">
        <v>328</v>
      </c>
      <c r="S339" s="13">
        <v>739</v>
      </c>
    </row>
    <row r="340" spans="1:19" x14ac:dyDescent="0.2">
      <c r="A340" s="128">
        <v>41012</v>
      </c>
      <c r="B340" s="13">
        <v>1986</v>
      </c>
      <c r="C340" s="13">
        <v>397</v>
      </c>
      <c r="D340" s="13">
        <v>388</v>
      </c>
      <c r="E340" s="13">
        <v>8</v>
      </c>
      <c r="F340" s="13">
        <v>1589</v>
      </c>
      <c r="G340" s="13">
        <v>885</v>
      </c>
      <c r="H340" s="13">
        <v>885</v>
      </c>
      <c r="I340" s="13">
        <v>0</v>
      </c>
      <c r="J340" s="13">
        <v>704</v>
      </c>
      <c r="K340" s="13">
        <v>721</v>
      </c>
      <c r="L340" s="13">
        <v>623</v>
      </c>
      <c r="M340" s="13">
        <v>98</v>
      </c>
      <c r="N340" s="119">
        <v>2358</v>
      </c>
      <c r="O340" s="22">
        <v>2027</v>
      </c>
      <c r="P340" s="22">
        <v>90</v>
      </c>
      <c r="Q340" s="119">
        <v>241</v>
      </c>
      <c r="R340" s="13">
        <v>343</v>
      </c>
      <c r="S340" s="13">
        <v>752</v>
      </c>
    </row>
    <row r="341" spans="1:19" x14ac:dyDescent="0.2">
      <c r="A341" s="128">
        <v>41019</v>
      </c>
      <c r="B341" s="13">
        <v>1980</v>
      </c>
      <c r="C341" s="13">
        <v>401</v>
      </c>
      <c r="D341" s="13">
        <v>389</v>
      </c>
      <c r="E341" s="13">
        <v>12</v>
      </c>
      <c r="F341" s="13">
        <v>1579</v>
      </c>
      <c r="G341" s="13">
        <v>880</v>
      </c>
      <c r="H341" s="13">
        <v>880</v>
      </c>
      <c r="I341" s="13">
        <v>0</v>
      </c>
      <c r="J341" s="13">
        <v>699</v>
      </c>
      <c r="K341" s="13">
        <v>712</v>
      </c>
      <c r="L341" s="13">
        <v>621</v>
      </c>
      <c r="M341" s="13">
        <v>90</v>
      </c>
      <c r="N341" s="119">
        <v>2334</v>
      </c>
      <c r="O341" s="22">
        <v>2023</v>
      </c>
      <c r="P341" s="22">
        <v>98</v>
      </c>
      <c r="Q341" s="119">
        <v>213</v>
      </c>
      <c r="R341" s="13">
        <v>351</v>
      </c>
      <c r="S341" s="13">
        <v>757</v>
      </c>
    </row>
    <row r="342" spans="1:19" x14ac:dyDescent="0.2">
      <c r="A342" s="128">
        <v>41026</v>
      </c>
      <c r="B342" s="13">
        <v>1918</v>
      </c>
      <c r="C342" s="13">
        <v>404</v>
      </c>
      <c r="D342" s="13">
        <v>385</v>
      </c>
      <c r="E342" s="13">
        <v>18</v>
      </c>
      <c r="F342" s="13">
        <v>1515</v>
      </c>
      <c r="G342" s="13">
        <v>877</v>
      </c>
      <c r="H342" s="13">
        <v>877</v>
      </c>
      <c r="I342" s="13">
        <v>0</v>
      </c>
      <c r="J342" s="13">
        <v>637</v>
      </c>
      <c r="K342" s="13">
        <v>712</v>
      </c>
      <c r="L342" s="13">
        <v>623</v>
      </c>
      <c r="M342" s="13">
        <v>89</v>
      </c>
      <c r="N342" s="119">
        <v>2288</v>
      </c>
      <c r="O342" s="22">
        <v>1991</v>
      </c>
      <c r="P342" s="22">
        <v>103</v>
      </c>
      <c r="Q342" s="119">
        <v>194</v>
      </c>
      <c r="R342" s="13">
        <v>320</v>
      </c>
      <c r="S342" s="13">
        <v>772</v>
      </c>
    </row>
    <row r="343" spans="1:19" x14ac:dyDescent="0.2">
      <c r="A343" s="128">
        <v>41033</v>
      </c>
      <c r="B343" s="13">
        <v>1911</v>
      </c>
      <c r="C343" s="13">
        <v>398</v>
      </c>
      <c r="D343" s="13">
        <v>381</v>
      </c>
      <c r="E343" s="13">
        <v>17</v>
      </c>
      <c r="F343" s="13">
        <v>1514</v>
      </c>
      <c r="G343" s="13">
        <v>874</v>
      </c>
      <c r="H343" s="13">
        <v>873</v>
      </c>
      <c r="I343" s="13">
        <v>0</v>
      </c>
      <c r="J343" s="13">
        <v>640</v>
      </c>
      <c r="K343" s="13">
        <v>723</v>
      </c>
      <c r="L343" s="13">
        <v>636</v>
      </c>
      <c r="M343" s="13">
        <v>87</v>
      </c>
      <c r="N343" s="119">
        <v>2343</v>
      </c>
      <c r="O343" s="22">
        <v>2041</v>
      </c>
      <c r="P343" s="22">
        <v>102</v>
      </c>
      <c r="Q343" s="119">
        <v>200</v>
      </c>
      <c r="R343" s="13">
        <v>316</v>
      </c>
      <c r="S343" s="13">
        <v>778</v>
      </c>
    </row>
    <row r="344" spans="1:19" x14ac:dyDescent="0.2">
      <c r="A344" s="128">
        <v>41040</v>
      </c>
      <c r="B344" s="13">
        <v>1923</v>
      </c>
      <c r="C344" s="13">
        <v>402</v>
      </c>
      <c r="D344" s="13">
        <v>386</v>
      </c>
      <c r="E344" s="13">
        <v>16</v>
      </c>
      <c r="F344" s="13">
        <v>1522</v>
      </c>
      <c r="G344" s="13">
        <v>870</v>
      </c>
      <c r="H344" s="13">
        <v>870</v>
      </c>
      <c r="I344" s="13">
        <v>0</v>
      </c>
      <c r="J344" s="13">
        <v>652</v>
      </c>
      <c r="K344" s="13">
        <v>718</v>
      </c>
      <c r="L344" s="13">
        <v>642</v>
      </c>
      <c r="M344" s="13">
        <v>76</v>
      </c>
      <c r="N344" s="119">
        <v>2382</v>
      </c>
      <c r="O344" s="22">
        <v>2083</v>
      </c>
      <c r="P344" s="22">
        <v>96</v>
      </c>
      <c r="Q344" s="119">
        <v>203</v>
      </c>
      <c r="R344" s="13">
        <v>300</v>
      </c>
      <c r="S344" s="13">
        <v>760</v>
      </c>
    </row>
    <row r="345" spans="1:19" x14ac:dyDescent="0.2">
      <c r="A345" s="128">
        <v>41047</v>
      </c>
      <c r="B345" s="13">
        <v>1895</v>
      </c>
      <c r="C345" s="13">
        <v>408</v>
      </c>
      <c r="D345" s="13">
        <v>392</v>
      </c>
      <c r="E345" s="13">
        <v>16</v>
      </c>
      <c r="F345" s="13">
        <v>1487</v>
      </c>
      <c r="G345" s="13">
        <v>877</v>
      </c>
      <c r="H345" s="13">
        <v>876</v>
      </c>
      <c r="I345" s="13">
        <v>0</v>
      </c>
      <c r="J345" s="13">
        <v>610</v>
      </c>
      <c r="K345" s="13">
        <v>740</v>
      </c>
      <c r="L345" s="13">
        <v>661</v>
      </c>
      <c r="M345" s="13">
        <v>78</v>
      </c>
      <c r="N345" s="119">
        <v>2469</v>
      </c>
      <c r="O345" s="22">
        <v>2142</v>
      </c>
      <c r="P345" s="22">
        <v>96</v>
      </c>
      <c r="Q345" s="119">
        <v>231</v>
      </c>
      <c r="R345" s="13">
        <v>291</v>
      </c>
      <c r="S345" s="13">
        <v>747</v>
      </c>
    </row>
    <row r="346" spans="1:19" x14ac:dyDescent="0.2">
      <c r="A346" s="128">
        <v>41054</v>
      </c>
      <c r="B346" s="13">
        <v>1943</v>
      </c>
      <c r="C346" s="13">
        <v>413</v>
      </c>
      <c r="D346" s="13">
        <v>401</v>
      </c>
      <c r="E346" s="13">
        <v>13</v>
      </c>
      <c r="F346" s="13">
        <v>1529</v>
      </c>
      <c r="G346" s="13">
        <v>883</v>
      </c>
      <c r="H346" s="13">
        <v>882</v>
      </c>
      <c r="I346" s="13">
        <v>0</v>
      </c>
      <c r="J346" s="13">
        <v>646</v>
      </c>
      <c r="K346" s="13">
        <v>750</v>
      </c>
      <c r="L346" s="13">
        <v>670</v>
      </c>
      <c r="M346" s="13">
        <v>80</v>
      </c>
      <c r="N346" s="119">
        <v>2557</v>
      </c>
      <c r="O346" s="22">
        <v>2224</v>
      </c>
      <c r="P346" s="22">
        <v>98</v>
      </c>
      <c r="Q346" s="119">
        <v>235</v>
      </c>
      <c r="R346" s="13">
        <v>300</v>
      </c>
      <c r="S346" s="13">
        <v>729</v>
      </c>
    </row>
    <row r="347" spans="1:19" x14ac:dyDescent="0.2">
      <c r="A347" s="128">
        <v>41061</v>
      </c>
      <c r="B347" s="13">
        <v>1936</v>
      </c>
      <c r="C347" s="13">
        <v>418</v>
      </c>
      <c r="D347" s="13">
        <v>403</v>
      </c>
      <c r="E347" s="13">
        <v>15</v>
      </c>
      <c r="F347" s="13">
        <v>1518</v>
      </c>
      <c r="G347" s="13">
        <v>881</v>
      </c>
      <c r="H347" s="13">
        <v>881</v>
      </c>
      <c r="I347" s="13">
        <v>0</v>
      </c>
      <c r="J347" s="13">
        <v>637</v>
      </c>
      <c r="K347" s="13">
        <v>788</v>
      </c>
      <c r="L347" s="13">
        <v>710</v>
      </c>
      <c r="M347" s="13">
        <v>78</v>
      </c>
      <c r="N347" s="119">
        <v>2590</v>
      </c>
      <c r="O347" s="22">
        <v>2254</v>
      </c>
      <c r="P347" s="22">
        <v>102</v>
      </c>
      <c r="Q347" s="119">
        <v>235</v>
      </c>
      <c r="R347" s="13">
        <v>300</v>
      </c>
      <c r="S347" s="13">
        <v>730</v>
      </c>
    </row>
    <row r="348" spans="1:19" x14ac:dyDescent="0.2">
      <c r="A348" s="128">
        <v>41068</v>
      </c>
      <c r="B348" s="13">
        <v>1971</v>
      </c>
      <c r="C348" s="13">
        <v>419</v>
      </c>
      <c r="D348" s="13">
        <v>404</v>
      </c>
      <c r="E348" s="13">
        <v>15</v>
      </c>
      <c r="F348" s="13">
        <v>1552</v>
      </c>
      <c r="G348" s="13">
        <v>886</v>
      </c>
      <c r="H348" s="13">
        <v>886</v>
      </c>
      <c r="I348" s="13">
        <v>0</v>
      </c>
      <c r="J348" s="13">
        <v>666</v>
      </c>
      <c r="K348" s="13">
        <v>808</v>
      </c>
      <c r="L348" s="13">
        <v>720</v>
      </c>
      <c r="M348" s="13">
        <v>87</v>
      </c>
      <c r="N348" s="119">
        <v>2623</v>
      </c>
      <c r="O348" s="22">
        <v>2294</v>
      </c>
      <c r="P348" s="22">
        <v>93</v>
      </c>
      <c r="Q348" s="119">
        <v>236</v>
      </c>
      <c r="R348" s="13">
        <v>302</v>
      </c>
      <c r="S348" s="13">
        <v>749</v>
      </c>
    </row>
    <row r="349" spans="1:19" x14ac:dyDescent="0.2">
      <c r="A349" s="128">
        <v>41075</v>
      </c>
      <c r="B349" s="13">
        <v>1994</v>
      </c>
      <c r="C349" s="13">
        <v>420</v>
      </c>
      <c r="D349" s="13">
        <v>403</v>
      </c>
      <c r="E349" s="13">
        <v>17</v>
      </c>
      <c r="F349" s="13">
        <v>1574</v>
      </c>
      <c r="G349" s="13">
        <v>885</v>
      </c>
      <c r="H349" s="13">
        <v>884</v>
      </c>
      <c r="I349" s="13">
        <v>0</v>
      </c>
      <c r="J349" s="13">
        <v>690</v>
      </c>
      <c r="K349" s="13">
        <v>822</v>
      </c>
      <c r="L349" s="13">
        <v>743</v>
      </c>
      <c r="M349" s="13">
        <v>79</v>
      </c>
      <c r="N349" s="119">
        <v>2629</v>
      </c>
      <c r="O349" s="22">
        <v>2288</v>
      </c>
      <c r="P349" s="22">
        <v>78</v>
      </c>
      <c r="Q349" s="119">
        <v>262</v>
      </c>
      <c r="R349" s="13">
        <v>301</v>
      </c>
      <c r="S349" s="13">
        <v>765</v>
      </c>
    </row>
    <row r="350" spans="1:19" x14ac:dyDescent="0.2">
      <c r="A350" s="128">
        <v>41082</v>
      </c>
      <c r="B350" s="13">
        <v>1996</v>
      </c>
      <c r="C350" s="13">
        <v>416</v>
      </c>
      <c r="D350" s="13">
        <v>397</v>
      </c>
      <c r="E350" s="13">
        <v>19</v>
      </c>
      <c r="F350" s="13">
        <v>1580</v>
      </c>
      <c r="G350" s="13">
        <v>888</v>
      </c>
      <c r="H350" s="13">
        <v>888</v>
      </c>
      <c r="I350" s="13">
        <v>0</v>
      </c>
      <c r="J350" s="13">
        <v>692</v>
      </c>
      <c r="K350" s="13">
        <v>820</v>
      </c>
      <c r="L350" s="13">
        <v>753</v>
      </c>
      <c r="M350" s="13">
        <v>67</v>
      </c>
      <c r="N350" s="119">
        <v>2583</v>
      </c>
      <c r="O350" s="22">
        <v>2231</v>
      </c>
      <c r="P350" s="22">
        <v>68</v>
      </c>
      <c r="Q350" s="119">
        <v>284</v>
      </c>
      <c r="R350" s="13">
        <v>295</v>
      </c>
      <c r="S350" s="13">
        <v>778</v>
      </c>
    </row>
    <row r="351" spans="1:19" x14ac:dyDescent="0.2">
      <c r="A351" s="128">
        <v>41089</v>
      </c>
      <c r="B351" s="13">
        <v>1977</v>
      </c>
      <c r="C351" s="13">
        <v>417</v>
      </c>
      <c r="D351" s="13">
        <v>399</v>
      </c>
      <c r="E351" s="13">
        <v>18</v>
      </c>
      <c r="F351" s="13">
        <v>1560</v>
      </c>
      <c r="G351" s="13">
        <v>897</v>
      </c>
      <c r="H351" s="13">
        <v>896</v>
      </c>
      <c r="I351" s="13">
        <v>0</v>
      </c>
      <c r="J351" s="13">
        <v>664</v>
      </c>
      <c r="K351" s="13">
        <v>793</v>
      </c>
      <c r="L351" s="13">
        <v>731</v>
      </c>
      <c r="M351" s="13">
        <v>62</v>
      </c>
      <c r="N351" s="119">
        <v>2579</v>
      </c>
      <c r="O351" s="22">
        <v>2223</v>
      </c>
      <c r="P351" s="22">
        <v>62</v>
      </c>
      <c r="Q351" s="119">
        <v>295</v>
      </c>
      <c r="R351" s="13">
        <v>313</v>
      </c>
      <c r="S351" s="13">
        <v>782</v>
      </c>
    </row>
    <row r="352" spans="1:19" x14ac:dyDescent="0.2">
      <c r="A352" s="128">
        <v>41096</v>
      </c>
      <c r="B352" s="13">
        <v>1974</v>
      </c>
      <c r="C352" s="13">
        <v>413</v>
      </c>
      <c r="D352" s="13">
        <v>395</v>
      </c>
      <c r="E352" s="13">
        <v>17</v>
      </c>
      <c r="F352" s="13">
        <v>1561</v>
      </c>
      <c r="G352" s="13">
        <v>894</v>
      </c>
      <c r="H352" s="13">
        <v>894</v>
      </c>
      <c r="I352" s="13">
        <v>0</v>
      </c>
      <c r="J352" s="13">
        <v>667</v>
      </c>
      <c r="K352" s="13">
        <v>801</v>
      </c>
      <c r="L352" s="13">
        <v>741</v>
      </c>
      <c r="M352" s="13">
        <v>61</v>
      </c>
      <c r="N352" s="119">
        <v>2566</v>
      </c>
      <c r="O352" s="22">
        <v>2199</v>
      </c>
      <c r="P352" s="22">
        <v>77</v>
      </c>
      <c r="Q352" s="119">
        <v>290</v>
      </c>
      <c r="R352" s="13">
        <v>308</v>
      </c>
      <c r="S352" s="13">
        <v>789</v>
      </c>
    </row>
    <row r="353" spans="1:19" x14ac:dyDescent="0.2">
      <c r="A353" s="128">
        <v>41103</v>
      </c>
      <c r="B353" s="13">
        <v>1955</v>
      </c>
      <c r="C353" s="13">
        <v>405</v>
      </c>
      <c r="D353" s="13">
        <v>389</v>
      </c>
      <c r="E353" s="13">
        <v>16</v>
      </c>
      <c r="F353" s="13">
        <v>1550</v>
      </c>
      <c r="G353" s="13">
        <v>890</v>
      </c>
      <c r="H353" s="13">
        <v>890</v>
      </c>
      <c r="I353" s="13">
        <v>0</v>
      </c>
      <c r="J353" s="13">
        <v>660</v>
      </c>
      <c r="K353" s="13">
        <v>789</v>
      </c>
      <c r="L353" s="13">
        <v>710</v>
      </c>
      <c r="M353" s="13">
        <v>79</v>
      </c>
      <c r="N353" s="119">
        <v>2567</v>
      </c>
      <c r="O353" s="22">
        <v>2232</v>
      </c>
      <c r="P353" s="22">
        <v>92</v>
      </c>
      <c r="Q353" s="119">
        <v>242</v>
      </c>
      <c r="R353" s="13">
        <v>313</v>
      </c>
      <c r="S353" s="13">
        <v>791</v>
      </c>
    </row>
    <row r="354" spans="1:19" x14ac:dyDescent="0.2">
      <c r="A354" s="128">
        <v>41110</v>
      </c>
      <c r="B354" s="13">
        <v>1935</v>
      </c>
      <c r="C354" s="13">
        <v>401</v>
      </c>
      <c r="D354" s="13">
        <v>385</v>
      </c>
      <c r="E354" s="13">
        <v>16</v>
      </c>
      <c r="F354" s="13">
        <v>1534</v>
      </c>
      <c r="G354" s="13">
        <v>881</v>
      </c>
      <c r="H354" s="13">
        <v>881</v>
      </c>
      <c r="I354" s="13">
        <v>0</v>
      </c>
      <c r="J354" s="13">
        <v>653</v>
      </c>
      <c r="K354" s="13">
        <v>790</v>
      </c>
      <c r="L354" s="13">
        <v>713</v>
      </c>
      <c r="M354" s="13">
        <v>77</v>
      </c>
      <c r="N354" s="119">
        <v>2585</v>
      </c>
      <c r="O354" s="22">
        <v>2279</v>
      </c>
      <c r="P354" s="22">
        <v>100</v>
      </c>
      <c r="Q354" s="119">
        <v>206</v>
      </c>
      <c r="R354" s="13">
        <v>298</v>
      </c>
      <c r="S354" s="13">
        <v>799</v>
      </c>
    </row>
    <row r="355" spans="1:19" x14ac:dyDescent="0.2">
      <c r="A355" s="128">
        <v>41117</v>
      </c>
      <c r="B355" s="13">
        <v>1909</v>
      </c>
      <c r="C355" s="13">
        <v>400</v>
      </c>
      <c r="D355" s="13">
        <v>383</v>
      </c>
      <c r="E355" s="13">
        <v>16</v>
      </c>
      <c r="F355" s="13">
        <v>1509</v>
      </c>
      <c r="G355" s="13">
        <v>875</v>
      </c>
      <c r="H355" s="13">
        <v>875</v>
      </c>
      <c r="I355" s="13">
        <v>0</v>
      </c>
      <c r="J355" s="13">
        <v>635</v>
      </c>
      <c r="K355" s="13">
        <v>816</v>
      </c>
      <c r="L355" s="13">
        <v>734</v>
      </c>
      <c r="M355" s="13">
        <v>83</v>
      </c>
      <c r="N355" s="119">
        <v>2565</v>
      </c>
      <c r="O355" s="22">
        <v>2285</v>
      </c>
      <c r="P355" s="22">
        <v>104</v>
      </c>
      <c r="Q355" s="119">
        <v>176</v>
      </c>
      <c r="R355" s="13">
        <v>260</v>
      </c>
      <c r="S355" s="13">
        <v>807</v>
      </c>
    </row>
    <row r="356" spans="1:19" x14ac:dyDescent="0.2">
      <c r="A356" s="128">
        <v>41124</v>
      </c>
      <c r="B356" s="13">
        <v>1857</v>
      </c>
      <c r="C356" s="13">
        <v>401</v>
      </c>
      <c r="D356" s="13">
        <v>385</v>
      </c>
      <c r="E356" s="13">
        <v>17</v>
      </c>
      <c r="F356" s="13">
        <v>1455</v>
      </c>
      <c r="G356" s="13">
        <v>875</v>
      </c>
      <c r="H356" s="13">
        <v>874</v>
      </c>
      <c r="I356" s="13">
        <v>0</v>
      </c>
      <c r="J356" s="13">
        <v>581</v>
      </c>
      <c r="K356" s="13">
        <v>819</v>
      </c>
      <c r="L356" s="13">
        <v>739</v>
      </c>
      <c r="M356" s="13">
        <v>79</v>
      </c>
      <c r="N356" s="119">
        <v>2551</v>
      </c>
      <c r="O356" s="22">
        <v>2283</v>
      </c>
      <c r="P356" s="22">
        <v>98</v>
      </c>
      <c r="Q356" s="119">
        <v>170</v>
      </c>
      <c r="R356" s="13">
        <v>254</v>
      </c>
      <c r="S356" s="13">
        <v>809</v>
      </c>
    </row>
    <row r="357" spans="1:19" x14ac:dyDescent="0.2">
      <c r="A357" s="128">
        <v>41131</v>
      </c>
      <c r="B357" s="13">
        <v>1889</v>
      </c>
      <c r="C357" s="13">
        <v>408</v>
      </c>
      <c r="D357" s="13">
        <v>391</v>
      </c>
      <c r="E357" s="13">
        <v>17</v>
      </c>
      <c r="F357" s="13">
        <v>1481</v>
      </c>
      <c r="G357" s="13">
        <v>881</v>
      </c>
      <c r="H357" s="13">
        <v>881</v>
      </c>
      <c r="I357" s="13">
        <v>0</v>
      </c>
      <c r="J357" s="13">
        <v>600</v>
      </c>
      <c r="K357" s="13">
        <v>820</v>
      </c>
      <c r="L357" s="13">
        <v>750</v>
      </c>
      <c r="M357" s="13">
        <v>70</v>
      </c>
      <c r="N357" s="119">
        <v>2536</v>
      </c>
      <c r="O357" s="22">
        <v>2264</v>
      </c>
      <c r="P357" s="22">
        <v>96</v>
      </c>
      <c r="Q357" s="119">
        <v>176</v>
      </c>
      <c r="R357" s="13">
        <v>244</v>
      </c>
      <c r="S357" s="13">
        <v>809</v>
      </c>
    </row>
    <row r="358" spans="1:19" x14ac:dyDescent="0.2">
      <c r="A358" s="128"/>
    </row>
    <row r="360" spans="1:19" ht="15.75" x14ac:dyDescent="0.25">
      <c r="A360" s="101" t="s">
        <v>384</v>
      </c>
      <c r="B360" s="120" t="s">
        <v>788</v>
      </c>
    </row>
    <row r="361" spans="1:19" ht="24" x14ac:dyDescent="0.2">
      <c r="A361" s="122" t="s">
        <v>490</v>
      </c>
      <c r="B361" s="123" t="s">
        <v>789</v>
      </c>
      <c r="C361" s="123" t="s">
        <v>790</v>
      </c>
      <c r="D361" s="123" t="s">
        <v>791</v>
      </c>
      <c r="E361" s="123" t="s">
        <v>792</v>
      </c>
      <c r="F361" s="123" t="s">
        <v>793</v>
      </c>
      <c r="G361" s="123" t="s">
        <v>794</v>
      </c>
      <c r="H361" s="123" t="s">
        <v>795</v>
      </c>
      <c r="I361" s="123" t="s">
        <v>796</v>
      </c>
      <c r="J361" s="123" t="s">
        <v>797</v>
      </c>
      <c r="K361" s="123" t="s">
        <v>798</v>
      </c>
      <c r="L361" s="123" t="s">
        <v>799</v>
      </c>
      <c r="M361" s="123" t="s">
        <v>800</v>
      </c>
      <c r="N361" s="124" t="s">
        <v>801</v>
      </c>
      <c r="O361" s="123" t="s">
        <v>802</v>
      </c>
      <c r="P361" s="123" t="s">
        <v>803</v>
      </c>
      <c r="Q361" s="124" t="s">
        <v>804</v>
      </c>
      <c r="R361" s="123" t="s">
        <v>805</v>
      </c>
      <c r="S361" s="123"/>
    </row>
    <row r="362" spans="1:19" ht="140.25" x14ac:dyDescent="0.2">
      <c r="A362" s="125" t="s">
        <v>508</v>
      </c>
      <c r="B362" s="126" t="s">
        <v>806</v>
      </c>
      <c r="C362" s="126" t="s">
        <v>807</v>
      </c>
      <c r="D362" s="126" t="s">
        <v>808</v>
      </c>
      <c r="E362" s="126" t="s">
        <v>809</v>
      </c>
      <c r="F362" s="126" t="s">
        <v>810</v>
      </c>
      <c r="G362" s="126" t="s">
        <v>811</v>
      </c>
      <c r="H362" s="126" t="s">
        <v>812</v>
      </c>
      <c r="I362" s="126" t="s">
        <v>813</v>
      </c>
      <c r="J362" s="126" t="s">
        <v>814</v>
      </c>
      <c r="K362" s="126" t="s">
        <v>815</v>
      </c>
      <c r="L362" s="126" t="s">
        <v>816</v>
      </c>
      <c r="M362" s="126" t="s">
        <v>817</v>
      </c>
      <c r="N362" s="127" t="s">
        <v>818</v>
      </c>
      <c r="O362" s="126" t="s">
        <v>819</v>
      </c>
      <c r="P362" s="126" t="s">
        <v>820</v>
      </c>
      <c r="Q362" s="127" t="s">
        <v>821</v>
      </c>
      <c r="R362" s="126" t="s">
        <v>822</v>
      </c>
      <c r="S362" s="126"/>
    </row>
    <row r="363" spans="1:19" x14ac:dyDescent="0.2">
      <c r="A363" s="128">
        <v>40354</v>
      </c>
      <c r="B363" s="13">
        <v>311</v>
      </c>
      <c r="C363" s="13">
        <v>0</v>
      </c>
      <c r="D363" s="13">
        <v>0</v>
      </c>
      <c r="E363" s="13">
        <v>0</v>
      </c>
      <c r="F363" s="13">
        <v>311</v>
      </c>
      <c r="G363" s="13">
        <v>158</v>
      </c>
      <c r="H363" s="13">
        <v>158</v>
      </c>
      <c r="I363" s="13">
        <v>0</v>
      </c>
      <c r="J363" s="13">
        <v>153</v>
      </c>
      <c r="K363" s="13">
        <v>26</v>
      </c>
      <c r="L363" s="13">
        <v>20</v>
      </c>
      <c r="M363" s="13">
        <v>6</v>
      </c>
      <c r="N363" s="119">
        <v>185</v>
      </c>
      <c r="O363" s="22">
        <v>169</v>
      </c>
      <c r="P363" s="22">
        <v>15</v>
      </c>
      <c r="Q363" s="119">
        <v>1</v>
      </c>
      <c r="R363" s="13">
        <v>10</v>
      </c>
    </row>
    <row r="364" spans="1:19" x14ac:dyDescent="0.2">
      <c r="A364" s="128">
        <v>40361</v>
      </c>
      <c r="B364" s="13">
        <v>314</v>
      </c>
      <c r="C364" s="13">
        <v>0</v>
      </c>
      <c r="D364" s="13">
        <v>0</v>
      </c>
      <c r="E364" s="13">
        <v>0</v>
      </c>
      <c r="F364" s="13">
        <v>314</v>
      </c>
      <c r="G364" s="13">
        <v>161</v>
      </c>
      <c r="H364" s="13">
        <v>161</v>
      </c>
      <c r="I364" s="13">
        <v>0</v>
      </c>
      <c r="J364" s="13">
        <v>154</v>
      </c>
      <c r="K364" s="13">
        <v>25</v>
      </c>
      <c r="L364" s="13">
        <v>18</v>
      </c>
      <c r="M364" s="13">
        <v>7</v>
      </c>
      <c r="N364" s="119">
        <v>192</v>
      </c>
      <c r="O364" s="22">
        <v>173</v>
      </c>
      <c r="P364" s="22">
        <v>16</v>
      </c>
      <c r="Q364" s="119">
        <v>3</v>
      </c>
      <c r="R364" s="13">
        <v>10</v>
      </c>
    </row>
    <row r="365" spans="1:19" x14ac:dyDescent="0.2">
      <c r="A365" s="128">
        <v>40368</v>
      </c>
      <c r="B365" s="13">
        <v>326</v>
      </c>
      <c r="C365" s="13">
        <v>0</v>
      </c>
      <c r="D365" s="13">
        <v>0</v>
      </c>
      <c r="E365" s="13">
        <v>0</v>
      </c>
      <c r="F365" s="13">
        <v>326</v>
      </c>
      <c r="G365" s="13">
        <v>161</v>
      </c>
      <c r="H365" s="13">
        <v>161</v>
      </c>
      <c r="I365" s="13">
        <v>0</v>
      </c>
      <c r="J365" s="13">
        <v>165</v>
      </c>
      <c r="K365" s="13">
        <v>24</v>
      </c>
      <c r="L365" s="13">
        <v>18</v>
      </c>
      <c r="M365" s="13">
        <v>6</v>
      </c>
      <c r="N365" s="119">
        <v>192</v>
      </c>
      <c r="O365" s="22">
        <v>180</v>
      </c>
      <c r="P365" s="22">
        <v>11</v>
      </c>
      <c r="Q365" s="119">
        <v>1</v>
      </c>
      <c r="R365" s="13">
        <v>10</v>
      </c>
    </row>
    <row r="366" spans="1:19" x14ac:dyDescent="0.2">
      <c r="A366" s="128">
        <v>40375</v>
      </c>
      <c r="B366" s="13">
        <v>332</v>
      </c>
      <c r="C366" s="13">
        <v>0</v>
      </c>
      <c r="D366" s="13">
        <v>0</v>
      </c>
      <c r="E366" s="13">
        <v>0</v>
      </c>
      <c r="F366" s="13">
        <v>332</v>
      </c>
      <c r="G366" s="13">
        <v>164</v>
      </c>
      <c r="H366" s="13">
        <v>164</v>
      </c>
      <c r="I366" s="13">
        <v>0</v>
      </c>
      <c r="J366" s="13">
        <v>168</v>
      </c>
      <c r="K366" s="13">
        <v>26</v>
      </c>
      <c r="L366" s="13">
        <v>20</v>
      </c>
      <c r="M366" s="13">
        <v>6</v>
      </c>
      <c r="N366" s="119">
        <v>195</v>
      </c>
      <c r="O366" s="22">
        <v>184</v>
      </c>
      <c r="P366" s="22">
        <v>10</v>
      </c>
      <c r="Q366" s="119">
        <v>1</v>
      </c>
      <c r="R366" s="13">
        <v>10</v>
      </c>
    </row>
    <row r="367" spans="1:19" x14ac:dyDescent="0.2">
      <c r="A367" s="128">
        <v>40382</v>
      </c>
      <c r="B367" s="13">
        <v>337</v>
      </c>
      <c r="C367" s="13">
        <v>0</v>
      </c>
      <c r="D367" s="13">
        <v>0</v>
      </c>
      <c r="E367" s="13">
        <v>0</v>
      </c>
      <c r="F367" s="13">
        <v>337</v>
      </c>
      <c r="G367" s="13">
        <v>167</v>
      </c>
      <c r="H367" s="13">
        <v>166</v>
      </c>
      <c r="I367" s="13">
        <v>0</v>
      </c>
      <c r="J367" s="13">
        <v>171</v>
      </c>
      <c r="K367" s="13">
        <v>27</v>
      </c>
      <c r="L367" s="13">
        <v>21</v>
      </c>
      <c r="M367" s="13">
        <v>6</v>
      </c>
      <c r="N367" s="119">
        <v>194</v>
      </c>
      <c r="O367" s="22">
        <v>183</v>
      </c>
      <c r="P367" s="22">
        <v>11</v>
      </c>
      <c r="Q367" s="119">
        <v>0</v>
      </c>
      <c r="R367" s="13">
        <v>10</v>
      </c>
    </row>
    <row r="368" spans="1:19" x14ac:dyDescent="0.2">
      <c r="A368" s="128">
        <v>40389</v>
      </c>
      <c r="B368" s="13">
        <v>330</v>
      </c>
      <c r="C368" s="13">
        <v>0</v>
      </c>
      <c r="D368" s="13">
        <v>0</v>
      </c>
      <c r="E368" s="13">
        <v>0</v>
      </c>
      <c r="F368" s="13">
        <v>330</v>
      </c>
      <c r="G368" s="13">
        <v>168</v>
      </c>
      <c r="H368" s="13">
        <v>168</v>
      </c>
      <c r="I368" s="13">
        <v>0</v>
      </c>
      <c r="J368" s="13">
        <v>162</v>
      </c>
      <c r="K368" s="13">
        <v>29</v>
      </c>
      <c r="L368" s="13">
        <v>23</v>
      </c>
      <c r="M368" s="13">
        <v>6</v>
      </c>
      <c r="N368" s="119">
        <v>192</v>
      </c>
      <c r="O368" s="22">
        <v>181</v>
      </c>
      <c r="P368" s="22">
        <v>12</v>
      </c>
      <c r="Q368" s="119">
        <v>-2</v>
      </c>
      <c r="R368" s="13">
        <v>10</v>
      </c>
    </row>
    <row r="369" spans="1:18" x14ac:dyDescent="0.2">
      <c r="A369" s="128">
        <v>40396</v>
      </c>
      <c r="B369" s="13">
        <v>327</v>
      </c>
      <c r="C369" s="13">
        <v>0</v>
      </c>
      <c r="D369" s="13">
        <v>0</v>
      </c>
      <c r="E369" s="13">
        <v>0</v>
      </c>
      <c r="F369" s="13">
        <v>327</v>
      </c>
      <c r="G369" s="13">
        <v>173</v>
      </c>
      <c r="H369" s="13">
        <v>173</v>
      </c>
      <c r="I369" s="13">
        <v>0</v>
      </c>
      <c r="J369" s="13">
        <v>154</v>
      </c>
      <c r="K369" s="13">
        <v>32</v>
      </c>
      <c r="L369" s="13">
        <v>26</v>
      </c>
      <c r="M369" s="13">
        <v>6</v>
      </c>
      <c r="N369" s="119">
        <v>186</v>
      </c>
      <c r="O369" s="22">
        <v>174</v>
      </c>
      <c r="P369" s="22">
        <v>12</v>
      </c>
      <c r="Q369" s="119">
        <v>0</v>
      </c>
      <c r="R369" s="13">
        <v>8</v>
      </c>
    </row>
    <row r="370" spans="1:18" x14ac:dyDescent="0.2">
      <c r="A370" s="128">
        <v>40403</v>
      </c>
      <c r="B370" s="13">
        <v>315</v>
      </c>
      <c r="C370" s="13">
        <v>0</v>
      </c>
      <c r="D370" s="13">
        <v>0</v>
      </c>
      <c r="E370" s="13">
        <v>0</v>
      </c>
      <c r="F370" s="13">
        <v>315</v>
      </c>
      <c r="G370" s="13">
        <v>173</v>
      </c>
      <c r="H370" s="13">
        <v>173</v>
      </c>
      <c r="I370" s="13">
        <v>0</v>
      </c>
      <c r="J370" s="13">
        <v>142</v>
      </c>
      <c r="K370" s="13">
        <v>32</v>
      </c>
      <c r="L370" s="13">
        <v>27</v>
      </c>
      <c r="M370" s="13">
        <v>5</v>
      </c>
      <c r="N370" s="119">
        <v>179</v>
      </c>
      <c r="O370" s="22">
        <v>164</v>
      </c>
      <c r="P370" s="22">
        <v>12</v>
      </c>
      <c r="Q370" s="119">
        <v>2</v>
      </c>
      <c r="R370" s="13">
        <v>8</v>
      </c>
    </row>
    <row r="371" spans="1:18" x14ac:dyDescent="0.2">
      <c r="A371" s="128">
        <v>40410</v>
      </c>
      <c r="B371" s="13">
        <v>310</v>
      </c>
      <c r="C371" s="13">
        <v>0</v>
      </c>
      <c r="D371" s="13">
        <v>0</v>
      </c>
      <c r="E371" s="13">
        <v>0</v>
      </c>
      <c r="F371" s="13">
        <v>310</v>
      </c>
      <c r="G371" s="13">
        <v>173</v>
      </c>
      <c r="H371" s="13">
        <v>173</v>
      </c>
      <c r="I371" s="13">
        <v>0</v>
      </c>
      <c r="J371" s="13">
        <v>137</v>
      </c>
      <c r="K371" s="13">
        <v>30</v>
      </c>
      <c r="L371" s="13">
        <v>26</v>
      </c>
      <c r="M371" s="13">
        <v>4</v>
      </c>
      <c r="N371" s="119">
        <v>177</v>
      </c>
      <c r="O371" s="22">
        <v>163</v>
      </c>
      <c r="P371" s="22">
        <v>12</v>
      </c>
      <c r="Q371" s="119">
        <v>2</v>
      </c>
      <c r="R371" s="13">
        <v>8</v>
      </c>
    </row>
    <row r="372" spans="1:18" x14ac:dyDescent="0.2">
      <c r="A372" s="128">
        <v>40417</v>
      </c>
      <c r="B372" s="13">
        <v>304</v>
      </c>
      <c r="C372" s="13">
        <v>0</v>
      </c>
      <c r="D372" s="13">
        <v>0</v>
      </c>
      <c r="E372" s="13">
        <v>0</v>
      </c>
      <c r="F372" s="13">
        <v>304</v>
      </c>
      <c r="G372" s="13">
        <v>170</v>
      </c>
      <c r="H372" s="13">
        <v>169</v>
      </c>
      <c r="I372" s="13">
        <v>0</v>
      </c>
      <c r="J372" s="13">
        <v>135</v>
      </c>
      <c r="K372" s="13">
        <v>31</v>
      </c>
      <c r="L372" s="13">
        <v>26</v>
      </c>
      <c r="M372" s="13">
        <v>5</v>
      </c>
      <c r="N372" s="119">
        <v>171</v>
      </c>
      <c r="O372" s="22">
        <v>158</v>
      </c>
      <c r="P372" s="22">
        <v>10</v>
      </c>
      <c r="Q372" s="119">
        <v>3</v>
      </c>
      <c r="R372" s="13">
        <v>9</v>
      </c>
    </row>
    <row r="373" spans="1:18" x14ac:dyDescent="0.2">
      <c r="A373" s="128">
        <v>40424</v>
      </c>
      <c r="B373" s="13">
        <v>302</v>
      </c>
      <c r="C373" s="13">
        <v>0</v>
      </c>
      <c r="D373" s="13">
        <v>0</v>
      </c>
      <c r="E373" s="13">
        <v>0</v>
      </c>
      <c r="F373" s="13">
        <v>302</v>
      </c>
      <c r="G373" s="13">
        <v>164</v>
      </c>
      <c r="H373" s="13">
        <v>163</v>
      </c>
      <c r="I373" s="13">
        <v>0</v>
      </c>
      <c r="J373" s="13">
        <v>138</v>
      </c>
      <c r="K373" s="13">
        <v>28</v>
      </c>
      <c r="L373" s="13">
        <v>23</v>
      </c>
      <c r="M373" s="13">
        <v>5</v>
      </c>
      <c r="N373" s="119">
        <v>176</v>
      </c>
      <c r="O373" s="22">
        <v>161</v>
      </c>
      <c r="P373" s="22">
        <v>11</v>
      </c>
      <c r="Q373" s="119">
        <v>4</v>
      </c>
      <c r="R373" s="13">
        <v>9</v>
      </c>
    </row>
    <row r="374" spans="1:18" x14ac:dyDescent="0.2">
      <c r="A374" s="128">
        <v>40431</v>
      </c>
      <c r="B374" s="13">
        <v>296</v>
      </c>
      <c r="C374" s="13">
        <v>0</v>
      </c>
      <c r="D374" s="13">
        <v>0</v>
      </c>
      <c r="E374" s="13">
        <v>0</v>
      </c>
      <c r="F374" s="13">
        <v>296</v>
      </c>
      <c r="G374" s="13">
        <v>158</v>
      </c>
      <c r="H374" s="13">
        <v>158</v>
      </c>
      <c r="I374" s="13">
        <v>0</v>
      </c>
      <c r="J374" s="13">
        <v>138</v>
      </c>
      <c r="K374" s="13">
        <v>30</v>
      </c>
      <c r="L374" s="13">
        <v>24</v>
      </c>
      <c r="M374" s="13">
        <v>6</v>
      </c>
      <c r="N374" s="119">
        <v>176</v>
      </c>
      <c r="O374" s="22">
        <v>164</v>
      </c>
      <c r="P374" s="22">
        <v>11</v>
      </c>
      <c r="Q374" s="119">
        <v>1</v>
      </c>
      <c r="R374" s="13">
        <v>10</v>
      </c>
    </row>
    <row r="375" spans="1:18" x14ac:dyDescent="0.2">
      <c r="A375" s="128">
        <v>40438</v>
      </c>
      <c r="B375" s="13">
        <v>295</v>
      </c>
      <c r="C375" s="13">
        <v>0</v>
      </c>
      <c r="D375" s="13">
        <v>0</v>
      </c>
      <c r="E375" s="13">
        <v>0</v>
      </c>
      <c r="F375" s="13">
        <v>295</v>
      </c>
      <c r="G375" s="13">
        <v>152</v>
      </c>
      <c r="H375" s="13">
        <v>152</v>
      </c>
      <c r="I375" s="13">
        <v>0</v>
      </c>
      <c r="J375" s="13">
        <v>143</v>
      </c>
      <c r="K375" s="13">
        <v>32</v>
      </c>
      <c r="L375" s="13">
        <v>26</v>
      </c>
      <c r="M375" s="13">
        <v>6</v>
      </c>
      <c r="N375" s="119">
        <v>177</v>
      </c>
      <c r="O375" s="22">
        <v>167</v>
      </c>
      <c r="P375" s="22">
        <v>11</v>
      </c>
      <c r="Q375" s="119">
        <v>-1</v>
      </c>
      <c r="R375" s="13">
        <v>10</v>
      </c>
    </row>
    <row r="376" spans="1:18" x14ac:dyDescent="0.2">
      <c r="A376" s="128">
        <v>40445</v>
      </c>
      <c r="B376" s="13">
        <v>295</v>
      </c>
      <c r="C376" s="13">
        <v>0</v>
      </c>
      <c r="D376" s="13">
        <v>0</v>
      </c>
      <c r="E376" s="13">
        <v>0</v>
      </c>
      <c r="F376" s="13">
        <v>295</v>
      </c>
      <c r="G376" s="13">
        <v>155</v>
      </c>
      <c r="H376" s="13">
        <v>155</v>
      </c>
      <c r="I376" s="13">
        <v>0</v>
      </c>
      <c r="J376" s="13">
        <v>140</v>
      </c>
      <c r="K376" s="13">
        <v>33</v>
      </c>
      <c r="L376" s="13">
        <v>27</v>
      </c>
      <c r="M376" s="13">
        <v>6</v>
      </c>
      <c r="N376" s="119">
        <v>181</v>
      </c>
      <c r="O376" s="22">
        <v>171</v>
      </c>
      <c r="P376" s="22">
        <v>11</v>
      </c>
      <c r="Q376" s="119">
        <v>-2</v>
      </c>
      <c r="R376" s="13">
        <v>11</v>
      </c>
    </row>
    <row r="377" spans="1:18" x14ac:dyDescent="0.2">
      <c r="A377" s="128">
        <v>40452</v>
      </c>
      <c r="B377" s="13">
        <v>295</v>
      </c>
      <c r="C377" s="13">
        <v>0</v>
      </c>
      <c r="D377" s="13">
        <v>0</v>
      </c>
      <c r="E377" s="13">
        <v>0</v>
      </c>
      <c r="F377" s="13">
        <v>295</v>
      </c>
      <c r="G377" s="13">
        <v>159</v>
      </c>
      <c r="H377" s="13">
        <v>159</v>
      </c>
      <c r="I377" s="13">
        <v>0</v>
      </c>
      <c r="J377" s="13">
        <v>136</v>
      </c>
      <c r="K377" s="13">
        <v>34</v>
      </c>
      <c r="L377" s="13">
        <v>28</v>
      </c>
      <c r="M377" s="13">
        <v>6</v>
      </c>
      <c r="N377" s="119">
        <v>180</v>
      </c>
      <c r="O377" s="22">
        <v>173</v>
      </c>
      <c r="P377" s="22">
        <v>10</v>
      </c>
      <c r="Q377" s="119">
        <v>-3</v>
      </c>
      <c r="R377" s="13">
        <v>11</v>
      </c>
    </row>
    <row r="378" spans="1:18" x14ac:dyDescent="0.2">
      <c r="A378" s="128">
        <v>40459</v>
      </c>
      <c r="B378" s="13">
        <v>304</v>
      </c>
      <c r="C378" s="13">
        <v>0</v>
      </c>
      <c r="D378" s="13">
        <v>0</v>
      </c>
      <c r="E378" s="13">
        <v>0</v>
      </c>
      <c r="F378" s="13">
        <v>304</v>
      </c>
      <c r="G378" s="13">
        <v>166</v>
      </c>
      <c r="H378" s="13">
        <v>166</v>
      </c>
      <c r="I378" s="13">
        <v>0</v>
      </c>
      <c r="J378" s="13">
        <v>138</v>
      </c>
      <c r="K378" s="13">
        <v>32</v>
      </c>
      <c r="L378" s="13">
        <v>26</v>
      </c>
      <c r="M378" s="13">
        <v>6</v>
      </c>
      <c r="N378" s="119">
        <v>174</v>
      </c>
      <c r="O378" s="22">
        <v>166</v>
      </c>
      <c r="P378" s="22">
        <v>12</v>
      </c>
      <c r="Q378" s="119">
        <v>-4</v>
      </c>
      <c r="R378" s="13">
        <v>11</v>
      </c>
    </row>
    <row r="379" spans="1:18" x14ac:dyDescent="0.2">
      <c r="A379" s="128">
        <v>40466</v>
      </c>
      <c r="B379" s="13">
        <v>307</v>
      </c>
      <c r="C379" s="13">
        <v>0</v>
      </c>
      <c r="D379" s="13">
        <v>0</v>
      </c>
      <c r="E379" s="13">
        <v>0</v>
      </c>
      <c r="F379" s="13">
        <v>307</v>
      </c>
      <c r="G379" s="13">
        <v>172</v>
      </c>
      <c r="H379" s="13">
        <v>172</v>
      </c>
      <c r="I379" s="13">
        <v>0</v>
      </c>
      <c r="J379" s="13">
        <v>135</v>
      </c>
      <c r="K379" s="13">
        <v>29</v>
      </c>
      <c r="L379" s="13">
        <v>23</v>
      </c>
      <c r="M379" s="13">
        <v>6</v>
      </c>
      <c r="N379" s="119">
        <v>165</v>
      </c>
      <c r="O379" s="22">
        <v>159</v>
      </c>
      <c r="P379" s="22">
        <v>11</v>
      </c>
      <c r="Q379" s="119">
        <v>-5</v>
      </c>
      <c r="R379" s="13">
        <v>13</v>
      </c>
    </row>
    <row r="380" spans="1:18" x14ac:dyDescent="0.2">
      <c r="A380" s="128">
        <v>40473</v>
      </c>
      <c r="B380" s="13">
        <v>319</v>
      </c>
      <c r="C380" s="13">
        <v>0</v>
      </c>
      <c r="D380" s="13">
        <v>0</v>
      </c>
      <c r="E380" s="13">
        <v>0</v>
      </c>
      <c r="F380" s="13">
        <v>319</v>
      </c>
      <c r="G380" s="13">
        <v>173</v>
      </c>
      <c r="H380" s="13">
        <v>173</v>
      </c>
      <c r="I380" s="13">
        <v>0</v>
      </c>
      <c r="J380" s="13">
        <v>146</v>
      </c>
      <c r="K380" s="13">
        <v>26</v>
      </c>
      <c r="L380" s="13">
        <v>21</v>
      </c>
      <c r="M380" s="13">
        <v>5</v>
      </c>
      <c r="N380" s="119">
        <v>160</v>
      </c>
      <c r="O380" s="22">
        <v>155</v>
      </c>
      <c r="P380" s="22">
        <v>9</v>
      </c>
      <c r="Q380" s="119">
        <v>-4</v>
      </c>
      <c r="R380" s="13">
        <v>14</v>
      </c>
    </row>
    <row r="381" spans="1:18" x14ac:dyDescent="0.2">
      <c r="A381" s="128">
        <v>40480</v>
      </c>
      <c r="B381" s="13">
        <v>315</v>
      </c>
      <c r="C381" s="13">
        <v>0</v>
      </c>
      <c r="D381" s="13">
        <v>0</v>
      </c>
      <c r="E381" s="13">
        <v>0</v>
      </c>
      <c r="F381" s="13">
        <v>315</v>
      </c>
      <c r="G381" s="13">
        <v>171</v>
      </c>
      <c r="H381" s="13">
        <v>171</v>
      </c>
      <c r="I381" s="13">
        <v>0</v>
      </c>
      <c r="J381" s="13">
        <v>144</v>
      </c>
      <c r="K381" s="13">
        <v>25</v>
      </c>
      <c r="L381" s="13">
        <v>21</v>
      </c>
      <c r="M381" s="13">
        <v>4</v>
      </c>
      <c r="N381" s="119">
        <v>156</v>
      </c>
      <c r="O381" s="22">
        <v>151</v>
      </c>
      <c r="P381" s="22">
        <v>9</v>
      </c>
      <c r="Q381" s="119">
        <v>-4</v>
      </c>
      <c r="R381" s="13">
        <v>13</v>
      </c>
    </row>
    <row r="382" spans="1:18" x14ac:dyDescent="0.2">
      <c r="A382" s="128">
        <v>40487</v>
      </c>
      <c r="B382" s="13">
        <v>316</v>
      </c>
      <c r="C382" s="13">
        <v>0</v>
      </c>
      <c r="D382" s="13">
        <v>0</v>
      </c>
      <c r="E382" s="13">
        <v>0</v>
      </c>
      <c r="F382" s="13">
        <v>316</v>
      </c>
      <c r="G382" s="13">
        <v>170</v>
      </c>
      <c r="H382" s="13">
        <v>170</v>
      </c>
      <c r="I382" s="13">
        <v>0</v>
      </c>
      <c r="J382" s="13">
        <v>146</v>
      </c>
      <c r="K382" s="13">
        <v>24</v>
      </c>
      <c r="L382" s="13">
        <v>21</v>
      </c>
      <c r="M382" s="13">
        <v>3</v>
      </c>
      <c r="N382" s="119">
        <v>163</v>
      </c>
      <c r="O382" s="22">
        <v>157</v>
      </c>
      <c r="P382" s="22">
        <v>9</v>
      </c>
      <c r="Q382" s="119">
        <v>-2</v>
      </c>
      <c r="R382" s="13">
        <v>13</v>
      </c>
    </row>
    <row r="383" spans="1:18" x14ac:dyDescent="0.2">
      <c r="A383" s="128">
        <v>40494</v>
      </c>
      <c r="B383" s="13">
        <v>309</v>
      </c>
      <c r="C383" s="13">
        <v>0</v>
      </c>
      <c r="D383" s="13">
        <v>0</v>
      </c>
      <c r="E383" s="13">
        <v>0</v>
      </c>
      <c r="F383" s="13">
        <v>309</v>
      </c>
      <c r="G383" s="13">
        <v>171</v>
      </c>
      <c r="H383" s="13">
        <v>171</v>
      </c>
      <c r="I383" s="13">
        <v>0</v>
      </c>
      <c r="J383" s="13">
        <v>138</v>
      </c>
      <c r="K383" s="13">
        <v>24</v>
      </c>
      <c r="L383" s="13">
        <v>21</v>
      </c>
      <c r="M383" s="13">
        <v>3</v>
      </c>
      <c r="N383" s="119">
        <v>169</v>
      </c>
      <c r="O383" s="22">
        <v>158</v>
      </c>
      <c r="P383" s="22">
        <v>10</v>
      </c>
      <c r="Q383" s="119">
        <v>1</v>
      </c>
      <c r="R383" s="13">
        <v>10</v>
      </c>
    </row>
    <row r="384" spans="1:18" x14ac:dyDescent="0.2">
      <c r="A384" s="128">
        <v>40501</v>
      </c>
      <c r="B384" s="13">
        <v>311</v>
      </c>
      <c r="C384" s="13">
        <v>0</v>
      </c>
      <c r="D384" s="13">
        <v>0</v>
      </c>
      <c r="E384" s="13">
        <v>0</v>
      </c>
      <c r="F384" s="13">
        <v>311</v>
      </c>
      <c r="G384" s="13">
        <v>172</v>
      </c>
      <c r="H384" s="13">
        <v>172</v>
      </c>
      <c r="I384" s="13">
        <v>0</v>
      </c>
      <c r="J384" s="13">
        <v>139</v>
      </c>
      <c r="K384" s="13">
        <v>25</v>
      </c>
      <c r="L384" s="13">
        <v>22</v>
      </c>
      <c r="M384" s="13">
        <v>3</v>
      </c>
      <c r="N384" s="119">
        <v>171</v>
      </c>
      <c r="O384" s="22">
        <v>157</v>
      </c>
      <c r="P384" s="22">
        <v>12</v>
      </c>
      <c r="Q384" s="119">
        <v>2</v>
      </c>
      <c r="R384" s="13">
        <v>9</v>
      </c>
    </row>
    <row r="385" spans="1:18" x14ac:dyDescent="0.2">
      <c r="A385" s="128">
        <v>40508</v>
      </c>
      <c r="B385" s="13">
        <v>315</v>
      </c>
      <c r="C385" s="13">
        <v>0</v>
      </c>
      <c r="D385" s="13">
        <v>0</v>
      </c>
      <c r="E385" s="13">
        <v>0</v>
      </c>
      <c r="F385" s="13">
        <v>315</v>
      </c>
      <c r="G385" s="13">
        <v>174</v>
      </c>
      <c r="H385" s="13">
        <v>174</v>
      </c>
      <c r="I385" s="13">
        <v>0</v>
      </c>
      <c r="J385" s="13">
        <v>141</v>
      </c>
      <c r="K385" s="13">
        <v>25</v>
      </c>
      <c r="L385" s="13">
        <v>22</v>
      </c>
      <c r="M385" s="13">
        <v>3</v>
      </c>
      <c r="N385" s="119">
        <v>172</v>
      </c>
      <c r="O385" s="22">
        <v>156</v>
      </c>
      <c r="P385" s="22">
        <v>12</v>
      </c>
      <c r="Q385" s="119">
        <v>3</v>
      </c>
      <c r="R385" s="13">
        <v>10</v>
      </c>
    </row>
    <row r="386" spans="1:18" x14ac:dyDescent="0.2">
      <c r="A386" s="128">
        <v>40515</v>
      </c>
      <c r="B386" s="13">
        <v>315</v>
      </c>
      <c r="C386" s="13">
        <v>0</v>
      </c>
      <c r="D386" s="13">
        <v>0</v>
      </c>
      <c r="E386" s="13">
        <v>0</v>
      </c>
      <c r="F386" s="13">
        <v>315</v>
      </c>
      <c r="G386" s="13">
        <v>172</v>
      </c>
      <c r="H386" s="13">
        <v>172</v>
      </c>
      <c r="I386" s="13">
        <v>0</v>
      </c>
      <c r="J386" s="13">
        <v>143</v>
      </c>
      <c r="K386" s="13">
        <v>26</v>
      </c>
      <c r="L386" s="13">
        <v>22</v>
      </c>
      <c r="M386" s="13">
        <v>4</v>
      </c>
      <c r="N386" s="119">
        <v>176</v>
      </c>
      <c r="O386" s="22">
        <v>161</v>
      </c>
      <c r="P386" s="22">
        <v>11</v>
      </c>
      <c r="Q386" s="119">
        <v>4</v>
      </c>
      <c r="R386" s="13">
        <v>10</v>
      </c>
    </row>
    <row r="387" spans="1:18" x14ac:dyDescent="0.2">
      <c r="A387" s="128">
        <v>40522</v>
      </c>
      <c r="B387" s="13">
        <v>322</v>
      </c>
      <c r="C387" s="13">
        <v>0</v>
      </c>
      <c r="D387" s="13">
        <v>0</v>
      </c>
      <c r="E387" s="13">
        <v>0</v>
      </c>
      <c r="F387" s="13">
        <v>322</v>
      </c>
      <c r="G387" s="13">
        <v>173</v>
      </c>
      <c r="H387" s="13">
        <v>173</v>
      </c>
      <c r="I387" s="13">
        <v>0</v>
      </c>
      <c r="J387" s="13">
        <v>149</v>
      </c>
      <c r="K387" s="13">
        <v>27</v>
      </c>
      <c r="L387" s="13">
        <v>23</v>
      </c>
      <c r="M387" s="13">
        <v>4</v>
      </c>
      <c r="N387" s="119">
        <v>177</v>
      </c>
      <c r="O387" s="22">
        <v>164</v>
      </c>
      <c r="P387" s="22">
        <v>12</v>
      </c>
      <c r="Q387" s="119">
        <v>1</v>
      </c>
      <c r="R387" s="13">
        <v>10</v>
      </c>
    </row>
    <row r="388" spans="1:18" x14ac:dyDescent="0.2">
      <c r="A388" s="128">
        <v>40529</v>
      </c>
      <c r="B388" s="13">
        <v>308</v>
      </c>
      <c r="C388" s="13">
        <v>0</v>
      </c>
      <c r="D388" s="13">
        <v>0</v>
      </c>
      <c r="E388" s="13">
        <v>0</v>
      </c>
      <c r="F388" s="13">
        <v>308</v>
      </c>
      <c r="G388" s="13">
        <v>172</v>
      </c>
      <c r="H388" s="13">
        <v>172</v>
      </c>
      <c r="I388" s="13">
        <v>0</v>
      </c>
      <c r="J388" s="13">
        <v>136</v>
      </c>
      <c r="K388" s="13">
        <v>28</v>
      </c>
      <c r="L388" s="13">
        <v>24</v>
      </c>
      <c r="M388" s="13">
        <v>4</v>
      </c>
      <c r="N388" s="119">
        <v>177</v>
      </c>
      <c r="O388" s="22">
        <v>165</v>
      </c>
      <c r="P388" s="22">
        <v>12</v>
      </c>
      <c r="Q388" s="119">
        <v>-1</v>
      </c>
      <c r="R388" s="13">
        <v>10</v>
      </c>
    </row>
    <row r="389" spans="1:18" x14ac:dyDescent="0.2">
      <c r="A389" s="128">
        <v>40536</v>
      </c>
      <c r="B389" s="13">
        <v>307</v>
      </c>
      <c r="C389" s="13">
        <v>0</v>
      </c>
      <c r="D389" s="13">
        <v>0</v>
      </c>
      <c r="E389" s="13">
        <v>0</v>
      </c>
      <c r="F389" s="13">
        <v>307</v>
      </c>
      <c r="G389" s="13">
        <v>174</v>
      </c>
      <c r="H389" s="13">
        <v>174</v>
      </c>
      <c r="I389" s="13">
        <v>0</v>
      </c>
      <c r="J389" s="13">
        <v>133</v>
      </c>
      <c r="K389" s="13">
        <v>29</v>
      </c>
      <c r="L389" s="13">
        <v>24</v>
      </c>
      <c r="M389" s="13">
        <v>5</v>
      </c>
      <c r="N389" s="119">
        <v>178</v>
      </c>
      <c r="O389" s="22">
        <v>168</v>
      </c>
      <c r="P389" s="22">
        <v>12</v>
      </c>
      <c r="Q389" s="119">
        <v>-1</v>
      </c>
      <c r="R389" s="13">
        <v>10</v>
      </c>
    </row>
    <row r="390" spans="1:18" x14ac:dyDescent="0.2">
      <c r="A390" s="128">
        <v>40543</v>
      </c>
      <c r="B390" s="13">
        <v>311</v>
      </c>
      <c r="C390" s="13">
        <v>0</v>
      </c>
      <c r="D390" s="13">
        <v>0</v>
      </c>
      <c r="E390" s="13">
        <v>0</v>
      </c>
      <c r="F390" s="13">
        <v>311</v>
      </c>
      <c r="G390" s="13">
        <v>174</v>
      </c>
      <c r="H390" s="13">
        <v>173</v>
      </c>
      <c r="I390" s="13">
        <v>0</v>
      </c>
      <c r="J390" s="13">
        <v>138</v>
      </c>
      <c r="K390" s="13">
        <v>30</v>
      </c>
      <c r="L390" s="13">
        <v>25</v>
      </c>
      <c r="M390" s="13">
        <v>5</v>
      </c>
      <c r="N390" s="119">
        <v>172</v>
      </c>
      <c r="O390" s="22">
        <v>160</v>
      </c>
      <c r="P390" s="22">
        <v>13</v>
      </c>
      <c r="Q390" s="119">
        <v>-2</v>
      </c>
      <c r="R390" s="13">
        <v>10</v>
      </c>
    </row>
    <row r="391" spans="1:18" x14ac:dyDescent="0.2">
      <c r="A391" s="128">
        <v>40550</v>
      </c>
      <c r="B391" s="13">
        <v>309</v>
      </c>
      <c r="C391" s="13">
        <v>0</v>
      </c>
      <c r="D391" s="13">
        <v>0</v>
      </c>
      <c r="E391" s="13">
        <v>0</v>
      </c>
      <c r="F391" s="13">
        <v>309</v>
      </c>
      <c r="G391" s="13">
        <v>171</v>
      </c>
      <c r="H391" s="13">
        <v>171</v>
      </c>
      <c r="I391" s="13">
        <v>1</v>
      </c>
      <c r="J391" s="13">
        <v>138</v>
      </c>
      <c r="K391" s="13">
        <v>28</v>
      </c>
      <c r="L391" s="13">
        <v>23</v>
      </c>
      <c r="M391" s="13">
        <v>5</v>
      </c>
      <c r="N391" s="119">
        <v>169</v>
      </c>
      <c r="O391" s="22">
        <v>155</v>
      </c>
      <c r="P391" s="22">
        <v>12</v>
      </c>
      <c r="Q391" s="119">
        <v>2</v>
      </c>
      <c r="R391" s="13">
        <v>10</v>
      </c>
    </row>
    <row r="392" spans="1:18" x14ac:dyDescent="0.2">
      <c r="A392" s="128">
        <v>40557</v>
      </c>
      <c r="B392" s="13">
        <v>317</v>
      </c>
      <c r="C392" s="13">
        <v>0</v>
      </c>
      <c r="D392" s="13">
        <v>0</v>
      </c>
      <c r="E392" s="13">
        <v>0</v>
      </c>
      <c r="F392" s="13">
        <v>317</v>
      </c>
      <c r="G392" s="13">
        <v>173</v>
      </c>
      <c r="H392" s="13">
        <v>172</v>
      </c>
      <c r="I392" s="13">
        <v>1</v>
      </c>
      <c r="J392" s="13">
        <v>144</v>
      </c>
      <c r="K392" s="13">
        <v>25</v>
      </c>
      <c r="L392" s="13">
        <v>21</v>
      </c>
      <c r="M392" s="13">
        <v>4</v>
      </c>
      <c r="N392" s="119">
        <v>168</v>
      </c>
      <c r="O392" s="22">
        <v>156</v>
      </c>
      <c r="P392" s="22">
        <v>10</v>
      </c>
      <c r="Q392" s="119">
        <v>2</v>
      </c>
      <c r="R392" s="13">
        <v>9</v>
      </c>
    </row>
    <row r="393" spans="1:18" x14ac:dyDescent="0.2">
      <c r="A393" s="128">
        <v>40564</v>
      </c>
      <c r="B393" s="13">
        <v>318</v>
      </c>
      <c r="C393" s="13">
        <v>0</v>
      </c>
      <c r="D393" s="13">
        <v>0</v>
      </c>
      <c r="E393" s="13">
        <v>0</v>
      </c>
      <c r="F393" s="13">
        <v>318</v>
      </c>
      <c r="G393" s="13">
        <v>169</v>
      </c>
      <c r="H393" s="13">
        <v>168</v>
      </c>
      <c r="I393" s="13">
        <v>1</v>
      </c>
      <c r="J393" s="13">
        <v>149</v>
      </c>
      <c r="K393" s="13">
        <v>25</v>
      </c>
      <c r="L393" s="13">
        <v>20</v>
      </c>
      <c r="M393" s="13">
        <v>4</v>
      </c>
      <c r="N393" s="119">
        <v>165</v>
      </c>
      <c r="O393" s="22">
        <v>154</v>
      </c>
      <c r="P393" s="22">
        <v>10</v>
      </c>
      <c r="Q393" s="119">
        <v>1</v>
      </c>
      <c r="R393" s="13">
        <v>10</v>
      </c>
    </row>
    <row r="394" spans="1:18" x14ac:dyDescent="0.2">
      <c r="A394" s="128">
        <v>40571</v>
      </c>
      <c r="B394" s="13">
        <v>307</v>
      </c>
      <c r="C394" s="13">
        <v>0</v>
      </c>
      <c r="D394" s="13">
        <v>0</v>
      </c>
      <c r="E394" s="13">
        <v>0</v>
      </c>
      <c r="F394" s="13">
        <v>307</v>
      </c>
      <c r="G394" s="13">
        <v>173</v>
      </c>
      <c r="H394" s="13">
        <v>172</v>
      </c>
      <c r="I394" s="13">
        <v>0</v>
      </c>
      <c r="J394" s="13">
        <v>134</v>
      </c>
      <c r="K394" s="13">
        <v>23</v>
      </c>
      <c r="L394" s="13">
        <v>19</v>
      </c>
      <c r="M394" s="13">
        <v>4</v>
      </c>
      <c r="N394" s="119">
        <v>163</v>
      </c>
      <c r="O394" s="22">
        <v>153</v>
      </c>
      <c r="P394" s="22">
        <v>10</v>
      </c>
      <c r="Q394" s="119">
        <v>0</v>
      </c>
      <c r="R394" s="13">
        <v>10</v>
      </c>
    </row>
    <row r="395" spans="1:18" x14ac:dyDescent="0.2">
      <c r="A395" s="128">
        <v>40578</v>
      </c>
      <c r="B395" s="13">
        <v>301</v>
      </c>
      <c r="C395" s="13">
        <v>0</v>
      </c>
      <c r="D395" s="13">
        <v>0</v>
      </c>
      <c r="E395" s="13">
        <v>0</v>
      </c>
      <c r="F395" s="13">
        <v>301</v>
      </c>
      <c r="G395" s="13">
        <v>171</v>
      </c>
      <c r="H395" s="13">
        <v>171</v>
      </c>
      <c r="I395" s="13">
        <v>0</v>
      </c>
      <c r="J395" s="13">
        <v>129</v>
      </c>
      <c r="K395" s="13">
        <v>24</v>
      </c>
      <c r="L395" s="13">
        <v>20</v>
      </c>
      <c r="M395" s="13">
        <v>4</v>
      </c>
      <c r="N395" s="119">
        <v>166</v>
      </c>
      <c r="O395" s="22">
        <v>158</v>
      </c>
      <c r="P395" s="22">
        <v>9</v>
      </c>
      <c r="Q395" s="119">
        <v>-1</v>
      </c>
      <c r="R395" s="13">
        <v>9</v>
      </c>
    </row>
    <row r="396" spans="1:18" x14ac:dyDescent="0.2">
      <c r="A396" s="128">
        <v>40585</v>
      </c>
      <c r="B396" s="13">
        <v>300</v>
      </c>
      <c r="C396" s="13">
        <v>0</v>
      </c>
      <c r="D396" s="13">
        <v>0</v>
      </c>
      <c r="E396" s="13">
        <v>0</v>
      </c>
      <c r="F396" s="13">
        <v>300</v>
      </c>
      <c r="G396" s="13">
        <v>170</v>
      </c>
      <c r="H396" s="13">
        <v>170</v>
      </c>
      <c r="I396" s="13">
        <v>0</v>
      </c>
      <c r="J396" s="13">
        <v>130</v>
      </c>
      <c r="K396" s="13">
        <v>26</v>
      </c>
      <c r="L396" s="13">
        <v>20</v>
      </c>
      <c r="M396" s="13">
        <v>6</v>
      </c>
      <c r="N396" s="119">
        <v>168</v>
      </c>
      <c r="O396" s="22">
        <v>159</v>
      </c>
      <c r="P396" s="22">
        <v>10</v>
      </c>
      <c r="Q396" s="119">
        <v>-1</v>
      </c>
      <c r="R396" s="13">
        <v>10</v>
      </c>
    </row>
    <row r="397" spans="1:18" x14ac:dyDescent="0.2">
      <c r="A397" s="128">
        <v>40592</v>
      </c>
      <c r="B397" s="13">
        <v>305</v>
      </c>
      <c r="C397" s="13">
        <v>0</v>
      </c>
      <c r="D397" s="13">
        <v>0</v>
      </c>
      <c r="E397" s="13">
        <v>0</v>
      </c>
      <c r="F397" s="13">
        <v>305</v>
      </c>
      <c r="G397" s="13">
        <v>175</v>
      </c>
      <c r="H397" s="13">
        <v>175</v>
      </c>
      <c r="I397" s="13">
        <v>0</v>
      </c>
      <c r="J397" s="13">
        <v>130</v>
      </c>
      <c r="K397" s="13">
        <v>26</v>
      </c>
      <c r="L397" s="13">
        <v>20</v>
      </c>
      <c r="M397" s="13">
        <v>6</v>
      </c>
      <c r="N397" s="119">
        <v>171</v>
      </c>
      <c r="O397" s="22">
        <v>159</v>
      </c>
      <c r="P397" s="22">
        <v>12</v>
      </c>
      <c r="Q397" s="119">
        <v>0</v>
      </c>
      <c r="R397" s="13">
        <v>10</v>
      </c>
    </row>
    <row r="398" spans="1:18" x14ac:dyDescent="0.2">
      <c r="A398" s="128">
        <v>40599</v>
      </c>
      <c r="B398" s="13">
        <v>311</v>
      </c>
      <c r="C398" s="13">
        <v>0</v>
      </c>
      <c r="D398" s="13">
        <v>0</v>
      </c>
      <c r="E398" s="13">
        <v>0</v>
      </c>
      <c r="F398" s="13">
        <v>311</v>
      </c>
      <c r="G398" s="13">
        <v>175</v>
      </c>
      <c r="H398" s="13">
        <v>175</v>
      </c>
      <c r="I398" s="13">
        <v>0</v>
      </c>
      <c r="J398" s="13">
        <v>136</v>
      </c>
      <c r="K398" s="13">
        <v>29</v>
      </c>
      <c r="L398" s="13">
        <v>22</v>
      </c>
      <c r="M398" s="13">
        <v>7</v>
      </c>
      <c r="N398" s="119">
        <v>171</v>
      </c>
      <c r="O398" s="22">
        <v>160</v>
      </c>
      <c r="P398" s="22">
        <v>12</v>
      </c>
      <c r="Q398" s="119">
        <v>0</v>
      </c>
      <c r="R398" s="13">
        <v>10</v>
      </c>
    </row>
    <row r="399" spans="1:18" x14ac:dyDescent="0.2">
      <c r="A399" s="128">
        <v>40606</v>
      </c>
      <c r="B399" s="13">
        <v>317</v>
      </c>
      <c r="C399" s="13">
        <v>0</v>
      </c>
      <c r="D399" s="13">
        <v>0</v>
      </c>
      <c r="E399" s="13">
        <v>0</v>
      </c>
      <c r="F399" s="13">
        <v>317</v>
      </c>
      <c r="G399" s="13">
        <v>176</v>
      </c>
      <c r="H399" s="13">
        <v>176</v>
      </c>
      <c r="I399" s="13">
        <v>0</v>
      </c>
      <c r="J399" s="13">
        <v>140</v>
      </c>
      <c r="K399" s="13">
        <v>30</v>
      </c>
      <c r="L399" s="13">
        <v>23</v>
      </c>
      <c r="M399" s="13">
        <v>6</v>
      </c>
      <c r="N399" s="119">
        <v>171</v>
      </c>
      <c r="O399" s="22">
        <v>158</v>
      </c>
      <c r="P399" s="22">
        <v>13</v>
      </c>
      <c r="Q399" s="119">
        <v>-1</v>
      </c>
      <c r="R399" s="13">
        <v>10</v>
      </c>
    </row>
    <row r="400" spans="1:18" x14ac:dyDescent="0.2">
      <c r="A400" s="128">
        <v>40613</v>
      </c>
      <c r="B400" s="13">
        <v>307</v>
      </c>
      <c r="C400" s="13">
        <v>0</v>
      </c>
      <c r="D400" s="13">
        <v>0</v>
      </c>
      <c r="E400" s="13">
        <v>0</v>
      </c>
      <c r="F400" s="13">
        <v>307</v>
      </c>
      <c r="G400" s="13">
        <v>176</v>
      </c>
      <c r="H400" s="13">
        <v>176</v>
      </c>
      <c r="I400" s="13">
        <v>0</v>
      </c>
      <c r="J400" s="13">
        <v>131</v>
      </c>
      <c r="K400" s="13">
        <v>30</v>
      </c>
      <c r="L400" s="13">
        <v>24</v>
      </c>
      <c r="M400" s="13">
        <v>6</v>
      </c>
      <c r="N400" s="119">
        <v>171</v>
      </c>
      <c r="O400" s="22">
        <v>157</v>
      </c>
      <c r="P400" s="22">
        <v>13</v>
      </c>
      <c r="Q400" s="119">
        <v>0</v>
      </c>
      <c r="R400" s="13">
        <v>10</v>
      </c>
    </row>
    <row r="401" spans="1:18" x14ac:dyDescent="0.2">
      <c r="A401" s="128">
        <v>40620</v>
      </c>
      <c r="B401" s="13">
        <v>298</v>
      </c>
      <c r="C401" s="13">
        <v>0</v>
      </c>
      <c r="D401" s="13">
        <v>0</v>
      </c>
      <c r="E401" s="13">
        <v>0</v>
      </c>
      <c r="F401" s="13">
        <v>298</v>
      </c>
      <c r="G401" s="13">
        <v>172</v>
      </c>
      <c r="H401" s="13">
        <v>172</v>
      </c>
      <c r="I401" s="13">
        <v>0</v>
      </c>
      <c r="J401" s="13">
        <v>126</v>
      </c>
      <c r="K401" s="13">
        <v>29</v>
      </c>
      <c r="L401" s="13">
        <v>24</v>
      </c>
      <c r="M401" s="13">
        <v>5</v>
      </c>
      <c r="N401" s="119">
        <v>172</v>
      </c>
      <c r="O401" s="22">
        <v>159</v>
      </c>
      <c r="P401" s="22">
        <v>13</v>
      </c>
      <c r="Q401" s="119">
        <v>0</v>
      </c>
      <c r="R401" s="13">
        <v>10</v>
      </c>
    </row>
    <row r="402" spans="1:18" x14ac:dyDescent="0.2">
      <c r="A402" s="128">
        <v>40627</v>
      </c>
      <c r="B402" s="13">
        <v>288</v>
      </c>
      <c r="C402" s="13">
        <v>0</v>
      </c>
      <c r="D402" s="13">
        <v>0</v>
      </c>
      <c r="E402" s="13">
        <v>0</v>
      </c>
      <c r="F402" s="13">
        <v>288</v>
      </c>
      <c r="G402" s="13">
        <v>172</v>
      </c>
      <c r="H402" s="13">
        <v>172</v>
      </c>
      <c r="I402" s="13">
        <v>0</v>
      </c>
      <c r="J402" s="13">
        <v>117</v>
      </c>
      <c r="K402" s="13">
        <v>27</v>
      </c>
      <c r="L402" s="13">
        <v>24</v>
      </c>
      <c r="M402" s="13">
        <v>4</v>
      </c>
      <c r="N402" s="119">
        <v>172</v>
      </c>
      <c r="O402" s="22">
        <v>158</v>
      </c>
      <c r="P402" s="22">
        <v>13</v>
      </c>
      <c r="Q402" s="119">
        <v>1</v>
      </c>
      <c r="R402" s="13">
        <v>10</v>
      </c>
    </row>
    <row r="403" spans="1:18" x14ac:dyDescent="0.2">
      <c r="A403" s="128">
        <v>40634</v>
      </c>
      <c r="B403" s="13">
        <v>273</v>
      </c>
      <c r="C403" s="13">
        <v>0</v>
      </c>
      <c r="D403" s="13">
        <v>0</v>
      </c>
      <c r="E403" s="13">
        <v>0</v>
      </c>
      <c r="F403" s="13">
        <v>273</v>
      </c>
      <c r="G403" s="13">
        <v>172</v>
      </c>
      <c r="H403" s="13">
        <v>172</v>
      </c>
      <c r="I403" s="13">
        <v>0</v>
      </c>
      <c r="J403" s="13">
        <v>101</v>
      </c>
      <c r="K403" s="13">
        <v>25</v>
      </c>
      <c r="L403" s="13">
        <v>21</v>
      </c>
      <c r="M403" s="13">
        <v>4</v>
      </c>
      <c r="N403" s="119">
        <v>163</v>
      </c>
      <c r="O403" s="22">
        <v>150</v>
      </c>
      <c r="P403" s="22">
        <v>11</v>
      </c>
      <c r="Q403" s="119">
        <v>1</v>
      </c>
      <c r="R403" s="13">
        <v>11</v>
      </c>
    </row>
    <row r="404" spans="1:18" x14ac:dyDescent="0.2">
      <c r="A404" s="128">
        <v>40641</v>
      </c>
      <c r="B404" s="13">
        <v>262</v>
      </c>
      <c r="C404" s="13">
        <v>0</v>
      </c>
      <c r="D404" s="13">
        <v>0</v>
      </c>
      <c r="E404" s="13">
        <v>0</v>
      </c>
      <c r="F404" s="13">
        <v>262</v>
      </c>
      <c r="G404" s="13">
        <v>169</v>
      </c>
      <c r="H404" s="13">
        <v>169</v>
      </c>
      <c r="I404" s="13">
        <v>0</v>
      </c>
      <c r="J404" s="13">
        <v>93</v>
      </c>
      <c r="K404" s="13">
        <v>24</v>
      </c>
      <c r="L404" s="13">
        <v>20</v>
      </c>
      <c r="M404" s="13">
        <v>4</v>
      </c>
      <c r="N404" s="119">
        <v>156</v>
      </c>
      <c r="O404" s="22">
        <v>145</v>
      </c>
      <c r="P404" s="22">
        <v>10</v>
      </c>
      <c r="Q404" s="119">
        <v>1</v>
      </c>
      <c r="R404" s="13">
        <v>11</v>
      </c>
    </row>
    <row r="405" spans="1:18" x14ac:dyDescent="0.2">
      <c r="A405" s="128">
        <v>40648</v>
      </c>
      <c r="B405" s="13">
        <v>249</v>
      </c>
      <c r="C405" s="13">
        <v>0</v>
      </c>
      <c r="D405" s="13">
        <v>0</v>
      </c>
      <c r="E405" s="13">
        <v>0</v>
      </c>
      <c r="F405" s="13">
        <v>249</v>
      </c>
      <c r="G405" s="13">
        <v>171</v>
      </c>
      <c r="H405" s="13">
        <v>171</v>
      </c>
      <c r="I405" s="13">
        <v>0</v>
      </c>
      <c r="J405" s="13">
        <v>77</v>
      </c>
      <c r="K405" s="13">
        <v>24</v>
      </c>
      <c r="L405" s="13">
        <v>21</v>
      </c>
      <c r="M405" s="13">
        <v>4</v>
      </c>
      <c r="N405" s="119">
        <v>152</v>
      </c>
      <c r="O405" s="22">
        <v>144</v>
      </c>
      <c r="P405" s="22">
        <v>7</v>
      </c>
      <c r="Q405" s="119">
        <v>1</v>
      </c>
      <c r="R405" s="13">
        <v>10</v>
      </c>
    </row>
    <row r="406" spans="1:18" x14ac:dyDescent="0.2">
      <c r="A406" s="128">
        <v>40655</v>
      </c>
      <c r="B406" s="13">
        <v>237</v>
      </c>
      <c r="C406" s="13">
        <v>0</v>
      </c>
      <c r="D406" s="13">
        <v>0</v>
      </c>
      <c r="E406" s="13">
        <v>0</v>
      </c>
      <c r="F406" s="13">
        <v>237</v>
      </c>
      <c r="G406" s="13">
        <v>173</v>
      </c>
      <c r="H406" s="13">
        <v>173</v>
      </c>
      <c r="I406" s="13">
        <v>0</v>
      </c>
      <c r="J406" s="13">
        <v>64</v>
      </c>
      <c r="K406" s="13">
        <v>23</v>
      </c>
      <c r="L406" s="13">
        <v>19</v>
      </c>
      <c r="M406" s="13">
        <v>4</v>
      </c>
      <c r="N406" s="119">
        <v>153</v>
      </c>
      <c r="O406" s="22">
        <v>145</v>
      </c>
      <c r="P406" s="22">
        <v>8</v>
      </c>
      <c r="Q406" s="119">
        <v>0</v>
      </c>
      <c r="R406" s="13">
        <v>10</v>
      </c>
    </row>
    <row r="407" spans="1:18" x14ac:dyDescent="0.2">
      <c r="A407" s="128">
        <v>40662</v>
      </c>
      <c r="B407" s="13">
        <v>234</v>
      </c>
      <c r="C407" s="13">
        <v>0</v>
      </c>
      <c r="D407" s="13">
        <v>0</v>
      </c>
      <c r="E407" s="13">
        <v>0</v>
      </c>
      <c r="F407" s="13">
        <v>234</v>
      </c>
      <c r="G407" s="13">
        <v>174</v>
      </c>
      <c r="H407" s="13">
        <v>174</v>
      </c>
      <c r="I407" s="13">
        <v>0</v>
      </c>
      <c r="J407" s="13">
        <v>59</v>
      </c>
      <c r="K407" s="13">
        <v>24</v>
      </c>
      <c r="L407" s="13">
        <v>21</v>
      </c>
      <c r="M407" s="13">
        <v>3</v>
      </c>
      <c r="N407" s="119">
        <v>164</v>
      </c>
      <c r="O407" s="22">
        <v>158</v>
      </c>
      <c r="P407" s="22">
        <v>7</v>
      </c>
      <c r="Q407" s="119">
        <v>0</v>
      </c>
      <c r="R407" s="13">
        <v>10</v>
      </c>
    </row>
    <row r="408" spans="1:18" x14ac:dyDescent="0.2">
      <c r="A408" s="128">
        <v>40669</v>
      </c>
      <c r="B408" s="13">
        <v>244</v>
      </c>
      <c r="C408" s="13">
        <v>0</v>
      </c>
      <c r="D408" s="13">
        <v>0</v>
      </c>
      <c r="E408" s="13">
        <v>0</v>
      </c>
      <c r="F408" s="13">
        <v>244</v>
      </c>
      <c r="G408" s="13">
        <v>177</v>
      </c>
      <c r="H408" s="13">
        <v>177</v>
      </c>
      <c r="I408" s="13">
        <v>0</v>
      </c>
      <c r="J408" s="13">
        <v>67</v>
      </c>
      <c r="K408" s="13">
        <v>25</v>
      </c>
      <c r="L408" s="13">
        <v>23</v>
      </c>
      <c r="M408" s="13">
        <v>3</v>
      </c>
      <c r="N408" s="119">
        <v>175</v>
      </c>
      <c r="O408" s="22">
        <v>167</v>
      </c>
      <c r="P408" s="22">
        <v>9</v>
      </c>
      <c r="Q408" s="119">
        <v>0</v>
      </c>
      <c r="R408" s="13">
        <v>9</v>
      </c>
    </row>
    <row r="409" spans="1:18" x14ac:dyDescent="0.2">
      <c r="A409" s="128">
        <v>40676</v>
      </c>
      <c r="B409" s="13">
        <v>252</v>
      </c>
      <c r="C409" s="13">
        <v>0</v>
      </c>
      <c r="D409" s="13">
        <v>0</v>
      </c>
      <c r="E409" s="13">
        <v>0</v>
      </c>
      <c r="F409" s="13">
        <v>252</v>
      </c>
      <c r="G409" s="13">
        <v>175</v>
      </c>
      <c r="H409" s="13">
        <v>175</v>
      </c>
      <c r="I409" s="13">
        <v>0</v>
      </c>
      <c r="J409" s="13">
        <v>77</v>
      </c>
      <c r="K409" s="13">
        <v>24</v>
      </c>
      <c r="L409" s="13">
        <v>22</v>
      </c>
      <c r="M409" s="13">
        <v>2</v>
      </c>
      <c r="N409" s="119">
        <v>181</v>
      </c>
      <c r="O409" s="22">
        <v>172</v>
      </c>
      <c r="P409" s="22">
        <v>10</v>
      </c>
      <c r="Q409" s="119">
        <v>-1</v>
      </c>
      <c r="R409" s="13">
        <v>9</v>
      </c>
    </row>
    <row r="410" spans="1:18" x14ac:dyDescent="0.2">
      <c r="A410" s="128">
        <v>40683</v>
      </c>
      <c r="B410" s="13">
        <v>262</v>
      </c>
      <c r="C410" s="13">
        <v>0</v>
      </c>
      <c r="D410" s="13">
        <v>0</v>
      </c>
      <c r="E410" s="13">
        <v>0</v>
      </c>
      <c r="F410" s="13">
        <v>262</v>
      </c>
      <c r="G410" s="13">
        <v>176</v>
      </c>
      <c r="H410" s="13">
        <v>176</v>
      </c>
      <c r="I410" s="13">
        <v>0</v>
      </c>
      <c r="J410" s="13">
        <v>85</v>
      </c>
      <c r="K410" s="13">
        <v>24</v>
      </c>
      <c r="L410" s="13">
        <v>22</v>
      </c>
      <c r="M410" s="13">
        <v>2</v>
      </c>
      <c r="N410" s="119">
        <v>189</v>
      </c>
      <c r="O410" s="22">
        <v>179</v>
      </c>
      <c r="P410" s="22">
        <v>10</v>
      </c>
      <c r="Q410" s="119">
        <v>-1</v>
      </c>
      <c r="R410" s="13">
        <v>10</v>
      </c>
    </row>
    <row r="411" spans="1:18" x14ac:dyDescent="0.2">
      <c r="A411" s="128">
        <v>40690</v>
      </c>
      <c r="B411" s="13">
        <v>276</v>
      </c>
      <c r="C411" s="13">
        <v>0</v>
      </c>
      <c r="D411" s="13">
        <v>0</v>
      </c>
      <c r="E411" s="13">
        <v>0</v>
      </c>
      <c r="F411" s="13">
        <v>276</v>
      </c>
      <c r="G411" s="13">
        <v>177</v>
      </c>
      <c r="H411" s="13">
        <v>176</v>
      </c>
      <c r="I411" s="13">
        <v>0</v>
      </c>
      <c r="J411" s="13">
        <v>99</v>
      </c>
      <c r="K411" s="13">
        <v>25</v>
      </c>
      <c r="L411" s="13">
        <v>23</v>
      </c>
      <c r="M411" s="13">
        <v>3</v>
      </c>
      <c r="N411" s="119">
        <v>190</v>
      </c>
      <c r="O411" s="22">
        <v>179</v>
      </c>
      <c r="P411" s="22">
        <v>12</v>
      </c>
      <c r="Q411" s="119">
        <v>-1</v>
      </c>
      <c r="R411" s="13">
        <v>10</v>
      </c>
    </row>
    <row r="412" spans="1:18" x14ac:dyDescent="0.2">
      <c r="A412" s="128">
        <v>40697</v>
      </c>
      <c r="B412" s="13">
        <v>292</v>
      </c>
      <c r="C412" s="13">
        <v>0</v>
      </c>
      <c r="D412" s="13">
        <v>0</v>
      </c>
      <c r="E412" s="13">
        <v>0</v>
      </c>
      <c r="F412" s="13">
        <v>292</v>
      </c>
      <c r="G412" s="13">
        <v>181</v>
      </c>
      <c r="H412" s="13">
        <v>181</v>
      </c>
      <c r="I412" s="13">
        <v>0</v>
      </c>
      <c r="J412" s="13">
        <v>111</v>
      </c>
      <c r="K412" s="13">
        <v>27</v>
      </c>
      <c r="L412" s="13">
        <v>24</v>
      </c>
      <c r="M412" s="13">
        <v>3</v>
      </c>
      <c r="N412" s="119">
        <v>190</v>
      </c>
      <c r="O412" s="22">
        <v>178</v>
      </c>
      <c r="P412" s="22">
        <v>12</v>
      </c>
      <c r="Q412" s="119">
        <v>0</v>
      </c>
      <c r="R412" s="13">
        <v>11</v>
      </c>
    </row>
    <row r="413" spans="1:18" x14ac:dyDescent="0.2">
      <c r="A413" s="128">
        <v>40704</v>
      </c>
      <c r="B413" s="13">
        <v>295</v>
      </c>
      <c r="C413" s="13">
        <v>0</v>
      </c>
      <c r="D413" s="13">
        <v>0</v>
      </c>
      <c r="E413" s="13">
        <v>0</v>
      </c>
      <c r="F413" s="13">
        <v>295</v>
      </c>
      <c r="G413" s="13">
        <v>185</v>
      </c>
      <c r="H413" s="13">
        <v>185</v>
      </c>
      <c r="I413" s="13">
        <v>0</v>
      </c>
      <c r="J413" s="13">
        <v>110</v>
      </c>
      <c r="K413" s="13">
        <v>29</v>
      </c>
      <c r="L413" s="13">
        <v>25</v>
      </c>
      <c r="M413" s="13">
        <v>4</v>
      </c>
      <c r="N413" s="119">
        <v>195</v>
      </c>
      <c r="O413" s="22">
        <v>182</v>
      </c>
      <c r="P413" s="22">
        <v>12</v>
      </c>
      <c r="Q413" s="119">
        <v>1</v>
      </c>
      <c r="R413" s="13">
        <v>11</v>
      </c>
    </row>
    <row r="414" spans="1:18" x14ac:dyDescent="0.2">
      <c r="A414" s="128">
        <v>40711</v>
      </c>
      <c r="B414" s="13">
        <v>301</v>
      </c>
      <c r="C414" s="13">
        <v>0</v>
      </c>
      <c r="D414" s="13">
        <v>0</v>
      </c>
      <c r="E414" s="13">
        <v>0</v>
      </c>
      <c r="F414" s="13">
        <v>301</v>
      </c>
      <c r="G414" s="13">
        <v>186</v>
      </c>
      <c r="H414" s="13">
        <v>186</v>
      </c>
      <c r="I414" s="13">
        <v>0</v>
      </c>
      <c r="J414" s="13">
        <v>116</v>
      </c>
      <c r="K414" s="13">
        <v>29</v>
      </c>
      <c r="L414" s="13">
        <v>25</v>
      </c>
      <c r="M414" s="13">
        <v>4</v>
      </c>
      <c r="N414" s="119">
        <v>192</v>
      </c>
      <c r="O414" s="22">
        <v>179</v>
      </c>
      <c r="P414" s="22">
        <v>13</v>
      </c>
      <c r="Q414" s="119">
        <v>0</v>
      </c>
      <c r="R414" s="13">
        <v>11</v>
      </c>
    </row>
    <row r="415" spans="1:18" x14ac:dyDescent="0.2">
      <c r="A415" s="128">
        <v>40718</v>
      </c>
      <c r="B415" s="13">
        <v>302</v>
      </c>
      <c r="C415" s="13">
        <v>0</v>
      </c>
      <c r="D415" s="13">
        <v>0</v>
      </c>
      <c r="E415" s="13">
        <v>0</v>
      </c>
      <c r="F415" s="13">
        <v>302</v>
      </c>
      <c r="G415" s="13">
        <v>190</v>
      </c>
      <c r="H415" s="13">
        <v>190</v>
      </c>
      <c r="I415" s="13">
        <v>0</v>
      </c>
      <c r="J415" s="13">
        <v>112</v>
      </c>
      <c r="K415" s="13">
        <v>28</v>
      </c>
      <c r="L415" s="13">
        <v>25</v>
      </c>
      <c r="M415" s="13">
        <v>4</v>
      </c>
      <c r="N415" s="119">
        <v>189</v>
      </c>
      <c r="O415" s="22">
        <v>174</v>
      </c>
      <c r="P415" s="22">
        <v>13</v>
      </c>
      <c r="Q415" s="119">
        <v>1</v>
      </c>
      <c r="R415" s="13">
        <v>10</v>
      </c>
    </row>
    <row r="416" spans="1:18" x14ac:dyDescent="0.2">
      <c r="A416" s="128">
        <v>40725</v>
      </c>
      <c r="B416" s="13">
        <v>297</v>
      </c>
      <c r="C416" s="13">
        <v>0</v>
      </c>
      <c r="D416" s="13">
        <v>0</v>
      </c>
      <c r="E416" s="13">
        <v>0</v>
      </c>
      <c r="F416" s="13">
        <v>297</v>
      </c>
      <c r="G416" s="13">
        <v>194</v>
      </c>
      <c r="H416" s="13">
        <v>194</v>
      </c>
      <c r="I416" s="13">
        <v>0</v>
      </c>
      <c r="J416" s="13">
        <v>103</v>
      </c>
      <c r="K416" s="13">
        <v>27</v>
      </c>
      <c r="L416" s="13">
        <v>23</v>
      </c>
      <c r="M416" s="13">
        <v>4</v>
      </c>
      <c r="N416" s="119">
        <v>189</v>
      </c>
      <c r="O416" s="22">
        <v>175</v>
      </c>
      <c r="P416" s="22">
        <v>14</v>
      </c>
      <c r="Q416" s="119">
        <v>0</v>
      </c>
      <c r="R416" s="13">
        <v>10</v>
      </c>
    </row>
    <row r="417" spans="1:18" x14ac:dyDescent="0.2">
      <c r="A417" s="128">
        <v>40732</v>
      </c>
      <c r="B417" s="13">
        <v>291</v>
      </c>
      <c r="C417" s="13">
        <v>0</v>
      </c>
      <c r="D417" s="13">
        <v>0</v>
      </c>
      <c r="E417" s="13">
        <v>0</v>
      </c>
      <c r="F417" s="13">
        <v>291</v>
      </c>
      <c r="G417" s="13">
        <v>199</v>
      </c>
      <c r="H417" s="13">
        <v>199</v>
      </c>
      <c r="I417" s="13">
        <v>0</v>
      </c>
      <c r="J417" s="13">
        <v>92</v>
      </c>
      <c r="K417" s="13">
        <v>29</v>
      </c>
      <c r="L417" s="13">
        <v>25</v>
      </c>
      <c r="M417" s="13">
        <v>3</v>
      </c>
      <c r="N417" s="119">
        <v>184</v>
      </c>
      <c r="O417" s="22">
        <v>171</v>
      </c>
      <c r="P417" s="22">
        <v>14</v>
      </c>
      <c r="Q417" s="119">
        <v>-1</v>
      </c>
      <c r="R417" s="13">
        <v>10</v>
      </c>
    </row>
    <row r="418" spans="1:18" x14ac:dyDescent="0.2">
      <c r="A418" s="128">
        <v>40739</v>
      </c>
      <c r="B418" s="13">
        <v>293</v>
      </c>
      <c r="C418" s="13">
        <v>0</v>
      </c>
      <c r="D418" s="13">
        <v>0</v>
      </c>
      <c r="E418" s="13">
        <v>0</v>
      </c>
      <c r="F418" s="13">
        <v>293</v>
      </c>
      <c r="G418" s="13">
        <v>203</v>
      </c>
      <c r="H418" s="13">
        <v>203</v>
      </c>
      <c r="I418" s="13">
        <v>0</v>
      </c>
      <c r="J418" s="13">
        <v>90</v>
      </c>
      <c r="K418" s="13">
        <v>30</v>
      </c>
      <c r="L418" s="13">
        <v>26</v>
      </c>
      <c r="M418" s="13">
        <v>4</v>
      </c>
      <c r="N418" s="119">
        <v>183</v>
      </c>
      <c r="O418" s="22">
        <v>173</v>
      </c>
      <c r="P418" s="22">
        <v>11</v>
      </c>
      <c r="Q418" s="119">
        <v>-2</v>
      </c>
      <c r="R418" s="13">
        <v>10</v>
      </c>
    </row>
    <row r="419" spans="1:18" x14ac:dyDescent="0.2">
      <c r="A419" s="128">
        <v>40746</v>
      </c>
      <c r="B419" s="13">
        <v>288</v>
      </c>
      <c r="C419" s="13">
        <v>0</v>
      </c>
      <c r="D419" s="13">
        <v>0</v>
      </c>
      <c r="E419" s="13">
        <v>0</v>
      </c>
      <c r="F419" s="13">
        <v>288</v>
      </c>
      <c r="G419" s="13">
        <v>207</v>
      </c>
      <c r="H419" s="13">
        <v>207</v>
      </c>
      <c r="I419" s="13">
        <v>0</v>
      </c>
      <c r="J419" s="13">
        <v>81</v>
      </c>
      <c r="K419" s="13">
        <v>30</v>
      </c>
      <c r="L419" s="13">
        <v>25</v>
      </c>
      <c r="M419" s="13">
        <v>4</v>
      </c>
      <c r="N419" s="119">
        <v>187</v>
      </c>
      <c r="O419" s="22">
        <v>177</v>
      </c>
      <c r="P419" s="22">
        <v>12</v>
      </c>
      <c r="Q419" s="119">
        <v>-2</v>
      </c>
      <c r="R419" s="13">
        <v>10</v>
      </c>
    </row>
    <row r="420" spans="1:18" x14ac:dyDescent="0.2">
      <c r="A420" s="128">
        <v>40753</v>
      </c>
      <c r="B420" s="13">
        <v>275</v>
      </c>
      <c r="C420" s="13">
        <v>0</v>
      </c>
      <c r="D420" s="13">
        <v>0</v>
      </c>
      <c r="E420" s="13">
        <v>0</v>
      </c>
      <c r="F420" s="13">
        <v>275</v>
      </c>
      <c r="G420" s="13">
        <v>207</v>
      </c>
      <c r="H420" s="13">
        <v>207</v>
      </c>
      <c r="I420" s="13">
        <v>0</v>
      </c>
      <c r="J420" s="13">
        <v>68</v>
      </c>
      <c r="K420" s="13">
        <v>30</v>
      </c>
      <c r="L420" s="13">
        <v>25</v>
      </c>
      <c r="M420" s="13">
        <v>5</v>
      </c>
      <c r="N420" s="119">
        <v>186</v>
      </c>
      <c r="O420" s="22">
        <v>178</v>
      </c>
      <c r="P420" s="22">
        <v>10</v>
      </c>
      <c r="Q420" s="119">
        <v>-2</v>
      </c>
      <c r="R420" s="13">
        <v>10</v>
      </c>
    </row>
    <row r="421" spans="1:18" x14ac:dyDescent="0.2">
      <c r="A421" s="128">
        <v>40760</v>
      </c>
      <c r="B421" s="13">
        <v>283</v>
      </c>
      <c r="C421" s="13">
        <v>0</v>
      </c>
      <c r="D421" s="13">
        <v>0</v>
      </c>
      <c r="E421" s="13">
        <v>0</v>
      </c>
      <c r="F421" s="13">
        <v>283</v>
      </c>
      <c r="G421" s="13">
        <v>210</v>
      </c>
      <c r="H421" s="13">
        <v>210</v>
      </c>
      <c r="I421" s="13">
        <v>0</v>
      </c>
      <c r="J421" s="13">
        <v>73</v>
      </c>
      <c r="K421" s="13">
        <v>27</v>
      </c>
      <c r="L421" s="13">
        <v>22</v>
      </c>
      <c r="M421" s="13">
        <v>5</v>
      </c>
      <c r="N421" s="119">
        <v>186</v>
      </c>
      <c r="O421" s="22">
        <v>177</v>
      </c>
      <c r="P421" s="22">
        <v>10</v>
      </c>
      <c r="Q421" s="119">
        <v>-1</v>
      </c>
      <c r="R421" s="13">
        <v>11</v>
      </c>
    </row>
    <row r="422" spans="1:18" x14ac:dyDescent="0.2">
      <c r="A422" s="128">
        <v>40767</v>
      </c>
      <c r="B422" s="13">
        <v>274</v>
      </c>
      <c r="C422" s="13">
        <v>0</v>
      </c>
      <c r="D422" s="13">
        <v>0</v>
      </c>
      <c r="E422" s="13">
        <v>0</v>
      </c>
      <c r="F422" s="13">
        <v>274</v>
      </c>
      <c r="G422" s="13">
        <v>215</v>
      </c>
      <c r="H422" s="13">
        <v>214</v>
      </c>
      <c r="I422" s="13">
        <v>0</v>
      </c>
      <c r="J422" s="13">
        <v>60</v>
      </c>
      <c r="K422" s="13">
        <v>27</v>
      </c>
      <c r="L422" s="13">
        <v>23</v>
      </c>
      <c r="M422" s="13">
        <v>4</v>
      </c>
      <c r="N422" s="119">
        <v>188</v>
      </c>
      <c r="O422" s="22">
        <v>178</v>
      </c>
      <c r="P422" s="22">
        <v>11</v>
      </c>
      <c r="Q422" s="119">
        <v>-1</v>
      </c>
      <c r="R422" s="13">
        <v>11</v>
      </c>
    </row>
    <row r="423" spans="1:18" x14ac:dyDescent="0.2">
      <c r="A423" s="128">
        <v>40774</v>
      </c>
      <c r="B423" s="13">
        <v>272</v>
      </c>
      <c r="C423" s="13">
        <v>0</v>
      </c>
      <c r="D423" s="13">
        <v>0</v>
      </c>
      <c r="E423" s="13">
        <v>0</v>
      </c>
      <c r="F423" s="13">
        <v>272</v>
      </c>
      <c r="G423" s="13">
        <v>217</v>
      </c>
      <c r="H423" s="13">
        <v>217</v>
      </c>
      <c r="I423" s="13">
        <v>0</v>
      </c>
      <c r="J423" s="13">
        <v>54</v>
      </c>
      <c r="K423" s="13">
        <v>26</v>
      </c>
      <c r="L423" s="13">
        <v>22</v>
      </c>
      <c r="M423" s="13">
        <v>4</v>
      </c>
      <c r="N423" s="119">
        <v>188</v>
      </c>
      <c r="O423" s="22">
        <v>179</v>
      </c>
      <c r="P423" s="22">
        <v>9</v>
      </c>
      <c r="Q423" s="119">
        <v>-1</v>
      </c>
      <c r="R423" s="13">
        <v>11</v>
      </c>
    </row>
    <row r="424" spans="1:18" x14ac:dyDescent="0.2">
      <c r="A424" s="128">
        <v>40781</v>
      </c>
      <c r="B424" s="13">
        <v>273</v>
      </c>
      <c r="C424" s="13">
        <v>0</v>
      </c>
      <c r="D424" s="13">
        <v>0</v>
      </c>
      <c r="E424" s="13">
        <v>0</v>
      </c>
      <c r="F424" s="13">
        <v>273</v>
      </c>
      <c r="G424" s="13">
        <v>218</v>
      </c>
      <c r="H424" s="13">
        <v>218</v>
      </c>
      <c r="I424" s="13">
        <v>0</v>
      </c>
      <c r="J424" s="13">
        <v>56</v>
      </c>
      <c r="K424" s="13">
        <v>26</v>
      </c>
      <c r="L424" s="13">
        <v>21</v>
      </c>
      <c r="M424" s="13">
        <v>5</v>
      </c>
      <c r="N424" s="119">
        <v>185</v>
      </c>
      <c r="O424" s="22">
        <v>176</v>
      </c>
      <c r="P424" s="22">
        <v>10</v>
      </c>
      <c r="Q424" s="119">
        <v>-1</v>
      </c>
      <c r="R424" s="13">
        <v>10</v>
      </c>
    </row>
    <row r="425" spans="1:18" x14ac:dyDescent="0.2">
      <c r="A425" s="128">
        <v>40788</v>
      </c>
      <c r="B425" s="13">
        <v>265</v>
      </c>
      <c r="C425" s="13">
        <v>0</v>
      </c>
      <c r="D425" s="13">
        <v>0</v>
      </c>
      <c r="E425" s="13">
        <v>0</v>
      </c>
      <c r="F425" s="13">
        <v>265</v>
      </c>
      <c r="G425" s="13">
        <v>217</v>
      </c>
      <c r="H425" s="13">
        <v>217</v>
      </c>
      <c r="I425" s="13">
        <v>0</v>
      </c>
      <c r="J425" s="13">
        <v>48</v>
      </c>
      <c r="K425" s="13">
        <v>26</v>
      </c>
      <c r="L425" s="13">
        <v>22</v>
      </c>
      <c r="M425" s="13">
        <v>5</v>
      </c>
      <c r="N425" s="119">
        <v>188</v>
      </c>
      <c r="O425" s="22">
        <v>179</v>
      </c>
      <c r="P425" s="22">
        <v>10</v>
      </c>
      <c r="Q425" s="119">
        <v>-2</v>
      </c>
      <c r="R425" s="13">
        <v>11</v>
      </c>
    </row>
    <row r="426" spans="1:18" x14ac:dyDescent="0.2">
      <c r="A426" s="128">
        <v>40795</v>
      </c>
      <c r="B426" s="13">
        <v>261</v>
      </c>
      <c r="C426" s="13">
        <v>0</v>
      </c>
      <c r="D426" s="13">
        <v>0</v>
      </c>
      <c r="E426" s="13">
        <v>0</v>
      </c>
      <c r="F426" s="13">
        <v>261</v>
      </c>
      <c r="G426" s="13">
        <v>213</v>
      </c>
      <c r="H426" s="13">
        <v>213</v>
      </c>
      <c r="I426" s="13">
        <v>0</v>
      </c>
      <c r="J426" s="13">
        <v>48</v>
      </c>
      <c r="K426" s="13">
        <v>26</v>
      </c>
      <c r="L426" s="13">
        <v>22</v>
      </c>
      <c r="M426" s="13">
        <v>4</v>
      </c>
      <c r="N426" s="119">
        <v>179</v>
      </c>
      <c r="O426" s="22">
        <v>171</v>
      </c>
      <c r="P426" s="22">
        <v>10</v>
      </c>
      <c r="Q426" s="119">
        <v>-2</v>
      </c>
      <c r="R426" s="13">
        <v>11</v>
      </c>
    </row>
    <row r="427" spans="1:18" x14ac:dyDescent="0.2">
      <c r="A427" s="128">
        <v>40802</v>
      </c>
      <c r="B427" s="13">
        <v>261</v>
      </c>
      <c r="C427" s="13">
        <v>0</v>
      </c>
      <c r="D427" s="13">
        <v>0</v>
      </c>
      <c r="E427" s="13">
        <v>0</v>
      </c>
      <c r="F427" s="13">
        <v>261</v>
      </c>
      <c r="G427" s="13">
        <v>209</v>
      </c>
      <c r="H427" s="13">
        <v>209</v>
      </c>
      <c r="I427" s="13">
        <v>0</v>
      </c>
      <c r="J427" s="13">
        <v>52</v>
      </c>
      <c r="K427" s="13">
        <v>26</v>
      </c>
      <c r="L427" s="13">
        <v>22</v>
      </c>
      <c r="M427" s="13">
        <v>5</v>
      </c>
      <c r="N427" s="119">
        <v>171</v>
      </c>
      <c r="O427" s="22">
        <v>162</v>
      </c>
      <c r="P427" s="22">
        <v>10</v>
      </c>
      <c r="Q427" s="119">
        <v>-2</v>
      </c>
      <c r="R427" s="13">
        <v>11</v>
      </c>
    </row>
    <row r="428" spans="1:18" x14ac:dyDescent="0.2">
      <c r="A428" s="128">
        <v>40809</v>
      </c>
      <c r="B428" s="13">
        <v>254</v>
      </c>
      <c r="C428" s="13">
        <v>0</v>
      </c>
      <c r="D428" s="13">
        <v>0</v>
      </c>
      <c r="E428" s="13">
        <v>0</v>
      </c>
      <c r="F428" s="13">
        <v>254</v>
      </c>
      <c r="G428" s="13">
        <v>208</v>
      </c>
      <c r="H428" s="13">
        <v>208</v>
      </c>
      <c r="I428" s="13">
        <v>0</v>
      </c>
      <c r="J428" s="13">
        <v>46</v>
      </c>
      <c r="K428" s="13">
        <v>25</v>
      </c>
      <c r="L428" s="13">
        <v>21</v>
      </c>
      <c r="M428" s="13">
        <v>3</v>
      </c>
      <c r="N428" s="119">
        <v>164</v>
      </c>
      <c r="O428" s="22">
        <v>153</v>
      </c>
      <c r="P428" s="22">
        <v>11</v>
      </c>
      <c r="Q428" s="119">
        <v>-1</v>
      </c>
      <c r="R428" s="13">
        <v>12</v>
      </c>
    </row>
    <row r="429" spans="1:18" x14ac:dyDescent="0.2">
      <c r="A429" s="128">
        <v>40816</v>
      </c>
      <c r="B429" s="13">
        <v>254</v>
      </c>
      <c r="C429" s="13">
        <v>0</v>
      </c>
      <c r="D429" s="13">
        <v>0</v>
      </c>
      <c r="E429" s="13">
        <v>0</v>
      </c>
      <c r="F429" s="13">
        <v>254</v>
      </c>
      <c r="G429" s="13">
        <v>208</v>
      </c>
      <c r="H429" s="13">
        <v>208</v>
      </c>
      <c r="I429" s="13">
        <v>0</v>
      </c>
      <c r="J429" s="13">
        <v>45</v>
      </c>
      <c r="K429" s="13">
        <v>23</v>
      </c>
      <c r="L429" s="13">
        <v>20</v>
      </c>
      <c r="M429" s="13">
        <v>3</v>
      </c>
      <c r="N429" s="119">
        <v>156</v>
      </c>
      <c r="O429" s="22">
        <v>147</v>
      </c>
      <c r="P429" s="22">
        <v>9</v>
      </c>
      <c r="Q429" s="119">
        <v>0</v>
      </c>
      <c r="R429" s="13">
        <v>12</v>
      </c>
    </row>
    <row r="430" spans="1:18" x14ac:dyDescent="0.2">
      <c r="A430" s="128">
        <v>40823</v>
      </c>
      <c r="B430" s="13">
        <v>259</v>
      </c>
      <c r="C430" s="13">
        <v>0</v>
      </c>
      <c r="D430" s="13">
        <v>0</v>
      </c>
      <c r="E430" s="13">
        <v>0</v>
      </c>
      <c r="F430" s="13">
        <v>259</v>
      </c>
      <c r="G430" s="13">
        <v>207</v>
      </c>
      <c r="H430" s="13">
        <v>206</v>
      </c>
      <c r="I430" s="13">
        <v>0</v>
      </c>
      <c r="J430" s="13">
        <v>52</v>
      </c>
      <c r="K430" s="13">
        <v>25</v>
      </c>
      <c r="L430" s="13">
        <v>22</v>
      </c>
      <c r="M430" s="13">
        <v>3</v>
      </c>
      <c r="N430" s="119">
        <v>157</v>
      </c>
      <c r="O430" s="22">
        <v>148</v>
      </c>
      <c r="P430" s="22">
        <v>10</v>
      </c>
      <c r="Q430" s="119">
        <v>-1</v>
      </c>
      <c r="R430" s="13">
        <v>12</v>
      </c>
    </row>
    <row r="431" spans="1:18" x14ac:dyDescent="0.2">
      <c r="A431" s="128">
        <v>40830</v>
      </c>
      <c r="B431" s="13">
        <v>254</v>
      </c>
      <c r="C431" s="13">
        <v>0</v>
      </c>
      <c r="D431" s="13">
        <v>0</v>
      </c>
      <c r="E431" s="13">
        <v>0</v>
      </c>
      <c r="F431" s="13">
        <v>254</v>
      </c>
      <c r="G431" s="13">
        <v>205</v>
      </c>
      <c r="H431" s="13">
        <v>205</v>
      </c>
      <c r="I431" s="13">
        <v>0</v>
      </c>
      <c r="J431" s="13">
        <v>49</v>
      </c>
      <c r="K431" s="13">
        <v>25</v>
      </c>
      <c r="L431" s="13">
        <v>23</v>
      </c>
      <c r="M431" s="13">
        <v>2</v>
      </c>
      <c r="N431" s="119">
        <v>162</v>
      </c>
      <c r="O431" s="22">
        <v>152</v>
      </c>
      <c r="P431" s="22">
        <v>11</v>
      </c>
      <c r="Q431" s="119">
        <v>-1</v>
      </c>
      <c r="R431" s="13">
        <v>12</v>
      </c>
    </row>
    <row r="432" spans="1:18" x14ac:dyDescent="0.2">
      <c r="A432" s="128">
        <v>40837</v>
      </c>
      <c r="B432" s="13">
        <v>263</v>
      </c>
      <c r="C432" s="13">
        <v>0</v>
      </c>
      <c r="D432" s="13">
        <v>0</v>
      </c>
      <c r="E432" s="13">
        <v>0</v>
      </c>
      <c r="F432" s="13">
        <v>263</v>
      </c>
      <c r="G432" s="13">
        <v>205</v>
      </c>
      <c r="H432" s="13">
        <v>205</v>
      </c>
      <c r="I432" s="13">
        <v>0</v>
      </c>
      <c r="J432" s="13">
        <v>58</v>
      </c>
      <c r="K432" s="13">
        <v>26</v>
      </c>
      <c r="L432" s="13">
        <v>24</v>
      </c>
      <c r="M432" s="13">
        <v>3</v>
      </c>
      <c r="N432" s="119">
        <v>169</v>
      </c>
      <c r="O432" s="22">
        <v>158</v>
      </c>
      <c r="P432" s="22">
        <v>12</v>
      </c>
      <c r="Q432" s="119">
        <v>-2</v>
      </c>
      <c r="R432" s="13">
        <v>12</v>
      </c>
    </row>
    <row r="433" spans="1:18" x14ac:dyDescent="0.2">
      <c r="A433" s="128">
        <v>40844</v>
      </c>
      <c r="B433" s="13">
        <v>262</v>
      </c>
      <c r="C433" s="13">
        <v>0</v>
      </c>
      <c r="D433" s="13">
        <v>0</v>
      </c>
      <c r="E433" s="13">
        <v>0</v>
      </c>
      <c r="F433" s="13">
        <v>262</v>
      </c>
      <c r="G433" s="13">
        <v>205</v>
      </c>
      <c r="H433" s="13">
        <v>205</v>
      </c>
      <c r="I433" s="13">
        <v>0</v>
      </c>
      <c r="J433" s="13">
        <v>57</v>
      </c>
      <c r="K433" s="13">
        <v>25</v>
      </c>
      <c r="L433" s="13">
        <v>22</v>
      </c>
      <c r="M433" s="13">
        <v>3</v>
      </c>
      <c r="N433" s="119">
        <v>176</v>
      </c>
      <c r="O433" s="22">
        <v>162</v>
      </c>
      <c r="P433" s="22">
        <v>14</v>
      </c>
      <c r="Q433" s="119">
        <v>-1</v>
      </c>
      <c r="R433" s="13">
        <v>11</v>
      </c>
    </row>
    <row r="434" spans="1:18" x14ac:dyDescent="0.2">
      <c r="A434" s="128">
        <v>40851</v>
      </c>
      <c r="B434" s="13">
        <v>270</v>
      </c>
      <c r="C434" s="13">
        <v>0</v>
      </c>
      <c r="D434" s="13">
        <v>0</v>
      </c>
      <c r="E434" s="13">
        <v>0</v>
      </c>
      <c r="F434" s="13">
        <v>270</v>
      </c>
      <c r="G434" s="13">
        <v>206</v>
      </c>
      <c r="H434" s="13">
        <v>206</v>
      </c>
      <c r="I434" s="13">
        <v>0</v>
      </c>
      <c r="J434" s="13">
        <v>63</v>
      </c>
      <c r="K434" s="13">
        <v>23</v>
      </c>
      <c r="L434" s="13">
        <v>20</v>
      </c>
      <c r="M434" s="13">
        <v>3</v>
      </c>
      <c r="N434" s="119">
        <v>180</v>
      </c>
      <c r="O434" s="22">
        <v>167</v>
      </c>
      <c r="P434" s="22">
        <v>14</v>
      </c>
      <c r="Q434" s="119">
        <v>-1</v>
      </c>
      <c r="R434" s="13">
        <v>11</v>
      </c>
    </row>
    <row r="435" spans="1:18" x14ac:dyDescent="0.2">
      <c r="A435" s="128">
        <v>40858</v>
      </c>
      <c r="B435" s="13">
        <v>279</v>
      </c>
      <c r="C435" s="13">
        <v>0</v>
      </c>
      <c r="D435" s="13">
        <v>0</v>
      </c>
      <c r="E435" s="13">
        <v>0</v>
      </c>
      <c r="F435" s="13">
        <v>279</v>
      </c>
      <c r="G435" s="13">
        <v>210</v>
      </c>
      <c r="H435" s="13">
        <v>209</v>
      </c>
      <c r="I435" s="13">
        <v>0</v>
      </c>
      <c r="J435" s="13">
        <v>69</v>
      </c>
      <c r="K435" s="13">
        <v>24</v>
      </c>
      <c r="L435" s="13">
        <v>20</v>
      </c>
      <c r="M435" s="13">
        <v>4</v>
      </c>
      <c r="N435" s="119">
        <v>183</v>
      </c>
      <c r="O435" s="22">
        <v>171</v>
      </c>
      <c r="P435" s="22">
        <v>14</v>
      </c>
      <c r="Q435" s="119">
        <v>-2</v>
      </c>
      <c r="R435" s="13">
        <v>10</v>
      </c>
    </row>
    <row r="436" spans="1:18" x14ac:dyDescent="0.2">
      <c r="A436" s="128">
        <v>40865</v>
      </c>
      <c r="B436" s="13">
        <v>280</v>
      </c>
      <c r="C436" s="13">
        <v>0</v>
      </c>
      <c r="D436" s="13">
        <v>0</v>
      </c>
      <c r="E436" s="13">
        <v>0</v>
      </c>
      <c r="F436" s="13">
        <v>280</v>
      </c>
      <c r="G436" s="13">
        <v>210</v>
      </c>
      <c r="H436" s="13">
        <v>210</v>
      </c>
      <c r="I436" s="13">
        <v>0</v>
      </c>
      <c r="J436" s="13">
        <v>70</v>
      </c>
      <c r="K436" s="13">
        <v>25</v>
      </c>
      <c r="L436" s="13">
        <v>21</v>
      </c>
      <c r="M436" s="13">
        <v>4</v>
      </c>
      <c r="N436" s="119">
        <v>187</v>
      </c>
      <c r="O436" s="22">
        <v>173</v>
      </c>
      <c r="P436" s="22">
        <v>15</v>
      </c>
      <c r="Q436" s="119">
        <v>-2</v>
      </c>
      <c r="R436" s="13">
        <v>11</v>
      </c>
    </row>
    <row r="437" spans="1:18" x14ac:dyDescent="0.2">
      <c r="A437" s="128">
        <v>40872</v>
      </c>
      <c r="B437" s="13">
        <v>288</v>
      </c>
      <c r="C437" s="13">
        <v>0</v>
      </c>
      <c r="D437" s="13">
        <v>0</v>
      </c>
      <c r="E437" s="13">
        <v>0</v>
      </c>
      <c r="F437" s="13">
        <v>288</v>
      </c>
      <c r="G437" s="13">
        <v>210</v>
      </c>
      <c r="H437" s="13">
        <v>210</v>
      </c>
      <c r="I437" s="13">
        <v>0</v>
      </c>
      <c r="J437" s="13">
        <v>78</v>
      </c>
      <c r="K437" s="13">
        <v>27</v>
      </c>
      <c r="L437" s="13">
        <v>23</v>
      </c>
      <c r="M437" s="13">
        <v>4</v>
      </c>
      <c r="N437" s="119">
        <v>190</v>
      </c>
      <c r="O437" s="22">
        <v>176</v>
      </c>
      <c r="P437" s="22">
        <v>16</v>
      </c>
      <c r="Q437" s="119">
        <v>-3</v>
      </c>
      <c r="R437" s="13">
        <v>11</v>
      </c>
    </row>
    <row r="438" spans="1:18" x14ac:dyDescent="0.2">
      <c r="A438" s="128">
        <v>40879</v>
      </c>
      <c r="B438" s="13">
        <v>287</v>
      </c>
      <c r="C438" s="13">
        <v>0</v>
      </c>
      <c r="D438" s="13">
        <v>0</v>
      </c>
      <c r="E438" s="13">
        <v>0</v>
      </c>
      <c r="F438" s="13">
        <v>287</v>
      </c>
      <c r="G438" s="13">
        <v>208</v>
      </c>
      <c r="H438" s="13">
        <v>208</v>
      </c>
      <c r="I438" s="13">
        <v>0</v>
      </c>
      <c r="J438" s="13">
        <v>79</v>
      </c>
      <c r="K438" s="13">
        <v>28</v>
      </c>
      <c r="L438" s="13">
        <v>23</v>
      </c>
      <c r="M438" s="13">
        <v>5</v>
      </c>
      <c r="N438" s="119">
        <v>195</v>
      </c>
      <c r="O438" s="22">
        <v>180</v>
      </c>
      <c r="P438" s="22">
        <v>15</v>
      </c>
      <c r="Q438" s="119">
        <v>-1</v>
      </c>
      <c r="R438" s="13">
        <v>11</v>
      </c>
    </row>
    <row r="439" spans="1:18" x14ac:dyDescent="0.2">
      <c r="A439" s="128">
        <v>40886</v>
      </c>
      <c r="B439" s="13">
        <v>282</v>
      </c>
      <c r="C439" s="13">
        <v>0</v>
      </c>
      <c r="D439" s="13">
        <v>0</v>
      </c>
      <c r="E439" s="13">
        <v>0</v>
      </c>
      <c r="F439" s="13">
        <v>282</v>
      </c>
      <c r="G439" s="13">
        <v>210</v>
      </c>
      <c r="H439" s="13">
        <v>209</v>
      </c>
      <c r="I439" s="13">
        <v>0</v>
      </c>
      <c r="J439" s="13">
        <v>73</v>
      </c>
      <c r="K439" s="13">
        <v>28</v>
      </c>
      <c r="L439" s="13">
        <v>23</v>
      </c>
      <c r="M439" s="13">
        <v>5</v>
      </c>
      <c r="N439" s="119">
        <v>195</v>
      </c>
      <c r="O439" s="22">
        <v>180</v>
      </c>
      <c r="P439" s="22">
        <v>15</v>
      </c>
      <c r="Q439" s="119">
        <v>1</v>
      </c>
      <c r="R439" s="13">
        <v>12</v>
      </c>
    </row>
    <row r="440" spans="1:18" x14ac:dyDescent="0.2">
      <c r="A440" s="128">
        <v>40893</v>
      </c>
      <c r="B440" s="13">
        <v>280</v>
      </c>
      <c r="C440" s="13">
        <v>0</v>
      </c>
      <c r="D440" s="13">
        <v>0</v>
      </c>
      <c r="E440" s="13">
        <v>0</v>
      </c>
      <c r="F440" s="13">
        <v>280</v>
      </c>
      <c r="G440" s="13">
        <v>215</v>
      </c>
      <c r="H440" s="13">
        <v>215</v>
      </c>
      <c r="I440" s="13">
        <v>0</v>
      </c>
      <c r="J440" s="13">
        <v>66</v>
      </c>
      <c r="K440" s="13">
        <v>29</v>
      </c>
      <c r="L440" s="13">
        <v>24</v>
      </c>
      <c r="M440" s="13">
        <v>5</v>
      </c>
      <c r="N440" s="119">
        <v>198</v>
      </c>
      <c r="O440" s="22">
        <v>182</v>
      </c>
      <c r="P440" s="22">
        <v>13</v>
      </c>
      <c r="Q440" s="119">
        <v>2</v>
      </c>
      <c r="R440" s="13">
        <v>12</v>
      </c>
    </row>
    <row r="441" spans="1:18" x14ac:dyDescent="0.2">
      <c r="A441" s="128">
        <v>40900</v>
      </c>
      <c r="B441" s="13">
        <v>285</v>
      </c>
      <c r="C441" s="13">
        <v>0</v>
      </c>
      <c r="D441" s="13">
        <v>0</v>
      </c>
      <c r="E441" s="13">
        <v>0</v>
      </c>
      <c r="F441" s="13">
        <v>285</v>
      </c>
      <c r="G441" s="13">
        <v>220</v>
      </c>
      <c r="H441" s="13">
        <v>220</v>
      </c>
      <c r="I441" s="13">
        <v>0</v>
      </c>
      <c r="J441" s="13">
        <v>65</v>
      </c>
      <c r="K441" s="13">
        <v>28</v>
      </c>
      <c r="L441" s="13">
        <v>24</v>
      </c>
      <c r="M441" s="13">
        <v>5</v>
      </c>
      <c r="N441" s="119">
        <v>196</v>
      </c>
      <c r="O441" s="22">
        <v>181</v>
      </c>
      <c r="P441" s="22">
        <v>13</v>
      </c>
      <c r="Q441" s="119">
        <v>2</v>
      </c>
      <c r="R441" s="13">
        <v>11</v>
      </c>
    </row>
    <row r="442" spans="1:18" x14ac:dyDescent="0.2">
      <c r="A442" s="128">
        <v>40907</v>
      </c>
      <c r="B442" s="13">
        <v>278</v>
      </c>
      <c r="C442" s="13">
        <v>0</v>
      </c>
      <c r="D442" s="13">
        <v>0</v>
      </c>
      <c r="E442" s="13">
        <v>0</v>
      </c>
      <c r="F442" s="13">
        <v>278</v>
      </c>
      <c r="G442" s="13">
        <v>218</v>
      </c>
      <c r="H442" s="13">
        <v>218</v>
      </c>
      <c r="I442" s="13">
        <v>0</v>
      </c>
      <c r="J442" s="13">
        <v>60</v>
      </c>
      <c r="K442" s="13">
        <v>28</v>
      </c>
      <c r="L442" s="13">
        <v>23</v>
      </c>
      <c r="M442" s="13">
        <v>5</v>
      </c>
      <c r="N442" s="119">
        <v>197</v>
      </c>
      <c r="O442" s="22">
        <v>184</v>
      </c>
      <c r="P442" s="22">
        <v>13</v>
      </c>
      <c r="Q442" s="119">
        <v>1</v>
      </c>
      <c r="R442" s="13">
        <v>11</v>
      </c>
    </row>
    <row r="443" spans="1:18" x14ac:dyDescent="0.2">
      <c r="A443" s="128">
        <v>40914</v>
      </c>
      <c r="B443" s="13">
        <v>282</v>
      </c>
      <c r="C443" s="13">
        <v>0</v>
      </c>
      <c r="D443" s="13">
        <v>0</v>
      </c>
      <c r="E443" s="13">
        <v>0</v>
      </c>
      <c r="F443" s="13">
        <v>282</v>
      </c>
      <c r="G443" s="13">
        <v>218</v>
      </c>
      <c r="H443" s="13">
        <v>218</v>
      </c>
      <c r="I443" s="13">
        <v>0</v>
      </c>
      <c r="J443" s="13">
        <v>63</v>
      </c>
      <c r="K443" s="13">
        <v>27</v>
      </c>
      <c r="L443" s="13">
        <v>23</v>
      </c>
      <c r="M443" s="13">
        <v>4</v>
      </c>
      <c r="N443" s="119">
        <v>200</v>
      </c>
      <c r="O443" s="22">
        <v>188</v>
      </c>
      <c r="P443" s="22">
        <v>11</v>
      </c>
      <c r="Q443" s="119">
        <v>1</v>
      </c>
      <c r="R443" s="13">
        <v>11</v>
      </c>
    </row>
    <row r="444" spans="1:18" x14ac:dyDescent="0.2">
      <c r="A444" s="128">
        <v>40921</v>
      </c>
      <c r="B444" s="13">
        <v>282</v>
      </c>
      <c r="C444" s="13">
        <v>0</v>
      </c>
      <c r="D444" s="13">
        <v>0</v>
      </c>
      <c r="E444" s="13">
        <v>0</v>
      </c>
      <c r="F444" s="13">
        <v>282</v>
      </c>
      <c r="G444" s="13">
        <v>213</v>
      </c>
      <c r="H444" s="13">
        <v>213</v>
      </c>
      <c r="I444" s="13">
        <v>0</v>
      </c>
      <c r="J444" s="13">
        <v>69</v>
      </c>
      <c r="K444" s="13">
        <v>26</v>
      </c>
      <c r="L444" s="13">
        <v>22</v>
      </c>
      <c r="M444" s="13">
        <v>4</v>
      </c>
      <c r="N444" s="119">
        <v>199</v>
      </c>
      <c r="O444" s="22">
        <v>188</v>
      </c>
      <c r="P444" s="22">
        <v>11</v>
      </c>
      <c r="Q444" s="119">
        <v>0</v>
      </c>
      <c r="R444" s="13">
        <v>12</v>
      </c>
    </row>
    <row r="445" spans="1:18" x14ac:dyDescent="0.2">
      <c r="A445" s="128">
        <v>40928</v>
      </c>
      <c r="B445" s="13">
        <v>269</v>
      </c>
      <c r="C445" s="13">
        <v>0</v>
      </c>
      <c r="D445" s="13">
        <v>0</v>
      </c>
      <c r="E445" s="13">
        <v>0</v>
      </c>
      <c r="F445" s="13">
        <v>269</v>
      </c>
      <c r="G445" s="13">
        <v>207</v>
      </c>
      <c r="H445" s="13">
        <v>207</v>
      </c>
      <c r="I445" s="13">
        <v>0</v>
      </c>
      <c r="J445" s="13">
        <v>62</v>
      </c>
      <c r="K445" s="13">
        <v>26</v>
      </c>
      <c r="L445" s="13">
        <v>22</v>
      </c>
      <c r="M445" s="13">
        <v>4</v>
      </c>
      <c r="N445" s="119">
        <v>201</v>
      </c>
      <c r="O445" s="22">
        <v>192</v>
      </c>
      <c r="P445" s="22">
        <v>9</v>
      </c>
      <c r="Q445" s="119">
        <v>0</v>
      </c>
      <c r="R445" s="13">
        <v>12</v>
      </c>
    </row>
    <row r="446" spans="1:18" x14ac:dyDescent="0.2">
      <c r="A446" s="128">
        <v>40935</v>
      </c>
      <c r="B446" s="13">
        <v>269</v>
      </c>
      <c r="C446" s="13">
        <v>0</v>
      </c>
      <c r="D446" s="13">
        <v>0</v>
      </c>
      <c r="E446" s="13">
        <v>0</v>
      </c>
      <c r="F446" s="13">
        <v>269</v>
      </c>
      <c r="G446" s="13">
        <v>208</v>
      </c>
      <c r="H446" s="13">
        <v>208</v>
      </c>
      <c r="I446" s="13">
        <v>0</v>
      </c>
      <c r="J446" s="13">
        <v>61</v>
      </c>
      <c r="K446" s="13">
        <v>25</v>
      </c>
      <c r="L446" s="13">
        <v>21</v>
      </c>
      <c r="M446" s="13">
        <v>4</v>
      </c>
      <c r="N446" s="119">
        <v>199</v>
      </c>
      <c r="O446" s="22">
        <v>189</v>
      </c>
      <c r="P446" s="22">
        <v>10</v>
      </c>
      <c r="Q446" s="119">
        <v>1</v>
      </c>
      <c r="R446" s="13">
        <v>13</v>
      </c>
    </row>
    <row r="447" spans="1:18" x14ac:dyDescent="0.2">
      <c r="A447" s="128">
        <v>40942</v>
      </c>
      <c r="B447" s="13">
        <v>268</v>
      </c>
      <c r="C447" s="13">
        <v>0</v>
      </c>
      <c r="D447" s="13">
        <v>0</v>
      </c>
      <c r="E447" s="13">
        <v>0</v>
      </c>
      <c r="F447" s="13">
        <v>268</v>
      </c>
      <c r="G447" s="13">
        <v>209</v>
      </c>
      <c r="H447" s="13">
        <v>209</v>
      </c>
      <c r="I447" s="13">
        <v>0</v>
      </c>
      <c r="J447" s="13">
        <v>59</v>
      </c>
      <c r="K447" s="13">
        <v>24</v>
      </c>
      <c r="L447" s="13">
        <v>20</v>
      </c>
      <c r="M447" s="13">
        <v>4</v>
      </c>
      <c r="N447" s="119">
        <v>200</v>
      </c>
      <c r="O447" s="22">
        <v>189</v>
      </c>
      <c r="P447" s="22">
        <v>11</v>
      </c>
      <c r="Q447" s="119">
        <v>1</v>
      </c>
      <c r="R447" s="13">
        <v>13</v>
      </c>
    </row>
    <row r="448" spans="1:18" x14ac:dyDescent="0.2">
      <c r="A448" s="128">
        <v>40949</v>
      </c>
      <c r="B448" s="13">
        <v>277</v>
      </c>
      <c r="C448" s="13">
        <v>0</v>
      </c>
      <c r="D448" s="13">
        <v>0</v>
      </c>
      <c r="E448" s="13">
        <v>0</v>
      </c>
      <c r="F448" s="13">
        <v>277</v>
      </c>
      <c r="G448" s="13">
        <v>208</v>
      </c>
      <c r="H448" s="13">
        <v>208</v>
      </c>
      <c r="I448" s="13">
        <v>0</v>
      </c>
      <c r="J448" s="13">
        <v>68</v>
      </c>
      <c r="K448" s="13">
        <v>23</v>
      </c>
      <c r="L448" s="13">
        <v>20</v>
      </c>
      <c r="M448" s="13">
        <v>4</v>
      </c>
      <c r="N448" s="119">
        <v>202</v>
      </c>
      <c r="O448" s="22">
        <v>191</v>
      </c>
      <c r="P448" s="22">
        <v>10</v>
      </c>
      <c r="Q448" s="119">
        <v>0</v>
      </c>
      <c r="R448" s="13">
        <v>13</v>
      </c>
    </row>
    <row r="449" spans="1:18" x14ac:dyDescent="0.2">
      <c r="A449" s="128">
        <v>40956</v>
      </c>
      <c r="B449" s="13">
        <v>289</v>
      </c>
      <c r="C449" s="13">
        <v>0</v>
      </c>
      <c r="D449" s="13">
        <v>0</v>
      </c>
      <c r="E449" s="13">
        <v>0</v>
      </c>
      <c r="F449" s="13">
        <v>289</v>
      </c>
      <c r="G449" s="13">
        <v>209</v>
      </c>
      <c r="H449" s="13">
        <v>209</v>
      </c>
      <c r="I449" s="13">
        <v>0</v>
      </c>
      <c r="J449" s="13">
        <v>80</v>
      </c>
      <c r="K449" s="13">
        <v>23</v>
      </c>
      <c r="L449" s="13">
        <v>20</v>
      </c>
      <c r="M449" s="13">
        <v>3</v>
      </c>
      <c r="N449" s="119">
        <v>201</v>
      </c>
      <c r="O449" s="22">
        <v>188</v>
      </c>
      <c r="P449" s="22">
        <v>12</v>
      </c>
      <c r="Q449" s="119">
        <v>1</v>
      </c>
      <c r="R449" s="13">
        <v>14</v>
      </c>
    </row>
    <row r="450" spans="1:18" x14ac:dyDescent="0.2">
      <c r="A450" s="128">
        <v>40963</v>
      </c>
      <c r="B450" s="13">
        <v>299</v>
      </c>
      <c r="C450" s="13">
        <v>0</v>
      </c>
      <c r="D450" s="13">
        <v>0</v>
      </c>
      <c r="E450" s="13">
        <v>0</v>
      </c>
      <c r="F450" s="13">
        <v>299</v>
      </c>
      <c r="G450" s="13">
        <v>214</v>
      </c>
      <c r="H450" s="13">
        <v>214</v>
      </c>
      <c r="I450" s="13">
        <v>0</v>
      </c>
      <c r="J450" s="13">
        <v>84</v>
      </c>
      <c r="K450" s="13">
        <v>22</v>
      </c>
      <c r="L450" s="13">
        <v>20</v>
      </c>
      <c r="M450" s="13">
        <v>3</v>
      </c>
      <c r="N450" s="119">
        <v>199</v>
      </c>
      <c r="O450" s="22">
        <v>185</v>
      </c>
      <c r="P450" s="22">
        <v>12</v>
      </c>
      <c r="Q450" s="119">
        <v>1</v>
      </c>
      <c r="R450" s="13">
        <v>14</v>
      </c>
    </row>
    <row r="451" spans="1:18" x14ac:dyDescent="0.2">
      <c r="A451" s="128">
        <v>40970</v>
      </c>
      <c r="B451" s="13">
        <v>299</v>
      </c>
      <c r="C451" s="13">
        <v>0</v>
      </c>
      <c r="D451" s="13">
        <v>0</v>
      </c>
      <c r="E451" s="13">
        <v>0</v>
      </c>
      <c r="F451" s="13">
        <v>299</v>
      </c>
      <c r="G451" s="13">
        <v>216</v>
      </c>
      <c r="H451" s="13">
        <v>216</v>
      </c>
      <c r="I451" s="13">
        <v>0</v>
      </c>
      <c r="J451" s="13">
        <v>83</v>
      </c>
      <c r="K451" s="13">
        <v>24</v>
      </c>
      <c r="L451" s="13">
        <v>20</v>
      </c>
      <c r="M451" s="13">
        <v>3</v>
      </c>
      <c r="N451" s="119">
        <v>194</v>
      </c>
      <c r="O451" s="22">
        <v>181</v>
      </c>
      <c r="P451" s="22">
        <v>13</v>
      </c>
      <c r="Q451" s="119">
        <v>0</v>
      </c>
      <c r="R451" s="13">
        <v>14</v>
      </c>
    </row>
    <row r="452" spans="1:18" x14ac:dyDescent="0.2">
      <c r="A452" s="128">
        <v>40977</v>
      </c>
      <c r="B452" s="13">
        <v>294</v>
      </c>
      <c r="C452" s="13">
        <v>0</v>
      </c>
      <c r="D452" s="13">
        <v>0</v>
      </c>
      <c r="E452" s="13">
        <v>0</v>
      </c>
      <c r="F452" s="13">
        <v>294</v>
      </c>
      <c r="G452" s="13">
        <v>222</v>
      </c>
      <c r="H452" s="13">
        <v>222</v>
      </c>
      <c r="I452" s="13">
        <v>0</v>
      </c>
      <c r="J452" s="13">
        <v>73</v>
      </c>
      <c r="K452" s="13">
        <v>24</v>
      </c>
      <c r="L452" s="13">
        <v>21</v>
      </c>
      <c r="M452" s="13">
        <v>3</v>
      </c>
      <c r="N452" s="119">
        <v>195</v>
      </c>
      <c r="O452" s="22">
        <v>183</v>
      </c>
      <c r="P452" s="22">
        <v>13</v>
      </c>
      <c r="Q452" s="119">
        <v>0</v>
      </c>
      <c r="R452" s="13">
        <v>14</v>
      </c>
    </row>
    <row r="453" spans="1:18" x14ac:dyDescent="0.2">
      <c r="A453" s="128">
        <v>40984</v>
      </c>
      <c r="B453" s="13">
        <v>288</v>
      </c>
      <c r="C453" s="13">
        <v>0</v>
      </c>
      <c r="D453" s="13">
        <v>0</v>
      </c>
      <c r="E453" s="13">
        <v>0</v>
      </c>
      <c r="F453" s="13">
        <v>288</v>
      </c>
      <c r="G453" s="13">
        <v>222</v>
      </c>
      <c r="H453" s="13">
        <v>222</v>
      </c>
      <c r="I453" s="13">
        <v>0</v>
      </c>
      <c r="J453" s="13">
        <v>66</v>
      </c>
      <c r="K453" s="13">
        <v>23</v>
      </c>
      <c r="L453" s="13">
        <v>19</v>
      </c>
      <c r="M453" s="13">
        <v>4</v>
      </c>
      <c r="N453" s="119">
        <v>199</v>
      </c>
      <c r="O453" s="22">
        <v>187</v>
      </c>
      <c r="P453" s="22">
        <v>12</v>
      </c>
      <c r="Q453" s="119">
        <v>0</v>
      </c>
      <c r="R453" s="13">
        <v>13</v>
      </c>
    </row>
    <row r="454" spans="1:18" x14ac:dyDescent="0.2">
      <c r="A454" s="128">
        <v>40991</v>
      </c>
      <c r="B454" s="13">
        <v>289</v>
      </c>
      <c r="C454" s="13">
        <v>0</v>
      </c>
      <c r="D454" s="13">
        <v>0</v>
      </c>
      <c r="E454" s="13">
        <v>0</v>
      </c>
      <c r="F454" s="13">
        <v>289</v>
      </c>
      <c r="G454" s="13">
        <v>221</v>
      </c>
      <c r="H454" s="13">
        <v>221</v>
      </c>
      <c r="I454" s="13">
        <v>0</v>
      </c>
      <c r="J454" s="13">
        <v>68</v>
      </c>
      <c r="K454" s="13">
        <v>24</v>
      </c>
      <c r="L454" s="13">
        <v>20</v>
      </c>
      <c r="M454" s="13">
        <v>4</v>
      </c>
      <c r="N454" s="119">
        <v>206</v>
      </c>
      <c r="O454" s="22">
        <v>195</v>
      </c>
      <c r="P454" s="22">
        <v>12</v>
      </c>
      <c r="Q454" s="119">
        <v>0</v>
      </c>
      <c r="R454" s="13">
        <v>13</v>
      </c>
    </row>
    <row r="455" spans="1:18" x14ac:dyDescent="0.2">
      <c r="A455" s="128">
        <v>40998</v>
      </c>
      <c r="B455" s="13">
        <v>291</v>
      </c>
      <c r="C455" s="13">
        <v>0</v>
      </c>
      <c r="D455" s="13">
        <v>0</v>
      </c>
      <c r="E455" s="13">
        <v>0</v>
      </c>
      <c r="F455" s="13">
        <v>291</v>
      </c>
      <c r="G455" s="13">
        <v>214</v>
      </c>
      <c r="H455" s="13">
        <v>214</v>
      </c>
      <c r="I455" s="13">
        <v>0</v>
      </c>
      <c r="J455" s="13">
        <v>77</v>
      </c>
      <c r="K455" s="13">
        <v>24</v>
      </c>
      <c r="L455" s="13">
        <v>20</v>
      </c>
      <c r="M455" s="13">
        <v>4</v>
      </c>
      <c r="N455" s="119">
        <v>205</v>
      </c>
      <c r="O455" s="22">
        <v>194</v>
      </c>
      <c r="P455" s="22">
        <v>10</v>
      </c>
      <c r="Q455" s="119">
        <v>1</v>
      </c>
      <c r="R455" s="13">
        <v>12</v>
      </c>
    </row>
    <row r="456" spans="1:18" x14ac:dyDescent="0.2">
      <c r="A456" s="128">
        <v>41005</v>
      </c>
      <c r="B456" s="13">
        <v>278</v>
      </c>
      <c r="C456" s="13">
        <v>0</v>
      </c>
      <c r="D456" s="13">
        <v>0</v>
      </c>
      <c r="E456" s="13">
        <v>0</v>
      </c>
      <c r="F456" s="13">
        <v>278</v>
      </c>
      <c r="G456" s="13">
        <v>213</v>
      </c>
      <c r="H456" s="13">
        <v>212</v>
      </c>
      <c r="I456" s="13">
        <v>0</v>
      </c>
      <c r="J456" s="13">
        <v>65</v>
      </c>
      <c r="K456" s="13">
        <v>27</v>
      </c>
      <c r="L456" s="13">
        <v>23</v>
      </c>
      <c r="M456" s="13">
        <v>4</v>
      </c>
      <c r="N456" s="119">
        <v>187</v>
      </c>
      <c r="O456" s="22">
        <v>176</v>
      </c>
      <c r="P456" s="22">
        <v>10</v>
      </c>
      <c r="Q456" s="119">
        <v>2</v>
      </c>
      <c r="R456" s="13">
        <v>11</v>
      </c>
    </row>
    <row r="457" spans="1:18" x14ac:dyDescent="0.2">
      <c r="A457" s="128">
        <v>41012</v>
      </c>
      <c r="B457" s="13">
        <v>276</v>
      </c>
      <c r="C457" s="13">
        <v>0</v>
      </c>
      <c r="D457" s="13">
        <v>0</v>
      </c>
      <c r="E457" s="13">
        <v>0</v>
      </c>
      <c r="F457" s="13">
        <v>276</v>
      </c>
      <c r="G457" s="13">
        <v>212</v>
      </c>
      <c r="H457" s="13">
        <v>212</v>
      </c>
      <c r="I457" s="13">
        <v>0</v>
      </c>
      <c r="J457" s="13">
        <v>64</v>
      </c>
      <c r="K457" s="13">
        <v>28</v>
      </c>
      <c r="L457" s="13">
        <v>25</v>
      </c>
      <c r="M457" s="13">
        <v>4</v>
      </c>
      <c r="N457" s="119">
        <v>184</v>
      </c>
      <c r="O457" s="22">
        <v>175</v>
      </c>
      <c r="P457" s="22">
        <v>9</v>
      </c>
      <c r="Q457" s="119">
        <v>0</v>
      </c>
      <c r="R457" s="13">
        <v>11</v>
      </c>
    </row>
    <row r="458" spans="1:18" x14ac:dyDescent="0.2">
      <c r="A458" s="128">
        <v>41019</v>
      </c>
      <c r="B458" s="13">
        <v>265</v>
      </c>
      <c r="C458" s="13">
        <v>0</v>
      </c>
      <c r="D458" s="13">
        <v>0</v>
      </c>
      <c r="E458" s="13">
        <v>0</v>
      </c>
      <c r="F458" s="13">
        <v>265</v>
      </c>
      <c r="G458" s="13">
        <v>210</v>
      </c>
      <c r="H458" s="13">
        <v>210</v>
      </c>
      <c r="I458" s="13">
        <v>0</v>
      </c>
      <c r="J458" s="13">
        <v>56</v>
      </c>
      <c r="K458" s="13">
        <v>29</v>
      </c>
      <c r="L458" s="13">
        <v>26</v>
      </c>
      <c r="M458" s="13">
        <v>3</v>
      </c>
      <c r="N458" s="119">
        <v>174</v>
      </c>
      <c r="O458" s="22">
        <v>166</v>
      </c>
      <c r="P458" s="22">
        <v>8</v>
      </c>
      <c r="Q458" s="119">
        <v>-1</v>
      </c>
      <c r="R458" s="13">
        <v>8</v>
      </c>
    </row>
    <row r="459" spans="1:18" x14ac:dyDescent="0.2">
      <c r="A459" s="128">
        <v>41026</v>
      </c>
      <c r="B459" s="13">
        <v>259</v>
      </c>
      <c r="C459" s="13">
        <v>0</v>
      </c>
      <c r="D459" s="13">
        <v>0</v>
      </c>
      <c r="E459" s="13">
        <v>0</v>
      </c>
      <c r="F459" s="13">
        <v>259</v>
      </c>
      <c r="G459" s="13">
        <v>211</v>
      </c>
      <c r="H459" s="13">
        <v>211</v>
      </c>
      <c r="I459" s="13">
        <v>0</v>
      </c>
      <c r="J459" s="13">
        <v>48</v>
      </c>
      <c r="K459" s="13">
        <v>29</v>
      </c>
      <c r="L459" s="13">
        <v>25</v>
      </c>
      <c r="M459" s="13">
        <v>4</v>
      </c>
      <c r="N459" s="119">
        <v>169</v>
      </c>
      <c r="O459" s="22">
        <v>160</v>
      </c>
      <c r="P459" s="22">
        <v>10</v>
      </c>
      <c r="Q459" s="119">
        <v>-2</v>
      </c>
      <c r="R459" s="13">
        <v>9</v>
      </c>
    </row>
    <row r="460" spans="1:18" x14ac:dyDescent="0.2">
      <c r="A460" s="128">
        <v>41033</v>
      </c>
      <c r="B460" s="13">
        <v>268</v>
      </c>
      <c r="C460" s="13">
        <v>0</v>
      </c>
      <c r="D460" s="13">
        <v>0</v>
      </c>
      <c r="E460" s="13">
        <v>0</v>
      </c>
      <c r="F460" s="13">
        <v>268</v>
      </c>
      <c r="G460" s="13">
        <v>212</v>
      </c>
      <c r="H460" s="13">
        <v>212</v>
      </c>
      <c r="I460" s="13">
        <v>0</v>
      </c>
      <c r="J460" s="13">
        <v>56</v>
      </c>
      <c r="K460" s="13">
        <v>27</v>
      </c>
      <c r="L460" s="13">
        <v>23</v>
      </c>
      <c r="M460" s="13">
        <v>4</v>
      </c>
      <c r="N460" s="119">
        <v>172</v>
      </c>
      <c r="O460" s="22">
        <v>165</v>
      </c>
      <c r="P460" s="22">
        <v>9</v>
      </c>
      <c r="Q460" s="119">
        <v>-2</v>
      </c>
      <c r="R460" s="13">
        <v>9</v>
      </c>
    </row>
    <row r="461" spans="1:18" x14ac:dyDescent="0.2">
      <c r="A461" s="128">
        <v>41040</v>
      </c>
      <c r="B461" s="13">
        <v>270</v>
      </c>
      <c r="C461" s="13">
        <v>0</v>
      </c>
      <c r="D461" s="13">
        <v>0</v>
      </c>
      <c r="E461" s="13">
        <v>0</v>
      </c>
      <c r="F461" s="13">
        <v>270</v>
      </c>
      <c r="G461" s="13">
        <v>217</v>
      </c>
      <c r="H461" s="13">
        <v>217</v>
      </c>
      <c r="I461" s="13">
        <v>0</v>
      </c>
      <c r="J461" s="13">
        <v>53</v>
      </c>
      <c r="K461" s="13">
        <v>26</v>
      </c>
      <c r="L461" s="13">
        <v>21</v>
      </c>
      <c r="M461" s="13">
        <v>4</v>
      </c>
      <c r="N461" s="119">
        <v>161</v>
      </c>
      <c r="O461" s="22">
        <v>154</v>
      </c>
      <c r="P461" s="22">
        <v>9</v>
      </c>
      <c r="Q461" s="119">
        <v>-2</v>
      </c>
      <c r="R461" s="13">
        <v>10</v>
      </c>
    </row>
    <row r="462" spans="1:18" x14ac:dyDescent="0.2">
      <c r="A462" s="128">
        <v>41047</v>
      </c>
      <c r="B462" s="13">
        <v>273</v>
      </c>
      <c r="C462" s="13">
        <v>0</v>
      </c>
      <c r="D462" s="13">
        <v>0</v>
      </c>
      <c r="E462" s="13">
        <v>0</v>
      </c>
      <c r="F462" s="13">
        <v>273</v>
      </c>
      <c r="G462" s="13">
        <v>225</v>
      </c>
      <c r="H462" s="13">
        <v>225</v>
      </c>
      <c r="I462" s="13">
        <v>0</v>
      </c>
      <c r="J462" s="13">
        <v>49</v>
      </c>
      <c r="K462" s="13">
        <v>24</v>
      </c>
      <c r="L462" s="13">
        <v>19</v>
      </c>
      <c r="M462" s="13">
        <v>5</v>
      </c>
      <c r="N462" s="119">
        <v>161</v>
      </c>
      <c r="O462" s="22">
        <v>154</v>
      </c>
      <c r="P462" s="22">
        <v>9</v>
      </c>
      <c r="Q462" s="119">
        <v>-1</v>
      </c>
      <c r="R462" s="13">
        <v>12</v>
      </c>
    </row>
    <row r="463" spans="1:18" x14ac:dyDescent="0.2">
      <c r="A463" s="128">
        <v>41054</v>
      </c>
      <c r="B463" s="13">
        <v>271</v>
      </c>
      <c r="C463" s="13">
        <v>0</v>
      </c>
      <c r="D463" s="13">
        <v>0</v>
      </c>
      <c r="E463" s="13">
        <v>0</v>
      </c>
      <c r="F463" s="13">
        <v>271</v>
      </c>
      <c r="G463" s="13">
        <v>231</v>
      </c>
      <c r="H463" s="13">
        <v>231</v>
      </c>
      <c r="I463" s="13">
        <v>0</v>
      </c>
      <c r="J463" s="13">
        <v>41</v>
      </c>
      <c r="K463" s="13">
        <v>26</v>
      </c>
      <c r="L463" s="13">
        <v>20</v>
      </c>
      <c r="M463" s="13">
        <v>5</v>
      </c>
      <c r="N463" s="119">
        <v>167</v>
      </c>
      <c r="O463" s="22">
        <v>162</v>
      </c>
      <c r="P463" s="22">
        <v>7</v>
      </c>
      <c r="Q463" s="119">
        <v>-1</v>
      </c>
      <c r="R463" s="13">
        <v>12</v>
      </c>
    </row>
    <row r="464" spans="1:18" x14ac:dyDescent="0.2">
      <c r="A464" s="128">
        <v>41061</v>
      </c>
      <c r="B464" s="13">
        <v>279</v>
      </c>
      <c r="C464" s="13">
        <v>0</v>
      </c>
      <c r="D464" s="13">
        <v>0</v>
      </c>
      <c r="E464" s="13">
        <v>0</v>
      </c>
      <c r="F464" s="13">
        <v>279</v>
      </c>
      <c r="G464" s="13">
        <v>233</v>
      </c>
      <c r="H464" s="13">
        <v>233</v>
      </c>
      <c r="I464" s="13">
        <v>0</v>
      </c>
      <c r="J464" s="13">
        <v>45</v>
      </c>
      <c r="K464" s="13">
        <v>25</v>
      </c>
      <c r="L464" s="13">
        <v>20</v>
      </c>
      <c r="M464" s="13">
        <v>5</v>
      </c>
      <c r="N464" s="119">
        <v>172</v>
      </c>
      <c r="O464" s="22">
        <v>167</v>
      </c>
      <c r="P464" s="22">
        <v>7</v>
      </c>
      <c r="Q464" s="119">
        <v>-1</v>
      </c>
      <c r="R464" s="13">
        <v>12</v>
      </c>
    </row>
    <row r="465" spans="1:19" x14ac:dyDescent="0.2">
      <c r="A465" s="128">
        <v>41068</v>
      </c>
      <c r="B465" s="13">
        <v>283</v>
      </c>
      <c r="C465" s="13">
        <v>0</v>
      </c>
      <c r="D465" s="13">
        <v>0</v>
      </c>
      <c r="E465" s="13">
        <v>0</v>
      </c>
      <c r="F465" s="13">
        <v>283</v>
      </c>
      <c r="G465" s="13">
        <v>235</v>
      </c>
      <c r="H465" s="13">
        <v>235</v>
      </c>
      <c r="I465" s="13">
        <v>0</v>
      </c>
      <c r="J465" s="13">
        <v>48</v>
      </c>
      <c r="K465" s="13">
        <v>27</v>
      </c>
      <c r="L465" s="13">
        <v>22</v>
      </c>
      <c r="M465" s="13">
        <v>5</v>
      </c>
      <c r="N465" s="119">
        <v>186</v>
      </c>
      <c r="O465" s="22">
        <v>182</v>
      </c>
      <c r="P465" s="22">
        <v>6</v>
      </c>
      <c r="Q465" s="119">
        <v>-1</v>
      </c>
      <c r="R465" s="13">
        <v>12</v>
      </c>
    </row>
    <row r="466" spans="1:19" x14ac:dyDescent="0.2">
      <c r="A466" s="128">
        <v>41075</v>
      </c>
      <c r="B466" s="13">
        <v>291</v>
      </c>
      <c r="C466" s="13">
        <v>0</v>
      </c>
      <c r="D466" s="13">
        <v>0</v>
      </c>
      <c r="E466" s="13">
        <v>0</v>
      </c>
      <c r="F466" s="13">
        <v>291</v>
      </c>
      <c r="G466" s="13">
        <v>232</v>
      </c>
      <c r="H466" s="13">
        <v>232</v>
      </c>
      <c r="I466" s="13">
        <v>0</v>
      </c>
      <c r="J466" s="13">
        <v>59</v>
      </c>
      <c r="K466" s="13">
        <v>27</v>
      </c>
      <c r="L466" s="13">
        <v>22</v>
      </c>
      <c r="M466" s="13">
        <v>5</v>
      </c>
      <c r="N466" s="119">
        <v>198</v>
      </c>
      <c r="O466" s="22">
        <v>196</v>
      </c>
      <c r="P466" s="22">
        <v>4</v>
      </c>
      <c r="Q466" s="119">
        <v>-1</v>
      </c>
      <c r="R466" s="13">
        <v>12</v>
      </c>
    </row>
    <row r="467" spans="1:19" x14ac:dyDescent="0.2">
      <c r="A467" s="128">
        <v>41082</v>
      </c>
      <c r="B467" s="13">
        <v>301</v>
      </c>
      <c r="C467" s="13">
        <v>0</v>
      </c>
      <c r="D467" s="13">
        <v>0</v>
      </c>
      <c r="E467" s="13">
        <v>0</v>
      </c>
      <c r="F467" s="13">
        <v>301</v>
      </c>
      <c r="G467" s="13">
        <v>234</v>
      </c>
      <c r="H467" s="13">
        <v>234</v>
      </c>
      <c r="I467" s="13">
        <v>0</v>
      </c>
      <c r="J467" s="13">
        <v>67</v>
      </c>
      <c r="K467" s="13">
        <v>26</v>
      </c>
      <c r="L467" s="13">
        <v>21</v>
      </c>
      <c r="M467" s="13">
        <v>5</v>
      </c>
      <c r="N467" s="119">
        <v>207</v>
      </c>
      <c r="O467" s="22">
        <v>204</v>
      </c>
      <c r="P467" s="22">
        <v>4</v>
      </c>
      <c r="Q467" s="119">
        <v>-1</v>
      </c>
      <c r="R467" s="13">
        <v>12</v>
      </c>
    </row>
    <row r="468" spans="1:19" x14ac:dyDescent="0.2">
      <c r="A468" s="128">
        <v>41089</v>
      </c>
      <c r="B468" s="13">
        <v>300</v>
      </c>
      <c r="C468" s="13">
        <v>0</v>
      </c>
      <c r="D468" s="13">
        <v>0</v>
      </c>
      <c r="E468" s="13">
        <v>0</v>
      </c>
      <c r="F468" s="13">
        <v>300</v>
      </c>
      <c r="G468" s="13">
        <v>237</v>
      </c>
      <c r="H468" s="13">
        <v>237</v>
      </c>
      <c r="I468" s="13">
        <v>0</v>
      </c>
      <c r="J468" s="13">
        <v>63</v>
      </c>
      <c r="K468" s="13">
        <v>26</v>
      </c>
      <c r="L468" s="13">
        <v>22</v>
      </c>
      <c r="M468" s="13">
        <v>4</v>
      </c>
      <c r="N468" s="119">
        <v>215</v>
      </c>
      <c r="O468" s="22">
        <v>212</v>
      </c>
      <c r="P468" s="22">
        <v>4</v>
      </c>
      <c r="Q468" s="119">
        <v>-1</v>
      </c>
      <c r="R468" s="13">
        <v>12</v>
      </c>
    </row>
    <row r="469" spans="1:19" x14ac:dyDescent="0.2">
      <c r="A469" s="128">
        <v>41096</v>
      </c>
      <c r="B469" s="13">
        <v>300</v>
      </c>
      <c r="C469" s="13">
        <v>0</v>
      </c>
      <c r="D469" s="13">
        <v>0</v>
      </c>
      <c r="E469" s="13">
        <v>0</v>
      </c>
      <c r="F469" s="13">
        <v>300</v>
      </c>
      <c r="G469" s="13">
        <v>236</v>
      </c>
      <c r="H469" s="13">
        <v>236</v>
      </c>
      <c r="I469" s="13">
        <v>0</v>
      </c>
      <c r="J469" s="13">
        <v>64</v>
      </c>
      <c r="K469" s="13">
        <v>26</v>
      </c>
      <c r="L469" s="13">
        <v>22</v>
      </c>
      <c r="M469" s="13">
        <v>5</v>
      </c>
      <c r="N469" s="119">
        <v>213</v>
      </c>
      <c r="O469" s="22">
        <v>212</v>
      </c>
      <c r="P469" s="22">
        <v>3</v>
      </c>
      <c r="Q469" s="119">
        <v>-2</v>
      </c>
      <c r="R469" s="13">
        <v>12</v>
      </c>
    </row>
    <row r="470" spans="1:19" x14ac:dyDescent="0.2">
      <c r="A470" s="128">
        <v>41103</v>
      </c>
      <c r="B470" s="13">
        <v>300</v>
      </c>
      <c r="C470" s="13">
        <v>0</v>
      </c>
      <c r="D470" s="13">
        <v>0</v>
      </c>
      <c r="E470" s="13">
        <v>0</v>
      </c>
      <c r="F470" s="13">
        <v>300</v>
      </c>
      <c r="G470" s="13">
        <v>241</v>
      </c>
      <c r="H470" s="13">
        <v>241</v>
      </c>
      <c r="I470" s="13">
        <v>0</v>
      </c>
      <c r="J470" s="13">
        <v>58</v>
      </c>
      <c r="K470" s="13">
        <v>28</v>
      </c>
      <c r="L470" s="13">
        <v>24</v>
      </c>
      <c r="M470" s="13">
        <v>4</v>
      </c>
      <c r="N470" s="119">
        <v>206</v>
      </c>
      <c r="O470" s="22">
        <v>206</v>
      </c>
      <c r="P470" s="22">
        <v>2</v>
      </c>
      <c r="Q470" s="119">
        <v>-2</v>
      </c>
      <c r="R470" s="13">
        <v>12</v>
      </c>
    </row>
    <row r="471" spans="1:19" x14ac:dyDescent="0.2">
      <c r="A471" s="128">
        <v>41110</v>
      </c>
      <c r="B471" s="13">
        <v>295</v>
      </c>
      <c r="C471" s="13">
        <v>0</v>
      </c>
      <c r="D471" s="13">
        <v>0</v>
      </c>
      <c r="E471" s="13">
        <v>0</v>
      </c>
      <c r="F471" s="13">
        <v>295</v>
      </c>
      <c r="G471" s="13">
        <v>243</v>
      </c>
      <c r="H471" s="13">
        <v>243</v>
      </c>
      <c r="I471" s="13">
        <v>0</v>
      </c>
      <c r="J471" s="13">
        <v>52</v>
      </c>
      <c r="K471" s="13">
        <v>28</v>
      </c>
      <c r="L471" s="13">
        <v>24</v>
      </c>
      <c r="M471" s="13">
        <v>4</v>
      </c>
      <c r="N471" s="119">
        <v>205</v>
      </c>
      <c r="O471" s="22">
        <v>206</v>
      </c>
      <c r="P471" s="22">
        <v>1</v>
      </c>
      <c r="Q471" s="119">
        <v>-2</v>
      </c>
      <c r="R471" s="13">
        <v>13</v>
      </c>
    </row>
    <row r="472" spans="1:19" x14ac:dyDescent="0.2">
      <c r="A472" s="128">
        <v>41117</v>
      </c>
      <c r="B472" s="13">
        <v>292</v>
      </c>
      <c r="C472" s="13">
        <v>0</v>
      </c>
      <c r="D472" s="13">
        <v>0</v>
      </c>
      <c r="E472" s="13">
        <v>0</v>
      </c>
      <c r="F472" s="13">
        <v>292</v>
      </c>
      <c r="G472" s="13">
        <v>243</v>
      </c>
      <c r="H472" s="13">
        <v>243</v>
      </c>
      <c r="I472" s="13">
        <v>0</v>
      </c>
      <c r="J472" s="13">
        <v>49</v>
      </c>
      <c r="K472" s="13">
        <v>27</v>
      </c>
      <c r="L472" s="13">
        <v>23</v>
      </c>
      <c r="M472" s="13">
        <v>5</v>
      </c>
      <c r="N472" s="119">
        <v>203</v>
      </c>
      <c r="O472" s="22">
        <v>204</v>
      </c>
      <c r="P472" s="22">
        <v>1</v>
      </c>
      <c r="Q472" s="119">
        <v>-3</v>
      </c>
      <c r="R472" s="13">
        <v>12</v>
      </c>
    </row>
    <row r="473" spans="1:19" x14ac:dyDescent="0.2">
      <c r="A473" s="128">
        <v>41124</v>
      </c>
      <c r="B473" s="13">
        <v>294</v>
      </c>
      <c r="C473" s="13">
        <v>0</v>
      </c>
      <c r="D473" s="13">
        <v>0</v>
      </c>
      <c r="E473" s="13">
        <v>0</v>
      </c>
      <c r="F473" s="13">
        <v>294</v>
      </c>
      <c r="G473" s="13">
        <v>247</v>
      </c>
      <c r="H473" s="13">
        <v>247</v>
      </c>
      <c r="I473" s="13">
        <v>0</v>
      </c>
      <c r="J473" s="13">
        <v>46</v>
      </c>
      <c r="K473" s="13">
        <v>27</v>
      </c>
      <c r="L473" s="13">
        <v>23</v>
      </c>
      <c r="M473" s="13">
        <v>4</v>
      </c>
      <c r="N473" s="119">
        <v>200</v>
      </c>
      <c r="O473" s="22">
        <v>201</v>
      </c>
      <c r="P473" s="22">
        <v>1</v>
      </c>
      <c r="Q473" s="119">
        <v>-3</v>
      </c>
      <c r="R473" s="13">
        <v>12</v>
      </c>
    </row>
    <row r="474" spans="1:19" x14ac:dyDescent="0.2">
      <c r="A474" s="128">
        <v>41131</v>
      </c>
      <c r="B474" s="13">
        <v>291</v>
      </c>
      <c r="C474" s="13">
        <v>0</v>
      </c>
      <c r="D474" s="13">
        <v>0</v>
      </c>
      <c r="E474" s="13">
        <v>0</v>
      </c>
      <c r="F474" s="13">
        <v>291</v>
      </c>
      <c r="G474" s="13">
        <v>248</v>
      </c>
      <c r="H474" s="13">
        <v>248</v>
      </c>
      <c r="I474" s="13">
        <v>0</v>
      </c>
      <c r="J474" s="13">
        <v>43</v>
      </c>
      <c r="K474" s="13">
        <v>26</v>
      </c>
      <c r="L474" s="13">
        <v>22</v>
      </c>
      <c r="M474" s="13">
        <v>4</v>
      </c>
      <c r="N474" s="119">
        <v>202</v>
      </c>
      <c r="O474" s="22">
        <v>202</v>
      </c>
      <c r="P474" s="22">
        <v>1</v>
      </c>
      <c r="Q474" s="119">
        <v>-2</v>
      </c>
      <c r="R474" s="13">
        <v>13</v>
      </c>
    </row>
    <row r="475" spans="1:19" x14ac:dyDescent="0.2">
      <c r="A475" s="128"/>
    </row>
    <row r="477" spans="1:19" ht="15.75" x14ac:dyDescent="0.25">
      <c r="A477" s="101" t="s">
        <v>384</v>
      </c>
      <c r="B477" s="120" t="s">
        <v>823</v>
      </c>
    </row>
    <row r="478" spans="1:19" ht="24" x14ac:dyDescent="0.2">
      <c r="A478" s="122" t="s">
        <v>490</v>
      </c>
      <c r="B478" s="123" t="s">
        <v>824</v>
      </c>
      <c r="C478" s="123" t="s">
        <v>825</v>
      </c>
      <c r="D478" s="123" t="s">
        <v>826</v>
      </c>
      <c r="E478" s="123" t="s">
        <v>827</v>
      </c>
      <c r="F478" s="123" t="s">
        <v>828</v>
      </c>
      <c r="G478" s="123" t="s">
        <v>829</v>
      </c>
      <c r="H478" s="123" t="s">
        <v>830</v>
      </c>
      <c r="I478" s="123" t="s">
        <v>831</v>
      </c>
      <c r="J478" s="123" t="s">
        <v>832</v>
      </c>
      <c r="K478" s="123" t="s">
        <v>833</v>
      </c>
      <c r="L478" s="123" t="s">
        <v>834</v>
      </c>
      <c r="M478" s="123" t="s">
        <v>835</v>
      </c>
      <c r="N478" s="124" t="s">
        <v>836</v>
      </c>
      <c r="O478" s="123" t="s">
        <v>837</v>
      </c>
      <c r="P478" s="123" t="s">
        <v>838</v>
      </c>
      <c r="Q478" s="124" t="s">
        <v>839</v>
      </c>
      <c r="R478" s="123" t="s">
        <v>840</v>
      </c>
      <c r="S478" s="123"/>
    </row>
    <row r="479" spans="1:19" ht="140.25" x14ac:dyDescent="0.2">
      <c r="A479" s="125" t="s">
        <v>508</v>
      </c>
      <c r="B479" s="126" t="s">
        <v>841</v>
      </c>
      <c r="C479" s="126" t="s">
        <v>842</v>
      </c>
      <c r="D479" s="126" t="s">
        <v>843</v>
      </c>
      <c r="E479" s="126" t="s">
        <v>844</v>
      </c>
      <c r="F479" s="126" t="s">
        <v>845</v>
      </c>
      <c r="G479" s="126" t="s">
        <v>846</v>
      </c>
      <c r="H479" s="126" t="s">
        <v>847</v>
      </c>
      <c r="I479" s="126" t="s">
        <v>848</v>
      </c>
      <c r="J479" s="126" t="s">
        <v>849</v>
      </c>
      <c r="K479" s="126" t="s">
        <v>850</v>
      </c>
      <c r="L479" s="126" t="s">
        <v>851</v>
      </c>
      <c r="M479" s="126" t="s">
        <v>852</v>
      </c>
      <c r="N479" s="127" t="s">
        <v>853</v>
      </c>
      <c r="O479" s="126" t="s">
        <v>854</v>
      </c>
      <c r="P479" s="126" t="s">
        <v>855</v>
      </c>
      <c r="Q479" s="127" t="s">
        <v>856</v>
      </c>
      <c r="R479" s="126" t="s">
        <v>857</v>
      </c>
      <c r="S479" s="126"/>
    </row>
    <row r="480" spans="1:19" x14ac:dyDescent="0.2">
      <c r="A480" s="128">
        <v>40354</v>
      </c>
      <c r="B480" s="13">
        <v>1468</v>
      </c>
      <c r="C480" s="13">
        <v>980</v>
      </c>
      <c r="D480" s="13">
        <v>965</v>
      </c>
      <c r="E480" s="13">
        <v>15</v>
      </c>
      <c r="F480" s="13">
        <v>488</v>
      </c>
      <c r="G480" s="13">
        <v>384</v>
      </c>
      <c r="H480" s="13">
        <v>383</v>
      </c>
      <c r="I480" s="13">
        <v>1</v>
      </c>
      <c r="J480" s="13">
        <v>104</v>
      </c>
      <c r="K480" s="13">
        <v>380</v>
      </c>
      <c r="L480" s="13">
        <v>337</v>
      </c>
      <c r="M480" s="13">
        <v>43</v>
      </c>
      <c r="N480" s="119">
        <v>534</v>
      </c>
      <c r="O480" s="22">
        <v>485</v>
      </c>
      <c r="P480" s="22">
        <v>27</v>
      </c>
      <c r="Q480" s="119">
        <v>22</v>
      </c>
      <c r="R480" s="13">
        <v>121</v>
      </c>
    </row>
    <row r="481" spans="1:18" x14ac:dyDescent="0.2">
      <c r="A481" s="128">
        <v>40361</v>
      </c>
      <c r="B481" s="13">
        <v>1457</v>
      </c>
      <c r="C481" s="13">
        <v>988</v>
      </c>
      <c r="D481" s="13">
        <v>978</v>
      </c>
      <c r="E481" s="13">
        <v>11</v>
      </c>
      <c r="F481" s="13">
        <v>469</v>
      </c>
      <c r="G481" s="13">
        <v>377</v>
      </c>
      <c r="H481" s="13">
        <v>377</v>
      </c>
      <c r="I481" s="13">
        <v>1</v>
      </c>
      <c r="J481" s="13">
        <v>91</v>
      </c>
      <c r="K481" s="13">
        <v>401</v>
      </c>
      <c r="L481" s="13">
        <v>348</v>
      </c>
      <c r="M481" s="13">
        <v>54</v>
      </c>
      <c r="N481" s="119">
        <v>523</v>
      </c>
      <c r="O481" s="22">
        <v>472</v>
      </c>
      <c r="P481" s="22">
        <v>29</v>
      </c>
      <c r="Q481" s="119">
        <v>22</v>
      </c>
      <c r="R481" s="13">
        <v>111</v>
      </c>
    </row>
    <row r="482" spans="1:18" x14ac:dyDescent="0.2">
      <c r="A482" s="128">
        <v>40368</v>
      </c>
      <c r="B482" s="13">
        <v>1447</v>
      </c>
      <c r="C482" s="13">
        <v>985</v>
      </c>
      <c r="D482" s="13">
        <v>974</v>
      </c>
      <c r="E482" s="13">
        <v>11</v>
      </c>
      <c r="F482" s="13">
        <v>462</v>
      </c>
      <c r="G482" s="13">
        <v>382</v>
      </c>
      <c r="H482" s="13">
        <v>382</v>
      </c>
      <c r="I482" s="13">
        <v>0</v>
      </c>
      <c r="J482" s="13">
        <v>80</v>
      </c>
      <c r="K482" s="13">
        <v>414</v>
      </c>
      <c r="L482" s="13">
        <v>359</v>
      </c>
      <c r="M482" s="13">
        <v>55</v>
      </c>
      <c r="N482" s="119">
        <v>531</v>
      </c>
      <c r="O482" s="22">
        <v>484</v>
      </c>
      <c r="P482" s="22">
        <v>27</v>
      </c>
      <c r="Q482" s="119">
        <v>20</v>
      </c>
      <c r="R482" s="13">
        <v>113</v>
      </c>
    </row>
    <row r="483" spans="1:18" x14ac:dyDescent="0.2">
      <c r="A483" s="128">
        <v>40375</v>
      </c>
      <c r="B483" s="13">
        <v>1437</v>
      </c>
      <c r="C483" s="13">
        <v>976</v>
      </c>
      <c r="D483" s="13">
        <v>963</v>
      </c>
      <c r="E483" s="13">
        <v>13</v>
      </c>
      <c r="F483" s="13">
        <v>461</v>
      </c>
      <c r="G483" s="13">
        <v>383</v>
      </c>
      <c r="H483" s="13">
        <v>383</v>
      </c>
      <c r="I483" s="13">
        <v>0</v>
      </c>
      <c r="J483" s="13">
        <v>78</v>
      </c>
      <c r="K483" s="13">
        <v>423</v>
      </c>
      <c r="L483" s="13">
        <v>375</v>
      </c>
      <c r="M483" s="13">
        <v>48</v>
      </c>
      <c r="N483" s="119">
        <v>523</v>
      </c>
      <c r="O483" s="22">
        <v>476</v>
      </c>
      <c r="P483" s="22">
        <v>27</v>
      </c>
      <c r="Q483" s="119">
        <v>20</v>
      </c>
      <c r="R483" s="13">
        <v>120</v>
      </c>
    </row>
    <row r="484" spans="1:18" x14ac:dyDescent="0.2">
      <c r="A484" s="128">
        <v>40382</v>
      </c>
      <c r="B484" s="13">
        <v>1447</v>
      </c>
      <c r="C484" s="13">
        <v>984</v>
      </c>
      <c r="D484" s="13">
        <v>968</v>
      </c>
      <c r="E484" s="13">
        <v>16</v>
      </c>
      <c r="F484" s="13">
        <v>462</v>
      </c>
      <c r="G484" s="13">
        <v>388</v>
      </c>
      <c r="H484" s="13">
        <v>388</v>
      </c>
      <c r="I484" s="13">
        <v>0</v>
      </c>
      <c r="J484" s="13">
        <v>74</v>
      </c>
      <c r="K484" s="13">
        <v>427</v>
      </c>
      <c r="L484" s="13">
        <v>377</v>
      </c>
      <c r="M484" s="13">
        <v>50</v>
      </c>
      <c r="N484" s="119">
        <v>524</v>
      </c>
      <c r="O484" s="22">
        <v>471</v>
      </c>
      <c r="P484" s="22">
        <v>26</v>
      </c>
      <c r="Q484" s="119">
        <v>26</v>
      </c>
      <c r="R484" s="13">
        <v>123</v>
      </c>
    </row>
    <row r="485" spans="1:18" x14ac:dyDescent="0.2">
      <c r="A485" s="128">
        <v>40389</v>
      </c>
      <c r="B485" s="13">
        <v>1481</v>
      </c>
      <c r="C485" s="13">
        <v>992</v>
      </c>
      <c r="D485" s="13">
        <v>971</v>
      </c>
      <c r="E485" s="13">
        <v>21</v>
      </c>
      <c r="F485" s="13">
        <v>489</v>
      </c>
      <c r="G485" s="13">
        <v>395</v>
      </c>
      <c r="H485" s="13">
        <v>394</v>
      </c>
      <c r="I485" s="13">
        <v>0</v>
      </c>
      <c r="J485" s="13">
        <v>95</v>
      </c>
      <c r="K485" s="13">
        <v>412</v>
      </c>
      <c r="L485" s="13">
        <v>371</v>
      </c>
      <c r="M485" s="13">
        <v>41</v>
      </c>
      <c r="N485" s="119">
        <v>516</v>
      </c>
      <c r="O485" s="22">
        <v>468</v>
      </c>
      <c r="P485" s="22">
        <v>25</v>
      </c>
      <c r="Q485" s="119">
        <v>23</v>
      </c>
      <c r="R485" s="13">
        <v>131</v>
      </c>
    </row>
    <row r="486" spans="1:18" x14ac:dyDescent="0.2">
      <c r="A486" s="128">
        <v>40396</v>
      </c>
      <c r="B486" s="13">
        <v>1491</v>
      </c>
      <c r="C486" s="13">
        <v>999</v>
      </c>
      <c r="D486" s="13">
        <v>980</v>
      </c>
      <c r="E486" s="13">
        <v>19</v>
      </c>
      <c r="F486" s="13">
        <v>492</v>
      </c>
      <c r="G486" s="13">
        <v>397</v>
      </c>
      <c r="H486" s="13">
        <v>397</v>
      </c>
      <c r="I486" s="13">
        <v>0</v>
      </c>
      <c r="J486" s="13">
        <v>95</v>
      </c>
      <c r="K486" s="13">
        <v>399</v>
      </c>
      <c r="L486" s="13">
        <v>363</v>
      </c>
      <c r="M486" s="13">
        <v>36</v>
      </c>
      <c r="N486" s="119">
        <v>495</v>
      </c>
      <c r="O486" s="22">
        <v>444</v>
      </c>
      <c r="P486" s="22">
        <v>26</v>
      </c>
      <c r="Q486" s="119">
        <v>26</v>
      </c>
      <c r="R486" s="13">
        <v>120</v>
      </c>
    </row>
    <row r="487" spans="1:18" x14ac:dyDescent="0.2">
      <c r="A487" s="128">
        <v>40403</v>
      </c>
      <c r="B487" s="13">
        <v>1505</v>
      </c>
      <c r="C487" s="13">
        <v>1004</v>
      </c>
      <c r="D487" s="13">
        <v>987</v>
      </c>
      <c r="E487" s="13">
        <v>18</v>
      </c>
      <c r="F487" s="13">
        <v>501</v>
      </c>
      <c r="G487" s="13">
        <v>397</v>
      </c>
      <c r="H487" s="13">
        <v>396</v>
      </c>
      <c r="I487" s="13">
        <v>0</v>
      </c>
      <c r="J487" s="13">
        <v>104</v>
      </c>
      <c r="K487" s="13">
        <v>392</v>
      </c>
      <c r="L487" s="13">
        <v>352</v>
      </c>
      <c r="M487" s="13">
        <v>40</v>
      </c>
      <c r="N487" s="119">
        <v>477</v>
      </c>
      <c r="O487" s="22">
        <v>423</v>
      </c>
      <c r="P487" s="22">
        <v>27</v>
      </c>
      <c r="Q487" s="119">
        <v>27</v>
      </c>
      <c r="R487" s="13">
        <v>112</v>
      </c>
    </row>
    <row r="488" spans="1:18" x14ac:dyDescent="0.2">
      <c r="A488" s="128">
        <v>40410</v>
      </c>
      <c r="B488" s="13">
        <v>1501</v>
      </c>
      <c r="C488" s="13">
        <v>1004</v>
      </c>
      <c r="D488" s="13">
        <v>988</v>
      </c>
      <c r="E488" s="13">
        <v>16</v>
      </c>
      <c r="F488" s="13">
        <v>498</v>
      </c>
      <c r="G488" s="13">
        <v>397</v>
      </c>
      <c r="H488" s="13">
        <v>397</v>
      </c>
      <c r="I488" s="13">
        <v>0</v>
      </c>
      <c r="J488" s="13">
        <v>100</v>
      </c>
      <c r="K488" s="13">
        <v>386</v>
      </c>
      <c r="L488" s="13">
        <v>350</v>
      </c>
      <c r="M488" s="13">
        <v>36</v>
      </c>
      <c r="N488" s="119">
        <v>468</v>
      </c>
      <c r="O488" s="22">
        <v>408</v>
      </c>
      <c r="P488" s="22">
        <v>28</v>
      </c>
      <c r="Q488" s="119">
        <v>33</v>
      </c>
      <c r="R488" s="13">
        <v>113</v>
      </c>
    </row>
    <row r="489" spans="1:18" x14ac:dyDescent="0.2">
      <c r="A489" s="128">
        <v>40417</v>
      </c>
      <c r="B489" s="13">
        <v>1497</v>
      </c>
      <c r="C489" s="13">
        <v>1009</v>
      </c>
      <c r="D489" s="13">
        <v>993</v>
      </c>
      <c r="E489" s="13">
        <v>17</v>
      </c>
      <c r="F489" s="13">
        <v>488</v>
      </c>
      <c r="G489" s="13">
        <v>397</v>
      </c>
      <c r="H489" s="13">
        <v>397</v>
      </c>
      <c r="I489" s="13">
        <v>0</v>
      </c>
      <c r="J489" s="13">
        <v>90</v>
      </c>
      <c r="K489" s="13">
        <v>390</v>
      </c>
      <c r="L489" s="13">
        <v>349</v>
      </c>
      <c r="M489" s="13">
        <v>41</v>
      </c>
      <c r="N489" s="119">
        <v>471</v>
      </c>
      <c r="O489" s="22">
        <v>404</v>
      </c>
      <c r="P489" s="22">
        <v>27</v>
      </c>
      <c r="Q489" s="119">
        <v>41</v>
      </c>
      <c r="R489" s="13">
        <v>107</v>
      </c>
    </row>
    <row r="490" spans="1:18" x14ac:dyDescent="0.2">
      <c r="A490" s="128">
        <v>40424</v>
      </c>
      <c r="B490" s="13">
        <v>1491</v>
      </c>
      <c r="C490" s="13">
        <v>1008</v>
      </c>
      <c r="D490" s="13">
        <v>990</v>
      </c>
      <c r="E490" s="13">
        <v>18</v>
      </c>
      <c r="F490" s="13">
        <v>484</v>
      </c>
      <c r="G490" s="13">
        <v>391</v>
      </c>
      <c r="H490" s="13">
        <v>391</v>
      </c>
      <c r="I490" s="13">
        <v>0</v>
      </c>
      <c r="J490" s="13">
        <v>92</v>
      </c>
      <c r="K490" s="13">
        <v>402</v>
      </c>
      <c r="L490" s="13">
        <v>356</v>
      </c>
      <c r="M490" s="13">
        <v>46</v>
      </c>
      <c r="N490" s="119">
        <v>479</v>
      </c>
      <c r="O490" s="22">
        <v>404</v>
      </c>
      <c r="P490" s="22">
        <v>27</v>
      </c>
      <c r="Q490" s="119">
        <v>48</v>
      </c>
      <c r="R490" s="13">
        <v>109</v>
      </c>
    </row>
    <row r="491" spans="1:18" x14ac:dyDescent="0.2">
      <c r="A491" s="128">
        <v>40431</v>
      </c>
      <c r="B491" s="13">
        <v>1480</v>
      </c>
      <c r="C491" s="13">
        <v>1004</v>
      </c>
      <c r="D491" s="13">
        <v>988</v>
      </c>
      <c r="E491" s="13">
        <v>16</v>
      </c>
      <c r="F491" s="13">
        <v>476</v>
      </c>
      <c r="G491" s="13">
        <v>389</v>
      </c>
      <c r="H491" s="13">
        <v>389</v>
      </c>
      <c r="I491" s="13">
        <v>0</v>
      </c>
      <c r="J491" s="13">
        <v>87</v>
      </c>
      <c r="K491" s="13">
        <v>406</v>
      </c>
      <c r="L491" s="13">
        <v>355</v>
      </c>
      <c r="M491" s="13">
        <v>51</v>
      </c>
      <c r="N491" s="119">
        <v>502</v>
      </c>
      <c r="O491" s="22">
        <v>431</v>
      </c>
      <c r="P491" s="22">
        <v>30</v>
      </c>
      <c r="Q491" s="119">
        <v>41</v>
      </c>
      <c r="R491" s="13">
        <v>105</v>
      </c>
    </row>
    <row r="492" spans="1:18" x14ac:dyDescent="0.2">
      <c r="A492" s="128">
        <v>40438</v>
      </c>
      <c r="B492" s="13">
        <v>1491</v>
      </c>
      <c r="C492" s="13">
        <v>1008</v>
      </c>
      <c r="D492" s="13">
        <v>981</v>
      </c>
      <c r="E492" s="13">
        <v>27</v>
      </c>
      <c r="F492" s="13">
        <v>482</v>
      </c>
      <c r="G492" s="13">
        <v>385</v>
      </c>
      <c r="H492" s="13">
        <v>385</v>
      </c>
      <c r="I492" s="13">
        <v>0</v>
      </c>
      <c r="J492" s="13">
        <v>97</v>
      </c>
      <c r="K492" s="13">
        <v>403</v>
      </c>
      <c r="L492" s="13">
        <v>357</v>
      </c>
      <c r="M492" s="13">
        <v>46</v>
      </c>
      <c r="N492" s="119">
        <v>515</v>
      </c>
      <c r="O492" s="22">
        <v>448</v>
      </c>
      <c r="P492" s="22">
        <v>29</v>
      </c>
      <c r="Q492" s="119">
        <v>38</v>
      </c>
      <c r="R492" s="13">
        <v>100</v>
      </c>
    </row>
    <row r="493" spans="1:18" x14ac:dyDescent="0.2">
      <c r="A493" s="128">
        <v>40445</v>
      </c>
      <c r="B493" s="13">
        <v>1505</v>
      </c>
      <c r="C493" s="13">
        <v>1020</v>
      </c>
      <c r="D493" s="13">
        <v>980</v>
      </c>
      <c r="E493" s="13">
        <v>40</v>
      </c>
      <c r="F493" s="13">
        <v>484</v>
      </c>
      <c r="G493" s="13">
        <v>381</v>
      </c>
      <c r="H493" s="13">
        <v>380</v>
      </c>
      <c r="I493" s="13">
        <v>0</v>
      </c>
      <c r="J493" s="13">
        <v>104</v>
      </c>
      <c r="K493" s="13">
        <v>389</v>
      </c>
      <c r="L493" s="13">
        <v>352</v>
      </c>
      <c r="M493" s="13">
        <v>38</v>
      </c>
      <c r="N493" s="119">
        <v>519</v>
      </c>
      <c r="O493" s="22">
        <v>458</v>
      </c>
      <c r="P493" s="22">
        <v>23</v>
      </c>
      <c r="Q493" s="119">
        <v>38</v>
      </c>
      <c r="R493" s="13">
        <v>102</v>
      </c>
    </row>
    <row r="494" spans="1:18" x14ac:dyDescent="0.2">
      <c r="A494" s="128">
        <v>40452</v>
      </c>
      <c r="B494" s="13">
        <v>1512</v>
      </c>
      <c r="C494" s="13">
        <v>1032</v>
      </c>
      <c r="D494" s="13">
        <v>983</v>
      </c>
      <c r="E494" s="13">
        <v>49</v>
      </c>
      <c r="F494" s="13">
        <v>481</v>
      </c>
      <c r="G494" s="13">
        <v>381</v>
      </c>
      <c r="H494" s="13">
        <v>380</v>
      </c>
      <c r="I494" s="13">
        <v>0</v>
      </c>
      <c r="J494" s="13">
        <v>100</v>
      </c>
      <c r="K494" s="13">
        <v>381</v>
      </c>
      <c r="L494" s="13">
        <v>346</v>
      </c>
      <c r="M494" s="13">
        <v>35</v>
      </c>
      <c r="N494" s="119">
        <v>514</v>
      </c>
      <c r="O494" s="22">
        <v>458</v>
      </c>
      <c r="P494" s="22">
        <v>24</v>
      </c>
      <c r="Q494" s="119">
        <v>31</v>
      </c>
      <c r="R494" s="13">
        <v>111</v>
      </c>
    </row>
    <row r="495" spans="1:18" x14ac:dyDescent="0.2">
      <c r="A495" s="128">
        <v>40459</v>
      </c>
      <c r="B495" s="13">
        <v>1536</v>
      </c>
      <c r="C495" s="13">
        <v>1056</v>
      </c>
      <c r="D495" s="13">
        <v>1009</v>
      </c>
      <c r="E495" s="13">
        <v>47</v>
      </c>
      <c r="F495" s="13">
        <v>480</v>
      </c>
      <c r="G495" s="13">
        <v>382</v>
      </c>
      <c r="H495" s="13">
        <v>381</v>
      </c>
      <c r="I495" s="13">
        <v>0</v>
      </c>
      <c r="J495" s="13">
        <v>99</v>
      </c>
      <c r="K495" s="13">
        <v>363</v>
      </c>
      <c r="L495" s="13">
        <v>339</v>
      </c>
      <c r="M495" s="13">
        <v>25</v>
      </c>
      <c r="N495" s="119">
        <v>502</v>
      </c>
      <c r="O495" s="22">
        <v>441</v>
      </c>
      <c r="P495" s="22">
        <v>21</v>
      </c>
      <c r="Q495" s="119">
        <v>40</v>
      </c>
      <c r="R495" s="13">
        <v>116</v>
      </c>
    </row>
    <row r="496" spans="1:18" x14ac:dyDescent="0.2">
      <c r="A496" s="128">
        <v>40466</v>
      </c>
      <c r="B496" s="13">
        <v>1532</v>
      </c>
      <c r="C496" s="13">
        <v>1071</v>
      </c>
      <c r="D496" s="13">
        <v>1039</v>
      </c>
      <c r="E496" s="13">
        <v>32</v>
      </c>
      <c r="F496" s="13">
        <v>461</v>
      </c>
      <c r="G496" s="13">
        <v>382</v>
      </c>
      <c r="H496" s="13">
        <v>382</v>
      </c>
      <c r="I496" s="13">
        <v>0</v>
      </c>
      <c r="J496" s="13">
        <v>79</v>
      </c>
      <c r="K496" s="13">
        <v>359</v>
      </c>
      <c r="L496" s="13">
        <v>333</v>
      </c>
      <c r="M496" s="13">
        <v>26</v>
      </c>
      <c r="N496" s="119">
        <v>494</v>
      </c>
      <c r="O496" s="22">
        <v>437</v>
      </c>
      <c r="P496" s="22">
        <v>17</v>
      </c>
      <c r="Q496" s="119">
        <v>40</v>
      </c>
      <c r="R496" s="13">
        <v>114</v>
      </c>
    </row>
    <row r="497" spans="1:18" x14ac:dyDescent="0.2">
      <c r="A497" s="128">
        <v>40473</v>
      </c>
      <c r="B497" s="13">
        <v>1523</v>
      </c>
      <c r="C497" s="13">
        <v>1075</v>
      </c>
      <c r="D497" s="13">
        <v>1062</v>
      </c>
      <c r="E497" s="13">
        <v>13</v>
      </c>
      <c r="F497" s="13">
        <v>448</v>
      </c>
      <c r="G497" s="13">
        <v>384</v>
      </c>
      <c r="H497" s="13">
        <v>384</v>
      </c>
      <c r="I497" s="13">
        <v>0</v>
      </c>
      <c r="J497" s="13">
        <v>64</v>
      </c>
      <c r="K497" s="13">
        <v>372</v>
      </c>
      <c r="L497" s="13">
        <v>337</v>
      </c>
      <c r="M497" s="13">
        <v>34</v>
      </c>
      <c r="N497" s="119">
        <v>508</v>
      </c>
      <c r="O497" s="22">
        <v>446</v>
      </c>
      <c r="P497" s="22">
        <v>21</v>
      </c>
      <c r="Q497" s="119">
        <v>41</v>
      </c>
      <c r="R497" s="13">
        <v>123</v>
      </c>
    </row>
    <row r="498" spans="1:18" x14ac:dyDescent="0.2">
      <c r="A498" s="128">
        <v>40480</v>
      </c>
      <c r="B498" s="13">
        <v>1524</v>
      </c>
      <c r="C498" s="13">
        <v>1090</v>
      </c>
      <c r="D498" s="13">
        <v>1082</v>
      </c>
      <c r="E498" s="13">
        <v>8</v>
      </c>
      <c r="F498" s="13">
        <v>435</v>
      </c>
      <c r="G498" s="13">
        <v>386</v>
      </c>
      <c r="H498" s="13">
        <v>386</v>
      </c>
      <c r="I498" s="13">
        <v>0</v>
      </c>
      <c r="J498" s="13">
        <v>49</v>
      </c>
      <c r="K498" s="13">
        <v>371</v>
      </c>
      <c r="L498" s="13">
        <v>340</v>
      </c>
      <c r="M498" s="13">
        <v>31</v>
      </c>
      <c r="N498" s="119">
        <v>524</v>
      </c>
      <c r="O498" s="22">
        <v>459</v>
      </c>
      <c r="P498" s="22">
        <v>19</v>
      </c>
      <c r="Q498" s="119">
        <v>45</v>
      </c>
      <c r="R498" s="13">
        <v>117</v>
      </c>
    </row>
    <row r="499" spans="1:18" x14ac:dyDescent="0.2">
      <c r="A499" s="128">
        <v>40487</v>
      </c>
      <c r="B499" s="13">
        <v>1520</v>
      </c>
      <c r="C499" s="13">
        <v>1093</v>
      </c>
      <c r="D499" s="13">
        <v>1086</v>
      </c>
      <c r="E499" s="13">
        <v>7</v>
      </c>
      <c r="F499" s="13">
        <v>427</v>
      </c>
      <c r="G499" s="13">
        <v>382</v>
      </c>
      <c r="H499" s="13">
        <v>382</v>
      </c>
      <c r="I499" s="13">
        <v>0</v>
      </c>
      <c r="J499" s="13">
        <v>45</v>
      </c>
      <c r="K499" s="13">
        <v>382</v>
      </c>
      <c r="L499" s="13">
        <v>344</v>
      </c>
      <c r="M499" s="13">
        <v>37</v>
      </c>
      <c r="N499" s="119">
        <v>538</v>
      </c>
      <c r="O499" s="22">
        <v>475</v>
      </c>
      <c r="P499" s="22">
        <v>23</v>
      </c>
      <c r="Q499" s="119">
        <v>40</v>
      </c>
      <c r="R499" s="13">
        <v>116</v>
      </c>
    </row>
    <row r="500" spans="1:18" x14ac:dyDescent="0.2">
      <c r="A500" s="128">
        <v>40494</v>
      </c>
      <c r="B500" s="13">
        <v>1518</v>
      </c>
      <c r="C500" s="13">
        <v>1093</v>
      </c>
      <c r="D500" s="13">
        <v>1090</v>
      </c>
      <c r="E500" s="13">
        <v>3</v>
      </c>
      <c r="F500" s="13">
        <v>425</v>
      </c>
      <c r="G500" s="13">
        <v>380</v>
      </c>
      <c r="H500" s="13">
        <v>380</v>
      </c>
      <c r="I500" s="13">
        <v>0</v>
      </c>
      <c r="J500" s="13">
        <v>45</v>
      </c>
      <c r="K500" s="13">
        <v>396</v>
      </c>
      <c r="L500" s="13">
        <v>361</v>
      </c>
      <c r="M500" s="13">
        <v>35</v>
      </c>
      <c r="N500" s="119">
        <v>535</v>
      </c>
      <c r="O500" s="22">
        <v>467</v>
      </c>
      <c r="P500" s="22">
        <v>20</v>
      </c>
      <c r="Q500" s="119">
        <v>47</v>
      </c>
      <c r="R500" s="13">
        <v>114</v>
      </c>
    </row>
    <row r="501" spans="1:18" x14ac:dyDescent="0.2">
      <c r="A501" s="128">
        <v>40501</v>
      </c>
      <c r="B501" s="13">
        <v>1521</v>
      </c>
      <c r="C501" s="13">
        <v>1096</v>
      </c>
      <c r="D501" s="13">
        <v>1090</v>
      </c>
      <c r="E501" s="13">
        <v>7</v>
      </c>
      <c r="F501" s="13">
        <v>425</v>
      </c>
      <c r="G501" s="13">
        <v>376</v>
      </c>
      <c r="H501" s="13">
        <v>376</v>
      </c>
      <c r="I501" s="13">
        <v>0</v>
      </c>
      <c r="J501" s="13">
        <v>49</v>
      </c>
      <c r="K501" s="13">
        <v>402</v>
      </c>
      <c r="L501" s="13">
        <v>374</v>
      </c>
      <c r="M501" s="13">
        <v>28</v>
      </c>
      <c r="N501" s="119">
        <v>519</v>
      </c>
      <c r="O501" s="22">
        <v>453</v>
      </c>
      <c r="P501" s="22">
        <v>20</v>
      </c>
      <c r="Q501" s="119">
        <v>46</v>
      </c>
      <c r="R501" s="13">
        <v>110</v>
      </c>
    </row>
    <row r="502" spans="1:18" x14ac:dyDescent="0.2">
      <c r="A502" s="128">
        <v>40508</v>
      </c>
      <c r="B502" s="13">
        <v>1525</v>
      </c>
      <c r="C502" s="13">
        <v>1092</v>
      </c>
      <c r="D502" s="13">
        <v>1093</v>
      </c>
      <c r="E502" s="13">
        <v>-1</v>
      </c>
      <c r="F502" s="13">
        <v>433</v>
      </c>
      <c r="G502" s="13">
        <v>367</v>
      </c>
      <c r="H502" s="13">
        <v>367</v>
      </c>
      <c r="I502" s="13">
        <v>0</v>
      </c>
      <c r="J502" s="13">
        <v>66</v>
      </c>
      <c r="K502" s="13">
        <v>402</v>
      </c>
      <c r="L502" s="13">
        <v>374</v>
      </c>
      <c r="M502" s="13">
        <v>28</v>
      </c>
      <c r="N502" s="119">
        <v>528</v>
      </c>
      <c r="O502" s="22">
        <v>457</v>
      </c>
      <c r="P502" s="22">
        <v>24</v>
      </c>
      <c r="Q502" s="119">
        <v>46</v>
      </c>
      <c r="R502" s="13">
        <v>115</v>
      </c>
    </row>
    <row r="503" spans="1:18" x14ac:dyDescent="0.2">
      <c r="A503" s="128">
        <v>40515</v>
      </c>
      <c r="B503" s="13">
        <v>1522</v>
      </c>
      <c r="C503" s="13">
        <v>1084</v>
      </c>
      <c r="D503" s="13">
        <v>1084</v>
      </c>
      <c r="E503" s="13">
        <v>-1</v>
      </c>
      <c r="F503" s="13">
        <v>438</v>
      </c>
      <c r="G503" s="13">
        <v>361</v>
      </c>
      <c r="H503" s="13">
        <v>361</v>
      </c>
      <c r="I503" s="13">
        <v>0</v>
      </c>
      <c r="J503" s="13">
        <v>77</v>
      </c>
      <c r="K503" s="13">
        <v>408</v>
      </c>
      <c r="L503" s="13">
        <v>384</v>
      </c>
      <c r="M503" s="13">
        <v>24</v>
      </c>
      <c r="N503" s="119">
        <v>538</v>
      </c>
      <c r="O503" s="22">
        <v>467</v>
      </c>
      <c r="P503" s="22">
        <v>22</v>
      </c>
      <c r="Q503" s="119">
        <v>49</v>
      </c>
      <c r="R503" s="13">
        <v>113</v>
      </c>
    </row>
    <row r="504" spans="1:18" x14ac:dyDescent="0.2">
      <c r="A504" s="128">
        <v>40522</v>
      </c>
      <c r="B504" s="13">
        <v>1524</v>
      </c>
      <c r="C504" s="13">
        <v>1079</v>
      </c>
      <c r="D504" s="13">
        <v>1076</v>
      </c>
      <c r="E504" s="13">
        <v>3</v>
      </c>
      <c r="F504" s="13">
        <v>445</v>
      </c>
      <c r="G504" s="13">
        <v>358</v>
      </c>
      <c r="H504" s="13">
        <v>358</v>
      </c>
      <c r="I504" s="13">
        <v>0</v>
      </c>
      <c r="J504" s="13">
        <v>86</v>
      </c>
      <c r="K504" s="13">
        <v>403</v>
      </c>
      <c r="L504" s="13">
        <v>377</v>
      </c>
      <c r="M504" s="13">
        <v>26</v>
      </c>
      <c r="N504" s="119">
        <v>543</v>
      </c>
      <c r="O504" s="22">
        <v>478</v>
      </c>
      <c r="P504" s="22">
        <v>26</v>
      </c>
      <c r="Q504" s="119">
        <v>39</v>
      </c>
      <c r="R504" s="13">
        <v>124</v>
      </c>
    </row>
    <row r="505" spans="1:18" x14ac:dyDescent="0.2">
      <c r="A505" s="128">
        <v>40529</v>
      </c>
      <c r="B505" s="13">
        <v>1533</v>
      </c>
      <c r="C505" s="13">
        <v>1076</v>
      </c>
      <c r="D505" s="13">
        <v>1076</v>
      </c>
      <c r="E505" s="13">
        <v>0</v>
      </c>
      <c r="F505" s="13">
        <v>457</v>
      </c>
      <c r="G505" s="13">
        <v>355</v>
      </c>
      <c r="H505" s="13">
        <v>355</v>
      </c>
      <c r="I505" s="13">
        <v>0</v>
      </c>
      <c r="J505" s="13">
        <v>101</v>
      </c>
      <c r="K505" s="13">
        <v>395</v>
      </c>
      <c r="L505" s="13">
        <v>367</v>
      </c>
      <c r="M505" s="13">
        <v>28</v>
      </c>
      <c r="N505" s="119">
        <v>558</v>
      </c>
      <c r="O505" s="22">
        <v>492</v>
      </c>
      <c r="P505" s="22">
        <v>28</v>
      </c>
      <c r="Q505" s="119">
        <v>38</v>
      </c>
      <c r="R505" s="13">
        <v>134</v>
      </c>
    </row>
    <row r="506" spans="1:18" x14ac:dyDescent="0.2">
      <c r="A506" s="128">
        <v>40536</v>
      </c>
      <c r="B506" s="13">
        <v>1541</v>
      </c>
      <c r="C506" s="13">
        <v>1076</v>
      </c>
      <c r="D506" s="13">
        <v>1076</v>
      </c>
      <c r="E506" s="13">
        <v>0</v>
      </c>
      <c r="F506" s="13">
        <v>465</v>
      </c>
      <c r="G506" s="13">
        <v>362</v>
      </c>
      <c r="H506" s="13">
        <v>362</v>
      </c>
      <c r="I506" s="13">
        <v>0</v>
      </c>
      <c r="J506" s="13">
        <v>103</v>
      </c>
      <c r="K506" s="13">
        <v>407</v>
      </c>
      <c r="L506" s="13">
        <v>374</v>
      </c>
      <c r="M506" s="13">
        <v>32</v>
      </c>
      <c r="N506" s="119">
        <v>546</v>
      </c>
      <c r="O506" s="22">
        <v>486</v>
      </c>
      <c r="P506" s="22">
        <v>27</v>
      </c>
      <c r="Q506" s="119">
        <v>33</v>
      </c>
      <c r="R506" s="13">
        <v>129</v>
      </c>
    </row>
    <row r="507" spans="1:18" x14ac:dyDescent="0.2">
      <c r="A507" s="128">
        <v>40543</v>
      </c>
      <c r="B507" s="13">
        <v>1532</v>
      </c>
      <c r="C507" s="13">
        <v>1059</v>
      </c>
      <c r="D507" s="13">
        <v>1058</v>
      </c>
      <c r="E507" s="13">
        <v>2</v>
      </c>
      <c r="F507" s="13">
        <v>473</v>
      </c>
      <c r="G507" s="13">
        <v>356</v>
      </c>
      <c r="H507" s="13">
        <v>356</v>
      </c>
      <c r="I507" s="13">
        <v>0</v>
      </c>
      <c r="J507" s="13">
        <v>117</v>
      </c>
      <c r="K507" s="13">
        <v>411</v>
      </c>
      <c r="L507" s="13">
        <v>382</v>
      </c>
      <c r="M507" s="13">
        <v>29</v>
      </c>
      <c r="N507" s="119">
        <v>528</v>
      </c>
      <c r="O507" s="22">
        <v>469</v>
      </c>
      <c r="P507" s="22">
        <v>27</v>
      </c>
      <c r="Q507" s="119">
        <v>31</v>
      </c>
      <c r="R507" s="13">
        <v>131</v>
      </c>
    </row>
    <row r="508" spans="1:18" x14ac:dyDescent="0.2">
      <c r="A508" s="128">
        <v>40550</v>
      </c>
      <c r="B508" s="13">
        <v>1489</v>
      </c>
      <c r="C508" s="13">
        <v>1034</v>
      </c>
      <c r="D508" s="13">
        <v>1032</v>
      </c>
      <c r="E508" s="13">
        <v>2</v>
      </c>
      <c r="F508" s="13">
        <v>455</v>
      </c>
      <c r="G508" s="13">
        <v>352</v>
      </c>
      <c r="H508" s="13">
        <v>351</v>
      </c>
      <c r="I508" s="13">
        <v>0</v>
      </c>
      <c r="J508" s="13">
        <v>103</v>
      </c>
      <c r="K508" s="13">
        <v>423</v>
      </c>
      <c r="L508" s="13">
        <v>397</v>
      </c>
      <c r="M508" s="13">
        <v>26</v>
      </c>
      <c r="N508" s="119">
        <v>528</v>
      </c>
      <c r="O508" s="22">
        <v>473</v>
      </c>
      <c r="P508" s="22">
        <v>29</v>
      </c>
      <c r="Q508" s="119">
        <v>26</v>
      </c>
      <c r="R508" s="13">
        <v>120</v>
      </c>
    </row>
    <row r="509" spans="1:18" x14ac:dyDescent="0.2">
      <c r="A509" s="128">
        <v>40557</v>
      </c>
      <c r="B509" s="13">
        <v>1466</v>
      </c>
      <c r="C509" s="13">
        <v>1025</v>
      </c>
      <c r="D509" s="13">
        <v>1024</v>
      </c>
      <c r="E509" s="13">
        <v>2</v>
      </c>
      <c r="F509" s="13">
        <v>441</v>
      </c>
      <c r="G509" s="13">
        <v>348</v>
      </c>
      <c r="H509" s="13">
        <v>348</v>
      </c>
      <c r="I509" s="13">
        <v>0</v>
      </c>
      <c r="J509" s="13">
        <v>93</v>
      </c>
      <c r="K509" s="13">
        <v>420</v>
      </c>
      <c r="L509" s="13">
        <v>400</v>
      </c>
      <c r="M509" s="13">
        <v>20</v>
      </c>
      <c r="N509" s="119">
        <v>507</v>
      </c>
      <c r="O509" s="22">
        <v>460</v>
      </c>
      <c r="P509" s="22">
        <v>25</v>
      </c>
      <c r="Q509" s="119">
        <v>22</v>
      </c>
      <c r="R509" s="13">
        <v>108</v>
      </c>
    </row>
    <row r="510" spans="1:18" x14ac:dyDescent="0.2">
      <c r="A510" s="128">
        <v>40564</v>
      </c>
      <c r="B510" s="13">
        <v>1438</v>
      </c>
      <c r="C510" s="13">
        <v>1017</v>
      </c>
      <c r="D510" s="13">
        <v>1015</v>
      </c>
      <c r="E510" s="13">
        <v>2</v>
      </c>
      <c r="F510" s="13">
        <v>422</v>
      </c>
      <c r="G510" s="13">
        <v>340</v>
      </c>
      <c r="H510" s="13">
        <v>340</v>
      </c>
      <c r="I510" s="13">
        <v>0</v>
      </c>
      <c r="J510" s="13">
        <v>81</v>
      </c>
      <c r="K510" s="13">
        <v>403</v>
      </c>
      <c r="L510" s="13">
        <v>381</v>
      </c>
      <c r="M510" s="13">
        <v>22</v>
      </c>
      <c r="N510" s="119">
        <v>502</v>
      </c>
      <c r="O510" s="22">
        <v>454</v>
      </c>
      <c r="P510" s="22">
        <v>25</v>
      </c>
      <c r="Q510" s="119">
        <v>24</v>
      </c>
      <c r="R510" s="13">
        <v>116</v>
      </c>
    </row>
    <row r="511" spans="1:18" x14ac:dyDescent="0.2">
      <c r="A511" s="128">
        <v>40571</v>
      </c>
      <c r="B511" s="13">
        <v>1431</v>
      </c>
      <c r="C511" s="13">
        <v>1033</v>
      </c>
      <c r="D511" s="13">
        <v>1033</v>
      </c>
      <c r="E511" s="13">
        <v>0</v>
      </c>
      <c r="F511" s="13">
        <v>398</v>
      </c>
      <c r="G511" s="13">
        <v>346</v>
      </c>
      <c r="H511" s="13">
        <v>346</v>
      </c>
      <c r="I511" s="13">
        <v>0</v>
      </c>
      <c r="J511" s="13">
        <v>52</v>
      </c>
      <c r="K511" s="13">
        <v>388</v>
      </c>
      <c r="L511" s="13">
        <v>357</v>
      </c>
      <c r="M511" s="13">
        <v>31</v>
      </c>
      <c r="N511" s="119">
        <v>491</v>
      </c>
      <c r="O511" s="22">
        <v>449</v>
      </c>
      <c r="P511" s="22">
        <v>20</v>
      </c>
      <c r="Q511" s="119">
        <v>22</v>
      </c>
      <c r="R511" s="13">
        <v>123</v>
      </c>
    </row>
    <row r="512" spans="1:18" x14ac:dyDescent="0.2">
      <c r="A512" s="128">
        <v>40578</v>
      </c>
      <c r="B512" s="13">
        <v>1479</v>
      </c>
      <c r="C512" s="13">
        <v>1058</v>
      </c>
      <c r="D512" s="13">
        <v>1058</v>
      </c>
      <c r="E512" s="13">
        <v>0</v>
      </c>
      <c r="F512" s="13">
        <v>421</v>
      </c>
      <c r="G512" s="13">
        <v>351</v>
      </c>
      <c r="H512" s="13">
        <v>351</v>
      </c>
      <c r="I512" s="13">
        <v>0</v>
      </c>
      <c r="J512" s="13">
        <v>70</v>
      </c>
      <c r="K512" s="13">
        <v>372</v>
      </c>
      <c r="L512" s="13">
        <v>342</v>
      </c>
      <c r="M512" s="13">
        <v>29</v>
      </c>
      <c r="N512" s="119">
        <v>461</v>
      </c>
      <c r="O512" s="22">
        <v>419</v>
      </c>
      <c r="P512" s="22">
        <v>11</v>
      </c>
      <c r="Q512" s="119">
        <v>31</v>
      </c>
      <c r="R512" s="13">
        <v>126</v>
      </c>
    </row>
    <row r="513" spans="1:18" x14ac:dyDescent="0.2">
      <c r="A513" s="128">
        <v>40585</v>
      </c>
      <c r="B513" s="13">
        <v>1480</v>
      </c>
      <c r="C513" s="13">
        <v>1066</v>
      </c>
      <c r="D513" s="13">
        <v>1066</v>
      </c>
      <c r="E513" s="13">
        <v>0</v>
      </c>
      <c r="F513" s="13">
        <v>415</v>
      </c>
      <c r="G513" s="13">
        <v>353</v>
      </c>
      <c r="H513" s="13">
        <v>353</v>
      </c>
      <c r="I513" s="13">
        <v>0</v>
      </c>
      <c r="J513" s="13">
        <v>61</v>
      </c>
      <c r="K513" s="13">
        <v>372</v>
      </c>
      <c r="L513" s="13">
        <v>336</v>
      </c>
      <c r="M513" s="13">
        <v>36</v>
      </c>
      <c r="N513" s="119">
        <v>450</v>
      </c>
      <c r="O513" s="22">
        <v>399</v>
      </c>
      <c r="P513" s="22">
        <v>17</v>
      </c>
      <c r="Q513" s="119">
        <v>33</v>
      </c>
      <c r="R513" s="13">
        <v>120</v>
      </c>
    </row>
    <row r="514" spans="1:18" x14ac:dyDescent="0.2">
      <c r="A514" s="128">
        <v>40592</v>
      </c>
      <c r="B514" s="13">
        <v>1495</v>
      </c>
      <c r="C514" s="13">
        <v>1078</v>
      </c>
      <c r="D514" s="13">
        <v>1078</v>
      </c>
      <c r="E514" s="13">
        <v>0</v>
      </c>
      <c r="F514" s="13">
        <v>417</v>
      </c>
      <c r="G514" s="13">
        <v>359</v>
      </c>
      <c r="H514" s="13">
        <v>358</v>
      </c>
      <c r="I514" s="13">
        <v>0</v>
      </c>
      <c r="J514" s="13">
        <v>59</v>
      </c>
      <c r="K514" s="13">
        <v>383</v>
      </c>
      <c r="L514" s="13">
        <v>350</v>
      </c>
      <c r="M514" s="13">
        <v>33</v>
      </c>
      <c r="N514" s="119">
        <v>441</v>
      </c>
      <c r="O514" s="22">
        <v>395</v>
      </c>
      <c r="P514" s="22">
        <v>12</v>
      </c>
      <c r="Q514" s="119">
        <v>34</v>
      </c>
      <c r="R514" s="13">
        <v>111</v>
      </c>
    </row>
    <row r="515" spans="1:18" x14ac:dyDescent="0.2">
      <c r="A515" s="128">
        <v>40599</v>
      </c>
      <c r="B515" s="13">
        <v>1527</v>
      </c>
      <c r="C515" s="13">
        <v>1085</v>
      </c>
      <c r="D515" s="13">
        <v>1085</v>
      </c>
      <c r="E515" s="13">
        <v>0</v>
      </c>
      <c r="F515" s="13">
        <v>442</v>
      </c>
      <c r="G515" s="13">
        <v>364</v>
      </c>
      <c r="H515" s="13">
        <v>364</v>
      </c>
      <c r="I515" s="13">
        <v>0</v>
      </c>
      <c r="J515" s="13">
        <v>78</v>
      </c>
      <c r="K515" s="13">
        <v>392</v>
      </c>
      <c r="L515" s="13">
        <v>369</v>
      </c>
      <c r="M515" s="13">
        <v>23</v>
      </c>
      <c r="N515" s="119">
        <v>463</v>
      </c>
      <c r="O515" s="22">
        <v>405</v>
      </c>
      <c r="P515" s="22">
        <v>19</v>
      </c>
      <c r="Q515" s="119">
        <v>39</v>
      </c>
      <c r="R515" s="13">
        <v>114</v>
      </c>
    </row>
    <row r="516" spans="1:18" x14ac:dyDescent="0.2">
      <c r="A516" s="128">
        <v>40606</v>
      </c>
      <c r="B516" s="13">
        <v>1523</v>
      </c>
      <c r="C516" s="13">
        <v>1085</v>
      </c>
      <c r="D516" s="13">
        <v>1085</v>
      </c>
      <c r="E516" s="13">
        <v>0</v>
      </c>
      <c r="F516" s="13">
        <v>438</v>
      </c>
      <c r="G516" s="13">
        <v>363</v>
      </c>
      <c r="H516" s="13">
        <v>363</v>
      </c>
      <c r="I516" s="13">
        <v>0</v>
      </c>
      <c r="J516" s="13">
        <v>74</v>
      </c>
      <c r="K516" s="13">
        <v>402</v>
      </c>
      <c r="L516" s="13">
        <v>365</v>
      </c>
      <c r="M516" s="13">
        <v>37</v>
      </c>
      <c r="N516" s="119">
        <v>490</v>
      </c>
      <c r="O516" s="22">
        <v>423</v>
      </c>
      <c r="P516" s="22">
        <v>23</v>
      </c>
      <c r="Q516" s="119">
        <v>44</v>
      </c>
      <c r="R516" s="13">
        <v>112</v>
      </c>
    </row>
    <row r="517" spans="1:18" x14ac:dyDescent="0.2">
      <c r="A517" s="128">
        <v>40613</v>
      </c>
      <c r="B517" s="13">
        <v>1537</v>
      </c>
      <c r="C517" s="13">
        <v>1083</v>
      </c>
      <c r="D517" s="13">
        <v>1083</v>
      </c>
      <c r="E517" s="13">
        <v>0</v>
      </c>
      <c r="F517" s="13">
        <v>454</v>
      </c>
      <c r="G517" s="13">
        <v>368</v>
      </c>
      <c r="H517" s="13">
        <v>367</v>
      </c>
      <c r="I517" s="13">
        <v>0</v>
      </c>
      <c r="J517" s="13">
        <v>86</v>
      </c>
      <c r="K517" s="13">
        <v>411</v>
      </c>
      <c r="L517" s="13">
        <v>377</v>
      </c>
      <c r="M517" s="13">
        <v>34</v>
      </c>
      <c r="N517" s="119">
        <v>526</v>
      </c>
      <c r="O517" s="22">
        <v>454</v>
      </c>
      <c r="P517" s="22">
        <v>23</v>
      </c>
      <c r="Q517" s="119">
        <v>49</v>
      </c>
      <c r="R517" s="13">
        <v>116</v>
      </c>
    </row>
    <row r="518" spans="1:18" x14ac:dyDescent="0.2">
      <c r="A518" s="128">
        <v>40620</v>
      </c>
      <c r="B518" s="13">
        <v>1555</v>
      </c>
      <c r="C518" s="13">
        <v>1084</v>
      </c>
      <c r="D518" s="13">
        <v>1084</v>
      </c>
      <c r="E518" s="13">
        <v>0</v>
      </c>
      <c r="F518" s="13">
        <v>471</v>
      </c>
      <c r="G518" s="13">
        <v>370</v>
      </c>
      <c r="H518" s="13">
        <v>370</v>
      </c>
      <c r="I518" s="13">
        <v>0</v>
      </c>
      <c r="J518" s="13">
        <v>100</v>
      </c>
      <c r="K518" s="13">
        <v>400</v>
      </c>
      <c r="L518" s="13">
        <v>363</v>
      </c>
      <c r="M518" s="13">
        <v>37</v>
      </c>
      <c r="N518" s="119">
        <v>550</v>
      </c>
      <c r="O518" s="22">
        <v>469</v>
      </c>
      <c r="P518" s="22">
        <v>32</v>
      </c>
      <c r="Q518" s="119">
        <v>49</v>
      </c>
      <c r="R518" s="13">
        <v>117</v>
      </c>
    </row>
    <row r="519" spans="1:18" x14ac:dyDescent="0.2">
      <c r="A519" s="128">
        <v>40627</v>
      </c>
      <c r="B519" s="13">
        <v>1536</v>
      </c>
      <c r="C519" s="13">
        <v>1076</v>
      </c>
      <c r="D519" s="13">
        <v>1076</v>
      </c>
      <c r="E519" s="13">
        <v>0</v>
      </c>
      <c r="F519" s="13">
        <v>459</v>
      </c>
      <c r="G519" s="13">
        <v>370</v>
      </c>
      <c r="H519" s="13">
        <v>370</v>
      </c>
      <c r="I519" s="13">
        <v>0</v>
      </c>
      <c r="J519" s="13">
        <v>90</v>
      </c>
      <c r="K519" s="13">
        <v>396</v>
      </c>
      <c r="L519" s="13">
        <v>347</v>
      </c>
      <c r="M519" s="13">
        <v>49</v>
      </c>
      <c r="N519" s="119">
        <v>548</v>
      </c>
      <c r="O519" s="22">
        <v>469</v>
      </c>
      <c r="P519" s="22">
        <v>28</v>
      </c>
      <c r="Q519" s="119">
        <v>51</v>
      </c>
      <c r="R519" s="13">
        <v>110</v>
      </c>
    </row>
    <row r="520" spans="1:18" x14ac:dyDescent="0.2">
      <c r="A520" s="128">
        <v>40634</v>
      </c>
      <c r="B520" s="13">
        <v>1518</v>
      </c>
      <c r="C520" s="13">
        <v>1069</v>
      </c>
      <c r="D520" s="13">
        <v>1069</v>
      </c>
      <c r="E520" s="13">
        <v>0</v>
      </c>
      <c r="F520" s="13">
        <v>449</v>
      </c>
      <c r="G520" s="13">
        <v>372</v>
      </c>
      <c r="H520" s="13">
        <v>371</v>
      </c>
      <c r="I520" s="13">
        <v>0</v>
      </c>
      <c r="J520" s="13">
        <v>78</v>
      </c>
      <c r="K520" s="13">
        <v>384</v>
      </c>
      <c r="L520" s="13">
        <v>344</v>
      </c>
      <c r="M520" s="13">
        <v>40</v>
      </c>
      <c r="N520" s="119">
        <v>559</v>
      </c>
      <c r="O520" s="22">
        <v>477</v>
      </c>
      <c r="P520" s="22">
        <v>32</v>
      </c>
      <c r="Q520" s="119">
        <v>49</v>
      </c>
      <c r="R520" s="13">
        <v>121</v>
      </c>
    </row>
    <row r="521" spans="1:18" x14ac:dyDescent="0.2">
      <c r="A521" s="128">
        <v>40641</v>
      </c>
      <c r="B521" s="13">
        <v>1510</v>
      </c>
      <c r="C521" s="13">
        <v>1071</v>
      </c>
      <c r="D521" s="13">
        <v>1071</v>
      </c>
      <c r="E521" s="13">
        <v>0</v>
      </c>
      <c r="F521" s="13">
        <v>439</v>
      </c>
      <c r="G521" s="13">
        <v>373</v>
      </c>
      <c r="H521" s="13">
        <v>373</v>
      </c>
      <c r="I521" s="13">
        <v>0</v>
      </c>
      <c r="J521" s="13">
        <v>66</v>
      </c>
      <c r="K521" s="13">
        <v>375</v>
      </c>
      <c r="L521" s="13">
        <v>329</v>
      </c>
      <c r="M521" s="13">
        <v>46</v>
      </c>
      <c r="N521" s="119">
        <v>556</v>
      </c>
      <c r="O521" s="22">
        <v>478</v>
      </c>
      <c r="P521" s="22">
        <v>29</v>
      </c>
      <c r="Q521" s="119">
        <v>49</v>
      </c>
      <c r="R521" s="13">
        <v>122</v>
      </c>
    </row>
    <row r="522" spans="1:18" x14ac:dyDescent="0.2">
      <c r="A522" s="128">
        <v>40648</v>
      </c>
      <c r="B522" s="13">
        <v>1498</v>
      </c>
      <c r="C522" s="13">
        <v>1064</v>
      </c>
      <c r="D522" s="13">
        <v>1064</v>
      </c>
      <c r="E522" s="13">
        <v>0</v>
      </c>
      <c r="F522" s="13">
        <v>434</v>
      </c>
      <c r="G522" s="13">
        <v>373</v>
      </c>
      <c r="H522" s="13">
        <v>373</v>
      </c>
      <c r="I522" s="13">
        <v>0</v>
      </c>
      <c r="J522" s="13">
        <v>61</v>
      </c>
      <c r="K522" s="13">
        <v>374</v>
      </c>
      <c r="L522" s="13">
        <v>330</v>
      </c>
      <c r="M522" s="13">
        <v>44</v>
      </c>
      <c r="N522" s="119">
        <v>550</v>
      </c>
      <c r="O522" s="22">
        <v>474</v>
      </c>
      <c r="P522" s="22">
        <v>21</v>
      </c>
      <c r="Q522" s="119">
        <v>55</v>
      </c>
      <c r="R522" s="13">
        <v>126</v>
      </c>
    </row>
    <row r="523" spans="1:18" x14ac:dyDescent="0.2">
      <c r="A523" s="128">
        <v>40655</v>
      </c>
      <c r="B523" s="13">
        <v>1506</v>
      </c>
      <c r="C523" s="13">
        <v>1069</v>
      </c>
      <c r="D523" s="13">
        <v>1069</v>
      </c>
      <c r="E523" s="13">
        <v>0</v>
      </c>
      <c r="F523" s="13">
        <v>437</v>
      </c>
      <c r="G523" s="13">
        <v>374</v>
      </c>
      <c r="H523" s="13">
        <v>374</v>
      </c>
      <c r="I523" s="13">
        <v>0</v>
      </c>
      <c r="J523" s="13">
        <v>63</v>
      </c>
      <c r="K523" s="13">
        <v>358</v>
      </c>
      <c r="L523" s="13">
        <v>325</v>
      </c>
      <c r="M523" s="13">
        <v>34</v>
      </c>
      <c r="N523" s="119">
        <v>531</v>
      </c>
      <c r="O523" s="22">
        <v>466</v>
      </c>
      <c r="P523" s="22">
        <v>16</v>
      </c>
      <c r="Q523" s="119">
        <v>48</v>
      </c>
      <c r="R523" s="13">
        <v>118</v>
      </c>
    </row>
    <row r="524" spans="1:18" x14ac:dyDescent="0.2">
      <c r="A524" s="128">
        <v>40662</v>
      </c>
      <c r="B524" s="13">
        <v>1501</v>
      </c>
      <c r="C524" s="13">
        <v>1070</v>
      </c>
      <c r="D524" s="13">
        <v>1070</v>
      </c>
      <c r="E524" s="13">
        <v>0</v>
      </c>
      <c r="F524" s="13">
        <v>431</v>
      </c>
      <c r="G524" s="13">
        <v>377</v>
      </c>
      <c r="H524" s="13">
        <v>377</v>
      </c>
      <c r="I524" s="13">
        <v>0</v>
      </c>
      <c r="J524" s="13">
        <v>55</v>
      </c>
      <c r="K524" s="13">
        <v>357</v>
      </c>
      <c r="L524" s="13">
        <v>324</v>
      </c>
      <c r="M524" s="13">
        <v>34</v>
      </c>
      <c r="N524" s="119">
        <v>511</v>
      </c>
      <c r="O524" s="22">
        <v>457</v>
      </c>
      <c r="P524" s="22">
        <v>13</v>
      </c>
      <c r="Q524" s="119">
        <v>41</v>
      </c>
      <c r="R524" s="13">
        <v>118</v>
      </c>
    </row>
    <row r="525" spans="1:18" x14ac:dyDescent="0.2">
      <c r="A525" s="128">
        <v>40669</v>
      </c>
      <c r="B525" s="13">
        <v>1510</v>
      </c>
      <c r="C525" s="13">
        <v>1068</v>
      </c>
      <c r="D525" s="13">
        <v>1068</v>
      </c>
      <c r="E525" s="13">
        <v>0</v>
      </c>
      <c r="F525" s="13">
        <v>442</v>
      </c>
      <c r="G525" s="13">
        <v>376</v>
      </c>
      <c r="H525" s="13">
        <v>376</v>
      </c>
      <c r="I525" s="13">
        <v>0</v>
      </c>
      <c r="J525" s="13">
        <v>66</v>
      </c>
      <c r="K525" s="13">
        <v>345</v>
      </c>
      <c r="L525" s="13">
        <v>310</v>
      </c>
      <c r="M525" s="13">
        <v>34</v>
      </c>
      <c r="N525" s="119">
        <v>492</v>
      </c>
      <c r="O525" s="22">
        <v>444</v>
      </c>
      <c r="P525" s="22">
        <v>5</v>
      </c>
      <c r="Q525" s="119">
        <v>43</v>
      </c>
      <c r="R525" s="13">
        <v>119</v>
      </c>
    </row>
    <row r="526" spans="1:18" x14ac:dyDescent="0.2">
      <c r="A526" s="128">
        <v>40676</v>
      </c>
      <c r="B526" s="13">
        <v>1504</v>
      </c>
      <c r="C526" s="13">
        <v>1070</v>
      </c>
      <c r="D526" s="13">
        <v>1070</v>
      </c>
      <c r="E526" s="13">
        <v>0</v>
      </c>
      <c r="F526" s="13">
        <v>434</v>
      </c>
      <c r="G526" s="13">
        <v>377</v>
      </c>
      <c r="H526" s="13">
        <v>377</v>
      </c>
      <c r="I526" s="13">
        <v>0</v>
      </c>
      <c r="J526" s="13">
        <v>57</v>
      </c>
      <c r="K526" s="13">
        <v>345</v>
      </c>
      <c r="L526" s="13">
        <v>312</v>
      </c>
      <c r="M526" s="13">
        <v>33</v>
      </c>
      <c r="N526" s="119">
        <v>457</v>
      </c>
      <c r="O526" s="22">
        <v>416</v>
      </c>
      <c r="P526" s="22">
        <v>9</v>
      </c>
      <c r="Q526" s="119">
        <v>33</v>
      </c>
      <c r="R526" s="13">
        <v>126</v>
      </c>
    </row>
    <row r="527" spans="1:18" x14ac:dyDescent="0.2">
      <c r="A527" s="128">
        <v>40683</v>
      </c>
      <c r="B527" s="13">
        <v>1499</v>
      </c>
      <c r="C527" s="13">
        <v>1069</v>
      </c>
      <c r="D527" s="13">
        <v>1069</v>
      </c>
      <c r="E527" s="13">
        <v>0</v>
      </c>
      <c r="F527" s="13">
        <v>430</v>
      </c>
      <c r="G527" s="13">
        <v>377</v>
      </c>
      <c r="H527" s="13">
        <v>377</v>
      </c>
      <c r="I527" s="13">
        <v>0</v>
      </c>
      <c r="J527" s="13">
        <v>53</v>
      </c>
      <c r="K527" s="13">
        <v>354</v>
      </c>
      <c r="L527" s="13">
        <v>321</v>
      </c>
      <c r="M527" s="13">
        <v>32</v>
      </c>
      <c r="N527" s="119">
        <v>458</v>
      </c>
      <c r="O527" s="22">
        <v>411</v>
      </c>
      <c r="P527" s="22">
        <v>12</v>
      </c>
      <c r="Q527" s="119">
        <v>36</v>
      </c>
      <c r="R527" s="13">
        <v>132</v>
      </c>
    </row>
    <row r="528" spans="1:18" x14ac:dyDescent="0.2">
      <c r="A528" s="128">
        <v>40690</v>
      </c>
      <c r="B528" s="13">
        <v>1527</v>
      </c>
      <c r="C528" s="13">
        <v>1077</v>
      </c>
      <c r="D528" s="13">
        <v>1077</v>
      </c>
      <c r="E528" s="13">
        <v>0</v>
      </c>
      <c r="F528" s="13">
        <v>451</v>
      </c>
      <c r="G528" s="13">
        <v>380</v>
      </c>
      <c r="H528" s="13">
        <v>380</v>
      </c>
      <c r="I528" s="13">
        <v>0</v>
      </c>
      <c r="J528" s="13">
        <v>71</v>
      </c>
      <c r="K528" s="13">
        <v>359</v>
      </c>
      <c r="L528" s="13">
        <v>320</v>
      </c>
      <c r="M528" s="13">
        <v>39</v>
      </c>
      <c r="N528" s="119">
        <v>464</v>
      </c>
      <c r="O528" s="22">
        <v>413</v>
      </c>
      <c r="P528" s="22">
        <v>16</v>
      </c>
      <c r="Q528" s="119">
        <v>36</v>
      </c>
      <c r="R528" s="13">
        <v>140</v>
      </c>
    </row>
    <row r="529" spans="1:18" x14ac:dyDescent="0.2">
      <c r="A529" s="128">
        <v>40697</v>
      </c>
      <c r="B529" s="13">
        <v>1518</v>
      </c>
      <c r="C529" s="13">
        <v>1065</v>
      </c>
      <c r="D529" s="13">
        <v>1065</v>
      </c>
      <c r="E529" s="13">
        <v>0</v>
      </c>
      <c r="F529" s="13">
        <v>453</v>
      </c>
      <c r="G529" s="13">
        <v>383</v>
      </c>
      <c r="H529" s="13">
        <v>383</v>
      </c>
      <c r="I529" s="13">
        <v>0</v>
      </c>
      <c r="J529" s="13">
        <v>70</v>
      </c>
      <c r="K529" s="13">
        <v>379</v>
      </c>
      <c r="L529" s="13">
        <v>346</v>
      </c>
      <c r="M529" s="13">
        <v>32</v>
      </c>
      <c r="N529" s="119">
        <v>469</v>
      </c>
      <c r="O529" s="22">
        <v>416</v>
      </c>
      <c r="P529" s="22">
        <v>21</v>
      </c>
      <c r="Q529" s="119">
        <v>32</v>
      </c>
      <c r="R529" s="13">
        <v>147</v>
      </c>
    </row>
    <row r="530" spans="1:18" x14ac:dyDescent="0.2">
      <c r="A530" s="128">
        <v>40704</v>
      </c>
      <c r="B530" s="13">
        <v>1532</v>
      </c>
      <c r="C530" s="13">
        <v>1059</v>
      </c>
      <c r="D530" s="13">
        <v>1059</v>
      </c>
      <c r="E530" s="13">
        <v>0</v>
      </c>
      <c r="F530" s="13">
        <v>473</v>
      </c>
      <c r="G530" s="13">
        <v>392</v>
      </c>
      <c r="H530" s="13">
        <v>392</v>
      </c>
      <c r="I530" s="13">
        <v>0</v>
      </c>
      <c r="J530" s="13">
        <v>81</v>
      </c>
      <c r="K530" s="13">
        <v>402</v>
      </c>
      <c r="L530" s="13">
        <v>359</v>
      </c>
      <c r="M530" s="13">
        <v>43</v>
      </c>
      <c r="N530" s="119">
        <v>493</v>
      </c>
      <c r="O530" s="22">
        <v>428</v>
      </c>
      <c r="P530" s="22">
        <v>20</v>
      </c>
      <c r="Q530" s="119">
        <v>45</v>
      </c>
      <c r="R530" s="13">
        <v>146</v>
      </c>
    </row>
    <row r="531" spans="1:18" x14ac:dyDescent="0.2">
      <c r="A531" s="128">
        <v>40711</v>
      </c>
      <c r="B531" s="13">
        <v>1536</v>
      </c>
      <c r="C531" s="13">
        <v>1060</v>
      </c>
      <c r="D531" s="13">
        <v>1060</v>
      </c>
      <c r="E531" s="13">
        <v>0</v>
      </c>
      <c r="F531" s="13">
        <v>475</v>
      </c>
      <c r="G531" s="13">
        <v>400</v>
      </c>
      <c r="H531" s="13">
        <v>400</v>
      </c>
      <c r="I531" s="13">
        <v>0</v>
      </c>
      <c r="J531" s="13">
        <v>75</v>
      </c>
      <c r="K531" s="13">
        <v>422</v>
      </c>
      <c r="L531" s="13">
        <v>373</v>
      </c>
      <c r="M531" s="13">
        <v>49</v>
      </c>
      <c r="N531" s="119">
        <v>519</v>
      </c>
      <c r="O531" s="22">
        <v>451</v>
      </c>
      <c r="P531" s="22">
        <v>23</v>
      </c>
      <c r="Q531" s="119">
        <v>46</v>
      </c>
      <c r="R531" s="13">
        <v>149</v>
      </c>
    </row>
    <row r="532" spans="1:18" x14ac:dyDescent="0.2">
      <c r="A532" s="128">
        <v>40718</v>
      </c>
      <c r="B532" s="13">
        <v>1537</v>
      </c>
      <c r="C532" s="13">
        <v>1060</v>
      </c>
      <c r="D532" s="13">
        <v>1060</v>
      </c>
      <c r="E532" s="13">
        <v>0</v>
      </c>
      <c r="F532" s="13">
        <v>477</v>
      </c>
      <c r="G532" s="13">
        <v>405</v>
      </c>
      <c r="H532" s="13">
        <v>405</v>
      </c>
      <c r="I532" s="13">
        <v>0</v>
      </c>
      <c r="J532" s="13">
        <v>72</v>
      </c>
      <c r="K532" s="13">
        <v>436</v>
      </c>
      <c r="L532" s="13">
        <v>394</v>
      </c>
      <c r="M532" s="13">
        <v>42</v>
      </c>
      <c r="N532" s="119">
        <v>526</v>
      </c>
      <c r="O532" s="22">
        <v>461</v>
      </c>
      <c r="P532" s="22">
        <v>21</v>
      </c>
      <c r="Q532" s="119">
        <v>44</v>
      </c>
      <c r="R532" s="13">
        <v>135</v>
      </c>
    </row>
    <row r="533" spans="1:18" x14ac:dyDescent="0.2">
      <c r="A533" s="128">
        <v>40725</v>
      </c>
      <c r="B533" s="13">
        <v>1559</v>
      </c>
      <c r="C533" s="13">
        <v>1073</v>
      </c>
      <c r="D533" s="13">
        <v>1073</v>
      </c>
      <c r="E533" s="13">
        <v>0</v>
      </c>
      <c r="F533" s="13">
        <v>486</v>
      </c>
      <c r="G533" s="13">
        <v>412</v>
      </c>
      <c r="H533" s="13">
        <v>412</v>
      </c>
      <c r="I533" s="13">
        <v>0</v>
      </c>
      <c r="J533" s="13">
        <v>74</v>
      </c>
      <c r="K533" s="13">
        <v>441</v>
      </c>
      <c r="L533" s="13">
        <v>399</v>
      </c>
      <c r="M533" s="13">
        <v>42</v>
      </c>
      <c r="N533" s="119">
        <v>539</v>
      </c>
      <c r="O533" s="22">
        <v>473</v>
      </c>
      <c r="P533" s="22">
        <v>22</v>
      </c>
      <c r="Q533" s="119">
        <v>44</v>
      </c>
      <c r="R533" s="13">
        <v>135</v>
      </c>
    </row>
    <row r="534" spans="1:18" x14ac:dyDescent="0.2">
      <c r="A534" s="128">
        <v>40732</v>
      </c>
      <c r="B534" s="13">
        <v>1558</v>
      </c>
      <c r="C534" s="13">
        <v>1072</v>
      </c>
      <c r="D534" s="13">
        <v>1072</v>
      </c>
      <c r="E534" s="13">
        <v>0</v>
      </c>
      <c r="F534" s="13">
        <v>487</v>
      </c>
      <c r="G534" s="13">
        <v>411</v>
      </c>
      <c r="H534" s="13">
        <v>411</v>
      </c>
      <c r="I534" s="13">
        <v>0</v>
      </c>
      <c r="J534" s="13">
        <v>76</v>
      </c>
      <c r="K534" s="13">
        <v>439</v>
      </c>
      <c r="L534" s="13">
        <v>402</v>
      </c>
      <c r="M534" s="13">
        <v>37</v>
      </c>
      <c r="N534" s="119">
        <v>563</v>
      </c>
      <c r="O534" s="22">
        <v>503</v>
      </c>
      <c r="P534" s="22">
        <v>26</v>
      </c>
      <c r="Q534" s="119">
        <v>34</v>
      </c>
      <c r="R534" s="13">
        <v>131</v>
      </c>
    </row>
    <row r="535" spans="1:18" x14ac:dyDescent="0.2">
      <c r="A535" s="128">
        <v>40739</v>
      </c>
      <c r="B535" s="13">
        <v>1590</v>
      </c>
      <c r="C535" s="13">
        <v>1076</v>
      </c>
      <c r="D535" s="13">
        <v>1076</v>
      </c>
      <c r="E535" s="13">
        <v>0</v>
      </c>
      <c r="F535" s="13">
        <v>514</v>
      </c>
      <c r="G535" s="13">
        <v>415</v>
      </c>
      <c r="H535" s="13">
        <v>415</v>
      </c>
      <c r="I535" s="13">
        <v>0</v>
      </c>
      <c r="J535" s="13">
        <v>100</v>
      </c>
      <c r="K535" s="13">
        <v>436</v>
      </c>
      <c r="L535" s="13">
        <v>401</v>
      </c>
      <c r="M535" s="13">
        <v>36</v>
      </c>
      <c r="N535" s="119">
        <v>571</v>
      </c>
      <c r="O535" s="22">
        <v>509</v>
      </c>
      <c r="P535" s="22">
        <v>26</v>
      </c>
      <c r="Q535" s="119">
        <v>36</v>
      </c>
      <c r="R535" s="13">
        <v>124</v>
      </c>
    </row>
    <row r="536" spans="1:18" x14ac:dyDescent="0.2">
      <c r="A536" s="128">
        <v>40746</v>
      </c>
      <c r="B536" s="13">
        <v>1599</v>
      </c>
      <c r="C536" s="13">
        <v>1075</v>
      </c>
      <c r="D536" s="13">
        <v>1075</v>
      </c>
      <c r="E536" s="13">
        <v>0</v>
      </c>
      <c r="F536" s="13">
        <v>523</v>
      </c>
      <c r="G536" s="13">
        <v>415</v>
      </c>
      <c r="H536" s="13">
        <v>415</v>
      </c>
      <c r="I536" s="13">
        <v>0</v>
      </c>
      <c r="J536" s="13">
        <v>108</v>
      </c>
      <c r="K536" s="13">
        <v>433</v>
      </c>
      <c r="L536" s="13">
        <v>390</v>
      </c>
      <c r="M536" s="13">
        <v>43</v>
      </c>
      <c r="N536" s="119">
        <v>593</v>
      </c>
      <c r="O536" s="22">
        <v>527</v>
      </c>
      <c r="P536" s="22">
        <v>27</v>
      </c>
      <c r="Q536" s="119">
        <v>39</v>
      </c>
      <c r="R536" s="13">
        <v>132</v>
      </c>
    </row>
    <row r="537" spans="1:18" x14ac:dyDescent="0.2">
      <c r="A537" s="128">
        <v>40753</v>
      </c>
      <c r="B537" s="13">
        <v>1609</v>
      </c>
      <c r="C537" s="13">
        <v>1077</v>
      </c>
      <c r="D537" s="13">
        <v>1077</v>
      </c>
      <c r="E537" s="13">
        <v>0</v>
      </c>
      <c r="F537" s="13">
        <v>532</v>
      </c>
      <c r="G537" s="13">
        <v>415</v>
      </c>
      <c r="H537" s="13">
        <v>415</v>
      </c>
      <c r="I537" s="13">
        <v>0</v>
      </c>
      <c r="J537" s="13">
        <v>117</v>
      </c>
      <c r="K537" s="13">
        <v>440</v>
      </c>
      <c r="L537" s="13">
        <v>393</v>
      </c>
      <c r="M537" s="13">
        <v>48</v>
      </c>
      <c r="N537" s="119">
        <v>608</v>
      </c>
      <c r="O537" s="22">
        <v>537</v>
      </c>
      <c r="P537" s="22">
        <v>29</v>
      </c>
      <c r="Q537" s="119">
        <v>42</v>
      </c>
      <c r="R537" s="13">
        <v>122</v>
      </c>
    </row>
    <row r="538" spans="1:18" x14ac:dyDescent="0.2">
      <c r="A538" s="128">
        <v>40760</v>
      </c>
      <c r="B538" s="13">
        <v>1631</v>
      </c>
      <c r="C538" s="13">
        <v>1090</v>
      </c>
      <c r="D538" s="13">
        <v>1090</v>
      </c>
      <c r="E538" s="13">
        <v>0</v>
      </c>
      <c r="F538" s="13">
        <v>541</v>
      </c>
      <c r="G538" s="13">
        <v>418</v>
      </c>
      <c r="H538" s="13">
        <v>417</v>
      </c>
      <c r="I538" s="13">
        <v>0</v>
      </c>
      <c r="J538" s="13">
        <v>123</v>
      </c>
      <c r="K538" s="13">
        <v>436</v>
      </c>
      <c r="L538" s="13">
        <v>385</v>
      </c>
      <c r="M538" s="13">
        <v>51</v>
      </c>
      <c r="N538" s="119">
        <v>611</v>
      </c>
      <c r="O538" s="22">
        <v>539</v>
      </c>
      <c r="P538" s="22">
        <v>24</v>
      </c>
      <c r="Q538" s="119">
        <v>48</v>
      </c>
      <c r="R538" s="13">
        <v>123</v>
      </c>
    </row>
    <row r="539" spans="1:18" x14ac:dyDescent="0.2">
      <c r="A539" s="128">
        <v>40767</v>
      </c>
      <c r="B539" s="13">
        <v>1629</v>
      </c>
      <c r="C539" s="13">
        <v>1095</v>
      </c>
      <c r="D539" s="13">
        <v>1095</v>
      </c>
      <c r="E539" s="13">
        <v>0</v>
      </c>
      <c r="F539" s="13">
        <v>534</v>
      </c>
      <c r="G539" s="13">
        <v>419</v>
      </c>
      <c r="H539" s="13">
        <v>419</v>
      </c>
      <c r="I539" s="13">
        <v>0</v>
      </c>
      <c r="J539" s="13">
        <v>115</v>
      </c>
      <c r="K539" s="13">
        <v>445</v>
      </c>
      <c r="L539" s="13">
        <v>391</v>
      </c>
      <c r="M539" s="13">
        <v>54</v>
      </c>
      <c r="N539" s="119">
        <v>612</v>
      </c>
      <c r="O539" s="22">
        <v>541</v>
      </c>
      <c r="P539" s="22">
        <v>23</v>
      </c>
      <c r="Q539" s="119">
        <v>48</v>
      </c>
      <c r="R539" s="13">
        <v>125</v>
      </c>
    </row>
    <row r="540" spans="1:18" x14ac:dyDescent="0.2">
      <c r="A540" s="128">
        <v>40774</v>
      </c>
      <c r="B540" s="13">
        <v>1650</v>
      </c>
      <c r="C540" s="13">
        <v>1099</v>
      </c>
      <c r="D540" s="13">
        <v>1099</v>
      </c>
      <c r="E540" s="13">
        <v>0</v>
      </c>
      <c r="F540" s="13">
        <v>551</v>
      </c>
      <c r="G540" s="13">
        <v>422</v>
      </c>
      <c r="H540" s="13">
        <v>422</v>
      </c>
      <c r="I540" s="13">
        <v>0</v>
      </c>
      <c r="J540" s="13">
        <v>130</v>
      </c>
      <c r="K540" s="13">
        <v>458</v>
      </c>
      <c r="L540" s="13">
        <v>395</v>
      </c>
      <c r="M540" s="13">
        <v>63</v>
      </c>
      <c r="N540" s="119">
        <v>602</v>
      </c>
      <c r="O540" s="22">
        <v>533</v>
      </c>
      <c r="P540" s="22">
        <v>20</v>
      </c>
      <c r="Q540" s="119">
        <v>50</v>
      </c>
      <c r="R540" s="13">
        <v>117</v>
      </c>
    </row>
    <row r="541" spans="1:18" x14ac:dyDescent="0.2">
      <c r="A541" s="128">
        <v>40781</v>
      </c>
      <c r="B541" s="13">
        <v>1652</v>
      </c>
      <c r="C541" s="13">
        <v>1103</v>
      </c>
      <c r="D541" s="13">
        <v>1103</v>
      </c>
      <c r="E541" s="13">
        <v>0</v>
      </c>
      <c r="F541" s="13">
        <v>549</v>
      </c>
      <c r="G541" s="13">
        <v>422</v>
      </c>
      <c r="H541" s="13">
        <v>422</v>
      </c>
      <c r="I541" s="13">
        <v>0</v>
      </c>
      <c r="J541" s="13">
        <v>127</v>
      </c>
      <c r="K541" s="13">
        <v>453</v>
      </c>
      <c r="L541" s="13">
        <v>400</v>
      </c>
      <c r="M541" s="13">
        <v>52</v>
      </c>
      <c r="N541" s="119">
        <v>581</v>
      </c>
      <c r="O541" s="22">
        <v>513</v>
      </c>
      <c r="P541" s="22">
        <v>19</v>
      </c>
      <c r="Q541" s="119">
        <v>49</v>
      </c>
      <c r="R541" s="13">
        <v>122</v>
      </c>
    </row>
    <row r="542" spans="1:18" x14ac:dyDescent="0.2">
      <c r="A542" s="128">
        <v>40788</v>
      </c>
      <c r="B542" s="13">
        <v>1638</v>
      </c>
      <c r="C542" s="13">
        <v>1100</v>
      </c>
      <c r="D542" s="13">
        <v>1100</v>
      </c>
      <c r="E542" s="13">
        <v>0</v>
      </c>
      <c r="F542" s="13">
        <v>538</v>
      </c>
      <c r="G542" s="13">
        <v>420</v>
      </c>
      <c r="H542" s="13">
        <v>420</v>
      </c>
      <c r="I542" s="13">
        <v>0</v>
      </c>
      <c r="J542" s="13">
        <v>118</v>
      </c>
      <c r="K542" s="13">
        <v>460</v>
      </c>
      <c r="L542" s="13">
        <v>417</v>
      </c>
      <c r="M542" s="13">
        <v>43</v>
      </c>
      <c r="N542" s="119">
        <v>558</v>
      </c>
      <c r="O542" s="22">
        <v>488</v>
      </c>
      <c r="P542" s="22">
        <v>21</v>
      </c>
      <c r="Q542" s="119">
        <v>49</v>
      </c>
      <c r="R542" s="13">
        <v>124</v>
      </c>
    </row>
    <row r="543" spans="1:18" x14ac:dyDescent="0.2">
      <c r="A543" s="128">
        <v>40795</v>
      </c>
      <c r="B543" s="13">
        <v>1626</v>
      </c>
      <c r="C543" s="13">
        <v>1087</v>
      </c>
      <c r="D543" s="13">
        <v>1087</v>
      </c>
      <c r="E543" s="13">
        <v>0</v>
      </c>
      <c r="F543" s="13">
        <v>538</v>
      </c>
      <c r="G543" s="13">
        <v>416</v>
      </c>
      <c r="H543" s="13">
        <v>415</v>
      </c>
      <c r="I543" s="13">
        <v>0</v>
      </c>
      <c r="J543" s="13">
        <v>123</v>
      </c>
      <c r="K543" s="13">
        <v>454</v>
      </c>
      <c r="L543" s="13">
        <v>417</v>
      </c>
      <c r="M543" s="13">
        <v>37</v>
      </c>
      <c r="N543" s="119">
        <v>535</v>
      </c>
      <c r="O543" s="22">
        <v>468</v>
      </c>
      <c r="P543" s="22">
        <v>17</v>
      </c>
      <c r="Q543" s="119">
        <v>50</v>
      </c>
      <c r="R543" s="13">
        <v>128</v>
      </c>
    </row>
    <row r="544" spans="1:18" x14ac:dyDescent="0.2">
      <c r="A544" s="128">
        <v>40802</v>
      </c>
      <c r="B544" s="13">
        <v>1592</v>
      </c>
      <c r="C544" s="13">
        <v>1086</v>
      </c>
      <c r="D544" s="13">
        <v>1086</v>
      </c>
      <c r="E544" s="13">
        <v>0</v>
      </c>
      <c r="F544" s="13">
        <v>506</v>
      </c>
      <c r="G544" s="13">
        <v>410</v>
      </c>
      <c r="H544" s="13">
        <v>410</v>
      </c>
      <c r="I544" s="13">
        <v>0</v>
      </c>
      <c r="J544" s="13">
        <v>96</v>
      </c>
      <c r="K544" s="13">
        <v>453</v>
      </c>
      <c r="L544" s="13">
        <v>423</v>
      </c>
      <c r="M544" s="13">
        <v>29</v>
      </c>
      <c r="N544" s="119">
        <v>519</v>
      </c>
      <c r="O544" s="22">
        <v>455</v>
      </c>
      <c r="P544" s="22">
        <v>18</v>
      </c>
      <c r="Q544" s="119">
        <v>45</v>
      </c>
      <c r="R544" s="13">
        <v>138</v>
      </c>
    </row>
    <row r="545" spans="1:18" x14ac:dyDescent="0.2">
      <c r="A545" s="128">
        <v>40809</v>
      </c>
      <c r="B545" s="13">
        <v>1572</v>
      </c>
      <c r="C545" s="13">
        <v>1080</v>
      </c>
      <c r="D545" s="13">
        <v>1080</v>
      </c>
      <c r="E545" s="13">
        <v>0</v>
      </c>
      <c r="F545" s="13">
        <v>492</v>
      </c>
      <c r="G545" s="13">
        <v>406</v>
      </c>
      <c r="H545" s="13">
        <v>406</v>
      </c>
      <c r="I545" s="13">
        <v>0</v>
      </c>
      <c r="J545" s="13">
        <v>86</v>
      </c>
      <c r="K545" s="13">
        <v>454</v>
      </c>
      <c r="L545" s="13">
        <v>414</v>
      </c>
      <c r="M545" s="13">
        <v>40</v>
      </c>
      <c r="N545" s="119">
        <v>540</v>
      </c>
      <c r="O545" s="22">
        <v>480</v>
      </c>
      <c r="P545" s="22">
        <v>18</v>
      </c>
      <c r="Q545" s="119">
        <v>42</v>
      </c>
      <c r="R545" s="13">
        <v>138</v>
      </c>
    </row>
    <row r="546" spans="1:18" x14ac:dyDescent="0.2">
      <c r="A546" s="128">
        <v>40816</v>
      </c>
      <c r="B546" s="13">
        <v>1573</v>
      </c>
      <c r="C546" s="13">
        <v>1078</v>
      </c>
      <c r="D546" s="13">
        <v>1078</v>
      </c>
      <c r="E546" s="13">
        <v>0</v>
      </c>
      <c r="F546" s="13">
        <v>495</v>
      </c>
      <c r="G546" s="13">
        <v>404</v>
      </c>
      <c r="H546" s="13">
        <v>404</v>
      </c>
      <c r="I546" s="13">
        <v>0</v>
      </c>
      <c r="J546" s="13">
        <v>91</v>
      </c>
      <c r="K546" s="13">
        <v>453</v>
      </c>
      <c r="L546" s="13">
        <v>403</v>
      </c>
      <c r="M546" s="13">
        <v>50</v>
      </c>
      <c r="N546" s="119">
        <v>550</v>
      </c>
      <c r="O546" s="22">
        <v>494</v>
      </c>
      <c r="P546" s="22">
        <v>17</v>
      </c>
      <c r="Q546" s="119">
        <v>40</v>
      </c>
      <c r="R546" s="13">
        <v>136</v>
      </c>
    </row>
    <row r="547" spans="1:18" x14ac:dyDescent="0.2">
      <c r="A547" s="128">
        <v>40823</v>
      </c>
      <c r="B547" s="13">
        <v>1553</v>
      </c>
      <c r="C547" s="13">
        <v>1073</v>
      </c>
      <c r="D547" s="13">
        <v>1073</v>
      </c>
      <c r="E547" s="13">
        <v>0</v>
      </c>
      <c r="F547" s="13">
        <v>480</v>
      </c>
      <c r="G547" s="13">
        <v>398</v>
      </c>
      <c r="H547" s="13">
        <v>398</v>
      </c>
      <c r="I547" s="13">
        <v>0</v>
      </c>
      <c r="J547" s="13">
        <v>82</v>
      </c>
      <c r="K547" s="13">
        <v>442</v>
      </c>
      <c r="L547" s="13">
        <v>393</v>
      </c>
      <c r="M547" s="13">
        <v>49</v>
      </c>
      <c r="N547" s="119">
        <v>549</v>
      </c>
      <c r="O547" s="22">
        <v>498</v>
      </c>
      <c r="P547" s="22">
        <v>20</v>
      </c>
      <c r="Q547" s="119">
        <v>31</v>
      </c>
      <c r="R547" s="13">
        <v>133</v>
      </c>
    </row>
    <row r="548" spans="1:18" x14ac:dyDescent="0.2">
      <c r="A548" s="128">
        <v>40830</v>
      </c>
      <c r="B548" s="13">
        <v>1537</v>
      </c>
      <c r="C548" s="13">
        <v>1063</v>
      </c>
      <c r="D548" s="13">
        <v>1063</v>
      </c>
      <c r="E548" s="13">
        <v>0</v>
      </c>
      <c r="F548" s="13">
        <v>474</v>
      </c>
      <c r="G548" s="13">
        <v>392</v>
      </c>
      <c r="H548" s="13">
        <v>392</v>
      </c>
      <c r="I548" s="13">
        <v>0</v>
      </c>
      <c r="J548" s="13">
        <v>82</v>
      </c>
      <c r="K548" s="13">
        <v>412</v>
      </c>
      <c r="L548" s="13">
        <v>369</v>
      </c>
      <c r="M548" s="13">
        <v>43</v>
      </c>
      <c r="N548" s="119">
        <v>542</v>
      </c>
      <c r="O548" s="22">
        <v>485</v>
      </c>
      <c r="P548" s="22">
        <v>20</v>
      </c>
      <c r="Q548" s="119">
        <v>37</v>
      </c>
      <c r="R548" s="13">
        <v>126</v>
      </c>
    </row>
    <row r="549" spans="1:18" x14ac:dyDescent="0.2">
      <c r="A549" s="128">
        <v>40837</v>
      </c>
      <c r="B549" s="13">
        <v>1515</v>
      </c>
      <c r="C549" s="13">
        <v>1058</v>
      </c>
      <c r="D549" s="13">
        <v>1058</v>
      </c>
      <c r="E549" s="13">
        <v>0</v>
      </c>
      <c r="F549" s="13">
        <v>458</v>
      </c>
      <c r="G549" s="13">
        <v>387</v>
      </c>
      <c r="H549" s="13">
        <v>387</v>
      </c>
      <c r="I549" s="13">
        <v>0</v>
      </c>
      <c r="J549" s="13">
        <v>70</v>
      </c>
      <c r="K549" s="13">
        <v>394</v>
      </c>
      <c r="L549" s="13">
        <v>356</v>
      </c>
      <c r="M549" s="13">
        <v>38</v>
      </c>
      <c r="N549" s="119">
        <v>504</v>
      </c>
      <c r="O549" s="22">
        <v>449</v>
      </c>
      <c r="P549" s="22">
        <v>19</v>
      </c>
      <c r="Q549" s="119">
        <v>36</v>
      </c>
      <c r="R549" s="13">
        <v>123</v>
      </c>
    </row>
    <row r="550" spans="1:18" x14ac:dyDescent="0.2">
      <c r="A550" s="128">
        <v>40844</v>
      </c>
      <c r="B550" s="13">
        <v>1500</v>
      </c>
      <c r="C550" s="13">
        <v>1056</v>
      </c>
      <c r="D550" s="13">
        <v>1056</v>
      </c>
      <c r="E550" s="13">
        <v>0</v>
      </c>
      <c r="F550" s="13">
        <v>444</v>
      </c>
      <c r="G550" s="13">
        <v>381</v>
      </c>
      <c r="H550" s="13">
        <v>381</v>
      </c>
      <c r="I550" s="13">
        <v>0</v>
      </c>
      <c r="J550" s="13">
        <v>63</v>
      </c>
      <c r="K550" s="13">
        <v>375</v>
      </c>
      <c r="L550" s="13">
        <v>337</v>
      </c>
      <c r="M550" s="13">
        <v>38</v>
      </c>
      <c r="N550" s="119">
        <v>501</v>
      </c>
      <c r="O550" s="22">
        <v>444</v>
      </c>
      <c r="P550" s="22">
        <v>22</v>
      </c>
      <c r="Q550" s="119">
        <v>35</v>
      </c>
      <c r="R550" s="13">
        <v>119</v>
      </c>
    </row>
    <row r="551" spans="1:18" x14ac:dyDescent="0.2">
      <c r="A551" s="128">
        <v>40851</v>
      </c>
      <c r="B551" s="13">
        <v>1504</v>
      </c>
      <c r="C551" s="13">
        <v>1059</v>
      </c>
      <c r="D551" s="13">
        <v>1059</v>
      </c>
      <c r="E551" s="13">
        <v>0</v>
      </c>
      <c r="F551" s="13">
        <v>446</v>
      </c>
      <c r="G551" s="13">
        <v>379</v>
      </c>
      <c r="H551" s="13">
        <v>379</v>
      </c>
      <c r="I551" s="13">
        <v>0</v>
      </c>
      <c r="J551" s="13">
        <v>67</v>
      </c>
      <c r="K551" s="13">
        <v>366</v>
      </c>
      <c r="L551" s="13">
        <v>324</v>
      </c>
      <c r="M551" s="13">
        <v>43</v>
      </c>
      <c r="N551" s="119">
        <v>490</v>
      </c>
      <c r="O551" s="22">
        <v>431</v>
      </c>
      <c r="P551" s="22">
        <v>20</v>
      </c>
      <c r="Q551" s="119">
        <v>39</v>
      </c>
      <c r="R551" s="13">
        <v>116</v>
      </c>
    </row>
    <row r="552" spans="1:18" x14ac:dyDescent="0.2">
      <c r="A552" s="128">
        <v>40858</v>
      </c>
      <c r="B552" s="13">
        <v>1511</v>
      </c>
      <c r="C552" s="13">
        <v>1059</v>
      </c>
      <c r="D552" s="13">
        <v>1059</v>
      </c>
      <c r="E552" s="13">
        <v>0</v>
      </c>
      <c r="F552" s="13">
        <v>452</v>
      </c>
      <c r="G552" s="13">
        <v>377</v>
      </c>
      <c r="H552" s="13">
        <v>377</v>
      </c>
      <c r="I552" s="13">
        <v>0</v>
      </c>
      <c r="J552" s="13">
        <v>74</v>
      </c>
      <c r="K552" s="13">
        <v>363</v>
      </c>
      <c r="L552" s="13">
        <v>319</v>
      </c>
      <c r="M552" s="13">
        <v>44</v>
      </c>
      <c r="N552" s="119">
        <v>500</v>
      </c>
      <c r="O552" s="22">
        <v>443</v>
      </c>
      <c r="P552" s="22">
        <v>18</v>
      </c>
      <c r="Q552" s="119">
        <v>38</v>
      </c>
      <c r="R552" s="13">
        <v>109</v>
      </c>
    </row>
    <row r="553" spans="1:18" x14ac:dyDescent="0.2">
      <c r="A553" s="128">
        <v>40865</v>
      </c>
      <c r="B553" s="13">
        <v>1532</v>
      </c>
      <c r="C553" s="13">
        <v>1057</v>
      </c>
      <c r="D553" s="13">
        <v>1057</v>
      </c>
      <c r="E553" s="13">
        <v>0</v>
      </c>
      <c r="F553" s="13">
        <v>475</v>
      </c>
      <c r="G553" s="13">
        <v>375</v>
      </c>
      <c r="H553" s="13">
        <v>375</v>
      </c>
      <c r="I553" s="13">
        <v>0</v>
      </c>
      <c r="J553" s="13">
        <v>100</v>
      </c>
      <c r="K553" s="13">
        <v>358</v>
      </c>
      <c r="L553" s="13">
        <v>314</v>
      </c>
      <c r="M553" s="13">
        <v>44</v>
      </c>
      <c r="N553" s="119">
        <v>528</v>
      </c>
      <c r="O553" s="22">
        <v>469</v>
      </c>
      <c r="P553" s="22">
        <v>21</v>
      </c>
      <c r="Q553" s="119">
        <v>38</v>
      </c>
      <c r="R553" s="13">
        <v>111</v>
      </c>
    </row>
    <row r="554" spans="1:18" x14ac:dyDescent="0.2">
      <c r="A554" s="128">
        <v>40872</v>
      </c>
      <c r="B554" s="13">
        <v>1524</v>
      </c>
      <c r="C554" s="13">
        <v>1051</v>
      </c>
      <c r="D554" s="13">
        <v>1051</v>
      </c>
      <c r="E554" s="13">
        <v>0</v>
      </c>
      <c r="F554" s="13">
        <v>473</v>
      </c>
      <c r="G554" s="13">
        <v>373</v>
      </c>
      <c r="H554" s="13">
        <v>373</v>
      </c>
      <c r="I554" s="13">
        <v>0</v>
      </c>
      <c r="J554" s="13">
        <v>100</v>
      </c>
      <c r="K554" s="13">
        <v>357</v>
      </c>
      <c r="L554" s="13">
        <v>316</v>
      </c>
      <c r="M554" s="13">
        <v>41</v>
      </c>
      <c r="N554" s="119">
        <v>534</v>
      </c>
      <c r="O554" s="22">
        <v>475</v>
      </c>
      <c r="P554" s="22">
        <v>18</v>
      </c>
      <c r="Q554" s="119">
        <v>41</v>
      </c>
      <c r="R554" s="13">
        <v>112</v>
      </c>
    </row>
    <row r="555" spans="1:18" x14ac:dyDescent="0.2">
      <c r="A555" s="128">
        <v>40879</v>
      </c>
      <c r="B555" s="13">
        <v>1490</v>
      </c>
      <c r="C555" s="13">
        <v>1033</v>
      </c>
      <c r="D555" s="13">
        <v>1033</v>
      </c>
      <c r="E555" s="13">
        <v>0</v>
      </c>
      <c r="F555" s="13">
        <v>457</v>
      </c>
      <c r="G555" s="13">
        <v>369</v>
      </c>
      <c r="H555" s="13">
        <v>369</v>
      </c>
      <c r="I555" s="13">
        <v>0</v>
      </c>
      <c r="J555" s="13">
        <v>88</v>
      </c>
      <c r="K555" s="13">
        <v>362</v>
      </c>
      <c r="L555" s="13">
        <v>325</v>
      </c>
      <c r="M555" s="13">
        <v>37</v>
      </c>
      <c r="N555" s="119">
        <v>559</v>
      </c>
      <c r="O555" s="22">
        <v>487</v>
      </c>
      <c r="P555" s="22">
        <v>22</v>
      </c>
      <c r="Q555" s="119">
        <v>51</v>
      </c>
      <c r="R555" s="13">
        <v>116</v>
      </c>
    </row>
    <row r="556" spans="1:18" x14ac:dyDescent="0.2">
      <c r="A556" s="128">
        <v>40886</v>
      </c>
      <c r="B556" s="13">
        <v>1513</v>
      </c>
      <c r="C556" s="13">
        <v>1040</v>
      </c>
      <c r="D556" s="13">
        <v>1040</v>
      </c>
      <c r="E556" s="13">
        <v>0</v>
      </c>
      <c r="F556" s="13">
        <v>473</v>
      </c>
      <c r="G556" s="13">
        <v>372</v>
      </c>
      <c r="H556" s="13">
        <v>372</v>
      </c>
      <c r="I556" s="13">
        <v>0</v>
      </c>
      <c r="J556" s="13">
        <v>100</v>
      </c>
      <c r="K556" s="13">
        <v>370</v>
      </c>
      <c r="L556" s="13">
        <v>339</v>
      </c>
      <c r="M556" s="13">
        <v>31</v>
      </c>
      <c r="N556" s="119">
        <v>566</v>
      </c>
      <c r="O556" s="22">
        <v>491</v>
      </c>
      <c r="P556" s="22">
        <v>26</v>
      </c>
      <c r="Q556" s="119">
        <v>49</v>
      </c>
      <c r="R556" s="13">
        <v>119</v>
      </c>
    </row>
    <row r="557" spans="1:18" x14ac:dyDescent="0.2">
      <c r="A557" s="128">
        <v>40893</v>
      </c>
      <c r="B557" s="13">
        <v>1497</v>
      </c>
      <c r="C557" s="13">
        <v>1043</v>
      </c>
      <c r="D557" s="13">
        <v>1043</v>
      </c>
      <c r="E557" s="13">
        <v>0</v>
      </c>
      <c r="F557" s="13">
        <v>454</v>
      </c>
      <c r="G557" s="13">
        <v>373</v>
      </c>
      <c r="H557" s="13">
        <v>373</v>
      </c>
      <c r="I557" s="13">
        <v>0</v>
      </c>
      <c r="J557" s="13">
        <v>81</v>
      </c>
      <c r="K557" s="13">
        <v>396</v>
      </c>
      <c r="L557" s="13">
        <v>357</v>
      </c>
      <c r="M557" s="13">
        <v>39</v>
      </c>
      <c r="N557" s="119">
        <v>575</v>
      </c>
      <c r="O557" s="22">
        <v>492</v>
      </c>
      <c r="P557" s="22">
        <v>27</v>
      </c>
      <c r="Q557" s="119">
        <v>55</v>
      </c>
      <c r="R557" s="13">
        <v>113</v>
      </c>
    </row>
    <row r="558" spans="1:18" x14ac:dyDescent="0.2">
      <c r="A558" s="128">
        <v>40900</v>
      </c>
      <c r="B558" s="13">
        <v>1516</v>
      </c>
      <c r="C558" s="13">
        <v>1057</v>
      </c>
      <c r="D558" s="13">
        <v>1057</v>
      </c>
      <c r="E558" s="13">
        <v>0</v>
      </c>
      <c r="F558" s="13">
        <v>459</v>
      </c>
      <c r="G558" s="13">
        <v>375</v>
      </c>
      <c r="H558" s="13">
        <v>375</v>
      </c>
      <c r="I558" s="13">
        <v>0</v>
      </c>
      <c r="J558" s="13">
        <v>83</v>
      </c>
      <c r="K558" s="13">
        <v>414</v>
      </c>
      <c r="L558" s="13">
        <v>373</v>
      </c>
      <c r="M558" s="13">
        <v>40</v>
      </c>
      <c r="N558" s="119">
        <v>577</v>
      </c>
      <c r="O558" s="22">
        <v>497</v>
      </c>
      <c r="P558" s="22">
        <v>28</v>
      </c>
      <c r="Q558" s="119">
        <v>52</v>
      </c>
      <c r="R558" s="13">
        <v>113</v>
      </c>
    </row>
    <row r="559" spans="1:18" x14ac:dyDescent="0.2">
      <c r="A559" s="128">
        <v>40907</v>
      </c>
      <c r="B559" s="13">
        <v>1524</v>
      </c>
      <c r="C559" s="13">
        <v>1060</v>
      </c>
      <c r="D559" s="13">
        <v>1060</v>
      </c>
      <c r="E559" s="13">
        <v>0</v>
      </c>
      <c r="F559" s="13">
        <v>464</v>
      </c>
      <c r="G559" s="13">
        <v>370</v>
      </c>
      <c r="H559" s="13">
        <v>370</v>
      </c>
      <c r="I559" s="13">
        <v>0</v>
      </c>
      <c r="J559" s="13">
        <v>94</v>
      </c>
      <c r="K559" s="13">
        <v>432</v>
      </c>
      <c r="L559" s="13">
        <v>389</v>
      </c>
      <c r="M559" s="13">
        <v>43</v>
      </c>
      <c r="N559" s="119">
        <v>574</v>
      </c>
      <c r="O559" s="22">
        <v>511</v>
      </c>
      <c r="P559" s="22">
        <v>24</v>
      </c>
      <c r="Q559" s="119">
        <v>39</v>
      </c>
      <c r="R559" s="13">
        <v>108</v>
      </c>
    </row>
    <row r="560" spans="1:18" x14ac:dyDescent="0.2">
      <c r="A560" s="128">
        <v>40914</v>
      </c>
      <c r="B560" s="13">
        <v>1472</v>
      </c>
      <c r="C560" s="13">
        <v>1032</v>
      </c>
      <c r="D560" s="13">
        <v>1032</v>
      </c>
      <c r="E560" s="13">
        <v>0</v>
      </c>
      <c r="F560" s="13">
        <v>439</v>
      </c>
      <c r="G560" s="13">
        <v>359</v>
      </c>
      <c r="H560" s="13">
        <v>359</v>
      </c>
      <c r="I560" s="13">
        <v>0</v>
      </c>
      <c r="J560" s="13">
        <v>80</v>
      </c>
      <c r="K560" s="13">
        <v>462</v>
      </c>
      <c r="L560" s="13">
        <v>417</v>
      </c>
      <c r="M560" s="13">
        <v>45</v>
      </c>
      <c r="N560" s="119">
        <v>572</v>
      </c>
      <c r="O560" s="22">
        <v>506</v>
      </c>
      <c r="P560" s="22">
        <v>23</v>
      </c>
      <c r="Q560" s="119">
        <v>43</v>
      </c>
      <c r="R560" s="13">
        <v>106</v>
      </c>
    </row>
    <row r="561" spans="1:18" x14ac:dyDescent="0.2">
      <c r="A561" s="128">
        <v>40921</v>
      </c>
      <c r="B561" s="13">
        <v>1460</v>
      </c>
      <c r="C561" s="13">
        <v>1020</v>
      </c>
      <c r="D561" s="13">
        <v>1020</v>
      </c>
      <c r="E561" s="13">
        <v>0</v>
      </c>
      <c r="F561" s="13">
        <v>440</v>
      </c>
      <c r="G561" s="13">
        <v>353</v>
      </c>
      <c r="H561" s="13">
        <v>353</v>
      </c>
      <c r="I561" s="13">
        <v>0</v>
      </c>
      <c r="J561" s="13">
        <v>87</v>
      </c>
      <c r="K561" s="13">
        <v>455</v>
      </c>
      <c r="L561" s="13">
        <v>417</v>
      </c>
      <c r="M561" s="13">
        <v>39</v>
      </c>
      <c r="N561" s="119">
        <v>565</v>
      </c>
      <c r="O561" s="22">
        <v>503</v>
      </c>
      <c r="P561" s="22">
        <v>25</v>
      </c>
      <c r="Q561" s="119">
        <v>37</v>
      </c>
      <c r="R561" s="13">
        <v>107</v>
      </c>
    </row>
    <row r="562" spans="1:18" x14ac:dyDescent="0.2">
      <c r="A562" s="128">
        <v>40928</v>
      </c>
      <c r="B562" s="13">
        <v>1421</v>
      </c>
      <c r="C562" s="13">
        <v>999</v>
      </c>
      <c r="D562" s="13">
        <v>999</v>
      </c>
      <c r="E562" s="13">
        <v>0</v>
      </c>
      <c r="F562" s="13">
        <v>422</v>
      </c>
      <c r="G562" s="13">
        <v>340</v>
      </c>
      <c r="H562" s="13">
        <v>340</v>
      </c>
      <c r="I562" s="13">
        <v>0</v>
      </c>
      <c r="J562" s="13">
        <v>82</v>
      </c>
      <c r="K562" s="13">
        <v>448</v>
      </c>
      <c r="L562" s="13">
        <v>413</v>
      </c>
      <c r="M562" s="13">
        <v>35</v>
      </c>
      <c r="N562" s="119">
        <v>558</v>
      </c>
      <c r="O562" s="22">
        <v>497</v>
      </c>
      <c r="P562" s="22">
        <v>22</v>
      </c>
      <c r="Q562" s="119">
        <v>39</v>
      </c>
      <c r="R562" s="13">
        <v>106</v>
      </c>
    </row>
    <row r="563" spans="1:18" x14ac:dyDescent="0.2">
      <c r="A563" s="128">
        <v>40935</v>
      </c>
      <c r="B563" s="13">
        <v>1425</v>
      </c>
      <c r="C563" s="13">
        <v>1008</v>
      </c>
      <c r="D563" s="13">
        <v>1008</v>
      </c>
      <c r="E563" s="13">
        <v>0</v>
      </c>
      <c r="F563" s="13">
        <v>416</v>
      </c>
      <c r="G563" s="13">
        <v>340</v>
      </c>
      <c r="H563" s="13">
        <v>340</v>
      </c>
      <c r="I563" s="13">
        <v>0</v>
      </c>
      <c r="J563" s="13">
        <v>77</v>
      </c>
      <c r="K563" s="13">
        <v>442</v>
      </c>
      <c r="L563" s="13">
        <v>402</v>
      </c>
      <c r="M563" s="13">
        <v>40</v>
      </c>
      <c r="N563" s="119">
        <v>544</v>
      </c>
      <c r="O563" s="22">
        <v>466</v>
      </c>
      <c r="P563" s="22">
        <v>27</v>
      </c>
      <c r="Q563" s="119">
        <v>51</v>
      </c>
      <c r="R563" s="13">
        <v>109</v>
      </c>
    </row>
    <row r="564" spans="1:18" x14ac:dyDescent="0.2">
      <c r="A564" s="128">
        <v>40942</v>
      </c>
      <c r="B564" s="13">
        <v>1453</v>
      </c>
      <c r="C564" s="13">
        <v>1030</v>
      </c>
      <c r="D564" s="13">
        <v>1030</v>
      </c>
      <c r="E564" s="13">
        <v>0</v>
      </c>
      <c r="F564" s="13">
        <v>423</v>
      </c>
      <c r="G564" s="13">
        <v>345</v>
      </c>
      <c r="H564" s="13">
        <v>345</v>
      </c>
      <c r="I564" s="13">
        <v>0</v>
      </c>
      <c r="J564" s="13">
        <v>77</v>
      </c>
      <c r="K564" s="13">
        <v>427</v>
      </c>
      <c r="L564" s="13">
        <v>392</v>
      </c>
      <c r="M564" s="13">
        <v>35</v>
      </c>
      <c r="N564" s="119">
        <v>541</v>
      </c>
      <c r="O564" s="22">
        <v>465</v>
      </c>
      <c r="P564" s="22">
        <v>27</v>
      </c>
      <c r="Q564" s="119">
        <v>49</v>
      </c>
      <c r="R564" s="13">
        <v>116</v>
      </c>
    </row>
    <row r="565" spans="1:18" x14ac:dyDescent="0.2">
      <c r="A565" s="128">
        <v>40949</v>
      </c>
      <c r="B565" s="13">
        <v>1466</v>
      </c>
      <c r="C565" s="13">
        <v>1045</v>
      </c>
      <c r="D565" s="13">
        <v>1045</v>
      </c>
      <c r="E565" s="13">
        <v>0</v>
      </c>
      <c r="F565" s="13">
        <v>421</v>
      </c>
      <c r="G565" s="13">
        <v>350</v>
      </c>
      <c r="H565" s="13">
        <v>350</v>
      </c>
      <c r="I565" s="13">
        <v>0</v>
      </c>
      <c r="J565" s="13">
        <v>71</v>
      </c>
      <c r="K565" s="13">
        <v>430</v>
      </c>
      <c r="L565" s="13">
        <v>391</v>
      </c>
      <c r="M565" s="13">
        <v>39</v>
      </c>
      <c r="N565" s="119">
        <v>517</v>
      </c>
      <c r="O565" s="22">
        <v>442</v>
      </c>
      <c r="P565" s="22">
        <v>23</v>
      </c>
      <c r="Q565" s="119">
        <v>52</v>
      </c>
      <c r="R565" s="13">
        <v>123</v>
      </c>
    </row>
    <row r="566" spans="1:18" x14ac:dyDescent="0.2">
      <c r="A566" s="128">
        <v>40956</v>
      </c>
      <c r="B566" s="13">
        <v>1493</v>
      </c>
      <c r="C566" s="13">
        <v>1056</v>
      </c>
      <c r="D566" s="13">
        <v>1056</v>
      </c>
      <c r="E566" s="13">
        <v>0</v>
      </c>
      <c r="F566" s="13">
        <v>437</v>
      </c>
      <c r="G566" s="13">
        <v>358</v>
      </c>
      <c r="H566" s="13">
        <v>358</v>
      </c>
      <c r="I566" s="13">
        <v>0</v>
      </c>
      <c r="J566" s="13">
        <v>79</v>
      </c>
      <c r="K566" s="13">
        <v>433</v>
      </c>
      <c r="L566" s="13">
        <v>394</v>
      </c>
      <c r="M566" s="13">
        <v>39</v>
      </c>
      <c r="N566" s="119">
        <v>506</v>
      </c>
      <c r="O566" s="22">
        <v>433</v>
      </c>
      <c r="P566" s="22">
        <v>28</v>
      </c>
      <c r="Q566" s="119">
        <v>45</v>
      </c>
      <c r="R566" s="13">
        <v>137</v>
      </c>
    </row>
    <row r="567" spans="1:18" x14ac:dyDescent="0.2">
      <c r="A567" s="128">
        <v>40963</v>
      </c>
      <c r="B567" s="13">
        <v>1531</v>
      </c>
      <c r="C567" s="13">
        <v>1072</v>
      </c>
      <c r="D567" s="13">
        <v>1072</v>
      </c>
      <c r="E567" s="13">
        <v>0</v>
      </c>
      <c r="F567" s="13">
        <v>459</v>
      </c>
      <c r="G567" s="13">
        <v>366</v>
      </c>
      <c r="H567" s="13">
        <v>366</v>
      </c>
      <c r="I567" s="13">
        <v>0</v>
      </c>
      <c r="J567" s="13">
        <v>92</v>
      </c>
      <c r="K567" s="13">
        <v>419</v>
      </c>
      <c r="L567" s="13">
        <v>390</v>
      </c>
      <c r="M567" s="13">
        <v>29</v>
      </c>
      <c r="N567" s="119">
        <v>473</v>
      </c>
      <c r="O567" s="22">
        <v>420</v>
      </c>
      <c r="P567" s="22">
        <v>20</v>
      </c>
      <c r="Q567" s="119">
        <v>34</v>
      </c>
      <c r="R567" s="13">
        <v>144</v>
      </c>
    </row>
    <row r="568" spans="1:18" x14ac:dyDescent="0.2">
      <c r="A568" s="128">
        <v>40970</v>
      </c>
      <c r="B568" s="13">
        <v>1529</v>
      </c>
      <c r="C568" s="13">
        <v>1067</v>
      </c>
      <c r="D568" s="13">
        <v>1067</v>
      </c>
      <c r="E568" s="13">
        <v>0</v>
      </c>
      <c r="F568" s="13">
        <v>462</v>
      </c>
      <c r="G568" s="13">
        <v>364</v>
      </c>
      <c r="H568" s="13">
        <v>363</v>
      </c>
      <c r="I568" s="13">
        <v>0</v>
      </c>
      <c r="J568" s="13">
        <v>98</v>
      </c>
      <c r="K568" s="13">
        <v>406</v>
      </c>
      <c r="L568" s="13">
        <v>374</v>
      </c>
      <c r="M568" s="13">
        <v>32</v>
      </c>
      <c r="N568" s="119">
        <v>433</v>
      </c>
      <c r="O568" s="22">
        <v>380</v>
      </c>
      <c r="P568" s="22">
        <v>16</v>
      </c>
      <c r="Q568" s="119">
        <v>37</v>
      </c>
      <c r="R568" s="13">
        <v>143</v>
      </c>
    </row>
    <row r="569" spans="1:18" x14ac:dyDescent="0.2">
      <c r="A569" s="128">
        <v>40977</v>
      </c>
      <c r="B569" s="13">
        <v>1539</v>
      </c>
      <c r="C569" s="13">
        <v>1066</v>
      </c>
      <c r="D569" s="13">
        <v>1066</v>
      </c>
      <c r="E569" s="13">
        <v>0</v>
      </c>
      <c r="F569" s="13">
        <v>473</v>
      </c>
      <c r="G569" s="13">
        <v>362</v>
      </c>
      <c r="H569" s="13">
        <v>361</v>
      </c>
      <c r="I569" s="13">
        <v>0</v>
      </c>
      <c r="J569" s="13">
        <v>111</v>
      </c>
      <c r="K569" s="13">
        <v>385</v>
      </c>
      <c r="L569" s="13">
        <v>357</v>
      </c>
      <c r="M569" s="13">
        <v>29</v>
      </c>
      <c r="N569" s="119">
        <v>421</v>
      </c>
      <c r="O569" s="22">
        <v>371</v>
      </c>
      <c r="P569" s="22">
        <v>12</v>
      </c>
      <c r="Q569" s="119">
        <v>39</v>
      </c>
      <c r="R569" s="13">
        <v>138</v>
      </c>
    </row>
    <row r="570" spans="1:18" x14ac:dyDescent="0.2">
      <c r="A570" s="128">
        <v>40984</v>
      </c>
      <c r="B570" s="13">
        <v>1528</v>
      </c>
      <c r="C570" s="13">
        <v>1070</v>
      </c>
      <c r="D570" s="13">
        <v>1070</v>
      </c>
      <c r="E570" s="13">
        <v>0</v>
      </c>
      <c r="F570" s="13">
        <v>459</v>
      </c>
      <c r="G570" s="13">
        <v>363</v>
      </c>
      <c r="H570" s="13">
        <v>363</v>
      </c>
      <c r="I570" s="13">
        <v>0</v>
      </c>
      <c r="J570" s="13">
        <v>96</v>
      </c>
      <c r="K570" s="13">
        <v>371</v>
      </c>
      <c r="L570" s="13">
        <v>353</v>
      </c>
      <c r="M570" s="13">
        <v>17</v>
      </c>
      <c r="N570" s="119">
        <v>407</v>
      </c>
      <c r="O570" s="22">
        <v>358</v>
      </c>
      <c r="P570" s="22">
        <v>10</v>
      </c>
      <c r="Q570" s="119">
        <v>39</v>
      </c>
      <c r="R570" s="13">
        <v>134</v>
      </c>
    </row>
    <row r="571" spans="1:18" x14ac:dyDescent="0.2">
      <c r="A571" s="128">
        <v>40991</v>
      </c>
      <c r="B571" s="13">
        <v>1503</v>
      </c>
      <c r="C571" s="13">
        <v>1059</v>
      </c>
      <c r="D571" s="13">
        <v>1059</v>
      </c>
      <c r="E571" s="13">
        <v>0</v>
      </c>
      <c r="F571" s="13">
        <v>444</v>
      </c>
      <c r="G571" s="13">
        <v>361</v>
      </c>
      <c r="H571" s="13">
        <v>361</v>
      </c>
      <c r="I571" s="13">
        <v>0</v>
      </c>
      <c r="J571" s="13">
        <v>83</v>
      </c>
      <c r="K571" s="13">
        <v>371</v>
      </c>
      <c r="L571" s="13">
        <v>349</v>
      </c>
      <c r="M571" s="13">
        <v>22</v>
      </c>
      <c r="N571" s="119">
        <v>435</v>
      </c>
      <c r="O571" s="22">
        <v>381</v>
      </c>
      <c r="P571" s="22">
        <v>9</v>
      </c>
      <c r="Q571" s="119">
        <v>45</v>
      </c>
      <c r="R571" s="13">
        <v>132</v>
      </c>
    </row>
    <row r="572" spans="1:18" x14ac:dyDescent="0.2">
      <c r="A572" s="128">
        <v>40998</v>
      </c>
      <c r="B572" s="13">
        <v>1498</v>
      </c>
      <c r="C572" s="13">
        <v>1061</v>
      </c>
      <c r="D572" s="13">
        <v>1061</v>
      </c>
      <c r="E572" s="13">
        <v>0</v>
      </c>
      <c r="F572" s="13">
        <v>437</v>
      </c>
      <c r="G572" s="13">
        <v>366</v>
      </c>
      <c r="H572" s="13">
        <v>366</v>
      </c>
      <c r="I572" s="13">
        <v>0</v>
      </c>
      <c r="J572" s="13">
        <v>71</v>
      </c>
      <c r="K572" s="13">
        <v>371</v>
      </c>
      <c r="L572" s="13">
        <v>350</v>
      </c>
      <c r="M572" s="13">
        <v>21</v>
      </c>
      <c r="N572" s="119">
        <v>465</v>
      </c>
      <c r="O572" s="22">
        <v>414</v>
      </c>
      <c r="P572" s="22">
        <v>11</v>
      </c>
      <c r="Q572" s="119">
        <v>40</v>
      </c>
      <c r="R572" s="13">
        <v>134</v>
      </c>
    </row>
    <row r="573" spans="1:18" x14ac:dyDescent="0.2">
      <c r="A573" s="128">
        <v>41005</v>
      </c>
      <c r="B573" s="13">
        <v>1489</v>
      </c>
      <c r="C573" s="13">
        <v>1064</v>
      </c>
      <c r="D573" s="13">
        <v>1064</v>
      </c>
      <c r="E573" s="13">
        <v>0</v>
      </c>
      <c r="F573" s="13">
        <v>425</v>
      </c>
      <c r="G573" s="13">
        <v>369</v>
      </c>
      <c r="H573" s="13">
        <v>369</v>
      </c>
      <c r="I573" s="13">
        <v>0</v>
      </c>
      <c r="J573" s="13">
        <v>56</v>
      </c>
      <c r="K573" s="13">
        <v>376</v>
      </c>
      <c r="L573" s="13">
        <v>358</v>
      </c>
      <c r="M573" s="13">
        <v>18</v>
      </c>
      <c r="N573" s="119">
        <v>474</v>
      </c>
      <c r="O573" s="22">
        <v>424</v>
      </c>
      <c r="P573" s="22">
        <v>11</v>
      </c>
      <c r="Q573" s="119">
        <v>40</v>
      </c>
      <c r="R573" s="13">
        <v>129</v>
      </c>
    </row>
    <row r="574" spans="1:18" x14ac:dyDescent="0.2">
      <c r="A574" s="128">
        <v>41012</v>
      </c>
      <c r="B574" s="13">
        <v>1510</v>
      </c>
      <c r="C574" s="13">
        <v>1060</v>
      </c>
      <c r="D574" s="13">
        <v>1060</v>
      </c>
      <c r="E574" s="13">
        <v>0</v>
      </c>
      <c r="F574" s="13">
        <v>449</v>
      </c>
      <c r="G574" s="13">
        <v>371</v>
      </c>
      <c r="H574" s="13">
        <v>371</v>
      </c>
      <c r="I574" s="13">
        <v>0</v>
      </c>
      <c r="J574" s="13">
        <v>79</v>
      </c>
      <c r="K574" s="13">
        <v>371</v>
      </c>
      <c r="L574" s="13">
        <v>344</v>
      </c>
      <c r="M574" s="13">
        <v>27</v>
      </c>
      <c r="N574" s="119">
        <v>462</v>
      </c>
      <c r="O574" s="22">
        <v>414</v>
      </c>
      <c r="P574" s="22">
        <v>5</v>
      </c>
      <c r="Q574" s="119">
        <v>44</v>
      </c>
      <c r="R574" s="13">
        <v>115</v>
      </c>
    </row>
    <row r="575" spans="1:18" x14ac:dyDescent="0.2">
      <c r="A575" s="128">
        <v>41019</v>
      </c>
      <c r="B575" s="13">
        <v>1507</v>
      </c>
      <c r="C575" s="13">
        <v>1058</v>
      </c>
      <c r="D575" s="13">
        <v>1058</v>
      </c>
      <c r="E575" s="13">
        <v>0</v>
      </c>
      <c r="F575" s="13">
        <v>449</v>
      </c>
      <c r="G575" s="13">
        <v>370</v>
      </c>
      <c r="H575" s="13">
        <v>370</v>
      </c>
      <c r="I575" s="13">
        <v>0</v>
      </c>
      <c r="J575" s="13">
        <v>79</v>
      </c>
      <c r="K575" s="13">
        <v>377</v>
      </c>
      <c r="L575" s="13">
        <v>360</v>
      </c>
      <c r="M575" s="13">
        <v>17</v>
      </c>
      <c r="N575" s="119">
        <v>448</v>
      </c>
      <c r="O575" s="22">
        <v>403</v>
      </c>
      <c r="P575" s="22">
        <v>6</v>
      </c>
      <c r="Q575" s="119">
        <v>39</v>
      </c>
      <c r="R575" s="13">
        <v>113</v>
      </c>
    </row>
    <row r="576" spans="1:18" x14ac:dyDescent="0.2">
      <c r="A576" s="128">
        <v>41026</v>
      </c>
      <c r="B576" s="13">
        <v>1513</v>
      </c>
      <c r="C576" s="13">
        <v>1063</v>
      </c>
      <c r="D576" s="13">
        <v>1063</v>
      </c>
      <c r="E576" s="13">
        <v>0</v>
      </c>
      <c r="F576" s="13">
        <v>450</v>
      </c>
      <c r="G576" s="13">
        <v>370</v>
      </c>
      <c r="H576" s="13">
        <v>370</v>
      </c>
      <c r="I576" s="13">
        <v>0</v>
      </c>
      <c r="J576" s="13">
        <v>80</v>
      </c>
      <c r="K576" s="13">
        <v>378</v>
      </c>
      <c r="L576" s="13">
        <v>359</v>
      </c>
      <c r="M576" s="13">
        <v>19</v>
      </c>
      <c r="N576" s="119">
        <v>433</v>
      </c>
      <c r="O576" s="22">
        <v>386</v>
      </c>
      <c r="P576" s="22">
        <v>3</v>
      </c>
      <c r="Q576" s="119">
        <v>44</v>
      </c>
      <c r="R576" s="13">
        <v>115</v>
      </c>
    </row>
    <row r="577" spans="1:18" x14ac:dyDescent="0.2">
      <c r="A577" s="128">
        <v>41033</v>
      </c>
      <c r="B577" s="13">
        <v>1522</v>
      </c>
      <c r="C577" s="13">
        <v>1059</v>
      </c>
      <c r="D577" s="13">
        <v>1059</v>
      </c>
      <c r="E577" s="13">
        <v>0</v>
      </c>
      <c r="F577" s="13">
        <v>463</v>
      </c>
      <c r="G577" s="13">
        <v>373</v>
      </c>
      <c r="H577" s="13">
        <v>373</v>
      </c>
      <c r="I577" s="13">
        <v>0</v>
      </c>
      <c r="J577" s="13">
        <v>90</v>
      </c>
      <c r="K577" s="13">
        <v>380</v>
      </c>
      <c r="L577" s="13">
        <v>353</v>
      </c>
      <c r="M577" s="13">
        <v>27</v>
      </c>
      <c r="N577" s="119">
        <v>423</v>
      </c>
      <c r="O577" s="22">
        <v>377</v>
      </c>
      <c r="P577" s="22">
        <v>4</v>
      </c>
      <c r="Q577" s="119">
        <v>43</v>
      </c>
      <c r="R577" s="13">
        <v>122</v>
      </c>
    </row>
    <row r="578" spans="1:18" x14ac:dyDescent="0.2">
      <c r="A578" s="128">
        <v>41040</v>
      </c>
      <c r="B578" s="13">
        <v>1518</v>
      </c>
      <c r="C578" s="13">
        <v>1060</v>
      </c>
      <c r="D578" s="13">
        <v>1060</v>
      </c>
      <c r="E578" s="13">
        <v>0</v>
      </c>
      <c r="F578" s="13">
        <v>457</v>
      </c>
      <c r="G578" s="13">
        <v>375</v>
      </c>
      <c r="H578" s="13">
        <v>375</v>
      </c>
      <c r="I578" s="13">
        <v>0</v>
      </c>
      <c r="J578" s="13">
        <v>82</v>
      </c>
      <c r="K578" s="13">
        <v>380</v>
      </c>
      <c r="L578" s="13">
        <v>357</v>
      </c>
      <c r="M578" s="13">
        <v>23</v>
      </c>
      <c r="N578" s="119">
        <v>433</v>
      </c>
      <c r="O578" s="22">
        <v>385</v>
      </c>
      <c r="P578" s="22">
        <v>8</v>
      </c>
      <c r="Q578" s="119">
        <v>41</v>
      </c>
      <c r="R578" s="13">
        <v>129</v>
      </c>
    </row>
    <row r="579" spans="1:18" x14ac:dyDescent="0.2">
      <c r="A579" s="128">
        <v>41047</v>
      </c>
      <c r="B579" s="13">
        <v>1543</v>
      </c>
      <c r="C579" s="13">
        <v>1068</v>
      </c>
      <c r="D579" s="13">
        <v>1068</v>
      </c>
      <c r="E579" s="13">
        <v>0</v>
      </c>
      <c r="F579" s="13">
        <v>474</v>
      </c>
      <c r="G579" s="13">
        <v>377</v>
      </c>
      <c r="H579" s="13">
        <v>377</v>
      </c>
      <c r="I579" s="13">
        <v>0</v>
      </c>
      <c r="J579" s="13">
        <v>97</v>
      </c>
      <c r="K579" s="13">
        <v>361</v>
      </c>
      <c r="L579" s="13">
        <v>331</v>
      </c>
      <c r="M579" s="13">
        <v>30</v>
      </c>
      <c r="N579" s="119">
        <v>437</v>
      </c>
      <c r="O579" s="22">
        <v>388</v>
      </c>
      <c r="P579" s="22">
        <v>6</v>
      </c>
      <c r="Q579" s="119">
        <v>44</v>
      </c>
      <c r="R579" s="13">
        <v>125</v>
      </c>
    </row>
    <row r="580" spans="1:18" x14ac:dyDescent="0.2">
      <c r="A580" s="128">
        <v>41054</v>
      </c>
      <c r="B580" s="13">
        <v>1556</v>
      </c>
      <c r="C580" s="13">
        <v>1077</v>
      </c>
      <c r="D580" s="13">
        <v>1077</v>
      </c>
      <c r="E580" s="13">
        <v>0</v>
      </c>
      <c r="F580" s="13">
        <v>479</v>
      </c>
      <c r="G580" s="13">
        <v>380</v>
      </c>
      <c r="H580" s="13">
        <v>380</v>
      </c>
      <c r="I580" s="13">
        <v>0</v>
      </c>
      <c r="J580" s="13">
        <v>99</v>
      </c>
      <c r="K580" s="13">
        <v>359</v>
      </c>
      <c r="L580" s="13">
        <v>330</v>
      </c>
      <c r="M580" s="13">
        <v>30</v>
      </c>
      <c r="N580" s="119">
        <v>454</v>
      </c>
      <c r="O580" s="22">
        <v>405</v>
      </c>
      <c r="P580" s="22">
        <v>8</v>
      </c>
      <c r="Q580" s="119">
        <v>40</v>
      </c>
      <c r="R580" s="13">
        <v>116</v>
      </c>
    </row>
    <row r="581" spans="1:18" x14ac:dyDescent="0.2">
      <c r="A581" s="128">
        <v>41061</v>
      </c>
      <c r="B581" s="13">
        <v>1542</v>
      </c>
      <c r="C581" s="13">
        <v>1065</v>
      </c>
      <c r="D581" s="13">
        <v>1065</v>
      </c>
      <c r="E581" s="13">
        <v>0</v>
      </c>
      <c r="F581" s="13">
        <v>477</v>
      </c>
      <c r="G581" s="13">
        <v>377</v>
      </c>
      <c r="H581" s="13">
        <v>377</v>
      </c>
      <c r="I581" s="13">
        <v>0</v>
      </c>
      <c r="J581" s="13">
        <v>99</v>
      </c>
      <c r="K581" s="13">
        <v>375</v>
      </c>
      <c r="L581" s="13">
        <v>345</v>
      </c>
      <c r="M581" s="13">
        <v>30</v>
      </c>
      <c r="N581" s="119">
        <v>484</v>
      </c>
      <c r="O581" s="22">
        <v>434</v>
      </c>
      <c r="P581" s="22">
        <v>13</v>
      </c>
      <c r="Q581" s="119">
        <v>37</v>
      </c>
      <c r="R581" s="13">
        <v>112</v>
      </c>
    </row>
    <row r="582" spans="1:18" x14ac:dyDescent="0.2">
      <c r="A582" s="128">
        <v>41068</v>
      </c>
      <c r="B582" s="13">
        <v>1559</v>
      </c>
      <c r="C582" s="13">
        <v>1073</v>
      </c>
      <c r="D582" s="13">
        <v>1073</v>
      </c>
      <c r="E582" s="13">
        <v>0</v>
      </c>
      <c r="F582" s="13">
        <v>487</v>
      </c>
      <c r="G582" s="13">
        <v>381</v>
      </c>
      <c r="H582" s="13">
        <v>381</v>
      </c>
      <c r="I582" s="13">
        <v>0</v>
      </c>
      <c r="J582" s="13">
        <v>106</v>
      </c>
      <c r="K582" s="13">
        <v>406</v>
      </c>
      <c r="L582" s="13">
        <v>365</v>
      </c>
      <c r="M582" s="13">
        <v>41</v>
      </c>
      <c r="N582" s="119">
        <v>510</v>
      </c>
      <c r="O582" s="22">
        <v>460</v>
      </c>
      <c r="P582" s="22">
        <v>13</v>
      </c>
      <c r="Q582" s="119">
        <v>37</v>
      </c>
      <c r="R582" s="13">
        <v>115</v>
      </c>
    </row>
    <row r="583" spans="1:18" x14ac:dyDescent="0.2">
      <c r="A583" s="128">
        <v>41075</v>
      </c>
      <c r="B583" s="13">
        <v>1556</v>
      </c>
      <c r="C583" s="13">
        <v>1075</v>
      </c>
      <c r="D583" s="13">
        <v>1075</v>
      </c>
      <c r="E583" s="13">
        <v>0</v>
      </c>
      <c r="F583" s="13">
        <v>481</v>
      </c>
      <c r="G583" s="13">
        <v>386</v>
      </c>
      <c r="H583" s="13">
        <v>385</v>
      </c>
      <c r="I583" s="13">
        <v>0</v>
      </c>
      <c r="J583" s="13">
        <v>96</v>
      </c>
      <c r="K583" s="13">
        <v>441</v>
      </c>
      <c r="L583" s="13">
        <v>396</v>
      </c>
      <c r="M583" s="13">
        <v>44</v>
      </c>
      <c r="N583" s="119">
        <v>541</v>
      </c>
      <c r="O583" s="22">
        <v>485</v>
      </c>
      <c r="P583" s="22">
        <v>18</v>
      </c>
      <c r="Q583" s="119">
        <v>37</v>
      </c>
      <c r="R583" s="13">
        <v>121</v>
      </c>
    </row>
    <row r="584" spans="1:18" x14ac:dyDescent="0.2">
      <c r="A584" s="128">
        <v>41082</v>
      </c>
      <c r="B584" s="13">
        <v>1564</v>
      </c>
      <c r="C584" s="13">
        <v>1070</v>
      </c>
      <c r="D584" s="13">
        <v>1070</v>
      </c>
      <c r="E584" s="13">
        <v>0</v>
      </c>
      <c r="F584" s="13">
        <v>494</v>
      </c>
      <c r="G584" s="13">
        <v>391</v>
      </c>
      <c r="H584" s="13">
        <v>391</v>
      </c>
      <c r="I584" s="13">
        <v>0</v>
      </c>
      <c r="J584" s="13">
        <v>103</v>
      </c>
      <c r="K584" s="13">
        <v>469</v>
      </c>
      <c r="L584" s="13">
        <v>419</v>
      </c>
      <c r="M584" s="13">
        <v>50</v>
      </c>
      <c r="N584" s="119">
        <v>549</v>
      </c>
      <c r="O584" s="22">
        <v>497</v>
      </c>
      <c r="P584" s="22">
        <v>21</v>
      </c>
      <c r="Q584" s="119">
        <v>30</v>
      </c>
      <c r="R584" s="13">
        <v>124</v>
      </c>
    </row>
    <row r="585" spans="1:18" x14ac:dyDescent="0.2">
      <c r="A585" s="128">
        <v>41089</v>
      </c>
      <c r="B585" s="13">
        <v>1585</v>
      </c>
      <c r="C585" s="13">
        <v>1082</v>
      </c>
      <c r="D585" s="13">
        <v>1082</v>
      </c>
      <c r="E585" s="13">
        <v>0</v>
      </c>
      <c r="F585" s="13">
        <v>502</v>
      </c>
      <c r="G585" s="13">
        <v>399</v>
      </c>
      <c r="H585" s="13">
        <v>399</v>
      </c>
      <c r="I585" s="13">
        <v>0</v>
      </c>
      <c r="J585" s="13">
        <v>103</v>
      </c>
      <c r="K585" s="13">
        <v>472</v>
      </c>
      <c r="L585" s="13">
        <v>427</v>
      </c>
      <c r="M585" s="13">
        <v>45</v>
      </c>
      <c r="N585" s="119">
        <v>569</v>
      </c>
      <c r="O585" s="22">
        <v>505</v>
      </c>
      <c r="P585" s="22">
        <v>30</v>
      </c>
      <c r="Q585" s="119">
        <v>34</v>
      </c>
      <c r="R585" s="13">
        <v>130</v>
      </c>
    </row>
    <row r="586" spans="1:18" x14ac:dyDescent="0.2">
      <c r="A586" s="128">
        <v>41096</v>
      </c>
      <c r="B586" s="13">
        <v>1580</v>
      </c>
      <c r="C586" s="13">
        <v>1073</v>
      </c>
      <c r="D586" s="13">
        <v>1073</v>
      </c>
      <c r="E586" s="13">
        <v>0</v>
      </c>
      <c r="F586" s="13">
        <v>508</v>
      </c>
      <c r="G586" s="13">
        <v>400</v>
      </c>
      <c r="H586" s="13">
        <v>400</v>
      </c>
      <c r="I586" s="13">
        <v>0</v>
      </c>
      <c r="J586" s="13">
        <v>107</v>
      </c>
      <c r="K586" s="13">
        <v>483</v>
      </c>
      <c r="L586" s="13">
        <v>439</v>
      </c>
      <c r="M586" s="13">
        <v>44</v>
      </c>
      <c r="N586" s="119">
        <v>578</v>
      </c>
      <c r="O586" s="22">
        <v>516</v>
      </c>
      <c r="P586" s="22">
        <v>29</v>
      </c>
      <c r="Q586" s="119">
        <v>33</v>
      </c>
      <c r="R586" s="13">
        <v>127</v>
      </c>
    </row>
    <row r="587" spans="1:18" x14ac:dyDescent="0.2">
      <c r="A587" s="128">
        <v>41103</v>
      </c>
      <c r="B587" s="13">
        <v>1568</v>
      </c>
      <c r="C587" s="13">
        <v>1063</v>
      </c>
      <c r="D587" s="13">
        <v>1063</v>
      </c>
      <c r="E587" s="13">
        <v>0</v>
      </c>
      <c r="F587" s="13">
        <v>504</v>
      </c>
      <c r="G587" s="13">
        <v>400</v>
      </c>
      <c r="H587" s="13">
        <v>400</v>
      </c>
      <c r="I587" s="13">
        <v>0</v>
      </c>
      <c r="J587" s="13">
        <v>104</v>
      </c>
      <c r="K587" s="13">
        <v>486</v>
      </c>
      <c r="L587" s="13">
        <v>447</v>
      </c>
      <c r="M587" s="13">
        <v>39</v>
      </c>
      <c r="N587" s="119">
        <v>591</v>
      </c>
      <c r="O587" s="22">
        <v>520</v>
      </c>
      <c r="P587" s="22">
        <v>36</v>
      </c>
      <c r="Q587" s="119">
        <v>36</v>
      </c>
      <c r="R587" s="13">
        <v>126</v>
      </c>
    </row>
    <row r="588" spans="1:18" x14ac:dyDescent="0.2">
      <c r="A588" s="128">
        <v>41110</v>
      </c>
      <c r="B588" s="13">
        <v>1565</v>
      </c>
      <c r="C588" s="13">
        <v>1058</v>
      </c>
      <c r="D588" s="13">
        <v>1058</v>
      </c>
      <c r="E588" s="13">
        <v>0</v>
      </c>
      <c r="F588" s="13">
        <v>507</v>
      </c>
      <c r="G588" s="13">
        <v>400</v>
      </c>
      <c r="H588" s="13">
        <v>400</v>
      </c>
      <c r="I588" s="13">
        <v>0</v>
      </c>
      <c r="J588" s="13">
        <v>107</v>
      </c>
      <c r="K588" s="13">
        <v>473</v>
      </c>
      <c r="L588" s="13">
        <v>437</v>
      </c>
      <c r="M588" s="13">
        <v>36</v>
      </c>
      <c r="N588" s="119">
        <v>608</v>
      </c>
      <c r="O588" s="22">
        <v>531</v>
      </c>
      <c r="P588" s="22">
        <v>30</v>
      </c>
      <c r="Q588" s="119">
        <v>46</v>
      </c>
      <c r="R588" s="13">
        <v>129</v>
      </c>
    </row>
    <row r="589" spans="1:18" x14ac:dyDescent="0.2">
      <c r="A589" s="128">
        <v>41117</v>
      </c>
      <c r="B589" s="13">
        <v>1556</v>
      </c>
      <c r="C589" s="13">
        <v>1053</v>
      </c>
      <c r="D589" s="13">
        <v>1053</v>
      </c>
      <c r="E589" s="13">
        <v>0</v>
      </c>
      <c r="F589" s="13">
        <v>503</v>
      </c>
      <c r="G589" s="13">
        <v>398</v>
      </c>
      <c r="H589" s="13">
        <v>398</v>
      </c>
      <c r="I589" s="13">
        <v>0</v>
      </c>
      <c r="J589" s="13">
        <v>106</v>
      </c>
      <c r="K589" s="13">
        <v>477</v>
      </c>
      <c r="L589" s="13">
        <v>439</v>
      </c>
      <c r="M589" s="13">
        <v>38</v>
      </c>
      <c r="N589" s="119">
        <v>580</v>
      </c>
      <c r="O589" s="22">
        <v>518</v>
      </c>
      <c r="P589" s="22">
        <v>16</v>
      </c>
      <c r="Q589" s="119">
        <v>46</v>
      </c>
      <c r="R589" s="13">
        <v>131</v>
      </c>
    </row>
    <row r="590" spans="1:18" x14ac:dyDescent="0.2">
      <c r="A590" s="128">
        <v>41124</v>
      </c>
      <c r="B590" s="13">
        <v>1556</v>
      </c>
      <c r="C590" s="13">
        <v>1056</v>
      </c>
      <c r="D590" s="13">
        <v>1056</v>
      </c>
      <c r="E590" s="13">
        <v>0</v>
      </c>
      <c r="F590" s="13">
        <v>500</v>
      </c>
      <c r="G590" s="13">
        <v>400</v>
      </c>
      <c r="H590" s="13">
        <v>399</v>
      </c>
      <c r="I590" s="13">
        <v>0</v>
      </c>
      <c r="J590" s="13">
        <v>101</v>
      </c>
      <c r="K590" s="13">
        <v>471</v>
      </c>
      <c r="L590" s="13">
        <v>445</v>
      </c>
      <c r="M590" s="13">
        <v>27</v>
      </c>
      <c r="N590" s="119">
        <v>572</v>
      </c>
      <c r="O590" s="22">
        <v>512</v>
      </c>
      <c r="P590" s="22">
        <v>18</v>
      </c>
      <c r="Q590" s="119">
        <v>42</v>
      </c>
      <c r="R590" s="13">
        <v>132</v>
      </c>
    </row>
    <row r="591" spans="1:18" x14ac:dyDescent="0.2">
      <c r="A591" s="128">
        <v>41131</v>
      </c>
      <c r="B591" s="13">
        <v>1571</v>
      </c>
      <c r="C591" s="13">
        <v>1066</v>
      </c>
      <c r="D591" s="13">
        <v>1066</v>
      </c>
      <c r="E591" s="13">
        <v>0</v>
      </c>
      <c r="F591" s="13">
        <v>505</v>
      </c>
      <c r="G591" s="13">
        <v>403</v>
      </c>
      <c r="H591" s="13">
        <v>403</v>
      </c>
      <c r="I591" s="13">
        <v>0</v>
      </c>
      <c r="J591" s="13">
        <v>102</v>
      </c>
      <c r="K591" s="13">
        <v>472</v>
      </c>
      <c r="L591" s="13">
        <v>436</v>
      </c>
      <c r="M591" s="13">
        <v>36</v>
      </c>
      <c r="N591" s="119">
        <v>556</v>
      </c>
      <c r="O591" s="22">
        <v>507</v>
      </c>
      <c r="P591" s="22">
        <v>8</v>
      </c>
      <c r="Q591" s="119">
        <v>40</v>
      </c>
      <c r="R591" s="13">
        <v>130</v>
      </c>
    </row>
    <row r="592" spans="1:18" x14ac:dyDescent="0.2">
      <c r="A592" s="128"/>
    </row>
  </sheetData>
  <hyperlinks>
    <hyperlink ref="A2" location="Contents!A1" display="Back to Contents" xr:uid="{00000000-0004-0000-0D00-000000000000}"/>
    <hyperlink ref="A126" location="Contents!A1" display="Back to Contents" xr:uid="{00000000-0004-0000-0D00-000001000000}"/>
    <hyperlink ref="A243" location="Contents!A1" display="Back to Contents" xr:uid="{00000000-0004-0000-0D00-000002000000}"/>
    <hyperlink ref="A360" location="Contents!A1" display="Back to Contents" xr:uid="{00000000-0004-0000-0D00-000003000000}"/>
    <hyperlink ref="A477" location="Contents!A1" display="Back to Contents" xr:uid="{00000000-0004-0000-0D00-000004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93"/>
  <sheetViews>
    <sheetView topLeftCell="B1" zoomScale="90" zoomScaleNormal="90" workbookViewId="0">
      <pane ySplit="3" topLeftCell="A4" activePane="bottomLeft" state="frozen"/>
      <selection activeCell="B1" sqref="B1"/>
      <selection pane="bottomLeft" activeCell="I21" sqref="I21"/>
    </sheetView>
  </sheetViews>
  <sheetFormatPr defaultColWidth="9.140625" defaultRowHeight="12.75" x14ac:dyDescent="0.2"/>
  <cols>
    <col min="1" max="1" width="20.85546875" style="22" hidden="1" customWidth="1"/>
    <col min="2" max="2" width="50.7109375" style="22" customWidth="1"/>
    <col min="3" max="16384" width="9.140625" style="22"/>
  </cols>
  <sheetData>
    <row r="1" spans="1:10" ht="15.75" customHeight="1" x14ac:dyDescent="0.2">
      <c r="B1" s="230" t="s">
        <v>863</v>
      </c>
      <c r="C1" s="230"/>
      <c r="D1" s="230"/>
      <c r="E1" s="230"/>
      <c r="F1" s="230"/>
      <c r="G1" s="230"/>
      <c r="H1" s="230"/>
      <c r="I1" s="230"/>
    </row>
    <row r="2" spans="1:10" ht="12.75" customHeight="1" x14ac:dyDescent="0.2">
      <c r="B2" s="231"/>
      <c r="C2" s="231"/>
      <c r="D2" s="231"/>
      <c r="E2" s="231"/>
      <c r="F2" s="231"/>
      <c r="G2" s="231"/>
      <c r="H2" s="231"/>
      <c r="I2" s="231"/>
      <c r="J2" s="129"/>
    </row>
    <row r="3" spans="1:10" ht="12.75" customHeight="1" x14ac:dyDescent="0.2">
      <c r="B3" s="130" t="s">
        <v>864</v>
      </c>
      <c r="C3" s="131">
        <v>2009</v>
      </c>
      <c r="D3" s="131">
        <v>2010</v>
      </c>
      <c r="E3" s="131">
        <v>2015</v>
      </c>
      <c r="F3" s="131">
        <v>2020</v>
      </c>
      <c r="G3" s="131">
        <v>2025</v>
      </c>
      <c r="H3" s="131">
        <v>2030</v>
      </c>
      <c r="I3" s="131">
        <v>2035</v>
      </c>
      <c r="J3" s="20"/>
    </row>
    <row r="4" spans="1:10" ht="12.75" customHeight="1" x14ac:dyDescent="0.2"/>
    <row r="5" spans="1:10" ht="12.75" customHeight="1" x14ac:dyDescent="0.2">
      <c r="B5" s="20" t="s">
        <v>304</v>
      </c>
      <c r="C5" s="132">
        <v>424.83</v>
      </c>
      <c r="D5" s="132">
        <v>437.21</v>
      </c>
      <c r="E5" s="132">
        <v>439.05</v>
      </c>
      <c r="F5" s="132">
        <v>436.9</v>
      </c>
      <c r="G5" s="132">
        <v>437.19</v>
      </c>
      <c r="H5" s="132">
        <v>438</v>
      </c>
      <c r="I5" s="132">
        <v>438.9</v>
      </c>
      <c r="J5" s="133"/>
    </row>
    <row r="6" spans="1:10" ht="12.75" customHeight="1" x14ac:dyDescent="0.2">
      <c r="B6" s="20" t="s">
        <v>305</v>
      </c>
    </row>
    <row r="7" spans="1:10" ht="12.75" customHeight="1" x14ac:dyDescent="0.2">
      <c r="B7" s="20" t="s">
        <v>307</v>
      </c>
      <c r="C7" s="132">
        <v>15.02</v>
      </c>
      <c r="D7" s="132">
        <v>15.33</v>
      </c>
      <c r="E7" s="132">
        <v>15.31</v>
      </c>
      <c r="F7" s="132">
        <v>14.39</v>
      </c>
      <c r="G7" s="132">
        <v>14.15</v>
      </c>
      <c r="H7" s="132">
        <v>14.01</v>
      </c>
      <c r="I7" s="132">
        <v>14.01</v>
      </c>
      <c r="J7" s="133"/>
    </row>
    <row r="8" spans="1:10" ht="12.75" customHeight="1" x14ac:dyDescent="0.2"/>
    <row r="9" spans="1:10" ht="12.75" customHeight="1" x14ac:dyDescent="0.2">
      <c r="B9" s="20" t="s">
        <v>308</v>
      </c>
    </row>
    <row r="10" spans="1:10" ht="12.75" customHeight="1" x14ac:dyDescent="0.2">
      <c r="B10" s="22" t="s">
        <v>310</v>
      </c>
      <c r="C10" s="134">
        <v>7.9</v>
      </c>
      <c r="D10" s="134">
        <v>7.9</v>
      </c>
      <c r="E10" s="134">
        <v>0</v>
      </c>
      <c r="F10" s="134">
        <v>0</v>
      </c>
      <c r="G10" s="134">
        <v>0</v>
      </c>
      <c r="H10" s="134">
        <v>0</v>
      </c>
      <c r="I10" s="134">
        <v>0</v>
      </c>
      <c r="J10" s="135"/>
    </row>
    <row r="11" spans="1:10" x14ac:dyDescent="0.2">
      <c r="B11" s="22" t="s">
        <v>313</v>
      </c>
      <c r="C11" s="134">
        <v>2</v>
      </c>
      <c r="D11" s="134">
        <v>2</v>
      </c>
      <c r="E11" s="134">
        <v>0</v>
      </c>
      <c r="F11" s="134">
        <v>0</v>
      </c>
      <c r="G11" s="134">
        <v>0</v>
      </c>
      <c r="H11" s="134">
        <v>0</v>
      </c>
      <c r="I11" s="134">
        <v>0</v>
      </c>
      <c r="J11" s="135"/>
    </row>
    <row r="12" spans="1:10" ht="15.75" customHeight="1" x14ac:dyDescent="0.2">
      <c r="A12" s="22" t="s">
        <v>302</v>
      </c>
      <c r="B12" s="22" t="s">
        <v>315</v>
      </c>
      <c r="C12" s="134">
        <v>10.3</v>
      </c>
      <c r="D12" s="134">
        <v>10.3</v>
      </c>
      <c r="E12" s="134">
        <v>11.5</v>
      </c>
      <c r="F12" s="134">
        <v>11.5</v>
      </c>
      <c r="G12" s="134">
        <v>11.5</v>
      </c>
      <c r="H12" s="134">
        <v>11.5</v>
      </c>
      <c r="I12" s="134">
        <v>11.5</v>
      </c>
      <c r="J12" s="136"/>
    </row>
    <row r="13" spans="1:10" x14ac:dyDescent="0.2">
      <c r="B13" s="22" t="s">
        <v>317</v>
      </c>
      <c r="C13" s="134">
        <v>518.79999999999995</v>
      </c>
      <c r="D13" s="134">
        <v>518.79999999999995</v>
      </c>
      <c r="E13" s="134">
        <v>531.5</v>
      </c>
      <c r="F13" s="134">
        <v>491.7</v>
      </c>
      <c r="G13" s="134">
        <v>493</v>
      </c>
      <c r="H13" s="134">
        <v>510.7</v>
      </c>
      <c r="I13" s="134">
        <v>533.6</v>
      </c>
      <c r="J13" s="136"/>
    </row>
    <row r="14" spans="1:10" x14ac:dyDescent="0.2">
      <c r="B14" s="22" t="s">
        <v>319</v>
      </c>
      <c r="C14" s="134">
        <v>1497.7</v>
      </c>
      <c r="D14" s="134">
        <v>1497.7</v>
      </c>
      <c r="E14" s="134">
        <v>1547.5</v>
      </c>
      <c r="F14" s="134">
        <v>1363.4</v>
      </c>
      <c r="G14" s="134">
        <v>1338.3</v>
      </c>
      <c r="H14" s="134">
        <v>1385.2</v>
      </c>
      <c r="I14" s="134">
        <v>1452.8</v>
      </c>
      <c r="J14" s="136"/>
    </row>
    <row r="15" spans="1:10" x14ac:dyDescent="0.2">
      <c r="B15" s="22" t="s">
        <v>321</v>
      </c>
      <c r="C15" s="134">
        <v>16.899999999999999</v>
      </c>
      <c r="D15" s="134">
        <v>16.899999999999999</v>
      </c>
      <c r="E15" s="134">
        <v>23</v>
      </c>
      <c r="F15" s="134">
        <v>22.2</v>
      </c>
      <c r="G15" s="134">
        <v>21.8</v>
      </c>
      <c r="H15" s="134">
        <v>22.3</v>
      </c>
      <c r="I15" s="134">
        <v>22.8</v>
      </c>
      <c r="J15" s="136"/>
    </row>
    <row r="16" spans="1:10" x14ac:dyDescent="0.2">
      <c r="B16" s="22" t="s">
        <v>323</v>
      </c>
      <c r="C16" s="134">
        <v>2053.6</v>
      </c>
      <c r="D16" s="134">
        <v>2053.6</v>
      </c>
      <c r="E16" s="134">
        <v>2113.6</v>
      </c>
      <c r="F16" s="134">
        <v>1888.8</v>
      </c>
      <c r="G16" s="134">
        <v>1864.6</v>
      </c>
      <c r="H16" s="134">
        <v>1929.8</v>
      </c>
      <c r="I16" s="134">
        <v>2020.6</v>
      </c>
      <c r="J16" s="136"/>
    </row>
    <row r="17" spans="1:14" x14ac:dyDescent="0.2">
      <c r="A17" s="22" t="s">
        <v>303</v>
      </c>
      <c r="B17" s="22" t="s">
        <v>325</v>
      </c>
      <c r="C17" s="134">
        <v>1383.1</v>
      </c>
      <c r="D17" s="134">
        <v>1441.2</v>
      </c>
      <c r="E17" s="134">
        <v>1480.1</v>
      </c>
      <c r="F17" s="134">
        <v>1529.9</v>
      </c>
      <c r="G17" s="134">
        <v>1545.6</v>
      </c>
      <c r="H17" s="134">
        <v>1507.9</v>
      </c>
      <c r="I17" s="134">
        <v>1508</v>
      </c>
      <c r="J17" s="136"/>
    </row>
    <row r="18" spans="1:14" x14ac:dyDescent="0.2">
      <c r="B18" s="22" t="s">
        <v>327</v>
      </c>
      <c r="C18" s="134">
        <v>60.3</v>
      </c>
      <c r="D18" s="134">
        <v>60.3</v>
      </c>
      <c r="E18" s="134">
        <v>62</v>
      </c>
      <c r="F18" s="134">
        <v>315.2</v>
      </c>
      <c r="G18" s="134">
        <v>423.8</v>
      </c>
      <c r="H18" s="134">
        <v>538.29999999999995</v>
      </c>
      <c r="I18" s="134">
        <v>659.6</v>
      </c>
      <c r="J18" s="136"/>
    </row>
    <row r="19" spans="1:14" x14ac:dyDescent="0.2">
      <c r="A19" s="22" t="s">
        <v>306</v>
      </c>
      <c r="B19" s="22" t="s">
        <v>329</v>
      </c>
      <c r="C19" s="134">
        <v>0</v>
      </c>
      <c r="D19" s="134">
        <v>0</v>
      </c>
      <c r="E19" s="134">
        <v>0</v>
      </c>
      <c r="F19" s="134">
        <v>0</v>
      </c>
      <c r="G19" s="134">
        <v>0</v>
      </c>
      <c r="H19" s="134">
        <v>0</v>
      </c>
      <c r="I19" s="134">
        <v>0</v>
      </c>
      <c r="J19" s="135"/>
    </row>
    <row r="20" spans="1:14" x14ac:dyDescent="0.2">
      <c r="B20" s="22" t="s">
        <v>331</v>
      </c>
      <c r="C20" s="134">
        <v>190.7</v>
      </c>
      <c r="D20" s="134">
        <v>196.7</v>
      </c>
      <c r="E20" s="134">
        <v>195.4</v>
      </c>
      <c r="F20" s="134">
        <v>195.7</v>
      </c>
      <c r="G20" s="134">
        <v>195</v>
      </c>
      <c r="H20" s="134">
        <v>203</v>
      </c>
      <c r="I20" s="134">
        <v>213.3</v>
      </c>
      <c r="J20" s="136"/>
    </row>
    <row r="21" spans="1:14" x14ac:dyDescent="0.2">
      <c r="B21" s="20" t="s">
        <v>333</v>
      </c>
      <c r="C21" s="137">
        <v>3687.6</v>
      </c>
      <c r="D21" s="137">
        <v>3751.8</v>
      </c>
      <c r="E21" s="137">
        <v>3851.1</v>
      </c>
      <c r="F21" s="137">
        <v>3929.6</v>
      </c>
      <c r="G21" s="137">
        <v>4028.9</v>
      </c>
      <c r="H21" s="137">
        <v>4179</v>
      </c>
      <c r="I21" s="137">
        <v>4401.5</v>
      </c>
      <c r="J21" s="133"/>
    </row>
    <row r="22" spans="1:14" x14ac:dyDescent="0.2">
      <c r="A22" s="22" t="s">
        <v>309</v>
      </c>
    </row>
    <row r="23" spans="1:14" x14ac:dyDescent="0.2">
      <c r="A23" s="22" t="s">
        <v>312</v>
      </c>
    </row>
    <row r="24" spans="1:14" x14ac:dyDescent="0.2">
      <c r="A24" s="22" t="s">
        <v>314</v>
      </c>
      <c r="B24" s="22" t="s">
        <v>335</v>
      </c>
      <c r="C24" s="134">
        <v>261.39999999999998</v>
      </c>
      <c r="D24" s="134">
        <v>265.89999999999998</v>
      </c>
      <c r="E24" s="134">
        <v>268</v>
      </c>
      <c r="F24" s="134">
        <v>278.89999999999998</v>
      </c>
      <c r="G24" s="134">
        <v>288.89999999999998</v>
      </c>
      <c r="H24" s="134">
        <v>303.60000000000002</v>
      </c>
      <c r="I24" s="134">
        <v>322.89999999999998</v>
      </c>
      <c r="J24" s="136"/>
    </row>
    <row r="25" spans="1:14" x14ac:dyDescent="0.2">
      <c r="A25" s="22" t="s">
        <v>316</v>
      </c>
    </row>
    <row r="26" spans="1:14" x14ac:dyDescent="0.2">
      <c r="A26" s="22" t="s">
        <v>318</v>
      </c>
      <c r="B26" s="20" t="s">
        <v>336</v>
      </c>
    </row>
    <row r="27" spans="1:14" x14ac:dyDescent="0.2">
      <c r="A27" s="22" t="s">
        <v>320</v>
      </c>
      <c r="B27" s="20" t="s">
        <v>337</v>
      </c>
    </row>
    <row r="28" spans="1:14" x14ac:dyDescent="0.2">
      <c r="A28" s="22" t="s">
        <v>322</v>
      </c>
      <c r="B28" s="22" t="s">
        <v>310</v>
      </c>
      <c r="C28" s="134">
        <v>1.4</v>
      </c>
      <c r="D28" s="134">
        <v>1.4</v>
      </c>
      <c r="E28" s="134">
        <v>0</v>
      </c>
      <c r="F28" s="134">
        <v>0</v>
      </c>
      <c r="G28" s="134">
        <v>0</v>
      </c>
      <c r="H28" s="134">
        <v>0</v>
      </c>
      <c r="I28" s="134">
        <v>0</v>
      </c>
      <c r="J28" s="135"/>
    </row>
    <row r="29" spans="1:14" x14ac:dyDescent="0.2">
      <c r="A29" s="22" t="s">
        <v>324</v>
      </c>
      <c r="B29" s="22" t="s">
        <v>313</v>
      </c>
      <c r="C29" s="134">
        <v>0.4</v>
      </c>
      <c r="D29" s="134">
        <v>0.4</v>
      </c>
      <c r="E29" s="134">
        <v>0</v>
      </c>
      <c r="F29" s="134">
        <v>0</v>
      </c>
      <c r="G29" s="134">
        <v>0</v>
      </c>
      <c r="H29" s="134">
        <v>0</v>
      </c>
      <c r="I29" s="134">
        <v>0</v>
      </c>
      <c r="J29" s="135"/>
      <c r="M29" s="138"/>
      <c r="N29" s="138"/>
    </row>
    <row r="30" spans="1:14" x14ac:dyDescent="0.2">
      <c r="A30" s="22" t="s">
        <v>326</v>
      </c>
      <c r="B30" s="22" t="s">
        <v>315</v>
      </c>
      <c r="C30" s="134">
        <v>1.9</v>
      </c>
      <c r="D30" s="134">
        <v>1.8</v>
      </c>
      <c r="E30" s="134">
        <v>2.1</v>
      </c>
      <c r="F30" s="134">
        <v>2.2000000000000002</v>
      </c>
      <c r="G30" s="134">
        <v>2.2000000000000002</v>
      </c>
      <c r="H30" s="134">
        <v>2.2000000000000002</v>
      </c>
      <c r="I30" s="134">
        <v>2.2000000000000002</v>
      </c>
      <c r="J30" s="136"/>
    </row>
    <row r="31" spans="1:14" x14ac:dyDescent="0.2">
      <c r="A31" s="22" t="s">
        <v>328</v>
      </c>
      <c r="B31" s="22" t="s">
        <v>317</v>
      </c>
      <c r="C31" s="134">
        <v>92.1</v>
      </c>
      <c r="D31" s="134">
        <v>90.2</v>
      </c>
      <c r="E31" s="134">
        <v>95.1</v>
      </c>
      <c r="F31" s="134">
        <v>93.6</v>
      </c>
      <c r="G31" s="134">
        <v>95.4</v>
      </c>
      <c r="H31" s="134">
        <v>99.9</v>
      </c>
      <c r="I31" s="134">
        <v>104.4</v>
      </c>
      <c r="J31" s="136"/>
      <c r="M31" s="138"/>
      <c r="N31" s="138"/>
    </row>
    <row r="32" spans="1:14" x14ac:dyDescent="0.2">
      <c r="A32" s="22" t="s">
        <v>330</v>
      </c>
      <c r="B32" s="22" t="s">
        <v>319</v>
      </c>
      <c r="C32" s="134">
        <v>255</v>
      </c>
      <c r="D32" s="134">
        <v>249.8</v>
      </c>
      <c r="E32" s="134">
        <v>254.4</v>
      </c>
      <c r="F32" s="134">
        <v>236.1</v>
      </c>
      <c r="G32" s="134">
        <v>235.4</v>
      </c>
      <c r="H32" s="134">
        <v>247.2</v>
      </c>
      <c r="I32" s="134">
        <v>260.3</v>
      </c>
      <c r="J32" s="136"/>
    </row>
    <row r="33" spans="1:14" x14ac:dyDescent="0.2">
      <c r="A33" s="22" t="s">
        <v>332</v>
      </c>
      <c r="B33" s="22" t="s">
        <v>321</v>
      </c>
      <c r="C33" s="134">
        <v>3.1</v>
      </c>
      <c r="D33" s="134">
        <v>3</v>
      </c>
      <c r="E33" s="134">
        <v>4.0999999999999996</v>
      </c>
      <c r="F33" s="134">
        <v>4.2</v>
      </c>
      <c r="G33" s="134">
        <v>4.2</v>
      </c>
      <c r="H33" s="134">
        <v>4.4000000000000004</v>
      </c>
      <c r="I33" s="134">
        <v>4.5</v>
      </c>
      <c r="J33" s="136"/>
    </row>
    <row r="34" spans="1:14" x14ac:dyDescent="0.2">
      <c r="B34" s="22" t="s">
        <v>323</v>
      </c>
      <c r="C34" s="134">
        <v>353.8</v>
      </c>
      <c r="D34" s="134">
        <v>346.7</v>
      </c>
      <c r="E34" s="134">
        <v>355.7</v>
      </c>
      <c r="F34" s="134">
        <v>336.1</v>
      </c>
      <c r="G34" s="134">
        <v>337.2</v>
      </c>
      <c r="H34" s="134">
        <v>353.6</v>
      </c>
      <c r="I34" s="134">
        <v>371.3</v>
      </c>
      <c r="J34" s="136"/>
    </row>
    <row r="35" spans="1:14" x14ac:dyDescent="0.2">
      <c r="B35" s="138" t="s">
        <v>325</v>
      </c>
      <c r="C35" s="139">
        <v>134.5</v>
      </c>
      <c r="D35" s="139">
        <v>131.80000000000001</v>
      </c>
      <c r="E35" s="139">
        <v>139.80000000000001</v>
      </c>
      <c r="F35" s="139">
        <v>149.69999999999999</v>
      </c>
      <c r="G35" s="139">
        <v>150</v>
      </c>
      <c r="H35" s="139">
        <v>145.4</v>
      </c>
      <c r="I35" s="139">
        <v>139.80000000000001</v>
      </c>
      <c r="J35" s="140"/>
      <c r="K35" s="138"/>
    </row>
    <row r="36" spans="1:14" x14ac:dyDescent="0.2">
      <c r="A36" s="22" t="s">
        <v>334</v>
      </c>
      <c r="B36" s="22" t="s">
        <v>327</v>
      </c>
      <c r="C36" s="134">
        <v>0</v>
      </c>
      <c r="D36" s="134">
        <v>0</v>
      </c>
      <c r="E36" s="134">
        <v>0</v>
      </c>
      <c r="F36" s="134">
        <v>0</v>
      </c>
      <c r="G36" s="134">
        <v>0</v>
      </c>
      <c r="H36" s="134">
        <v>0</v>
      </c>
      <c r="I36" s="134">
        <v>0</v>
      </c>
      <c r="J36" s="135"/>
    </row>
    <row r="37" spans="1:14" x14ac:dyDescent="0.2">
      <c r="B37" s="138" t="s">
        <v>331</v>
      </c>
      <c r="C37" s="139">
        <v>26.8</v>
      </c>
      <c r="D37" s="139">
        <v>26.2</v>
      </c>
      <c r="E37" s="139">
        <v>26</v>
      </c>
      <c r="F37" s="139">
        <v>26.8</v>
      </c>
      <c r="G37" s="139">
        <v>26.5</v>
      </c>
      <c r="H37" s="139">
        <v>28.4</v>
      </c>
      <c r="I37" s="139">
        <v>29.9</v>
      </c>
      <c r="J37" s="140"/>
      <c r="K37" s="138"/>
    </row>
    <row r="38" spans="1:14" x14ac:dyDescent="0.2">
      <c r="B38" s="20" t="s">
        <v>333</v>
      </c>
      <c r="C38" s="137">
        <v>515.1</v>
      </c>
      <c r="D38" s="137">
        <v>504.6</v>
      </c>
      <c r="E38" s="137">
        <v>521.6</v>
      </c>
      <c r="F38" s="137">
        <v>512.6</v>
      </c>
      <c r="G38" s="137">
        <v>513.79999999999995</v>
      </c>
      <c r="H38" s="137">
        <v>527.5</v>
      </c>
      <c r="I38" s="137">
        <v>541</v>
      </c>
      <c r="J38" s="133"/>
    </row>
    <row r="40" spans="1:14" x14ac:dyDescent="0.2">
      <c r="A40" s="22" t="s">
        <v>338</v>
      </c>
      <c r="B40" s="20" t="s">
        <v>349</v>
      </c>
    </row>
    <row r="41" spans="1:14" x14ac:dyDescent="0.2">
      <c r="A41" s="22" t="s">
        <v>339</v>
      </c>
      <c r="B41" s="20" t="s">
        <v>350</v>
      </c>
    </row>
    <row r="42" spans="1:14" x14ac:dyDescent="0.2">
      <c r="A42" s="22" t="s">
        <v>340</v>
      </c>
      <c r="B42" s="22" t="s">
        <v>352</v>
      </c>
      <c r="C42" s="141">
        <v>0.04</v>
      </c>
      <c r="D42" s="141">
        <v>0.04</v>
      </c>
      <c r="E42" s="141">
        <v>0.09</v>
      </c>
      <c r="F42" s="141">
        <v>0.09</v>
      </c>
      <c r="G42" s="141">
        <v>0.09</v>
      </c>
      <c r="H42" s="141">
        <v>0.09</v>
      </c>
      <c r="I42" s="141">
        <v>0.09</v>
      </c>
      <c r="J42" s="136"/>
    </row>
    <row r="43" spans="1:14" x14ac:dyDescent="0.2">
      <c r="A43" s="22" t="s">
        <v>341</v>
      </c>
      <c r="B43" s="22" t="s">
        <v>354</v>
      </c>
      <c r="C43" s="141">
        <v>2.9</v>
      </c>
      <c r="D43" s="141">
        <v>2.9</v>
      </c>
      <c r="E43" s="141">
        <v>2.63</v>
      </c>
      <c r="F43" s="141">
        <v>2.63</v>
      </c>
      <c r="G43" s="141">
        <v>2.63</v>
      </c>
      <c r="H43" s="141">
        <v>2.63</v>
      </c>
      <c r="I43" s="141">
        <v>2.63</v>
      </c>
      <c r="J43" s="136"/>
    </row>
    <row r="44" spans="1:14" x14ac:dyDescent="0.2">
      <c r="A44" s="22" t="s">
        <v>342</v>
      </c>
      <c r="B44" s="22" t="s">
        <v>356</v>
      </c>
      <c r="C44" s="141">
        <v>0.14000000000000001</v>
      </c>
      <c r="D44" s="141">
        <v>0.14000000000000001</v>
      </c>
      <c r="E44" s="141">
        <v>0.03</v>
      </c>
      <c r="F44" s="141">
        <v>2.46</v>
      </c>
      <c r="G44" s="141">
        <v>3.49</v>
      </c>
      <c r="H44" s="141">
        <v>4.5999999999999996</v>
      </c>
      <c r="I44" s="141">
        <v>5.78</v>
      </c>
      <c r="J44" s="136"/>
    </row>
    <row r="45" spans="1:14" x14ac:dyDescent="0.2">
      <c r="A45" s="22" t="s">
        <v>343</v>
      </c>
      <c r="B45" s="22" t="s">
        <v>358</v>
      </c>
      <c r="C45" s="141">
        <v>0.71</v>
      </c>
      <c r="D45" s="141">
        <v>0.71</v>
      </c>
      <c r="E45" s="141">
        <v>1.61</v>
      </c>
      <c r="F45" s="141">
        <v>1.95</v>
      </c>
      <c r="G45" s="141">
        <v>2.87</v>
      </c>
      <c r="H45" s="141">
        <v>5.4</v>
      </c>
      <c r="I45" s="141">
        <v>7.43</v>
      </c>
      <c r="J45" s="136"/>
    </row>
    <row r="46" spans="1:14" x14ac:dyDescent="0.2">
      <c r="A46" s="22" t="s">
        <v>344</v>
      </c>
      <c r="B46" s="20" t="s">
        <v>360</v>
      </c>
      <c r="C46" s="132">
        <v>3.79</v>
      </c>
      <c r="D46" s="132">
        <v>3.79</v>
      </c>
      <c r="E46" s="132">
        <v>4.3600000000000003</v>
      </c>
      <c r="F46" s="132">
        <v>7.13</v>
      </c>
      <c r="G46" s="132">
        <v>9.08</v>
      </c>
      <c r="H46" s="132">
        <v>12.72</v>
      </c>
      <c r="I46" s="132">
        <v>15.93</v>
      </c>
      <c r="J46" s="133"/>
    </row>
    <row r="47" spans="1:14" s="138" customFormat="1" x14ac:dyDescent="0.2">
      <c r="A47" s="138" t="s">
        <v>345</v>
      </c>
      <c r="B47" s="20" t="s">
        <v>361</v>
      </c>
      <c r="C47" s="22"/>
      <c r="D47" s="22"/>
      <c r="E47" s="22"/>
      <c r="F47" s="22"/>
      <c r="G47" s="22"/>
      <c r="H47" s="22"/>
      <c r="I47" s="22"/>
      <c r="J47" s="22"/>
      <c r="K47" s="22"/>
      <c r="M47" s="22"/>
      <c r="N47" s="22"/>
    </row>
    <row r="48" spans="1:14" x14ac:dyDescent="0.2">
      <c r="A48" s="22" t="s">
        <v>346</v>
      </c>
      <c r="B48" s="22" t="s">
        <v>352</v>
      </c>
      <c r="C48" s="141">
        <v>0.42</v>
      </c>
      <c r="D48" s="141">
        <v>0.42</v>
      </c>
      <c r="E48" s="141">
        <v>0</v>
      </c>
      <c r="F48" s="141">
        <v>0</v>
      </c>
      <c r="G48" s="141">
        <v>0</v>
      </c>
      <c r="H48" s="141">
        <v>0</v>
      </c>
      <c r="I48" s="141">
        <v>0</v>
      </c>
      <c r="J48" s="135"/>
    </row>
    <row r="49" spans="1:14" s="138" customFormat="1" x14ac:dyDescent="0.2">
      <c r="A49" s="138" t="s">
        <v>347</v>
      </c>
      <c r="B49" s="22" t="s">
        <v>354</v>
      </c>
      <c r="C49" s="141">
        <v>16.47</v>
      </c>
      <c r="D49" s="141">
        <v>16.47</v>
      </c>
      <c r="E49" s="141">
        <v>16.12</v>
      </c>
      <c r="F49" s="141">
        <v>15.85</v>
      </c>
      <c r="G49" s="141">
        <v>15.69</v>
      </c>
      <c r="H49" s="141">
        <v>15.54</v>
      </c>
      <c r="I49" s="141">
        <v>15.63</v>
      </c>
      <c r="J49" s="136"/>
      <c r="K49" s="22"/>
      <c r="M49" s="22"/>
      <c r="N49" s="22"/>
    </row>
    <row r="50" spans="1:14" x14ac:dyDescent="0.2">
      <c r="A50" s="22" t="s">
        <v>348</v>
      </c>
      <c r="B50" s="22" t="s">
        <v>356</v>
      </c>
      <c r="C50" s="141">
        <v>0.54</v>
      </c>
      <c r="D50" s="141">
        <v>0.54</v>
      </c>
      <c r="E50" s="141">
        <v>0.19</v>
      </c>
      <c r="F50" s="141">
        <v>18.28</v>
      </c>
      <c r="G50" s="141">
        <v>26.02</v>
      </c>
      <c r="H50" s="141">
        <v>34.25</v>
      </c>
      <c r="I50" s="141">
        <v>43.03</v>
      </c>
      <c r="J50" s="136"/>
    </row>
    <row r="51" spans="1:14" x14ac:dyDescent="0.2">
      <c r="B51" s="22" t="s">
        <v>358</v>
      </c>
      <c r="C51" s="141">
        <v>4.87</v>
      </c>
      <c r="D51" s="141">
        <v>4.87</v>
      </c>
      <c r="E51" s="141">
        <v>10.220000000000001</v>
      </c>
      <c r="F51" s="141">
        <v>12.73</v>
      </c>
      <c r="G51" s="141">
        <v>20.51</v>
      </c>
      <c r="H51" s="141">
        <v>42.13</v>
      </c>
      <c r="I51" s="141">
        <v>59.57</v>
      </c>
      <c r="J51" s="136"/>
    </row>
    <row r="52" spans="1:14" x14ac:dyDescent="0.2">
      <c r="B52" s="20" t="s">
        <v>360</v>
      </c>
      <c r="C52" s="132">
        <v>22.31</v>
      </c>
      <c r="D52" s="132">
        <v>22.31</v>
      </c>
      <c r="E52" s="132">
        <v>26.53</v>
      </c>
      <c r="F52" s="132">
        <v>46.86</v>
      </c>
      <c r="G52" s="132">
        <v>62.22</v>
      </c>
      <c r="H52" s="132">
        <v>91.92</v>
      </c>
      <c r="I52" s="132">
        <v>118.23</v>
      </c>
      <c r="J52" s="133"/>
    </row>
    <row r="53" spans="1:14" x14ac:dyDescent="0.2">
      <c r="B53" s="20" t="s">
        <v>367</v>
      </c>
    </row>
    <row r="54" spans="1:14" x14ac:dyDescent="0.2">
      <c r="A54" s="22" t="s">
        <v>351</v>
      </c>
      <c r="B54" s="22" t="s">
        <v>369</v>
      </c>
      <c r="C54" s="141">
        <v>6.9</v>
      </c>
      <c r="D54" s="141">
        <v>6.9</v>
      </c>
      <c r="E54" s="141">
        <v>8.56</v>
      </c>
      <c r="F54" s="141">
        <v>15.98</v>
      </c>
      <c r="G54" s="141">
        <v>25.67</v>
      </c>
      <c r="H54" s="141">
        <v>48.33</v>
      </c>
      <c r="I54" s="141">
        <v>67.099999999999994</v>
      </c>
      <c r="J54" s="136"/>
    </row>
    <row r="55" spans="1:14" x14ac:dyDescent="0.2">
      <c r="A55" s="22" t="s">
        <v>353</v>
      </c>
      <c r="B55" s="22" t="s">
        <v>371</v>
      </c>
      <c r="C55" s="141">
        <v>15.4</v>
      </c>
      <c r="D55" s="141">
        <v>15.4</v>
      </c>
      <c r="E55" s="141">
        <v>17.98</v>
      </c>
      <c r="F55" s="141">
        <v>30.87</v>
      </c>
      <c r="G55" s="141">
        <v>36.549999999999997</v>
      </c>
      <c r="H55" s="141">
        <v>43.59</v>
      </c>
      <c r="I55" s="141">
        <v>51.13</v>
      </c>
      <c r="J55" s="136"/>
    </row>
    <row r="56" spans="1:14" x14ac:dyDescent="0.2">
      <c r="A56" s="22" t="s">
        <v>355</v>
      </c>
    </row>
    <row r="57" spans="1:14" x14ac:dyDescent="0.2">
      <c r="A57" s="22" t="s">
        <v>357</v>
      </c>
      <c r="B57" s="20" t="s">
        <v>372</v>
      </c>
    </row>
    <row r="58" spans="1:14" x14ac:dyDescent="0.2">
      <c r="A58" s="22" t="s">
        <v>359</v>
      </c>
      <c r="B58" s="20" t="s">
        <v>373</v>
      </c>
    </row>
    <row r="59" spans="1:14" x14ac:dyDescent="0.2">
      <c r="B59" s="22" t="s">
        <v>375</v>
      </c>
      <c r="C59" s="134">
        <v>422.6</v>
      </c>
      <c r="D59" s="134">
        <v>480.7</v>
      </c>
      <c r="E59" s="134">
        <v>477.8</v>
      </c>
      <c r="F59" s="134">
        <v>526.5</v>
      </c>
      <c r="G59" s="134">
        <v>555.70000000000005</v>
      </c>
      <c r="H59" s="134">
        <v>551.6</v>
      </c>
      <c r="I59" s="134">
        <v>578.9</v>
      </c>
      <c r="J59" s="136"/>
    </row>
    <row r="60" spans="1:14" x14ac:dyDescent="0.2">
      <c r="A60" s="22" t="s">
        <v>362</v>
      </c>
      <c r="B60" s="22" t="s">
        <v>377</v>
      </c>
      <c r="C60" s="134">
        <v>59.6</v>
      </c>
      <c r="D60" s="134">
        <v>59.6</v>
      </c>
      <c r="E60" s="134">
        <v>59.2</v>
      </c>
      <c r="F60" s="134">
        <v>59.6</v>
      </c>
      <c r="G60" s="134">
        <v>59.6</v>
      </c>
      <c r="H60" s="134">
        <v>59.6</v>
      </c>
      <c r="I60" s="134">
        <v>59.6</v>
      </c>
      <c r="J60" s="136"/>
    </row>
    <row r="61" spans="1:14" x14ac:dyDescent="0.2">
      <c r="A61" s="22" t="s">
        <v>363</v>
      </c>
      <c r="B61" s="22" t="s">
        <v>379</v>
      </c>
      <c r="C61" s="134">
        <v>43.9</v>
      </c>
      <c r="D61" s="134">
        <v>49.9</v>
      </c>
      <c r="E61" s="134">
        <v>49.9</v>
      </c>
      <c r="F61" s="134">
        <v>54.9</v>
      </c>
      <c r="G61" s="134">
        <v>58</v>
      </c>
      <c r="H61" s="134">
        <v>57.5</v>
      </c>
      <c r="I61" s="134">
        <v>60.5</v>
      </c>
      <c r="J61" s="136"/>
    </row>
    <row r="62" spans="1:14" x14ac:dyDescent="0.2">
      <c r="A62" s="22" t="s">
        <v>364</v>
      </c>
      <c r="B62" s="20" t="s">
        <v>381</v>
      </c>
      <c r="C62" s="137">
        <v>526</v>
      </c>
      <c r="D62" s="137">
        <v>590.20000000000005</v>
      </c>
      <c r="E62" s="137">
        <v>586.9</v>
      </c>
      <c r="F62" s="137">
        <v>640.9</v>
      </c>
      <c r="G62" s="137">
        <v>673.2</v>
      </c>
      <c r="H62" s="137">
        <v>668.7</v>
      </c>
      <c r="I62" s="137">
        <v>698.9</v>
      </c>
      <c r="J62" s="133"/>
    </row>
    <row r="63" spans="1:14" x14ac:dyDescent="0.2">
      <c r="A63" s="22" t="s">
        <v>365</v>
      </c>
    </row>
    <row r="64" spans="1:14" ht="12.75" customHeight="1" x14ac:dyDescent="0.2">
      <c r="A64" s="22" t="s">
        <v>366</v>
      </c>
      <c r="B64" s="232" t="s">
        <v>865</v>
      </c>
      <c r="C64" s="232"/>
      <c r="D64" s="232"/>
      <c r="E64" s="232"/>
      <c r="F64" s="232"/>
      <c r="G64" s="232"/>
      <c r="H64" s="232"/>
      <c r="I64" s="232"/>
    </row>
    <row r="65" spans="1:9" ht="12.75" customHeight="1" x14ac:dyDescent="0.2">
      <c r="B65" s="229" t="s">
        <v>866</v>
      </c>
      <c r="C65" s="229"/>
      <c r="D65" s="229"/>
      <c r="E65" s="229"/>
      <c r="F65" s="229"/>
      <c r="G65" s="229"/>
      <c r="H65" s="229"/>
      <c r="I65" s="229"/>
    </row>
    <row r="66" spans="1:9" ht="12.75" customHeight="1" x14ac:dyDescent="0.2">
      <c r="A66" s="22" t="s">
        <v>368</v>
      </c>
      <c r="B66" s="229" t="s">
        <v>867</v>
      </c>
      <c r="C66" s="229"/>
      <c r="D66" s="229"/>
      <c r="E66" s="229"/>
      <c r="F66" s="229"/>
      <c r="G66" s="229"/>
      <c r="H66" s="229"/>
      <c r="I66" s="229"/>
    </row>
    <row r="67" spans="1:9" ht="12.75" customHeight="1" x14ac:dyDescent="0.2">
      <c r="A67" s="22" t="s">
        <v>370</v>
      </c>
      <c r="B67" s="229" t="s">
        <v>868</v>
      </c>
      <c r="C67" s="229"/>
      <c r="D67" s="229"/>
      <c r="E67" s="229"/>
      <c r="F67" s="229"/>
      <c r="G67" s="229"/>
      <c r="H67" s="229"/>
      <c r="I67" s="229"/>
    </row>
    <row r="68" spans="1:9" ht="12.75" customHeight="1" x14ac:dyDescent="0.2">
      <c r="B68" s="229" t="s">
        <v>869</v>
      </c>
      <c r="C68" s="229"/>
      <c r="D68" s="229"/>
      <c r="E68" s="229"/>
      <c r="F68" s="229"/>
      <c r="G68" s="229"/>
      <c r="H68" s="229"/>
      <c r="I68" s="229"/>
    </row>
    <row r="69" spans="1:9" ht="12.75" customHeight="1" x14ac:dyDescent="0.2">
      <c r="B69" s="229" t="s">
        <v>870</v>
      </c>
      <c r="C69" s="229"/>
      <c r="D69" s="229"/>
      <c r="E69" s="229"/>
      <c r="F69" s="229"/>
      <c r="G69" s="229"/>
      <c r="H69" s="229"/>
      <c r="I69" s="229"/>
    </row>
    <row r="70" spans="1:9" ht="12.75" customHeight="1" x14ac:dyDescent="0.2">
      <c r="B70" s="229" t="s">
        <v>871</v>
      </c>
      <c r="C70" s="229"/>
      <c r="D70" s="229"/>
      <c r="E70" s="229"/>
      <c r="F70" s="229"/>
      <c r="G70" s="229"/>
      <c r="H70" s="229"/>
      <c r="I70" s="229"/>
    </row>
    <row r="71" spans="1:9" ht="12.75" customHeight="1" x14ac:dyDescent="0.2">
      <c r="A71" s="22" t="s">
        <v>374</v>
      </c>
      <c r="B71" s="229" t="s">
        <v>872</v>
      </c>
      <c r="C71" s="229"/>
      <c r="D71" s="229"/>
      <c r="E71" s="229"/>
      <c r="F71" s="229"/>
      <c r="G71" s="229"/>
      <c r="H71" s="229"/>
      <c r="I71" s="229"/>
    </row>
    <row r="72" spans="1:9" x14ac:dyDescent="0.2">
      <c r="A72" s="22" t="s">
        <v>376</v>
      </c>
      <c r="B72" s="229" t="s">
        <v>873</v>
      </c>
      <c r="C72" s="229"/>
      <c r="D72" s="229"/>
      <c r="E72" s="229"/>
      <c r="F72" s="229"/>
      <c r="G72" s="229"/>
      <c r="H72" s="229"/>
      <c r="I72" s="229"/>
    </row>
    <row r="73" spans="1:9" x14ac:dyDescent="0.2">
      <c r="A73" s="22" t="s">
        <v>378</v>
      </c>
      <c r="B73" s="229" t="s">
        <v>874</v>
      </c>
      <c r="C73" s="229"/>
      <c r="D73" s="229"/>
      <c r="E73" s="229"/>
      <c r="F73" s="229"/>
      <c r="G73" s="229"/>
      <c r="H73" s="229"/>
      <c r="I73" s="229"/>
    </row>
    <row r="74" spans="1:9" ht="12.75" customHeight="1" x14ac:dyDescent="0.2">
      <c r="A74" s="22" t="s">
        <v>380</v>
      </c>
      <c r="B74" s="229" t="s">
        <v>875</v>
      </c>
      <c r="C74" s="229"/>
      <c r="D74" s="229"/>
      <c r="E74" s="229"/>
      <c r="F74" s="229"/>
      <c r="G74" s="229"/>
      <c r="H74" s="229"/>
      <c r="I74" s="229"/>
    </row>
    <row r="75" spans="1:9" ht="12.75" customHeight="1" x14ac:dyDescent="0.2">
      <c r="B75" s="229" t="s">
        <v>876</v>
      </c>
      <c r="C75" s="229"/>
      <c r="D75" s="229"/>
      <c r="E75" s="229"/>
      <c r="F75" s="229"/>
      <c r="G75" s="229"/>
      <c r="H75" s="229"/>
      <c r="I75" s="229"/>
    </row>
    <row r="76" spans="1:9" ht="12.75" customHeight="1" x14ac:dyDescent="0.2">
      <c r="B76" s="229" t="s">
        <v>877</v>
      </c>
      <c r="C76" s="229"/>
      <c r="D76" s="229"/>
      <c r="E76" s="229"/>
      <c r="F76" s="229"/>
      <c r="G76" s="229"/>
      <c r="H76" s="229"/>
      <c r="I76" s="229"/>
    </row>
    <row r="77" spans="1:9" ht="12.75" customHeight="1" x14ac:dyDescent="0.2">
      <c r="B77" s="229" t="s">
        <v>878</v>
      </c>
      <c r="C77" s="229"/>
      <c r="D77" s="229"/>
      <c r="E77" s="229"/>
      <c r="F77" s="229"/>
      <c r="G77" s="229"/>
      <c r="H77" s="229"/>
      <c r="I77" s="229"/>
    </row>
    <row r="78" spans="1:9" ht="12.75" customHeight="1" x14ac:dyDescent="0.2">
      <c r="B78" s="229" t="s">
        <v>879</v>
      </c>
      <c r="C78" s="229"/>
      <c r="D78" s="229"/>
      <c r="E78" s="229"/>
      <c r="F78" s="229"/>
      <c r="G78" s="229"/>
      <c r="H78" s="229"/>
      <c r="I78" s="229"/>
    </row>
    <row r="79" spans="1:9" ht="11.1" customHeight="1" x14ac:dyDescent="0.2">
      <c r="B79" s="229" t="s">
        <v>880</v>
      </c>
      <c r="C79" s="229"/>
      <c r="D79" s="229"/>
      <c r="E79" s="229"/>
      <c r="F79" s="229"/>
      <c r="G79" s="229"/>
      <c r="H79" s="229"/>
      <c r="I79" s="229"/>
    </row>
    <row r="80" spans="1:9" ht="11.1" customHeight="1" x14ac:dyDescent="0.2">
      <c r="B80" s="229" t="s">
        <v>881</v>
      </c>
      <c r="C80" s="229"/>
      <c r="D80" s="229"/>
      <c r="E80" s="229"/>
      <c r="F80" s="229"/>
      <c r="G80" s="229"/>
      <c r="H80" s="229"/>
      <c r="I80" s="229"/>
    </row>
    <row r="81" spans="2:9" ht="11.1" customHeight="1" x14ac:dyDescent="0.2">
      <c r="B81" s="229" t="s">
        <v>882</v>
      </c>
      <c r="C81" s="229"/>
      <c r="D81" s="229"/>
      <c r="E81" s="229"/>
      <c r="F81" s="229"/>
      <c r="G81" s="229"/>
      <c r="H81" s="229"/>
      <c r="I81" s="229"/>
    </row>
    <row r="82" spans="2:9" ht="11.1" customHeight="1" x14ac:dyDescent="0.2">
      <c r="B82" s="229" t="s">
        <v>883</v>
      </c>
      <c r="C82" s="229"/>
      <c r="D82" s="229"/>
      <c r="E82" s="229"/>
      <c r="F82" s="229"/>
      <c r="G82" s="229"/>
      <c r="H82" s="229"/>
      <c r="I82" s="229"/>
    </row>
    <row r="83" spans="2:9" ht="11.1" customHeight="1" x14ac:dyDescent="0.2"/>
    <row r="84" spans="2:9" ht="11.1" customHeight="1" x14ac:dyDescent="0.2"/>
    <row r="85" spans="2:9" ht="11.1" customHeight="1" x14ac:dyDescent="0.2"/>
    <row r="86" spans="2:9" ht="11.1" customHeight="1" x14ac:dyDescent="0.2"/>
    <row r="87" spans="2:9" ht="11.1" customHeight="1" x14ac:dyDescent="0.2"/>
    <row r="88" spans="2:9" ht="11.1" customHeight="1" x14ac:dyDescent="0.2"/>
    <row r="89" spans="2:9" ht="11.1" customHeight="1" x14ac:dyDescent="0.2"/>
    <row r="90" spans="2:9" ht="11.1" customHeight="1" x14ac:dyDescent="0.2"/>
    <row r="91" spans="2:9" ht="11.1" customHeight="1" x14ac:dyDescent="0.2"/>
    <row r="92" spans="2:9" ht="11.1" customHeight="1" x14ac:dyDescent="0.2"/>
    <row r="93" spans="2:9" ht="11.1" customHeight="1" x14ac:dyDescent="0.2"/>
  </sheetData>
  <mergeCells count="20">
    <mergeCell ref="B68:I68"/>
    <mergeCell ref="B69:I69"/>
    <mergeCell ref="B70:I70"/>
    <mergeCell ref="B1:I2"/>
    <mergeCell ref="B64:I64"/>
    <mergeCell ref="B65:I65"/>
    <mergeCell ref="B66:I66"/>
    <mergeCell ref="B67:I67"/>
    <mergeCell ref="B82:I82"/>
    <mergeCell ref="B71:I71"/>
    <mergeCell ref="B72:I72"/>
    <mergeCell ref="B73:I73"/>
    <mergeCell ref="B74:I74"/>
    <mergeCell ref="B75:I75"/>
    <mergeCell ref="B76:I76"/>
    <mergeCell ref="B77:I77"/>
    <mergeCell ref="B78:I78"/>
    <mergeCell ref="B79:I79"/>
    <mergeCell ref="B80:I80"/>
    <mergeCell ref="B81:I81"/>
  </mergeCells>
  <phoneticPr fontId="11" type="noConversion"/>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1"/>
  <sheetViews>
    <sheetView zoomScale="80" zoomScaleNormal="80" workbookViewId="0">
      <selection activeCell="I15" sqref="I15"/>
    </sheetView>
  </sheetViews>
  <sheetFormatPr defaultColWidth="9.140625" defaultRowHeight="12.75" x14ac:dyDescent="0.2"/>
  <cols>
    <col min="1" max="1" width="9.140625" style="13"/>
    <col min="2" max="6" width="16.5703125" style="13" customWidth="1"/>
    <col min="7" max="16384" width="9.140625" style="13"/>
  </cols>
  <sheetData>
    <row r="1" spans="1:6" x14ac:dyDescent="0.2">
      <c r="A1" s="20" t="s">
        <v>16</v>
      </c>
    </row>
    <row r="3" spans="1:6" ht="18.75" x14ac:dyDescent="0.3">
      <c r="A3" s="142" t="s">
        <v>3</v>
      </c>
    </row>
    <row r="4" spans="1:6" ht="45" customHeight="1" x14ac:dyDescent="0.3">
      <c r="A4" s="142"/>
      <c r="B4" s="241" t="s">
        <v>4</v>
      </c>
      <c r="C4" s="241" t="s">
        <v>5</v>
      </c>
      <c r="D4" s="143" t="s">
        <v>6</v>
      </c>
      <c r="E4" s="143" t="s">
        <v>7</v>
      </c>
      <c r="F4" s="143" t="s">
        <v>8</v>
      </c>
    </row>
    <row r="5" spans="1:6" ht="18.75" x14ac:dyDescent="0.3">
      <c r="A5" s="142"/>
      <c r="B5" s="242"/>
      <c r="C5" s="242"/>
      <c r="D5" s="243" t="s">
        <v>9</v>
      </c>
      <c r="E5" s="244"/>
      <c r="F5" s="245"/>
    </row>
    <row r="6" spans="1:6" ht="18.75" x14ac:dyDescent="0.3">
      <c r="A6" s="142"/>
      <c r="B6" s="144" t="s">
        <v>115</v>
      </c>
      <c r="C6" s="145">
        <v>0</v>
      </c>
      <c r="D6" s="146">
        <v>0</v>
      </c>
      <c r="E6" s="146">
        <v>0</v>
      </c>
      <c r="F6" s="147">
        <v>0</v>
      </c>
    </row>
    <row r="7" spans="1:6" ht="18.75" x14ac:dyDescent="0.3">
      <c r="A7" s="142"/>
      <c r="B7" s="148" t="s">
        <v>117</v>
      </c>
      <c r="C7" s="89">
        <v>0</v>
      </c>
      <c r="D7" s="149">
        <v>17.483860084897987</v>
      </c>
      <c r="E7" s="150">
        <v>7.4023218416869154</v>
      </c>
      <c r="F7" s="151">
        <v>7.8488826595663497</v>
      </c>
    </row>
    <row r="8" spans="1:6" ht="18.75" x14ac:dyDescent="0.3">
      <c r="A8" s="142"/>
      <c r="B8" s="148" t="s">
        <v>120</v>
      </c>
      <c r="C8" s="89">
        <v>4</v>
      </c>
      <c r="D8" s="152">
        <v>25.079529499036383</v>
      </c>
      <c r="E8" s="153">
        <v>3.3110094711737421</v>
      </c>
      <c r="F8" s="151">
        <v>7.8488826595663497</v>
      </c>
    </row>
    <row r="9" spans="1:6" ht="18.75" x14ac:dyDescent="0.3">
      <c r="A9" s="142"/>
      <c r="B9" s="148" t="s">
        <v>122</v>
      </c>
      <c r="C9" s="89">
        <v>8</v>
      </c>
      <c r="D9" s="152">
        <v>30.78297021367155</v>
      </c>
      <c r="E9" s="153">
        <v>3.1007907154317147</v>
      </c>
      <c r="F9" s="154">
        <v>9.5497755523608152</v>
      </c>
    </row>
    <row r="10" spans="1:6" ht="18.75" x14ac:dyDescent="0.3">
      <c r="A10" s="142"/>
      <c r="B10" s="148" t="s">
        <v>124</v>
      </c>
      <c r="C10" s="89">
        <v>0</v>
      </c>
      <c r="D10" s="149">
        <v>17.483860084897987</v>
      </c>
      <c r="E10" s="150">
        <v>7.4023218416869154</v>
      </c>
      <c r="F10" s="151">
        <v>7.8488826595663497</v>
      </c>
    </row>
    <row r="11" spans="1:6" ht="18.75" x14ac:dyDescent="0.3">
      <c r="A11" s="142"/>
      <c r="B11" s="148" t="s">
        <v>126</v>
      </c>
      <c r="C11" s="89">
        <v>2</v>
      </c>
      <c r="D11" s="149">
        <v>17.483860084897987</v>
      </c>
      <c r="E11" s="153">
        <v>8.3092468095254439</v>
      </c>
      <c r="F11" s="151">
        <v>7.8488826595663497</v>
      </c>
    </row>
    <row r="12" spans="1:6" ht="18.75" x14ac:dyDescent="0.3">
      <c r="A12" s="142"/>
      <c r="B12" s="148" t="s">
        <v>128</v>
      </c>
      <c r="C12" s="89">
        <v>9</v>
      </c>
      <c r="D12" s="153">
        <v>7.8496217005796982</v>
      </c>
      <c r="E12" s="153">
        <v>3.3801585478827865</v>
      </c>
      <c r="F12" s="154">
        <v>1.0954419510027265</v>
      </c>
    </row>
    <row r="13" spans="1:6" ht="18.75" x14ac:dyDescent="0.3">
      <c r="A13" s="142"/>
      <c r="B13" s="148" t="s">
        <v>130</v>
      </c>
      <c r="C13" s="89">
        <v>3</v>
      </c>
      <c r="D13" s="153">
        <v>2.9707133777535657</v>
      </c>
      <c r="E13" s="153">
        <v>3.3785777144533378</v>
      </c>
      <c r="F13" s="154">
        <v>9.4996446897465745</v>
      </c>
    </row>
    <row r="14" spans="1:6" ht="18.75" x14ac:dyDescent="0.3">
      <c r="A14" s="142"/>
      <c r="B14" s="155" t="s">
        <v>132</v>
      </c>
      <c r="C14" s="156">
        <v>2</v>
      </c>
      <c r="D14" s="157">
        <v>17.483860084897987</v>
      </c>
      <c r="E14" s="158">
        <v>41.775402379366312</v>
      </c>
      <c r="F14" s="159">
        <v>7.8488826595663497</v>
      </c>
    </row>
    <row r="15" spans="1:6" ht="55.5" customHeight="1" x14ac:dyDescent="0.3">
      <c r="A15" s="142"/>
      <c r="B15" s="246" t="s">
        <v>10</v>
      </c>
      <c r="C15" s="247"/>
      <c r="D15" s="247"/>
      <c r="E15" s="247"/>
      <c r="F15" s="248"/>
    </row>
    <row r="16" spans="1:6" ht="18.75" x14ac:dyDescent="0.3">
      <c r="A16" s="142"/>
      <c r="B16" s="160"/>
    </row>
    <row r="18" spans="1:6" x14ac:dyDescent="0.2">
      <c r="A18" s="13" t="s">
        <v>11</v>
      </c>
    </row>
    <row r="19" spans="1:6" ht="49.5" customHeight="1" x14ac:dyDescent="0.2">
      <c r="B19" s="161" t="s">
        <v>4</v>
      </c>
      <c r="C19" s="161" t="s">
        <v>12</v>
      </c>
      <c r="D19" s="143" t="s">
        <v>6</v>
      </c>
      <c r="E19" s="143" t="s">
        <v>7</v>
      </c>
      <c r="F19" s="143" t="s">
        <v>8</v>
      </c>
    </row>
    <row r="20" spans="1:6" ht="15" x14ac:dyDescent="0.2">
      <c r="B20" s="162"/>
      <c r="C20" s="162"/>
      <c r="D20" s="233" t="s">
        <v>9</v>
      </c>
      <c r="E20" s="234"/>
      <c r="F20" s="235"/>
    </row>
    <row r="21" spans="1:6" x14ac:dyDescent="0.2">
      <c r="B21" s="163" t="s">
        <v>117</v>
      </c>
      <c r="C21" s="164">
        <v>0</v>
      </c>
      <c r="D21" s="165" t="s">
        <v>13</v>
      </c>
      <c r="E21" s="165" t="s">
        <v>13</v>
      </c>
      <c r="F21" s="165" t="s">
        <v>13</v>
      </c>
    </row>
    <row r="22" spans="1:6" x14ac:dyDescent="0.2">
      <c r="B22" s="163" t="s">
        <v>120</v>
      </c>
      <c r="C22" s="164">
        <v>4</v>
      </c>
      <c r="D22" s="165">
        <v>25.079529499036383</v>
      </c>
      <c r="E22" s="165">
        <v>3.3110094711737421</v>
      </c>
      <c r="F22" s="165">
        <v>0</v>
      </c>
    </row>
    <row r="23" spans="1:6" x14ac:dyDescent="0.2">
      <c r="B23" s="163" t="s">
        <v>122</v>
      </c>
      <c r="C23" s="164">
        <v>8</v>
      </c>
      <c r="D23" s="165">
        <v>30.78297021367155</v>
      </c>
      <c r="E23" s="165">
        <v>3.1007907154317147</v>
      </c>
      <c r="F23" s="165">
        <v>9.5497755523608152</v>
      </c>
    </row>
    <row r="24" spans="1:6" x14ac:dyDescent="0.2">
      <c r="B24" s="163" t="s">
        <v>124</v>
      </c>
      <c r="C24" s="164">
        <v>0</v>
      </c>
      <c r="D24" s="165" t="s">
        <v>13</v>
      </c>
      <c r="E24" s="165" t="s">
        <v>13</v>
      </c>
      <c r="F24" s="165" t="s">
        <v>13</v>
      </c>
    </row>
    <row r="25" spans="1:6" x14ac:dyDescent="0.2">
      <c r="B25" s="163" t="s">
        <v>126</v>
      </c>
      <c r="C25" s="164">
        <v>2</v>
      </c>
      <c r="D25" s="165">
        <v>0</v>
      </c>
      <c r="E25" s="165">
        <v>8.3092468095254439</v>
      </c>
      <c r="F25" s="165">
        <v>0</v>
      </c>
    </row>
    <row r="26" spans="1:6" x14ac:dyDescent="0.2">
      <c r="B26" s="163" t="s">
        <v>128</v>
      </c>
      <c r="C26" s="164">
        <v>9</v>
      </c>
      <c r="D26" s="165">
        <v>7.8496217005796982</v>
      </c>
      <c r="E26" s="165">
        <v>3.3801585478827865</v>
      </c>
      <c r="F26" s="165">
        <v>1.0954419510027265</v>
      </c>
    </row>
    <row r="27" spans="1:6" x14ac:dyDescent="0.2">
      <c r="B27" s="163" t="s">
        <v>130</v>
      </c>
      <c r="C27" s="164">
        <v>3</v>
      </c>
      <c r="D27" s="165">
        <v>2.9707133777535657</v>
      </c>
      <c r="E27" s="165">
        <v>3.3785777144533378</v>
      </c>
      <c r="F27" s="165">
        <v>9.4996446897465745</v>
      </c>
    </row>
    <row r="28" spans="1:6" x14ac:dyDescent="0.2">
      <c r="B28" s="163" t="s">
        <v>132</v>
      </c>
      <c r="C28" s="164">
        <v>2</v>
      </c>
      <c r="D28" s="165">
        <v>0</v>
      </c>
      <c r="E28" s="165">
        <v>41.775402379366312</v>
      </c>
      <c r="F28" s="165">
        <v>0</v>
      </c>
    </row>
    <row r="29" spans="1:6" ht="15" x14ac:dyDescent="0.25">
      <c r="B29" s="236" t="s">
        <v>14</v>
      </c>
      <c r="C29" s="237"/>
      <c r="D29" s="165">
        <v>17.483860084897987</v>
      </c>
      <c r="E29" s="165">
        <v>7.4023218416869154</v>
      </c>
      <c r="F29" s="165">
        <v>7.8488826595663497</v>
      </c>
    </row>
    <row r="30" spans="1:6" ht="57.75" customHeight="1" x14ac:dyDescent="0.2">
      <c r="B30" s="238" t="s">
        <v>15</v>
      </c>
      <c r="C30" s="239"/>
      <c r="D30" s="239"/>
      <c r="E30" s="239"/>
      <c r="F30" s="240"/>
    </row>
    <row r="31" spans="1:6" x14ac:dyDescent="0.2">
      <c r="B31" s="166"/>
    </row>
  </sheetData>
  <mergeCells count="7">
    <mergeCell ref="D20:F20"/>
    <mergeCell ref="B29:C29"/>
    <mergeCell ref="B30:F30"/>
    <mergeCell ref="B4:B5"/>
    <mergeCell ref="C4:C5"/>
    <mergeCell ref="D5:F5"/>
    <mergeCell ref="B15:F15"/>
  </mergeCells>
  <phoneticPr fontId="11" type="noConversion"/>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AF70"/>
  <sheetViews>
    <sheetView zoomScaleNormal="100" workbookViewId="0">
      <pane ySplit="1" topLeftCell="A2" activePane="bottomLeft" state="frozen"/>
      <selection pane="bottomLeft" activeCell="B37" sqref="B37"/>
    </sheetView>
  </sheetViews>
  <sheetFormatPr defaultColWidth="9.140625" defaultRowHeight="12.75" x14ac:dyDescent="0.2"/>
  <cols>
    <col min="1" max="1" width="9.140625" style="22"/>
    <col min="2" max="2" width="52.140625" style="22" bestFit="1" customWidth="1"/>
    <col min="3" max="3" width="16.140625" style="22" customWidth="1"/>
    <col min="4" max="6" width="9.140625" style="22"/>
    <col min="7" max="7" width="11.140625" style="22" bestFit="1" customWidth="1"/>
    <col min="8" max="8" width="10" style="22" bestFit="1" customWidth="1"/>
    <col min="9" max="9" width="10.5703125" style="22" bestFit="1" customWidth="1"/>
    <col min="10" max="10" width="10.85546875" style="22" bestFit="1" customWidth="1"/>
    <col min="11" max="13" width="9.140625" style="22"/>
    <col min="14" max="14" width="18" style="22" customWidth="1"/>
    <col min="15" max="16384" width="9.140625" style="22"/>
  </cols>
  <sheetData>
    <row r="1" spans="2:12" ht="15.75" x14ac:dyDescent="0.25">
      <c r="B1" s="84" t="s">
        <v>37</v>
      </c>
      <c r="C1" s="167"/>
      <c r="D1" s="167"/>
      <c r="E1" s="167"/>
      <c r="F1" s="167"/>
      <c r="G1" s="167"/>
      <c r="H1" s="167"/>
      <c r="I1" s="167"/>
      <c r="J1" s="167"/>
    </row>
    <row r="2" spans="2:12" x14ac:dyDescent="0.2">
      <c r="B2" s="167"/>
      <c r="C2" s="167"/>
      <c r="D2" s="167"/>
      <c r="E2" s="167"/>
      <c r="F2" s="167"/>
      <c r="G2" s="167"/>
      <c r="H2" s="167"/>
      <c r="I2" s="167"/>
      <c r="J2" s="167"/>
    </row>
    <row r="3" spans="2:12" ht="12" customHeight="1" x14ac:dyDescent="0.2">
      <c r="B3" s="20" t="s">
        <v>481</v>
      </c>
      <c r="D3" s="167"/>
      <c r="E3" s="167"/>
      <c r="F3" s="167"/>
      <c r="G3" s="167"/>
      <c r="H3" s="167"/>
      <c r="I3" s="167"/>
      <c r="J3" s="167"/>
    </row>
    <row r="4" spans="2:12" ht="12" customHeight="1" x14ac:dyDescent="0.2">
      <c r="B4" s="168" t="s">
        <v>38</v>
      </c>
      <c r="D4" s="167"/>
      <c r="E4" s="167"/>
      <c r="F4" s="167"/>
      <c r="G4" s="167"/>
      <c r="H4" s="167" t="s">
        <v>39</v>
      </c>
      <c r="I4" s="167">
        <v>42</v>
      </c>
      <c r="J4" s="167" t="s">
        <v>40</v>
      </c>
    </row>
    <row r="5" spans="2:12" ht="12" customHeight="1" x14ac:dyDescent="0.2">
      <c r="B5" s="169" t="s">
        <v>480</v>
      </c>
      <c r="D5" s="167"/>
      <c r="E5" s="167"/>
      <c r="F5" s="167"/>
      <c r="G5" s="167"/>
      <c r="H5" s="170" t="s">
        <v>41</v>
      </c>
      <c r="I5" s="170">
        <v>1.0550559999999999E-6</v>
      </c>
      <c r="J5" s="22" t="s">
        <v>42</v>
      </c>
    </row>
    <row r="6" spans="2:12" ht="12" customHeight="1" x14ac:dyDescent="0.2">
      <c r="B6" s="168" t="s">
        <v>43</v>
      </c>
      <c r="C6" s="168" t="s">
        <v>44</v>
      </c>
      <c r="D6" s="168" t="s">
        <v>45</v>
      </c>
      <c r="E6" s="167"/>
      <c r="F6" s="167"/>
      <c r="G6" s="167"/>
      <c r="H6" s="167" t="s">
        <v>46</v>
      </c>
      <c r="I6" s="167">
        <v>1055</v>
      </c>
      <c r="J6" s="22" t="s">
        <v>42</v>
      </c>
    </row>
    <row r="7" spans="2:12" ht="12" customHeight="1" x14ac:dyDescent="0.2">
      <c r="B7" s="171" t="s">
        <v>47</v>
      </c>
      <c r="C7" s="172">
        <v>6.6360000000000001</v>
      </c>
      <c r="D7" s="173">
        <f t="shared" ref="D7:D18" si="0">C7/$I$4</f>
        <v>0.158</v>
      </c>
      <c r="E7" s="167"/>
      <c r="F7" s="167"/>
      <c r="G7" s="167"/>
      <c r="H7" s="167" t="s">
        <v>48</v>
      </c>
      <c r="I7" s="167">
        <v>3412</v>
      </c>
      <c r="J7" s="167" t="s">
        <v>49</v>
      </c>
    </row>
    <row r="8" spans="2:12" ht="12" customHeight="1" x14ac:dyDescent="0.2">
      <c r="B8" s="174" t="s">
        <v>50</v>
      </c>
      <c r="C8" s="175">
        <v>5.048</v>
      </c>
      <c r="D8" s="173">
        <f t="shared" si="0"/>
        <v>0.12019047619047619</v>
      </c>
      <c r="E8" s="167"/>
      <c r="F8" s="167"/>
      <c r="G8" s="167"/>
      <c r="I8" s="167"/>
      <c r="J8" s="167"/>
    </row>
    <row r="9" spans="2:12" ht="12" customHeight="1" x14ac:dyDescent="0.2">
      <c r="B9" s="174" t="s">
        <v>51</v>
      </c>
      <c r="C9" s="175">
        <v>4.3259999999999996</v>
      </c>
      <c r="D9" s="173">
        <f t="shared" si="0"/>
        <v>0.10299999999999999</v>
      </c>
      <c r="E9" s="167"/>
      <c r="F9" s="167"/>
      <c r="G9" s="167"/>
      <c r="H9" s="176" t="s">
        <v>53</v>
      </c>
      <c r="I9" s="177"/>
      <c r="J9" s="177"/>
      <c r="K9" s="178"/>
      <c r="L9" s="178"/>
    </row>
    <row r="10" spans="2:12" ht="12" customHeight="1" x14ac:dyDescent="0.2">
      <c r="B10" s="174" t="s">
        <v>52</v>
      </c>
      <c r="C10" s="175">
        <v>4.13</v>
      </c>
      <c r="D10" s="173">
        <f t="shared" si="0"/>
        <v>9.8333333333333328E-2</v>
      </c>
      <c r="E10" s="167"/>
      <c r="F10" s="167"/>
      <c r="G10" s="167"/>
      <c r="H10" s="177" t="s">
        <v>438</v>
      </c>
      <c r="I10" s="177"/>
      <c r="J10" s="177"/>
      <c r="K10" s="178"/>
      <c r="L10" s="178"/>
    </row>
    <row r="11" spans="2:12" ht="12" customHeight="1" x14ac:dyDescent="0.2">
      <c r="B11" s="174" t="s">
        <v>54</v>
      </c>
      <c r="C11" s="175">
        <v>5.8250000000000002</v>
      </c>
      <c r="D11" s="173">
        <f t="shared" si="0"/>
        <v>0.1386904761904762</v>
      </c>
      <c r="E11" s="167"/>
      <c r="F11" s="167"/>
      <c r="G11" s="167"/>
      <c r="H11" s="177" t="s">
        <v>474</v>
      </c>
      <c r="I11" s="177"/>
      <c r="J11" s="177"/>
      <c r="K11" s="178"/>
      <c r="L11" s="178"/>
    </row>
    <row r="12" spans="2:12" ht="12" customHeight="1" x14ac:dyDescent="0.2">
      <c r="B12" s="174" t="s">
        <v>55</v>
      </c>
      <c r="C12" s="175">
        <v>3.0819999999999999</v>
      </c>
      <c r="D12" s="173">
        <f t="shared" si="0"/>
        <v>7.338095238095238E-2</v>
      </c>
      <c r="E12" s="167"/>
      <c r="F12" s="167"/>
      <c r="G12" s="167"/>
      <c r="H12" s="179" t="s">
        <v>475</v>
      </c>
      <c r="I12" s="177"/>
      <c r="J12" s="177"/>
      <c r="K12" s="178"/>
      <c r="L12" s="178"/>
    </row>
    <row r="13" spans="2:12" ht="12" customHeight="1" x14ac:dyDescent="0.2">
      <c r="B13" s="174" t="s">
        <v>56</v>
      </c>
      <c r="C13" s="175">
        <v>3.3079999999999998</v>
      </c>
      <c r="D13" s="173">
        <f t="shared" si="0"/>
        <v>7.8761904761904755E-2</v>
      </c>
      <c r="E13" s="167"/>
      <c r="F13" s="167"/>
      <c r="G13" s="167"/>
      <c r="H13" s="22" t="s">
        <v>476</v>
      </c>
      <c r="I13" s="177"/>
      <c r="J13" s="177"/>
      <c r="K13" s="178"/>
      <c r="L13" s="178"/>
    </row>
    <row r="14" spans="2:12" ht="12" customHeight="1" x14ac:dyDescent="0.2">
      <c r="B14" s="174" t="s">
        <v>57</v>
      </c>
      <c r="C14" s="175">
        <v>3.9740000000000002</v>
      </c>
      <c r="D14" s="173">
        <f t="shared" si="0"/>
        <v>9.461904761904763E-2</v>
      </c>
      <c r="E14" s="167"/>
      <c r="F14" s="167"/>
      <c r="G14" s="167"/>
      <c r="H14" s="177" t="s">
        <v>439</v>
      </c>
      <c r="I14" s="177" t="s">
        <v>58</v>
      </c>
      <c r="J14" s="177" t="s">
        <v>440</v>
      </c>
      <c r="K14" s="178"/>
      <c r="L14" s="178"/>
    </row>
    <row r="15" spans="2:12" ht="12" customHeight="1" x14ac:dyDescent="0.2">
      <c r="B15" s="174" t="s">
        <v>59</v>
      </c>
      <c r="C15" s="175">
        <v>5.67</v>
      </c>
      <c r="D15" s="173">
        <f t="shared" si="0"/>
        <v>0.13500000000000001</v>
      </c>
      <c r="E15" s="167"/>
      <c r="F15" s="167"/>
      <c r="G15" s="167"/>
      <c r="H15" s="13">
        <v>1983</v>
      </c>
      <c r="I15" s="13">
        <v>57.652000000000001</v>
      </c>
      <c r="J15" s="180">
        <f>$I$37/I15</f>
        <v>1.7345452022479706</v>
      </c>
    </row>
    <row r="16" spans="2:12" ht="12" customHeight="1" x14ac:dyDescent="0.2">
      <c r="B16" s="174" t="s">
        <v>60</v>
      </c>
      <c r="C16" s="175">
        <v>5.3550000000000004</v>
      </c>
      <c r="D16" s="173">
        <f t="shared" si="0"/>
        <v>0.1275</v>
      </c>
      <c r="E16" s="167"/>
      <c r="F16" s="167"/>
      <c r="G16" s="167"/>
      <c r="H16" s="13">
        <v>1984</v>
      </c>
      <c r="I16" s="13">
        <v>59.817</v>
      </c>
      <c r="J16" s="180">
        <f t="shared" ref="J16:J42" si="1">$I$37/I16</f>
        <v>1.6717655515990437</v>
      </c>
    </row>
    <row r="17" spans="2:16" ht="12" customHeight="1" x14ac:dyDescent="0.2">
      <c r="B17" s="174" t="s">
        <v>61</v>
      </c>
      <c r="C17" s="175">
        <v>5.67</v>
      </c>
      <c r="D17" s="173">
        <f t="shared" si="0"/>
        <v>0.13500000000000001</v>
      </c>
      <c r="E17" s="167"/>
      <c r="F17" s="167"/>
      <c r="G17" s="167"/>
      <c r="H17" s="13">
        <v>1985</v>
      </c>
      <c r="I17" s="13">
        <v>61.628</v>
      </c>
      <c r="J17" s="180">
        <f t="shared" si="1"/>
        <v>1.6226390601674563</v>
      </c>
    </row>
    <row r="18" spans="2:16" ht="12" customHeight="1" x14ac:dyDescent="0.2">
      <c r="B18" s="174" t="s">
        <v>62</v>
      </c>
      <c r="C18" s="175">
        <v>6.0650000000000004</v>
      </c>
      <c r="D18" s="173">
        <f t="shared" si="0"/>
        <v>0.14440476190476192</v>
      </c>
      <c r="E18" s="167"/>
      <c r="F18" s="167"/>
      <c r="G18" s="167"/>
      <c r="H18" s="13">
        <v>1986</v>
      </c>
      <c r="I18" s="13">
        <v>62.991</v>
      </c>
      <c r="J18" s="180">
        <f t="shared" si="1"/>
        <v>1.5875283770697401</v>
      </c>
    </row>
    <row r="19" spans="2:16" ht="12" customHeight="1" x14ac:dyDescent="0.2">
      <c r="B19" s="181" t="s">
        <v>63</v>
      </c>
      <c r="C19" s="175"/>
      <c r="D19" s="173"/>
      <c r="E19" s="167"/>
      <c r="F19" s="167"/>
      <c r="G19" s="167"/>
      <c r="H19" s="13">
        <v>1987</v>
      </c>
      <c r="I19" s="13">
        <v>64.819000000000003</v>
      </c>
      <c r="J19" s="180">
        <f t="shared" si="1"/>
        <v>1.5427575247998271</v>
      </c>
    </row>
    <row r="20" spans="2:16" ht="12" customHeight="1" x14ac:dyDescent="0.2">
      <c r="B20" s="174" t="s">
        <v>64</v>
      </c>
      <c r="C20" s="175">
        <v>5.2530999999999999</v>
      </c>
      <c r="D20" s="173">
        <f t="shared" ref="D20:D25" si="2">C20/$I$4</f>
        <v>0.12507380952380953</v>
      </c>
      <c r="E20" s="167"/>
      <c r="F20" s="167"/>
      <c r="G20" s="167"/>
      <c r="H20" s="13">
        <v>1988</v>
      </c>
      <c r="I20" s="13">
        <v>67.046000000000006</v>
      </c>
      <c r="J20" s="180">
        <f t="shared" si="1"/>
        <v>1.4915132893834082</v>
      </c>
    </row>
    <row r="21" spans="2:16" ht="12" customHeight="1" x14ac:dyDescent="0.2">
      <c r="B21" s="174" t="s">
        <v>65</v>
      </c>
      <c r="C21" s="175">
        <v>5.1501000000000001</v>
      </c>
      <c r="D21" s="173">
        <f t="shared" si="2"/>
        <v>0.12262142857142858</v>
      </c>
      <c r="E21" s="167"/>
      <c r="F21" s="167"/>
      <c r="G21" s="167"/>
      <c r="H21" s="13">
        <v>1989</v>
      </c>
      <c r="I21" s="13">
        <v>69.576999999999998</v>
      </c>
      <c r="J21" s="180">
        <f t="shared" si="1"/>
        <v>1.4372565646693591</v>
      </c>
    </row>
    <row r="22" spans="2:16" ht="12" customHeight="1" x14ac:dyDescent="0.2">
      <c r="B22" s="174" t="s">
        <v>66</v>
      </c>
      <c r="C22" s="175">
        <v>5.1501000000000001</v>
      </c>
      <c r="D22" s="173">
        <f t="shared" si="2"/>
        <v>0.12262142857142858</v>
      </c>
      <c r="E22" s="167"/>
      <c r="F22" s="167"/>
      <c r="G22" s="167"/>
      <c r="H22" s="13">
        <v>1990</v>
      </c>
      <c r="I22" s="13">
        <v>72.262</v>
      </c>
      <c r="J22" s="180">
        <f t="shared" si="1"/>
        <v>1.3838532008524536</v>
      </c>
    </row>
    <row r="23" spans="2:16" ht="12" customHeight="1" x14ac:dyDescent="0.2">
      <c r="B23" s="174" t="s">
        <v>67</v>
      </c>
      <c r="C23" s="175">
        <v>3.5390000000000001</v>
      </c>
      <c r="D23" s="173">
        <f t="shared" si="2"/>
        <v>8.426190476190476E-2</v>
      </c>
      <c r="E23" s="167"/>
      <c r="F23" s="167"/>
      <c r="G23" s="167"/>
      <c r="H23" s="13">
        <v>1991</v>
      </c>
      <c r="I23" s="13">
        <v>74.823999999999998</v>
      </c>
      <c r="J23" s="180">
        <f t="shared" si="1"/>
        <v>1.3364695819523147</v>
      </c>
      <c r="P23" s="116"/>
    </row>
    <row r="24" spans="2:16" ht="12" customHeight="1" x14ac:dyDescent="0.2">
      <c r="B24" s="174" t="s">
        <v>68</v>
      </c>
      <c r="C24" s="175">
        <v>4.62</v>
      </c>
      <c r="D24" s="173">
        <f t="shared" si="2"/>
        <v>0.11</v>
      </c>
      <c r="E24" s="167"/>
      <c r="H24" s="13">
        <v>1992</v>
      </c>
      <c r="I24" s="13">
        <v>76.597999999999999</v>
      </c>
      <c r="J24" s="180">
        <f t="shared" si="1"/>
        <v>1.3055171153293821</v>
      </c>
      <c r="P24" s="116"/>
    </row>
    <row r="25" spans="2:16" ht="12" customHeight="1" x14ac:dyDescent="0.2">
      <c r="B25" s="174" t="s">
        <v>69</v>
      </c>
      <c r="C25" s="175">
        <v>4.62</v>
      </c>
      <c r="D25" s="173">
        <f t="shared" si="2"/>
        <v>0.11</v>
      </c>
      <c r="E25" s="167"/>
      <c r="H25" s="13">
        <v>1993</v>
      </c>
      <c r="I25" s="13">
        <v>78.290000000000006</v>
      </c>
      <c r="J25" s="180">
        <f t="shared" si="1"/>
        <v>1.2773023374632775</v>
      </c>
      <c r="P25" s="116"/>
    </row>
    <row r="26" spans="2:16" ht="12" customHeight="1" x14ac:dyDescent="0.2">
      <c r="B26" s="181" t="s">
        <v>70</v>
      </c>
      <c r="C26" s="173">
        <f>AVERAGE(C27:C29)</f>
        <v>5.6909999999999998</v>
      </c>
      <c r="D26" s="173">
        <f>AVERAGE(D27:D29)</f>
        <v>0.13550000000000001</v>
      </c>
      <c r="H26" s="13">
        <v>1994</v>
      </c>
      <c r="I26" s="13">
        <v>79.94</v>
      </c>
      <c r="J26" s="180">
        <f t="shared" si="1"/>
        <v>1.2509382036527397</v>
      </c>
      <c r="P26" s="116"/>
    </row>
    <row r="27" spans="2:16" ht="12" customHeight="1" x14ac:dyDescent="0.2">
      <c r="B27" s="174" t="s">
        <v>71</v>
      </c>
      <c r="C27" s="175">
        <v>5.2480000000000002</v>
      </c>
      <c r="D27" s="173">
        <f t="shared" ref="D27:D40" si="3">C27/$I$4</f>
        <v>0.12495238095238095</v>
      </c>
      <c r="E27" s="167"/>
      <c r="H27" s="13">
        <v>1995</v>
      </c>
      <c r="I27" s="13">
        <v>81.605999999999995</v>
      </c>
      <c r="J27" s="180">
        <f t="shared" si="1"/>
        <v>1.2254000931304072</v>
      </c>
      <c r="P27" s="116"/>
    </row>
    <row r="28" spans="2:16" ht="12" customHeight="1" x14ac:dyDescent="0.2">
      <c r="B28" s="174" t="s">
        <v>72</v>
      </c>
      <c r="C28" s="175">
        <v>5.8250000000000002</v>
      </c>
      <c r="D28" s="173">
        <f t="shared" si="3"/>
        <v>0.1386904761904762</v>
      </c>
      <c r="E28" s="167"/>
      <c r="H28" s="13">
        <v>1996</v>
      </c>
      <c r="I28" s="13">
        <v>83.159000000000006</v>
      </c>
      <c r="J28" s="180">
        <f t="shared" si="1"/>
        <v>1.2025156627665075</v>
      </c>
      <c r="P28" s="116"/>
    </row>
    <row r="29" spans="2:16" ht="12" customHeight="1" x14ac:dyDescent="0.2">
      <c r="B29" s="174" t="s">
        <v>73</v>
      </c>
      <c r="C29" s="175">
        <v>6</v>
      </c>
      <c r="D29" s="173">
        <f t="shared" si="3"/>
        <v>0.14285714285714285</v>
      </c>
      <c r="E29" s="167"/>
      <c r="H29" s="13">
        <v>1997</v>
      </c>
      <c r="I29" s="13">
        <v>84.628</v>
      </c>
      <c r="J29" s="180">
        <f t="shared" si="1"/>
        <v>1.1816420097367302</v>
      </c>
      <c r="P29" s="116"/>
    </row>
    <row r="30" spans="2:16" ht="12" customHeight="1" x14ac:dyDescent="0.2">
      <c r="B30" s="174" t="s">
        <v>74</v>
      </c>
      <c r="C30" s="175">
        <v>6.024</v>
      </c>
      <c r="D30" s="173">
        <f t="shared" si="3"/>
        <v>0.14342857142857143</v>
      </c>
      <c r="E30" s="167"/>
      <c r="H30" s="13">
        <v>1998</v>
      </c>
      <c r="I30" s="13">
        <v>85.584000000000003</v>
      </c>
      <c r="J30" s="180">
        <f t="shared" si="1"/>
        <v>1.168442699570013</v>
      </c>
      <c r="P30" s="116"/>
    </row>
    <row r="31" spans="2:16" ht="12" customHeight="1" x14ac:dyDescent="0.2">
      <c r="B31" s="174" t="s">
        <v>75</v>
      </c>
      <c r="C31" s="175">
        <v>5.4180000000000001</v>
      </c>
      <c r="D31" s="173">
        <f t="shared" si="3"/>
        <v>0.129</v>
      </c>
      <c r="E31" s="167"/>
      <c r="H31" s="13">
        <v>1999</v>
      </c>
      <c r="I31" s="13">
        <v>86.841999999999999</v>
      </c>
      <c r="J31" s="180">
        <f t="shared" si="1"/>
        <v>1.1515165472927846</v>
      </c>
      <c r="P31" s="116"/>
    </row>
    <row r="32" spans="2:16" ht="12" customHeight="1" x14ac:dyDescent="0.2">
      <c r="B32" s="174" t="s">
        <v>76</v>
      </c>
      <c r="C32" s="175">
        <v>3.8359999999999999</v>
      </c>
      <c r="D32" s="173">
        <f t="shared" si="3"/>
        <v>9.1333333333333336E-2</v>
      </c>
      <c r="E32" s="167"/>
      <c r="H32" s="13">
        <v>2000</v>
      </c>
      <c r="I32" s="13">
        <v>88.722999999999999</v>
      </c>
      <c r="J32" s="180">
        <f t="shared" si="1"/>
        <v>1.1271034568263021</v>
      </c>
      <c r="P32" s="116"/>
    </row>
    <row r="33" spans="2:16" ht="12" customHeight="1" x14ac:dyDescent="0.2">
      <c r="B33" s="174" t="s">
        <v>77</v>
      </c>
      <c r="C33" s="175">
        <v>6.2869999999999999</v>
      </c>
      <c r="D33" s="173">
        <f t="shared" si="3"/>
        <v>0.14969047619047618</v>
      </c>
      <c r="E33" s="167"/>
      <c r="H33" s="13">
        <v>2001</v>
      </c>
      <c r="I33" s="13">
        <v>90.727000000000004</v>
      </c>
      <c r="J33" s="180">
        <f t="shared" si="1"/>
        <v>1.1022077220673008</v>
      </c>
      <c r="P33" s="116"/>
    </row>
    <row r="34" spans="2:16" ht="12" customHeight="1" x14ac:dyDescent="0.2">
      <c r="B34" s="174" t="s">
        <v>78</v>
      </c>
      <c r="C34" s="175">
        <v>6.6360000000000001</v>
      </c>
      <c r="D34" s="173">
        <f t="shared" si="3"/>
        <v>0.158</v>
      </c>
      <c r="E34" s="167"/>
      <c r="H34" s="13">
        <v>2002</v>
      </c>
      <c r="I34" s="13">
        <v>92.195999999999998</v>
      </c>
      <c r="J34" s="180">
        <f t="shared" si="1"/>
        <v>1.0846457546965163</v>
      </c>
      <c r="P34" s="116"/>
    </row>
    <row r="35" spans="2:16" ht="12" customHeight="1" x14ac:dyDescent="0.2">
      <c r="B35" s="174" t="s">
        <v>79</v>
      </c>
      <c r="C35" s="175">
        <v>5.2480000000000002</v>
      </c>
      <c r="D35" s="173">
        <f t="shared" si="3"/>
        <v>0.12495238095238095</v>
      </c>
      <c r="H35" s="13">
        <v>2003</v>
      </c>
      <c r="I35" s="13">
        <v>94.135000000000005</v>
      </c>
      <c r="J35" s="180">
        <f t="shared" si="1"/>
        <v>1.0623041376746163</v>
      </c>
      <c r="P35" s="116"/>
    </row>
    <row r="36" spans="2:16" ht="12" customHeight="1" x14ac:dyDescent="0.2">
      <c r="B36" s="174" t="s">
        <v>80</v>
      </c>
      <c r="C36" s="175">
        <v>6</v>
      </c>
      <c r="D36" s="173">
        <f t="shared" si="3"/>
        <v>0.14285714285714285</v>
      </c>
      <c r="H36" s="13">
        <v>2004</v>
      </c>
      <c r="I36" s="13">
        <v>96.786000000000001</v>
      </c>
      <c r="J36" s="180">
        <f t="shared" si="1"/>
        <v>1.0332072820449238</v>
      </c>
      <c r="P36" s="116"/>
    </row>
    <row r="37" spans="2:16" ht="12" customHeight="1" x14ac:dyDescent="0.2">
      <c r="B37" s="174" t="s">
        <v>81</v>
      </c>
      <c r="C37" s="175">
        <v>5.8250000000000002</v>
      </c>
      <c r="D37" s="173">
        <f t="shared" si="3"/>
        <v>0.1386904761904762</v>
      </c>
      <c r="H37" s="13">
        <v>2005</v>
      </c>
      <c r="I37" s="13">
        <v>100</v>
      </c>
      <c r="J37" s="180">
        <f t="shared" si="1"/>
        <v>1</v>
      </c>
      <c r="P37" s="116"/>
    </row>
    <row r="38" spans="2:16" ht="12" customHeight="1" x14ac:dyDescent="0.2">
      <c r="B38" s="174" t="s">
        <v>82</v>
      </c>
      <c r="C38" s="175">
        <v>5.4180000000000001</v>
      </c>
      <c r="D38" s="173">
        <f t="shared" si="3"/>
        <v>0.129</v>
      </c>
      <c r="H38" s="13">
        <v>2006</v>
      </c>
      <c r="I38" s="13">
        <v>103.23</v>
      </c>
      <c r="J38" s="180">
        <f t="shared" si="1"/>
        <v>0.96871064613000091</v>
      </c>
      <c r="P38" s="116"/>
    </row>
    <row r="39" spans="2:16" ht="12" customHeight="1" x14ac:dyDescent="0.2">
      <c r="B39" s="174" t="s">
        <v>83</v>
      </c>
      <c r="C39" s="175">
        <v>5.5369999999999999</v>
      </c>
      <c r="D39" s="173">
        <f t="shared" si="3"/>
        <v>0.13183333333333333</v>
      </c>
      <c r="H39" s="13">
        <v>2007</v>
      </c>
      <c r="I39" s="13">
        <v>106.23</v>
      </c>
      <c r="J39" s="180">
        <f t="shared" si="1"/>
        <v>0.94135366657253128</v>
      </c>
      <c r="P39" s="116"/>
    </row>
    <row r="40" spans="2:16" ht="12" customHeight="1" x14ac:dyDescent="0.2">
      <c r="B40" s="182" t="s">
        <v>84</v>
      </c>
      <c r="C40" s="183">
        <v>5.7960000000000003</v>
      </c>
      <c r="D40" s="173">
        <f t="shared" si="3"/>
        <v>0.13800000000000001</v>
      </c>
      <c r="H40" s="13">
        <v>2008</v>
      </c>
      <c r="I40" s="13">
        <v>108.58</v>
      </c>
      <c r="J40" s="180">
        <f t="shared" si="1"/>
        <v>0.92097992263768647</v>
      </c>
      <c r="P40" s="116"/>
    </row>
    <row r="41" spans="2:16" ht="12" customHeight="1" x14ac:dyDescent="0.2">
      <c r="B41" s="167"/>
      <c r="C41" s="167"/>
      <c r="D41" s="173"/>
      <c r="H41" s="13">
        <v>2009</v>
      </c>
      <c r="I41" s="13">
        <v>109.73</v>
      </c>
      <c r="J41" s="180">
        <f t="shared" si="1"/>
        <v>0.91132780461131868</v>
      </c>
      <c r="P41" s="116"/>
    </row>
    <row r="42" spans="2:16" x14ac:dyDescent="0.2">
      <c r="B42" s="184" t="s">
        <v>483</v>
      </c>
      <c r="C42" s="168" t="s">
        <v>44</v>
      </c>
      <c r="D42" s="167"/>
      <c r="H42" s="13">
        <v>2010</v>
      </c>
      <c r="I42" s="13">
        <v>110.99</v>
      </c>
      <c r="J42" s="180">
        <f t="shared" si="1"/>
        <v>0.9009820704567979</v>
      </c>
      <c r="P42" s="116"/>
    </row>
    <row r="43" spans="2:16" x14ac:dyDescent="0.2">
      <c r="B43" s="185" t="s">
        <v>482</v>
      </c>
      <c r="P43" s="116"/>
    </row>
    <row r="44" spans="2:16" x14ac:dyDescent="0.2">
      <c r="B44" s="167" t="s">
        <v>85</v>
      </c>
      <c r="C44" s="167">
        <v>3.5569999999999999</v>
      </c>
      <c r="D44" s="173">
        <f>C44/$I$4</f>
        <v>8.4690476190476191E-2</v>
      </c>
      <c r="P44" s="116"/>
    </row>
    <row r="45" spans="2:16" x14ac:dyDescent="0.2">
      <c r="B45" s="167" t="s">
        <v>86</v>
      </c>
      <c r="C45" s="167">
        <v>5.8</v>
      </c>
      <c r="D45" s="167"/>
      <c r="P45" s="116"/>
    </row>
    <row r="46" spans="2:16" x14ac:dyDescent="0.2">
      <c r="B46" s="167" t="s">
        <v>87</v>
      </c>
      <c r="C46" s="167">
        <v>5.98</v>
      </c>
      <c r="D46" s="167"/>
      <c r="P46" s="116"/>
    </row>
    <row r="47" spans="2:16" x14ac:dyDescent="0.2">
      <c r="B47" s="167" t="s">
        <v>88</v>
      </c>
      <c r="C47" s="22">
        <f>(2*C46+C45)/3</f>
        <v>5.9200000000000008</v>
      </c>
      <c r="D47" s="167"/>
      <c r="P47" s="116"/>
    </row>
    <row r="48" spans="2:16" x14ac:dyDescent="0.2">
      <c r="B48" s="167"/>
      <c r="D48" s="167"/>
      <c r="P48" s="116"/>
    </row>
    <row r="49" spans="2:32" x14ac:dyDescent="0.2">
      <c r="C49" s="168" t="s">
        <v>89</v>
      </c>
      <c r="D49" s="167" t="s">
        <v>90</v>
      </c>
      <c r="E49" s="168" t="s">
        <v>91</v>
      </c>
      <c r="P49" s="116"/>
    </row>
    <row r="50" spans="2:32" x14ac:dyDescent="0.2">
      <c r="B50" s="21" t="s">
        <v>92</v>
      </c>
      <c r="C50" s="22">
        <v>1.024E-3</v>
      </c>
      <c r="D50" s="186">
        <v>6917</v>
      </c>
      <c r="E50" s="22">
        <f>C50*D50</f>
        <v>7.0830079999999995</v>
      </c>
      <c r="P50" s="116"/>
    </row>
    <row r="51" spans="2:32" x14ac:dyDescent="0.2">
      <c r="B51" s="167" t="s">
        <v>93</v>
      </c>
      <c r="E51" s="167">
        <v>3.6739999999999999</v>
      </c>
      <c r="P51" s="116"/>
    </row>
    <row r="52" spans="2:32" x14ac:dyDescent="0.2">
      <c r="D52" s="167"/>
    </row>
    <row r="53" spans="2:32" x14ac:dyDescent="0.2">
      <c r="D53" s="167"/>
    </row>
    <row r="54" spans="2:32" x14ac:dyDescent="0.2">
      <c r="D54" s="167"/>
    </row>
    <row r="55" spans="2:32" x14ac:dyDescent="0.2">
      <c r="D55" s="167"/>
    </row>
    <row r="56" spans="2:32" x14ac:dyDescent="0.2">
      <c r="D56" s="167"/>
    </row>
    <row r="57" spans="2:32" x14ac:dyDescent="0.2">
      <c r="D57" s="167"/>
      <c r="AA57" s="22" t="s">
        <v>477</v>
      </c>
      <c r="AB57" s="22" t="s">
        <v>477</v>
      </c>
      <c r="AC57" s="22" t="s">
        <v>477</v>
      </c>
      <c r="AD57" s="22" t="s">
        <v>477</v>
      </c>
      <c r="AE57" s="22" t="s">
        <v>477</v>
      </c>
      <c r="AF57" s="22" t="s">
        <v>478</v>
      </c>
    </row>
    <row r="58" spans="2:32" x14ac:dyDescent="0.2">
      <c r="D58" s="167"/>
      <c r="AA58" s="22" t="s">
        <v>477</v>
      </c>
      <c r="AB58" s="22" t="s">
        <v>477</v>
      </c>
      <c r="AC58" s="22" t="s">
        <v>477</v>
      </c>
      <c r="AD58" s="22" t="s">
        <v>477</v>
      </c>
      <c r="AE58" s="22" t="s">
        <v>477</v>
      </c>
      <c r="AF58" s="22" t="s">
        <v>479</v>
      </c>
    </row>
    <row r="59" spans="2:32" x14ac:dyDescent="0.2">
      <c r="D59" s="167"/>
    </row>
    <row r="60" spans="2:32" x14ac:dyDescent="0.2">
      <c r="D60" s="167"/>
    </row>
    <row r="61" spans="2:32" x14ac:dyDescent="0.2">
      <c r="D61" s="167"/>
    </row>
    <row r="62" spans="2:32" x14ac:dyDescent="0.2">
      <c r="D62" s="167"/>
    </row>
    <row r="63" spans="2:32" x14ac:dyDescent="0.2">
      <c r="D63" s="167"/>
    </row>
    <row r="64" spans="2:32" x14ac:dyDescent="0.2">
      <c r="D64" s="167"/>
    </row>
    <row r="65" spans="4:4" x14ac:dyDescent="0.2">
      <c r="D65" s="167"/>
    </row>
    <row r="66" spans="4:4" x14ac:dyDescent="0.2">
      <c r="D66" s="167"/>
    </row>
    <row r="67" spans="4:4" x14ac:dyDescent="0.2">
      <c r="D67" s="167"/>
    </row>
    <row r="68" spans="4:4" x14ac:dyDescent="0.2">
      <c r="D68" s="167"/>
    </row>
    <row r="69" spans="4:4" x14ac:dyDescent="0.2">
      <c r="D69" s="167"/>
    </row>
    <row r="70" spans="4:4" x14ac:dyDescent="0.2">
      <c r="D70" s="167"/>
    </row>
  </sheetData>
  <phoneticPr fontId="11" type="noConversion"/>
  <hyperlinks>
    <hyperlink ref="H12" r:id="rId1" xr:uid="{00000000-0004-0000-1000-000000000000}"/>
    <hyperlink ref="B5" r:id="rId2" xr:uid="{00000000-0004-0000-1000-000001000000}"/>
  </hyperlinks>
  <pageMargins left="0.75" right="0.75" top="1" bottom="1" header="0.5" footer="0.5"/>
  <pageSetup paperSize="9" orientation="portrait" horizontalDpi="300" r:id="rId3"/>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31</v>
      </c>
      <c r="B1" s="2"/>
    </row>
    <row r="4" spans="1:6" ht="17.25" customHeight="1" x14ac:dyDescent="0.2"/>
    <row r="5" spans="1:6" ht="17.25" customHeight="1" x14ac:dyDescent="0.2">
      <c r="C5" s="3"/>
    </row>
    <row r="6" spans="1:6" ht="15.75" customHeight="1" x14ac:dyDescent="0.2"/>
    <row r="7" spans="1:6" x14ac:dyDescent="0.2">
      <c r="B7" s="4" t="s">
        <v>22</v>
      </c>
      <c r="C7" s="1" t="s">
        <v>23</v>
      </c>
      <c r="D7" s="1" t="s">
        <v>17</v>
      </c>
      <c r="E7" s="1" t="s">
        <v>21</v>
      </c>
      <c r="F7" s="1" t="s">
        <v>18</v>
      </c>
    </row>
    <row r="8" spans="1:6" x14ac:dyDescent="0.2">
      <c r="B8" s="1"/>
      <c r="C8" s="1"/>
      <c r="D8" s="1"/>
      <c r="E8" s="3"/>
      <c r="F8" s="1"/>
    </row>
    <row r="9" spans="1:6" x14ac:dyDescent="0.2">
      <c r="D9" s="3"/>
      <c r="E9" s="3"/>
    </row>
    <row r="11" spans="1:6" x14ac:dyDescent="0.2">
      <c r="B11" s="3"/>
      <c r="C11" s="3"/>
      <c r="D11" s="12"/>
      <c r="E11" s="12"/>
    </row>
    <row r="12" spans="1:6" x14ac:dyDescent="0.2">
      <c r="B12" s="3"/>
      <c r="C12" s="3"/>
      <c r="E12" s="3"/>
    </row>
    <row r="13" spans="1:6" x14ac:dyDescent="0.2">
      <c r="B13" s="3"/>
      <c r="C13" s="3"/>
    </row>
    <row r="14" spans="1:6" x14ac:dyDescent="0.2">
      <c r="B14" s="3"/>
      <c r="C14" s="3"/>
      <c r="D14" s="6"/>
    </row>
    <row r="15" spans="1:6" x14ac:dyDescent="0.2">
      <c r="B15" s="3"/>
      <c r="C15" s="3"/>
      <c r="E15" s="3"/>
    </row>
    <row r="16" spans="1:6" x14ac:dyDescent="0.2">
      <c r="B16" s="3"/>
      <c r="C16" s="3"/>
      <c r="E16" s="3"/>
    </row>
    <row r="17" spans="2:5" x14ac:dyDescent="0.2">
      <c r="B17" s="3"/>
      <c r="C17" s="3"/>
      <c r="E17" s="3"/>
    </row>
    <row r="18" spans="2:5" x14ac:dyDescent="0.2">
      <c r="B18" s="3"/>
      <c r="C18" s="3"/>
      <c r="E18" s="3"/>
    </row>
    <row r="19" spans="2:5" x14ac:dyDescent="0.2">
      <c r="B19" s="3"/>
      <c r="C19" s="3"/>
      <c r="E19" s="3"/>
    </row>
    <row r="20" spans="2:5" x14ac:dyDescent="0.2">
      <c r="D20" s="6"/>
    </row>
    <row r="21" spans="2:5" x14ac:dyDescent="0.2">
      <c r="E21" s="3"/>
    </row>
    <row r="23" spans="2:5" x14ac:dyDescent="0.2">
      <c r="B23" s="3"/>
      <c r="C23" s="3"/>
      <c r="D23" s="3"/>
      <c r="E23" s="3"/>
    </row>
    <row r="24" spans="2:5" x14ac:dyDescent="0.2">
      <c r="B24" s="3"/>
      <c r="C24" s="3"/>
    </row>
    <row r="25" spans="2:5" x14ac:dyDescent="0.2">
      <c r="B25" s="3"/>
      <c r="C25" s="3"/>
      <c r="D25" s="6"/>
      <c r="E25" s="3"/>
    </row>
    <row r="26" spans="2:5" x14ac:dyDescent="0.2">
      <c r="B26" s="4"/>
      <c r="C26" s="3"/>
      <c r="E26" s="3"/>
    </row>
    <row r="27" spans="2:5" x14ac:dyDescent="0.2">
      <c r="E27" s="3"/>
    </row>
    <row r="29" spans="2:5" x14ac:dyDescent="0.2">
      <c r="B29" s="3"/>
      <c r="C29" s="3"/>
      <c r="D29" s="3"/>
      <c r="E29" s="3"/>
    </row>
    <row r="30" spans="2:5" x14ac:dyDescent="0.2">
      <c r="B30" s="3"/>
      <c r="C30" s="3"/>
    </row>
    <row r="31" spans="2:5" x14ac:dyDescent="0.2">
      <c r="B31" s="3"/>
      <c r="C31" s="3"/>
      <c r="E31" s="3"/>
    </row>
    <row r="32" spans="2:5" x14ac:dyDescent="0.2">
      <c r="B32" s="3"/>
      <c r="C32" s="3"/>
      <c r="E32"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56327" r:id="rId4" name="cmdRefreshUnits">
          <controlPr defaultSize="0" autoLine="0" r:id="rId5">
            <anchor moveWithCells="1">
              <from>
                <xdr:col>3</xdr:col>
                <xdr:colOff>66675</xdr:colOff>
                <xdr:row>2</xdr:row>
                <xdr:rowOff>114300</xdr:rowOff>
              </from>
              <to>
                <xdr:col>3</xdr:col>
                <xdr:colOff>619125</xdr:colOff>
                <xdr:row>4</xdr:row>
                <xdr:rowOff>104775</xdr:rowOff>
              </to>
            </anchor>
          </controlPr>
        </control>
      </mc:Choice>
      <mc:Fallback>
        <control shapeId="56327" r:id="rId4" name="cmdRefreshUnits"/>
      </mc:Fallback>
    </mc:AlternateContent>
    <mc:AlternateContent xmlns:mc="http://schemas.openxmlformats.org/markup-compatibility/2006">
      <mc:Choice Requires="x14">
        <control shapeId="56326" r:id="rId6" name="cmdCommUnit">
          <controlPr defaultSize="0" autoLine="0" r:id="rId7">
            <anchor moveWithCells="1">
              <from>
                <xdr:col>3</xdr:col>
                <xdr:colOff>9525</xdr:colOff>
                <xdr:row>4</xdr:row>
                <xdr:rowOff>171450</xdr:rowOff>
              </from>
              <to>
                <xdr:col>3</xdr:col>
                <xdr:colOff>676275</xdr:colOff>
                <xdr:row>5</xdr:row>
                <xdr:rowOff>190500</xdr:rowOff>
              </to>
            </anchor>
          </controlPr>
        </control>
      </mc:Choice>
      <mc:Fallback>
        <control shapeId="56326" r:id="rId6" name="cmdCommUnit"/>
      </mc:Fallback>
    </mc:AlternateContent>
    <mc:AlternateContent xmlns:mc="http://schemas.openxmlformats.org/markup-compatibility/2006">
      <mc:Choice Requires="x14">
        <control shapeId="56325" r:id="rId8" name="cmdCheckCommoditiesSheet">
          <controlPr defaultSize="0" autoLine="0" autoPict="0" r:id="rId9">
            <anchor moveWithCells="1">
              <from>
                <xdr:col>0</xdr:col>
                <xdr:colOff>9525</xdr:colOff>
                <xdr:row>2</xdr:row>
                <xdr:rowOff>142875</xdr:rowOff>
              </from>
              <to>
                <xdr:col>0</xdr:col>
                <xdr:colOff>828675</xdr:colOff>
                <xdr:row>4</xdr:row>
                <xdr:rowOff>0</xdr:rowOff>
              </to>
            </anchor>
          </controlPr>
        </control>
      </mc:Choice>
      <mc:Fallback>
        <control shapeId="56325" r:id="rId8" name="cmdCheckCommoditiesSheet"/>
      </mc:Fallback>
    </mc:AlternateContent>
    <mc:AlternateContent xmlns:mc="http://schemas.openxmlformats.org/markup-compatibility/2006">
      <mc:Choice Requires="x14">
        <control shapeId="56324" r:id="rId10" name="cmdMaterialSets">
          <controlPr defaultSize="0" autoLine="0" r:id="rId11">
            <anchor moveWithCells="1">
              <from>
                <xdr:col>4</xdr:col>
                <xdr:colOff>1000125</xdr:colOff>
                <xdr:row>3</xdr:row>
                <xdr:rowOff>95250</xdr:rowOff>
              </from>
              <to>
                <xdr:col>4</xdr:col>
                <xdr:colOff>1971675</xdr:colOff>
                <xdr:row>4</xdr:row>
                <xdr:rowOff>114300</xdr:rowOff>
              </to>
            </anchor>
          </controlPr>
        </control>
      </mc:Choice>
      <mc:Fallback>
        <control shapeId="56324" r:id="rId10" name="cmdMaterialSets"/>
      </mc:Fallback>
    </mc:AlternateContent>
    <mc:AlternateContent xmlns:mc="http://schemas.openxmlformats.org/markup-compatibility/2006">
      <mc:Choice Requires="x14">
        <control shapeId="56323" r:id="rId12" name="cmdEmissionSets">
          <controlPr defaultSize="0" autoLine="0" r:id="rId13">
            <anchor moveWithCells="1">
              <from>
                <xdr:col>4</xdr:col>
                <xdr:colOff>1000125</xdr:colOff>
                <xdr:row>4</xdr:row>
                <xdr:rowOff>171450</xdr:rowOff>
              </from>
              <to>
                <xdr:col>4</xdr:col>
                <xdr:colOff>1971675</xdr:colOff>
                <xdr:row>5</xdr:row>
                <xdr:rowOff>190500</xdr:rowOff>
              </to>
            </anchor>
          </controlPr>
        </control>
      </mc:Choice>
      <mc:Fallback>
        <control shapeId="56323" r:id="rId12" name="cmdEmissionSets"/>
      </mc:Fallback>
    </mc:AlternateContent>
    <mc:AlternateContent xmlns:mc="http://schemas.openxmlformats.org/markup-compatibility/2006">
      <mc:Choice Requires="x14">
        <control shapeId="56322" r:id="rId14" name="cmdDemandSets">
          <controlPr defaultSize="0" autoLine="0" r:id="rId15">
            <anchor moveWithCells="1">
              <from>
                <xdr:col>4</xdr:col>
                <xdr:colOff>9525</xdr:colOff>
                <xdr:row>4</xdr:row>
                <xdr:rowOff>171450</xdr:rowOff>
              </from>
              <to>
                <xdr:col>4</xdr:col>
                <xdr:colOff>981075</xdr:colOff>
                <xdr:row>5</xdr:row>
                <xdr:rowOff>190500</xdr:rowOff>
              </to>
            </anchor>
          </controlPr>
        </control>
      </mc:Choice>
      <mc:Fallback>
        <control shapeId="56322" r:id="rId14" name="cmdDemandSets"/>
      </mc:Fallback>
    </mc:AlternateContent>
    <mc:AlternateContent xmlns:mc="http://schemas.openxmlformats.org/markup-compatibility/2006">
      <mc:Choice Requires="x14">
        <control shapeId="56321" r:id="rId16" name="cmdEnergySets">
          <controlPr defaultSize="0" autoLine="0" r:id="rId17">
            <anchor moveWithCells="1">
              <from>
                <xdr:col>4</xdr:col>
                <xdr:colOff>9525</xdr:colOff>
                <xdr:row>3</xdr:row>
                <xdr:rowOff>95250</xdr:rowOff>
              </from>
              <to>
                <xdr:col>4</xdr:col>
                <xdr:colOff>981075</xdr:colOff>
                <xdr:row>4</xdr:row>
                <xdr:rowOff>114300</xdr:rowOff>
              </to>
            </anchor>
          </controlPr>
        </control>
      </mc:Choice>
      <mc:Fallback>
        <control shapeId="56321" r:id="rId16" name="cmdEnergySets"/>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
  <dimension ref="A1:F32"/>
  <sheetViews>
    <sheetView workbookViewId="0">
      <pane xSplit="3" ySplit="7" topLeftCell="D8" activePane="bottomRight" state="frozen"/>
      <selection pane="topRight" activeCell="D1" sqref="D1"/>
      <selection pane="bottomLeft" activeCell="A8" sqref="A8"/>
      <selection pane="bottomRight" activeCell="A2" sqref="A2"/>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31</v>
      </c>
      <c r="B1" s="2"/>
    </row>
    <row r="4" spans="1:6" ht="17.25" customHeight="1" x14ac:dyDescent="0.2"/>
    <row r="5" spans="1:6" ht="17.25" customHeight="1" x14ac:dyDescent="0.2">
      <c r="C5" s="3"/>
    </row>
    <row r="6" spans="1:6" ht="15.75" customHeight="1" x14ac:dyDescent="0.2"/>
    <row r="7" spans="1:6" x14ac:dyDescent="0.2">
      <c r="B7" s="4" t="s">
        <v>22</v>
      </c>
      <c r="C7" s="1" t="s">
        <v>23</v>
      </c>
      <c r="D7" s="1" t="s">
        <v>17</v>
      </c>
      <c r="E7" s="1" t="s">
        <v>21</v>
      </c>
      <c r="F7" s="1" t="s">
        <v>18</v>
      </c>
    </row>
    <row r="8" spans="1:6" x14ac:dyDescent="0.2">
      <c r="B8" s="1"/>
      <c r="C8" s="1"/>
      <c r="D8" s="1"/>
      <c r="E8" s="3"/>
      <c r="F8" s="1"/>
    </row>
    <row r="9" spans="1:6" x14ac:dyDescent="0.2">
      <c r="D9" s="3"/>
      <c r="E9" s="3"/>
    </row>
    <row r="11" spans="1:6" x14ac:dyDescent="0.2">
      <c r="B11" s="3"/>
      <c r="C11" s="3"/>
      <c r="D11" s="12"/>
      <c r="E11" s="12"/>
    </row>
    <row r="12" spans="1:6" x14ac:dyDescent="0.2">
      <c r="B12" s="3"/>
      <c r="C12" s="3"/>
      <c r="E12" s="3"/>
    </row>
    <row r="13" spans="1:6" x14ac:dyDescent="0.2">
      <c r="B13" s="3"/>
      <c r="C13" s="3"/>
    </row>
    <row r="14" spans="1:6" x14ac:dyDescent="0.2">
      <c r="B14" s="3"/>
      <c r="C14" s="3"/>
      <c r="D14" s="6"/>
    </row>
    <row r="15" spans="1:6" x14ac:dyDescent="0.2">
      <c r="B15" s="3"/>
      <c r="C15" s="3"/>
      <c r="E15" s="3"/>
    </row>
    <row r="16" spans="1:6" x14ac:dyDescent="0.2">
      <c r="B16" s="3"/>
      <c r="C16" s="3"/>
      <c r="E16" s="3"/>
    </row>
    <row r="17" spans="2:5" x14ac:dyDescent="0.2">
      <c r="B17" s="3"/>
      <c r="C17" s="3"/>
      <c r="E17" s="3"/>
    </row>
    <row r="18" spans="2:5" x14ac:dyDescent="0.2">
      <c r="B18" s="3"/>
      <c r="C18" s="3"/>
      <c r="E18" s="3"/>
    </row>
    <row r="19" spans="2:5" x14ac:dyDescent="0.2">
      <c r="B19" s="3"/>
      <c r="C19" s="3"/>
      <c r="E19" s="3"/>
    </row>
    <row r="20" spans="2:5" x14ac:dyDescent="0.2">
      <c r="D20" s="6"/>
    </row>
    <row r="21" spans="2:5" x14ac:dyDescent="0.2">
      <c r="E21" s="3"/>
    </row>
    <row r="23" spans="2:5" x14ac:dyDescent="0.2">
      <c r="B23" s="3"/>
      <c r="C23" s="3"/>
      <c r="D23" s="3"/>
      <c r="E23" s="3"/>
    </row>
    <row r="24" spans="2:5" x14ac:dyDescent="0.2">
      <c r="B24" s="3"/>
      <c r="C24" s="3"/>
    </row>
    <row r="25" spans="2:5" x14ac:dyDescent="0.2">
      <c r="B25" s="3"/>
      <c r="C25" s="3"/>
      <c r="D25" s="6"/>
      <c r="E25" s="3"/>
    </row>
    <row r="26" spans="2:5" x14ac:dyDescent="0.2">
      <c r="B26" s="4"/>
      <c r="C26" s="3"/>
      <c r="E26" s="3"/>
    </row>
    <row r="27" spans="2:5" x14ac:dyDescent="0.2">
      <c r="E27" s="3"/>
    </row>
    <row r="29" spans="2:5" x14ac:dyDescent="0.2">
      <c r="B29" s="3"/>
      <c r="C29" s="3"/>
      <c r="D29" s="3"/>
      <c r="E29" s="3"/>
    </row>
    <row r="30" spans="2:5" x14ac:dyDescent="0.2">
      <c r="B30" s="3"/>
      <c r="C30" s="3"/>
    </row>
    <row r="31" spans="2:5" x14ac:dyDescent="0.2">
      <c r="B31" s="3"/>
      <c r="C31" s="3"/>
      <c r="E31" s="3"/>
    </row>
    <row r="32" spans="2:5" x14ac:dyDescent="0.2">
      <c r="B32" s="3"/>
      <c r="C32" s="3"/>
      <c r="E32"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2074" r:id="rId4" name="cmdTaxSubSets">
          <controlPr defaultSize="0" autoLine="0" r:id="rId5">
            <anchor moveWithCells="1">
              <from>
                <xdr:col>4</xdr:col>
                <xdr:colOff>542925</xdr:colOff>
                <xdr:row>2</xdr:row>
                <xdr:rowOff>0</xdr:rowOff>
              </from>
              <to>
                <xdr:col>4</xdr:col>
                <xdr:colOff>1514475</xdr:colOff>
                <xdr:row>3</xdr:row>
                <xdr:rowOff>76200</xdr:rowOff>
              </to>
            </anchor>
          </controlPr>
        </control>
      </mc:Choice>
      <mc:Fallback>
        <control shapeId="2074" r:id="rId4" name="cmdTaxSubSets"/>
      </mc:Fallback>
    </mc:AlternateContent>
    <mc:AlternateContent xmlns:mc="http://schemas.openxmlformats.org/markup-compatibility/2006">
      <mc:Choice Requires="x14">
        <control shapeId="2073" r:id="rId6" name="cmdRefreshUnits">
          <controlPr defaultSize="0" autoLine="0" r:id="rId7">
            <anchor moveWithCells="1">
              <from>
                <xdr:col>3</xdr:col>
                <xdr:colOff>66675</xdr:colOff>
                <xdr:row>2</xdr:row>
                <xdr:rowOff>114300</xdr:rowOff>
              </from>
              <to>
                <xdr:col>3</xdr:col>
                <xdr:colOff>619125</xdr:colOff>
                <xdr:row>4</xdr:row>
                <xdr:rowOff>104775</xdr:rowOff>
              </to>
            </anchor>
          </controlPr>
        </control>
      </mc:Choice>
      <mc:Fallback>
        <control shapeId="2073" r:id="rId6" name="cmdRefreshUnits"/>
      </mc:Fallback>
    </mc:AlternateContent>
    <mc:AlternateContent xmlns:mc="http://schemas.openxmlformats.org/markup-compatibility/2006">
      <mc:Choice Requires="x14">
        <control shapeId="2063" r:id="rId8" name="cmdCommUnit">
          <controlPr defaultSize="0" autoLine="0" r:id="rId9">
            <anchor moveWithCells="1">
              <from>
                <xdr:col>3</xdr:col>
                <xdr:colOff>9525</xdr:colOff>
                <xdr:row>4</xdr:row>
                <xdr:rowOff>171450</xdr:rowOff>
              </from>
              <to>
                <xdr:col>3</xdr:col>
                <xdr:colOff>676275</xdr:colOff>
                <xdr:row>5</xdr:row>
                <xdr:rowOff>190500</xdr:rowOff>
              </to>
            </anchor>
          </controlPr>
        </control>
      </mc:Choice>
      <mc:Fallback>
        <control shapeId="2063" r:id="rId8" name="cmdCommUnit"/>
      </mc:Fallback>
    </mc:AlternateContent>
    <mc:AlternateContent xmlns:mc="http://schemas.openxmlformats.org/markup-compatibility/2006">
      <mc:Choice Requires="x14">
        <control shapeId="2061" r:id="rId10" name="cmdCheckCommoditiesSheet">
          <controlPr defaultSize="0" autoLine="0" autoPict="0" r:id="rId11">
            <anchor moveWithCells="1">
              <from>
                <xdr:col>0</xdr:col>
                <xdr:colOff>9525</xdr:colOff>
                <xdr:row>2</xdr:row>
                <xdr:rowOff>142875</xdr:rowOff>
              </from>
              <to>
                <xdr:col>0</xdr:col>
                <xdr:colOff>828675</xdr:colOff>
                <xdr:row>4</xdr:row>
                <xdr:rowOff>0</xdr:rowOff>
              </to>
            </anchor>
          </controlPr>
        </control>
      </mc:Choice>
      <mc:Fallback>
        <control shapeId="2061" r:id="rId10" name="cmdCheckCommoditiesSheet"/>
      </mc:Fallback>
    </mc:AlternateContent>
    <mc:AlternateContent xmlns:mc="http://schemas.openxmlformats.org/markup-compatibility/2006">
      <mc:Choice Requires="x14">
        <control shapeId="2053" r:id="rId12" name="cmdMaterialSets">
          <controlPr defaultSize="0" autoLine="0" r:id="rId13">
            <anchor moveWithCells="1">
              <from>
                <xdr:col>4</xdr:col>
                <xdr:colOff>1000125</xdr:colOff>
                <xdr:row>3</xdr:row>
                <xdr:rowOff>95250</xdr:rowOff>
              </from>
              <to>
                <xdr:col>4</xdr:col>
                <xdr:colOff>1971675</xdr:colOff>
                <xdr:row>4</xdr:row>
                <xdr:rowOff>114300</xdr:rowOff>
              </to>
            </anchor>
          </controlPr>
        </control>
      </mc:Choice>
      <mc:Fallback>
        <control shapeId="2053" r:id="rId12" name="cmdMaterialSets"/>
      </mc:Fallback>
    </mc:AlternateContent>
    <mc:AlternateContent xmlns:mc="http://schemas.openxmlformats.org/markup-compatibility/2006">
      <mc:Choice Requires="x14">
        <control shapeId="2052" r:id="rId14" name="cmdEmissionSets">
          <controlPr defaultSize="0" autoLine="0" r:id="rId15">
            <anchor moveWithCells="1">
              <from>
                <xdr:col>4</xdr:col>
                <xdr:colOff>1000125</xdr:colOff>
                <xdr:row>4</xdr:row>
                <xdr:rowOff>171450</xdr:rowOff>
              </from>
              <to>
                <xdr:col>4</xdr:col>
                <xdr:colOff>1971675</xdr:colOff>
                <xdr:row>5</xdr:row>
                <xdr:rowOff>190500</xdr:rowOff>
              </to>
            </anchor>
          </controlPr>
        </control>
      </mc:Choice>
      <mc:Fallback>
        <control shapeId="2052" r:id="rId14" name="cmdEmissionSets"/>
      </mc:Fallback>
    </mc:AlternateContent>
    <mc:AlternateContent xmlns:mc="http://schemas.openxmlformats.org/markup-compatibility/2006">
      <mc:Choice Requires="x14">
        <control shapeId="2051" r:id="rId16" name="cmdDemandSets">
          <controlPr defaultSize="0" autoLine="0" r:id="rId17">
            <anchor moveWithCells="1">
              <from>
                <xdr:col>4</xdr:col>
                <xdr:colOff>9525</xdr:colOff>
                <xdr:row>4</xdr:row>
                <xdr:rowOff>171450</xdr:rowOff>
              </from>
              <to>
                <xdr:col>4</xdr:col>
                <xdr:colOff>981075</xdr:colOff>
                <xdr:row>5</xdr:row>
                <xdr:rowOff>190500</xdr:rowOff>
              </to>
            </anchor>
          </controlPr>
        </control>
      </mc:Choice>
      <mc:Fallback>
        <control shapeId="2051" r:id="rId16" name="cmdDemandSets"/>
      </mc:Fallback>
    </mc:AlternateContent>
    <mc:AlternateContent xmlns:mc="http://schemas.openxmlformats.org/markup-compatibility/2006">
      <mc:Choice Requires="x14">
        <control shapeId="2049" r:id="rId18" name="cmdEnergySets">
          <controlPr defaultSize="0" autoLine="0" r:id="rId19">
            <anchor moveWithCells="1">
              <from>
                <xdr:col>4</xdr:col>
                <xdr:colOff>9525</xdr:colOff>
                <xdr:row>3</xdr:row>
                <xdr:rowOff>95250</xdr:rowOff>
              </from>
              <to>
                <xdr:col>4</xdr:col>
                <xdr:colOff>981075</xdr:colOff>
                <xdr:row>4</xdr:row>
                <xdr:rowOff>114300</xdr:rowOff>
              </to>
            </anchor>
          </controlPr>
        </control>
      </mc:Choice>
      <mc:Fallback>
        <control shapeId="2049" r:id="rId18" name="cmdEnergySets"/>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9"/>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28515625" customWidth="1"/>
    <col min="4" max="4" width="9.7109375" customWidth="1"/>
    <col min="5" max="5" width="9.85546875" customWidth="1"/>
    <col min="6" max="6" width="30.42578125" customWidth="1"/>
    <col min="7" max="7" width="10.42578125" customWidth="1"/>
  </cols>
  <sheetData>
    <row r="1" spans="1:12" x14ac:dyDescent="0.2">
      <c r="A1" s="1" t="s">
        <v>32</v>
      </c>
      <c r="B1" s="2"/>
    </row>
    <row r="4" spans="1:12" ht="18" customHeight="1" x14ac:dyDescent="0.2"/>
    <row r="7" spans="1:12" x14ac:dyDescent="0.2">
      <c r="B7" s="1" t="s">
        <v>24</v>
      </c>
      <c r="C7" s="1" t="s">
        <v>25</v>
      </c>
      <c r="D7" s="1" t="s">
        <v>19</v>
      </c>
      <c r="E7" s="1" t="s">
        <v>20</v>
      </c>
      <c r="F7" s="1" t="s">
        <v>21</v>
      </c>
      <c r="G7" s="1" t="s">
        <v>18</v>
      </c>
    </row>
    <row r="8" spans="1:12" x14ac:dyDescent="0.2">
      <c r="B8" s="1"/>
      <c r="C8" s="1"/>
      <c r="D8" s="1"/>
      <c r="E8" s="1"/>
      <c r="F8" s="1"/>
      <c r="G8" s="1"/>
    </row>
    <row r="9" spans="1:12" x14ac:dyDescent="0.2">
      <c r="D9" s="3"/>
      <c r="E9" s="3"/>
      <c r="F9" s="3"/>
    </row>
    <row r="10" spans="1:12" x14ac:dyDescent="0.2">
      <c r="F10" s="3"/>
    </row>
    <row r="11" spans="1:12" x14ac:dyDescent="0.2">
      <c r="B11" s="1"/>
      <c r="C11" s="1"/>
      <c r="D11" s="12"/>
      <c r="E11" s="12"/>
    </row>
    <row r="12" spans="1:12" x14ac:dyDescent="0.2">
      <c r="B12" s="8"/>
      <c r="C12" s="3"/>
      <c r="F12" s="12"/>
    </row>
    <row r="13" spans="1:12" x14ac:dyDescent="0.2">
      <c r="B13" s="3"/>
      <c r="C13" s="3"/>
    </row>
    <row r="14" spans="1:12" x14ac:dyDescent="0.2">
      <c r="B14" s="3"/>
      <c r="C14" s="3"/>
      <c r="D14" s="6"/>
      <c r="F14" s="3"/>
      <c r="L14" s="5"/>
    </row>
    <row r="15" spans="1:12" x14ac:dyDescent="0.2">
      <c r="B15" s="3"/>
      <c r="C15" s="3"/>
      <c r="E15" s="6"/>
      <c r="F15" s="3"/>
    </row>
    <row r="16" spans="1:12" x14ac:dyDescent="0.2">
      <c r="B16" s="3"/>
      <c r="C16" s="3"/>
      <c r="F16" s="3"/>
    </row>
    <row r="17" spans="2:6" x14ac:dyDescent="0.2">
      <c r="D17" s="6"/>
    </row>
    <row r="18" spans="2:6" x14ac:dyDescent="0.2">
      <c r="E18" s="6"/>
    </row>
    <row r="20" spans="2:6" x14ac:dyDescent="0.2">
      <c r="B20" s="3"/>
      <c r="C20" s="3"/>
      <c r="F20" s="9"/>
    </row>
    <row r="21" spans="2:6" x14ac:dyDescent="0.2">
      <c r="B21" s="3"/>
      <c r="C21" s="3"/>
    </row>
    <row r="22" spans="2:6" x14ac:dyDescent="0.2">
      <c r="B22" s="3"/>
      <c r="C22" s="3"/>
      <c r="D22" s="3"/>
      <c r="E22" s="3"/>
      <c r="F22" s="3"/>
    </row>
    <row r="23" spans="2:6" x14ac:dyDescent="0.2">
      <c r="B23" s="3"/>
      <c r="C23" s="3"/>
    </row>
    <row r="24" spans="2:6" x14ac:dyDescent="0.2">
      <c r="B24" s="3"/>
      <c r="C24" s="3"/>
    </row>
    <row r="25" spans="2:6" x14ac:dyDescent="0.2">
      <c r="D25" s="6"/>
      <c r="E25" s="6"/>
    </row>
    <row r="26" spans="2:6" x14ac:dyDescent="0.2">
      <c r="F26" s="3"/>
    </row>
    <row r="27" spans="2:6" x14ac:dyDescent="0.2">
      <c r="B27" s="4"/>
      <c r="C27" s="3"/>
      <c r="D27" s="6"/>
      <c r="E27" s="6"/>
    </row>
    <row r="28" spans="2:6" x14ac:dyDescent="0.2">
      <c r="B28" s="3"/>
      <c r="C28" s="3"/>
      <c r="D28" s="9"/>
      <c r="E28" s="3"/>
      <c r="F28" s="3"/>
    </row>
    <row r="29" spans="2:6" x14ac:dyDescent="0.2">
      <c r="B29" s="3"/>
      <c r="C29" s="3"/>
    </row>
    <row r="30" spans="2:6" x14ac:dyDescent="0.2">
      <c r="B30" s="3"/>
      <c r="C30" s="3"/>
    </row>
    <row r="31" spans="2:6" x14ac:dyDescent="0.2">
      <c r="B31" s="3"/>
      <c r="C31" s="3"/>
    </row>
    <row r="32" spans="2:6" x14ac:dyDescent="0.2">
      <c r="B32" s="3"/>
      <c r="C32" s="3"/>
    </row>
    <row r="33" spans="2:6" x14ac:dyDescent="0.2">
      <c r="B33" s="3"/>
      <c r="C33" s="3"/>
    </row>
    <row r="37" spans="2:6" x14ac:dyDescent="0.2">
      <c r="B37" s="3"/>
      <c r="C37" s="3"/>
      <c r="F37" s="3"/>
    </row>
    <row r="38" spans="2:6" x14ac:dyDescent="0.2">
      <c r="B38" s="4"/>
      <c r="C38"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58373"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58373" r:id="rId4" name="cmdRefreshUnits"/>
      </mc:Fallback>
    </mc:AlternateContent>
    <mc:AlternateContent xmlns:mc="http://schemas.openxmlformats.org/markup-compatibility/2006">
      <mc:Choice Requires="x14">
        <control shapeId="58372" r:id="rId6" name="cmdTCAPUnit">
          <controlPr defaultSize="0" autoLine="0" r:id="rId7">
            <anchor moveWithCells="1">
              <from>
                <xdr:col>4</xdr:col>
                <xdr:colOff>9525</xdr:colOff>
                <xdr:row>4</xdr:row>
                <xdr:rowOff>19050</xdr:rowOff>
              </from>
              <to>
                <xdr:col>4</xdr:col>
                <xdr:colOff>647700</xdr:colOff>
                <xdr:row>5</xdr:row>
                <xdr:rowOff>95250</xdr:rowOff>
              </to>
            </anchor>
          </controlPr>
        </control>
      </mc:Choice>
      <mc:Fallback>
        <control shapeId="58372" r:id="rId6" name="cmdTCAPUnit"/>
      </mc:Fallback>
    </mc:AlternateContent>
    <mc:AlternateContent xmlns:mc="http://schemas.openxmlformats.org/markup-compatibility/2006">
      <mc:Choice Requires="x14">
        <control shapeId="58371" r:id="rId8" name="cmdTACTUnit">
          <controlPr defaultSize="0" autoLine="0" r:id="rId9">
            <anchor moveWithCells="1">
              <from>
                <xdr:col>3</xdr:col>
                <xdr:colOff>9525</xdr:colOff>
                <xdr:row>4</xdr:row>
                <xdr:rowOff>19050</xdr:rowOff>
              </from>
              <to>
                <xdr:col>4</xdr:col>
                <xdr:colOff>0</xdr:colOff>
                <xdr:row>5</xdr:row>
                <xdr:rowOff>95250</xdr:rowOff>
              </to>
            </anchor>
          </controlPr>
        </control>
      </mc:Choice>
      <mc:Fallback>
        <control shapeId="58371" r:id="rId8" name="cmdTACTUnit"/>
      </mc:Fallback>
    </mc:AlternateContent>
    <mc:AlternateContent xmlns:mc="http://schemas.openxmlformats.org/markup-compatibility/2006">
      <mc:Choice Requires="x14">
        <control shapeId="58370"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58370" r:id="rId10" name="cmdCheckTechnologiesSheet"/>
      </mc:Fallback>
    </mc:AlternateContent>
    <mc:AlternateContent xmlns:mc="http://schemas.openxmlformats.org/markup-compatibility/2006">
      <mc:Choice Requires="x14">
        <control shapeId="58369"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58369" r:id="rId12" name="cmdTechnologySets"/>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28515625" customWidth="1"/>
    <col min="4" max="4" width="9.7109375" customWidth="1"/>
    <col min="5" max="5" width="9.85546875" customWidth="1"/>
    <col min="6" max="6" width="30.42578125" customWidth="1"/>
    <col min="7" max="7" width="10.42578125" customWidth="1"/>
  </cols>
  <sheetData>
    <row r="1" spans="1:12" x14ac:dyDescent="0.2">
      <c r="A1" s="1" t="s">
        <v>32</v>
      </c>
      <c r="B1" s="2"/>
    </row>
    <row r="4" spans="1:12" ht="18" customHeight="1" x14ac:dyDescent="0.2"/>
    <row r="7" spans="1:12" x14ac:dyDescent="0.2">
      <c r="B7" s="1" t="s">
        <v>24</v>
      </c>
      <c r="C7" s="1" t="s">
        <v>25</v>
      </c>
      <c r="D7" s="1" t="s">
        <v>19</v>
      </c>
      <c r="E7" s="1" t="s">
        <v>20</v>
      </c>
      <c r="F7" s="1" t="s">
        <v>21</v>
      </c>
      <c r="G7" s="1" t="s">
        <v>18</v>
      </c>
    </row>
    <row r="8" spans="1:12" x14ac:dyDescent="0.2">
      <c r="B8" s="1"/>
      <c r="C8" s="1"/>
      <c r="D8" s="1"/>
      <c r="E8" s="1"/>
      <c r="F8" s="1"/>
      <c r="G8" s="1"/>
    </row>
    <row r="9" spans="1:12" x14ac:dyDescent="0.2">
      <c r="D9" s="3"/>
      <c r="E9" s="3"/>
      <c r="F9" s="3"/>
    </row>
    <row r="10" spans="1:12" x14ac:dyDescent="0.2">
      <c r="F10" s="3"/>
    </row>
    <row r="11" spans="1:12" x14ac:dyDescent="0.2">
      <c r="B11" s="1"/>
      <c r="C11" s="1"/>
      <c r="D11" s="12"/>
      <c r="E11" s="12"/>
    </row>
    <row r="12" spans="1:12" x14ac:dyDescent="0.2">
      <c r="B12" s="8"/>
      <c r="C12" s="3"/>
      <c r="F12" s="12"/>
    </row>
    <row r="13" spans="1:12" x14ac:dyDescent="0.2">
      <c r="B13" s="3"/>
      <c r="C13" s="3"/>
    </row>
    <row r="14" spans="1:12" x14ac:dyDescent="0.2">
      <c r="B14" s="3"/>
      <c r="C14" s="3"/>
      <c r="D14" s="6"/>
      <c r="F14" s="3"/>
      <c r="L14" s="5"/>
    </row>
    <row r="15" spans="1:12" x14ac:dyDescent="0.2">
      <c r="B15" s="3"/>
      <c r="C15" s="3"/>
      <c r="E15" s="6"/>
      <c r="F15" s="3"/>
    </row>
    <row r="16" spans="1:12" x14ac:dyDescent="0.2">
      <c r="B16" s="3"/>
      <c r="C16" s="3"/>
      <c r="F16" s="3"/>
    </row>
    <row r="17" spans="2:6" x14ac:dyDescent="0.2">
      <c r="D17" s="6"/>
    </row>
    <row r="18" spans="2:6" x14ac:dyDescent="0.2">
      <c r="E18" s="6"/>
    </row>
    <row r="20" spans="2:6" x14ac:dyDescent="0.2">
      <c r="B20" s="3"/>
      <c r="C20" s="3"/>
      <c r="F20" s="9"/>
    </row>
    <row r="21" spans="2:6" x14ac:dyDescent="0.2">
      <c r="B21" s="3"/>
      <c r="C21" s="3"/>
    </row>
    <row r="22" spans="2:6" x14ac:dyDescent="0.2">
      <c r="B22" s="3"/>
      <c r="C22" s="3"/>
      <c r="D22" s="3"/>
      <c r="E22" s="3"/>
      <c r="F22" s="3"/>
    </row>
    <row r="23" spans="2:6" x14ac:dyDescent="0.2">
      <c r="B23" s="3"/>
      <c r="C23" s="3"/>
    </row>
    <row r="24" spans="2:6" x14ac:dyDescent="0.2">
      <c r="B24" s="3"/>
      <c r="C24" s="3"/>
    </row>
    <row r="25" spans="2:6" x14ac:dyDescent="0.2">
      <c r="D25" s="6"/>
      <c r="E25" s="6"/>
    </row>
    <row r="26" spans="2:6" x14ac:dyDescent="0.2">
      <c r="F26" s="3"/>
    </row>
    <row r="27" spans="2:6" x14ac:dyDescent="0.2">
      <c r="B27" s="4"/>
      <c r="C27" s="3"/>
      <c r="D27" s="6"/>
      <c r="E27" s="6"/>
    </row>
    <row r="28" spans="2:6" x14ac:dyDescent="0.2">
      <c r="B28" s="3"/>
      <c r="C28" s="3"/>
      <c r="D28" s="9"/>
      <c r="E28" s="3"/>
      <c r="F28" s="3"/>
    </row>
    <row r="29" spans="2:6" x14ac:dyDescent="0.2">
      <c r="B29" s="3"/>
      <c r="C29" s="3"/>
    </row>
    <row r="30" spans="2:6" x14ac:dyDescent="0.2">
      <c r="B30" s="3"/>
      <c r="C30" s="3"/>
    </row>
    <row r="31" spans="2:6" x14ac:dyDescent="0.2">
      <c r="B31" s="3"/>
      <c r="C31" s="3"/>
    </row>
    <row r="32" spans="2:6" x14ac:dyDescent="0.2">
      <c r="B32" s="3"/>
      <c r="C32" s="3"/>
    </row>
    <row r="33" spans="2:6" x14ac:dyDescent="0.2">
      <c r="B33" s="3"/>
      <c r="C33" s="3"/>
    </row>
    <row r="37" spans="2:6" x14ac:dyDescent="0.2">
      <c r="B37" s="3"/>
      <c r="C37" s="3"/>
      <c r="F37" s="3"/>
    </row>
    <row r="38" spans="2:6" x14ac:dyDescent="0.2">
      <c r="B38" s="4"/>
      <c r="C38"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1135"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1135" r:id="rId4" name="cmdRefreshUnits"/>
      </mc:Fallback>
    </mc:AlternateContent>
    <mc:AlternateContent xmlns:mc="http://schemas.openxmlformats.org/markup-compatibility/2006">
      <mc:Choice Requires="x14">
        <control shapeId="1036" r:id="rId6" name="cmdTCAPUnit">
          <controlPr defaultSize="0" autoLine="0" r:id="rId7">
            <anchor moveWithCells="1">
              <from>
                <xdr:col>4</xdr:col>
                <xdr:colOff>9525</xdr:colOff>
                <xdr:row>4</xdr:row>
                <xdr:rowOff>19050</xdr:rowOff>
              </from>
              <to>
                <xdr:col>4</xdr:col>
                <xdr:colOff>647700</xdr:colOff>
                <xdr:row>5</xdr:row>
                <xdr:rowOff>95250</xdr:rowOff>
              </to>
            </anchor>
          </controlPr>
        </control>
      </mc:Choice>
      <mc:Fallback>
        <control shapeId="1036" r:id="rId6" name="cmdTCAPUnit"/>
      </mc:Fallback>
    </mc:AlternateContent>
    <mc:AlternateContent xmlns:mc="http://schemas.openxmlformats.org/markup-compatibility/2006">
      <mc:Choice Requires="x14">
        <control shapeId="1035" r:id="rId8" name="cmdTACTUnit">
          <controlPr defaultSize="0" autoLine="0" r:id="rId9">
            <anchor moveWithCells="1">
              <from>
                <xdr:col>3</xdr:col>
                <xdr:colOff>9525</xdr:colOff>
                <xdr:row>4</xdr:row>
                <xdr:rowOff>19050</xdr:rowOff>
              </from>
              <to>
                <xdr:col>4</xdr:col>
                <xdr:colOff>0</xdr:colOff>
                <xdr:row>5</xdr:row>
                <xdr:rowOff>95250</xdr:rowOff>
              </to>
            </anchor>
          </controlPr>
        </control>
      </mc:Choice>
      <mc:Fallback>
        <control shapeId="1035" r:id="rId8" name="cmdTACTUnit"/>
      </mc:Fallback>
    </mc:AlternateContent>
    <mc:AlternateContent xmlns:mc="http://schemas.openxmlformats.org/markup-compatibility/2006">
      <mc:Choice Requires="x14">
        <control shapeId="1034"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1034" r:id="rId10" name="cmdCheckTechnologiesSheet"/>
      </mc:Fallback>
    </mc:AlternateContent>
    <mc:AlternateContent xmlns:mc="http://schemas.openxmlformats.org/markup-compatibility/2006">
      <mc:Choice Requires="x14">
        <control shapeId="1025"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1025" r:id="rId12" name="cmdTechnologySets"/>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85546875" customWidth="1"/>
    <col min="6" max="6" width="10.5703125" customWidth="1"/>
    <col min="7" max="7" width="9.85546875" customWidth="1"/>
    <col min="8" max="8" width="8.140625" customWidth="1"/>
    <col min="9" max="11" width="9.28515625" customWidth="1"/>
    <col min="12" max="12" width="12.5703125" customWidth="1"/>
    <col min="13" max="13" width="12.42578125" customWidth="1"/>
  </cols>
  <sheetData>
    <row r="1" spans="1:16" x14ac:dyDescent="0.2">
      <c r="A1" s="1" t="s">
        <v>35</v>
      </c>
      <c r="B1" s="2"/>
    </row>
    <row r="4" spans="1:16" ht="17.25" customHeight="1" x14ac:dyDescent="0.2"/>
    <row r="5" spans="1:16" ht="18" customHeight="1" x14ac:dyDescent="0.2">
      <c r="G5" s="3"/>
      <c r="H5" s="3"/>
      <c r="I5" s="3"/>
      <c r="J5" s="12"/>
      <c r="K5" s="12"/>
      <c r="L5" s="3"/>
      <c r="M5" s="10"/>
      <c r="N5" s="3"/>
      <c r="O5" s="10"/>
      <c r="P5" s="10"/>
    </row>
    <row r="6" spans="1:16" ht="17.25" customHeight="1" x14ac:dyDescent="0.2">
      <c r="G6" s="3"/>
      <c r="H6" s="3"/>
      <c r="I6" s="3"/>
      <c r="J6" s="3"/>
      <c r="K6" s="3"/>
      <c r="L6" s="3"/>
      <c r="M6" s="9"/>
      <c r="N6" s="3"/>
      <c r="O6" s="9"/>
    </row>
    <row r="7" spans="1:16" ht="15.75" customHeight="1" x14ac:dyDescent="0.2">
      <c r="B7" s="1" t="s">
        <v>24</v>
      </c>
      <c r="C7" s="1" t="s">
        <v>25</v>
      </c>
      <c r="D7" s="1" t="s">
        <v>26</v>
      </c>
      <c r="E7" s="1" t="s">
        <v>27</v>
      </c>
      <c r="F7" s="1" t="s">
        <v>28</v>
      </c>
      <c r="G7" s="3"/>
      <c r="H7" s="3"/>
      <c r="I7" s="3"/>
      <c r="J7" s="12"/>
      <c r="K7" s="3"/>
      <c r="L7" s="3"/>
      <c r="M7" s="9"/>
      <c r="N7" s="3"/>
      <c r="P7" s="9"/>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62471" r:id="rId4" name="cmdRefreshUnits">
          <controlPr defaultSize="0" autoLine="0" r:id="rId5">
            <anchor moveWithCells="1">
              <from>
                <xdr:col>3</xdr:col>
                <xdr:colOff>0</xdr:colOff>
                <xdr:row>2</xdr:row>
                <xdr:rowOff>19050</xdr:rowOff>
              </from>
              <to>
                <xdr:col>4</xdr:col>
                <xdr:colOff>28575</xdr:colOff>
                <xdr:row>4</xdr:row>
                <xdr:rowOff>9525</xdr:rowOff>
              </to>
            </anchor>
          </controlPr>
        </control>
      </mc:Choice>
      <mc:Fallback>
        <control shapeId="62471" r:id="rId4" name="cmdRefreshUnits"/>
      </mc:Fallback>
    </mc:AlternateContent>
    <mc:AlternateContent xmlns:mc="http://schemas.openxmlformats.org/markup-compatibility/2006">
      <mc:Choice Requires="x14">
        <control shapeId="62470"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62470" r:id="rId6" name="cmdCheckTechDataSheet"/>
      </mc:Fallback>
    </mc:AlternateContent>
    <mc:AlternateContent xmlns:mc="http://schemas.openxmlformats.org/markup-compatibility/2006">
      <mc:Choice Requires="x14">
        <control shapeId="62469"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62469" r:id="rId8" name="cmdAddParamQualifier"/>
      </mc:Fallback>
    </mc:AlternateContent>
    <mc:AlternateContent xmlns:mc="http://schemas.openxmlformats.org/markup-compatibility/2006">
      <mc:Choice Requires="x14">
        <control shapeId="62468" r:id="rId10" name="cmdAddParameter">
          <controlPr defaultSize="0" autoLine="0" r:id="rId11">
            <anchor moveWithCells="1">
              <from>
                <xdr:col>0</xdr:col>
                <xdr:colOff>9525</xdr:colOff>
                <xdr:row>3</xdr:row>
                <xdr:rowOff>200025</xdr:rowOff>
              </from>
              <to>
                <xdr:col>1</xdr:col>
                <xdr:colOff>9525</xdr:colOff>
                <xdr:row>4</xdr:row>
                <xdr:rowOff>219075</xdr:rowOff>
              </to>
            </anchor>
          </controlPr>
        </control>
      </mc:Choice>
      <mc:Fallback>
        <control shapeId="62468" r:id="rId10" name="cmdAddParameter"/>
      </mc:Fallback>
    </mc:AlternateContent>
    <mc:AlternateContent xmlns:mc="http://schemas.openxmlformats.org/markup-compatibility/2006">
      <mc:Choice Requires="x14">
        <control shapeId="62467"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62467" r:id="rId12" name="cmdCommOUT"/>
      </mc:Fallback>
    </mc:AlternateContent>
    <mc:AlternateContent xmlns:mc="http://schemas.openxmlformats.org/markup-compatibility/2006">
      <mc:Choice Requires="x14">
        <control shapeId="62466"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62466" r:id="rId14" name="cmdCommIN"/>
      </mc:Fallback>
    </mc:AlternateContent>
    <mc:AlternateContent xmlns:mc="http://schemas.openxmlformats.org/markup-compatibility/2006">
      <mc:Choice Requires="x14">
        <control shapeId="62465"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62465" r:id="rId16" name="cmdTechNameAndDesc"/>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2"/>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140625" bestFit="1" customWidth="1"/>
  </cols>
  <sheetData>
    <row r="1" spans="1:8" x14ac:dyDescent="0.2">
      <c r="A1" s="1" t="s">
        <v>34</v>
      </c>
      <c r="B1" s="2"/>
    </row>
    <row r="3" spans="1:8" ht="15" customHeight="1" x14ac:dyDescent="0.2"/>
    <row r="4" spans="1:8" ht="20.25" customHeight="1" x14ac:dyDescent="0.2"/>
    <row r="5" spans="1:8" ht="19.5" customHeight="1" x14ac:dyDescent="0.2">
      <c r="E5" s="3"/>
      <c r="F5" s="3"/>
      <c r="G5" s="12"/>
      <c r="H5" s="12"/>
    </row>
    <row r="6" spans="1:8" ht="19.5" customHeight="1" x14ac:dyDescent="0.2">
      <c r="E6" s="9"/>
      <c r="F6" s="9"/>
      <c r="G6" s="12"/>
      <c r="H6" s="12"/>
    </row>
    <row r="7" spans="1:8" x14ac:dyDescent="0.2">
      <c r="B7" s="1" t="s">
        <v>22</v>
      </c>
      <c r="C7" s="1" t="s">
        <v>23</v>
      </c>
      <c r="D7" s="1" t="s">
        <v>26</v>
      </c>
      <c r="E7" s="11"/>
      <c r="F7" s="7"/>
      <c r="G7" s="7"/>
      <c r="H7" s="12"/>
    </row>
    <row r="9" spans="1:8" x14ac:dyDescent="0.2">
      <c r="B9" s="9"/>
      <c r="C9" s="9"/>
      <c r="D9" s="9"/>
    </row>
    <row r="10" spans="1:8" x14ac:dyDescent="0.2">
      <c r="B10" s="9"/>
      <c r="C10" s="9"/>
      <c r="D10" s="9"/>
    </row>
    <row r="13" spans="1:8" x14ac:dyDescent="0.2">
      <c r="B13" s="9"/>
      <c r="C13" s="9"/>
      <c r="D13" s="9"/>
    </row>
    <row r="15" spans="1:8" x14ac:dyDescent="0.2">
      <c r="B15" s="9"/>
      <c r="C15" s="9"/>
      <c r="D15" s="9"/>
    </row>
    <row r="17" spans="2:4" x14ac:dyDescent="0.2">
      <c r="B17" s="9"/>
      <c r="C17" s="9"/>
      <c r="D17" s="9"/>
    </row>
    <row r="19" spans="2:4" x14ac:dyDescent="0.2">
      <c r="B19" s="9"/>
      <c r="C19" s="9"/>
      <c r="D19" s="9"/>
    </row>
    <row r="21" spans="2:4" x14ac:dyDescent="0.2">
      <c r="B21" s="9"/>
      <c r="C21" s="9"/>
      <c r="D21" s="9"/>
    </row>
    <row r="23" spans="2:4" x14ac:dyDescent="0.2">
      <c r="B23" s="9"/>
      <c r="C23" s="9"/>
      <c r="D23" s="9"/>
    </row>
  </sheetData>
  <phoneticPr fontId="0" type="noConversion"/>
  <conditionalFormatting sqref="B13">
    <cfRule type="cellIs" dxfId="1" priority="1" stopIfTrue="1" operator="equal">
      <formula>"REF"</formula>
    </cfRule>
  </conditionalFormatting>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61445"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61445" r:id="rId4" name="cmdRefreshUnits"/>
      </mc:Fallback>
    </mc:AlternateContent>
    <mc:AlternateContent xmlns:mc="http://schemas.openxmlformats.org/markup-compatibility/2006">
      <mc:Choice Requires="x14">
        <control shapeId="61444" r:id="rId6" name="cmdCheckCommDataSheet">
          <controlPr defaultSize="0" autoLine="0" r:id="rId7">
            <anchor moveWithCells="1">
              <from>
                <xdr:col>0</xdr:col>
                <xdr:colOff>9525</xdr:colOff>
                <xdr:row>3</xdr:row>
                <xdr:rowOff>19050</xdr:rowOff>
              </from>
              <to>
                <xdr:col>0</xdr:col>
                <xdr:colOff>695325</xdr:colOff>
                <xdr:row>4</xdr:row>
                <xdr:rowOff>0</xdr:rowOff>
              </to>
            </anchor>
          </controlPr>
        </control>
      </mc:Choice>
      <mc:Fallback>
        <control shapeId="61444" r:id="rId6" name="cmdCheckCommDataSheet"/>
      </mc:Fallback>
    </mc:AlternateContent>
    <mc:AlternateContent xmlns:mc="http://schemas.openxmlformats.org/markup-compatibility/2006">
      <mc:Choice Requires="x14">
        <control shapeId="61443"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61443" r:id="rId8" name="cmdAddParamQualifier"/>
      </mc:Fallback>
    </mc:AlternateContent>
    <mc:AlternateContent xmlns:mc="http://schemas.openxmlformats.org/markup-compatibility/2006">
      <mc:Choice Requires="x14">
        <control shapeId="61442"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61442" r:id="rId10" name="cmdCommNameAndDesc"/>
      </mc:Fallback>
    </mc:AlternateContent>
    <mc:AlternateContent xmlns:mc="http://schemas.openxmlformats.org/markup-compatibility/2006">
      <mc:Choice Requires="x14">
        <control shapeId="61441"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61441" r:id="rId12" name="cmdAddParameter"/>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1"/>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140625" customWidth="1"/>
    <col min="6" max="6" width="10.28515625" customWidth="1"/>
  </cols>
  <sheetData>
    <row r="1" spans="1:6" x14ac:dyDescent="0.2">
      <c r="A1" s="1" t="s">
        <v>33</v>
      </c>
      <c r="B1" s="2"/>
    </row>
    <row r="4" spans="1:6" ht="18.75" customHeight="1" x14ac:dyDescent="0.2"/>
    <row r="5" spans="1:6" ht="17.25" customHeight="1" x14ac:dyDescent="0.2">
      <c r="C5" s="3"/>
    </row>
    <row r="6" spans="1:6" ht="15.75" customHeight="1" x14ac:dyDescent="0.2"/>
    <row r="7" spans="1:6" x14ac:dyDescent="0.2">
      <c r="B7" s="4" t="s">
        <v>29</v>
      </c>
      <c r="C7" s="1" t="s">
        <v>30</v>
      </c>
      <c r="D7" s="1" t="s">
        <v>26</v>
      </c>
      <c r="E7" s="1" t="s">
        <v>21</v>
      </c>
      <c r="F7" s="1" t="s">
        <v>18</v>
      </c>
    </row>
    <row r="8" spans="1:6" x14ac:dyDescent="0.2">
      <c r="B8" s="1"/>
      <c r="C8" s="1"/>
      <c r="D8" s="1"/>
      <c r="E8" s="3"/>
      <c r="F8" s="1"/>
    </row>
    <row r="10" spans="1:6" x14ac:dyDescent="0.2">
      <c r="B10" s="3"/>
      <c r="C10" s="3"/>
      <c r="D10" s="12"/>
      <c r="E10" s="12"/>
    </row>
    <row r="11" spans="1:6" x14ac:dyDescent="0.2">
      <c r="B11" s="3"/>
      <c r="C11" s="3"/>
    </row>
    <row r="12" spans="1:6" x14ac:dyDescent="0.2">
      <c r="B12" s="3"/>
      <c r="C12" s="3"/>
      <c r="D12" s="3"/>
      <c r="E12" s="3"/>
    </row>
    <row r="13" spans="1:6" x14ac:dyDescent="0.2">
      <c r="B13" s="3"/>
      <c r="C13" s="3"/>
      <c r="D13" s="6"/>
      <c r="E13" s="3"/>
    </row>
    <row r="14" spans="1:6" x14ac:dyDescent="0.2">
      <c r="B14" s="3"/>
      <c r="C14" s="3"/>
      <c r="D14" s="3"/>
      <c r="E14" s="3"/>
    </row>
    <row r="15" spans="1:6" x14ac:dyDescent="0.2">
      <c r="B15" s="3"/>
      <c r="C15" s="3"/>
      <c r="E15" s="3"/>
    </row>
    <row r="16" spans="1:6" x14ac:dyDescent="0.2">
      <c r="B16" s="3"/>
      <c r="C16" s="3"/>
    </row>
    <row r="17" spans="2:5" x14ac:dyDescent="0.2">
      <c r="B17" s="3"/>
      <c r="C17" s="3"/>
      <c r="D17" s="6"/>
      <c r="E17" s="3"/>
    </row>
    <row r="18" spans="2:5" x14ac:dyDescent="0.2">
      <c r="B18" s="4"/>
      <c r="C18" s="3"/>
      <c r="E18" s="3"/>
    </row>
    <row r="19" spans="2:5" x14ac:dyDescent="0.2">
      <c r="E19" s="3"/>
    </row>
    <row r="21" spans="2:5" x14ac:dyDescent="0.2">
      <c r="B21" s="3"/>
      <c r="C21" s="3"/>
      <c r="D21" s="3"/>
      <c r="E21" s="3"/>
    </row>
    <row r="22" spans="2:5" x14ac:dyDescent="0.2">
      <c r="B22" s="3"/>
      <c r="C22" s="3"/>
    </row>
    <row r="23" spans="2:5" x14ac:dyDescent="0.2">
      <c r="B23" s="3"/>
      <c r="C23" s="3"/>
      <c r="E23" s="3"/>
    </row>
    <row r="24" spans="2:5" x14ac:dyDescent="0.2">
      <c r="D24" s="3"/>
      <c r="E24"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60420" r:id="rId4" name="cmdRefreshUnits">
          <controlPr defaultSize="0" autoLine="0" r:id="rId5">
            <anchor moveWithCells="1">
              <from>
                <xdr:col>3</xdr:col>
                <xdr:colOff>19050</xdr:colOff>
                <xdr:row>2</xdr:row>
                <xdr:rowOff>47625</xdr:rowOff>
              </from>
              <to>
                <xdr:col>3</xdr:col>
                <xdr:colOff>571500</xdr:colOff>
                <xdr:row>4</xdr:row>
                <xdr:rowOff>19050</xdr:rowOff>
              </to>
            </anchor>
          </controlPr>
        </control>
      </mc:Choice>
      <mc:Fallback>
        <control shapeId="60420" r:id="rId4" name="cmdRefreshUnits"/>
      </mc:Fallback>
    </mc:AlternateContent>
    <mc:AlternateContent xmlns:mc="http://schemas.openxmlformats.org/markup-compatibility/2006">
      <mc:Choice Requires="x14">
        <control shapeId="60419" r:id="rId6" name="cmdConstraintUnit">
          <controlPr defaultSize="0" autoLine="0" r:id="rId7">
            <anchor moveWithCells="1">
              <from>
                <xdr:col>3</xdr:col>
                <xdr:colOff>19050</xdr:colOff>
                <xdr:row>4</xdr:row>
                <xdr:rowOff>9525</xdr:rowOff>
              </from>
              <to>
                <xdr:col>3</xdr:col>
                <xdr:colOff>571500</xdr:colOff>
                <xdr:row>5</xdr:row>
                <xdr:rowOff>28575</xdr:rowOff>
              </to>
            </anchor>
          </controlPr>
        </control>
      </mc:Choice>
      <mc:Fallback>
        <control shapeId="60419" r:id="rId6" name="cmdConstraintUnit"/>
      </mc:Fallback>
    </mc:AlternateContent>
    <mc:AlternateContent xmlns:mc="http://schemas.openxmlformats.org/markup-compatibility/2006">
      <mc:Choice Requires="x14">
        <control shapeId="60418"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60418" r:id="rId8" name="cmdCheckConstraintsSheet"/>
      </mc:Fallback>
    </mc:AlternateContent>
    <mc:AlternateContent xmlns:mc="http://schemas.openxmlformats.org/markup-compatibility/2006">
      <mc:Choice Requires="x14">
        <control shapeId="60417"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60417" r:id="rId10" name="cmdConstraintSets"/>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140625" customWidth="1"/>
    <col min="6" max="6" width="10.28515625" customWidth="1"/>
  </cols>
  <sheetData>
    <row r="1" spans="1:6" x14ac:dyDescent="0.2">
      <c r="A1" s="1" t="s">
        <v>33</v>
      </c>
      <c r="B1" s="2"/>
    </row>
    <row r="4" spans="1:6" ht="18.75" customHeight="1" x14ac:dyDescent="0.2"/>
    <row r="5" spans="1:6" ht="17.25" customHeight="1" x14ac:dyDescent="0.2">
      <c r="C5" s="3"/>
    </row>
    <row r="6" spans="1:6" ht="15.75" customHeight="1" x14ac:dyDescent="0.2"/>
    <row r="7" spans="1:6" x14ac:dyDescent="0.2">
      <c r="B7" s="4" t="s">
        <v>29</v>
      </c>
      <c r="C7" s="1" t="s">
        <v>30</v>
      </c>
      <c r="D7" s="1" t="s">
        <v>26</v>
      </c>
      <c r="E7" s="1" t="s">
        <v>21</v>
      </c>
      <c r="F7" s="1" t="s">
        <v>18</v>
      </c>
    </row>
    <row r="8" spans="1:6" x14ac:dyDescent="0.2">
      <c r="B8" s="1"/>
      <c r="C8" s="1"/>
      <c r="D8" s="1"/>
      <c r="E8" s="3"/>
      <c r="F8" s="1"/>
    </row>
    <row r="10" spans="1:6" x14ac:dyDescent="0.2">
      <c r="B10" s="3"/>
      <c r="C10" s="3"/>
      <c r="D10" s="12"/>
      <c r="E10" s="12"/>
    </row>
    <row r="11" spans="1:6" x14ac:dyDescent="0.2">
      <c r="B11" s="3"/>
      <c r="C11" s="3"/>
    </row>
    <row r="12" spans="1:6" x14ac:dyDescent="0.2">
      <c r="B12" s="3"/>
      <c r="C12" s="3"/>
      <c r="D12" s="3"/>
      <c r="E12" s="3"/>
    </row>
    <row r="13" spans="1:6" x14ac:dyDescent="0.2">
      <c r="B13" s="3"/>
      <c r="C13" s="3"/>
      <c r="D13" s="6"/>
      <c r="E13" s="3"/>
    </row>
    <row r="14" spans="1:6" x14ac:dyDescent="0.2">
      <c r="B14" s="3"/>
      <c r="C14" s="3"/>
      <c r="D14" s="3"/>
      <c r="E14" s="3"/>
    </row>
    <row r="15" spans="1:6" x14ac:dyDescent="0.2">
      <c r="B15" s="3"/>
      <c r="C15" s="3"/>
      <c r="E15" s="3"/>
    </row>
    <row r="16" spans="1:6" x14ac:dyDescent="0.2">
      <c r="B16" s="3"/>
      <c r="C16" s="3"/>
    </row>
    <row r="17" spans="2:5" x14ac:dyDescent="0.2">
      <c r="B17" s="3"/>
      <c r="C17" s="3"/>
      <c r="D17" s="6"/>
      <c r="E17" s="3"/>
    </row>
    <row r="18" spans="2:5" x14ac:dyDescent="0.2">
      <c r="B18" s="4"/>
      <c r="C18" s="3"/>
      <c r="E18" s="3"/>
    </row>
    <row r="19" spans="2:5" x14ac:dyDescent="0.2">
      <c r="E19" s="3"/>
    </row>
    <row r="21" spans="2:5" x14ac:dyDescent="0.2">
      <c r="B21" s="3"/>
      <c r="C21" s="3"/>
      <c r="D21" s="3"/>
      <c r="E21" s="3"/>
    </row>
    <row r="22" spans="2:5" x14ac:dyDescent="0.2">
      <c r="B22" s="3"/>
      <c r="C22" s="3"/>
    </row>
    <row r="23" spans="2:5" x14ac:dyDescent="0.2">
      <c r="B23" s="3"/>
      <c r="C23" s="3"/>
      <c r="E23" s="3"/>
    </row>
    <row r="24" spans="2:5" x14ac:dyDescent="0.2">
      <c r="D24" s="3"/>
      <c r="E24"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10359" r:id="rId4" name="cmdRefreshUnits">
          <controlPr defaultSize="0" autoLine="0" r:id="rId5">
            <anchor moveWithCells="1">
              <from>
                <xdr:col>3</xdr:col>
                <xdr:colOff>19050</xdr:colOff>
                <xdr:row>2</xdr:row>
                <xdr:rowOff>47625</xdr:rowOff>
              </from>
              <to>
                <xdr:col>3</xdr:col>
                <xdr:colOff>571500</xdr:colOff>
                <xdr:row>4</xdr:row>
                <xdr:rowOff>19050</xdr:rowOff>
              </to>
            </anchor>
          </controlPr>
        </control>
      </mc:Choice>
      <mc:Fallback>
        <control shapeId="10359" r:id="rId4" name="cmdRefreshUnits"/>
      </mc:Fallback>
    </mc:AlternateContent>
    <mc:AlternateContent xmlns:mc="http://schemas.openxmlformats.org/markup-compatibility/2006">
      <mc:Choice Requires="x14">
        <control shapeId="10247" r:id="rId6" name="cmdConstraintUnit">
          <controlPr defaultSize="0" autoLine="0" r:id="rId7">
            <anchor moveWithCells="1">
              <from>
                <xdr:col>3</xdr:col>
                <xdr:colOff>19050</xdr:colOff>
                <xdr:row>4</xdr:row>
                <xdr:rowOff>9525</xdr:rowOff>
              </from>
              <to>
                <xdr:col>3</xdr:col>
                <xdr:colOff>571500</xdr:colOff>
                <xdr:row>5</xdr:row>
                <xdr:rowOff>28575</xdr:rowOff>
              </to>
            </anchor>
          </controlPr>
        </control>
      </mc:Choice>
      <mc:Fallback>
        <control shapeId="10247" r:id="rId6" name="cmdConstraintUnit"/>
      </mc:Fallback>
    </mc:AlternateContent>
    <mc:AlternateContent xmlns:mc="http://schemas.openxmlformats.org/markup-compatibility/2006">
      <mc:Choice Requires="x14">
        <control shapeId="10246"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10246" r:id="rId8" name="cmdCheckConstraintsSheet"/>
      </mc:Fallback>
    </mc:AlternateContent>
    <mc:AlternateContent xmlns:mc="http://schemas.openxmlformats.org/markup-compatibility/2006">
      <mc:Choice Requires="x14">
        <control shapeId="10242"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10242" r:id="rId10" name="cmdConstraintSets"/>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140625" bestFit="1" customWidth="1"/>
  </cols>
  <sheetData>
    <row r="1" spans="1:8" x14ac:dyDescent="0.2">
      <c r="A1" s="1" t="s">
        <v>34</v>
      </c>
      <c r="B1" s="2"/>
    </row>
    <row r="3" spans="1:8" ht="15" customHeight="1" x14ac:dyDescent="0.2"/>
    <row r="4" spans="1:8" ht="20.25" customHeight="1" x14ac:dyDescent="0.2"/>
    <row r="5" spans="1:8" ht="19.5" customHeight="1" x14ac:dyDescent="0.2">
      <c r="E5" s="3"/>
      <c r="F5" s="3"/>
      <c r="G5" s="12"/>
      <c r="H5" s="12"/>
    </row>
    <row r="6" spans="1:8" ht="19.5" customHeight="1" x14ac:dyDescent="0.2">
      <c r="E6" s="9"/>
      <c r="F6" s="9"/>
      <c r="G6" s="12"/>
      <c r="H6" s="12"/>
    </row>
    <row r="7" spans="1:8" x14ac:dyDescent="0.2">
      <c r="B7" s="1" t="s">
        <v>22</v>
      </c>
      <c r="C7" s="1" t="s">
        <v>23</v>
      </c>
      <c r="D7" s="1" t="s">
        <v>26</v>
      </c>
      <c r="E7" s="11"/>
      <c r="F7" s="7"/>
      <c r="G7" s="7"/>
      <c r="H7" s="12"/>
    </row>
    <row r="9" spans="1:8" x14ac:dyDescent="0.2">
      <c r="B9" s="9"/>
      <c r="C9" s="9"/>
      <c r="D9" s="9"/>
    </row>
    <row r="10" spans="1:8" x14ac:dyDescent="0.2">
      <c r="B10" s="9"/>
      <c r="C10" s="9"/>
      <c r="D10" s="9"/>
    </row>
    <row r="13" spans="1:8" x14ac:dyDescent="0.2">
      <c r="B13" s="9"/>
      <c r="C13" s="9"/>
      <c r="D13" s="9"/>
    </row>
    <row r="15" spans="1:8" x14ac:dyDescent="0.2">
      <c r="B15" s="9"/>
      <c r="C15" s="9"/>
      <c r="D15" s="9"/>
    </row>
    <row r="17" spans="2:4" x14ac:dyDescent="0.2">
      <c r="B17" s="9"/>
      <c r="C17" s="9"/>
      <c r="D17" s="9"/>
    </row>
    <row r="19" spans="2:4" x14ac:dyDescent="0.2">
      <c r="B19" s="9"/>
      <c r="C19" s="9"/>
      <c r="D19" s="9"/>
    </row>
    <row r="21" spans="2:4" x14ac:dyDescent="0.2">
      <c r="B21" s="9"/>
      <c r="C21" s="9"/>
      <c r="D21" s="9"/>
    </row>
    <row r="23" spans="2:4" x14ac:dyDescent="0.2">
      <c r="B23" s="9"/>
      <c r="C23" s="9"/>
      <c r="D23" s="9"/>
    </row>
  </sheetData>
  <phoneticPr fontId="0" type="noConversion"/>
  <conditionalFormatting sqref="B13">
    <cfRule type="cellIs" dxfId="0" priority="1" stopIfTrue="1" operator="equal">
      <formula>"REF"</formula>
    </cfRule>
  </conditionalFormatting>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4299"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4299" r:id="rId4" name="cmdRefreshUnits"/>
      </mc:Fallback>
    </mc:AlternateContent>
    <mc:AlternateContent xmlns:mc="http://schemas.openxmlformats.org/markup-compatibility/2006">
      <mc:Choice Requires="x14">
        <control shapeId="4106" r:id="rId6" name="cmdCheckCommDataSheet">
          <controlPr defaultSize="0" autoLine="0" r:id="rId7">
            <anchor moveWithCells="1">
              <from>
                <xdr:col>0</xdr:col>
                <xdr:colOff>9525</xdr:colOff>
                <xdr:row>3</xdr:row>
                <xdr:rowOff>19050</xdr:rowOff>
              </from>
              <to>
                <xdr:col>0</xdr:col>
                <xdr:colOff>695325</xdr:colOff>
                <xdr:row>4</xdr:row>
                <xdr:rowOff>0</xdr:rowOff>
              </to>
            </anchor>
          </controlPr>
        </control>
      </mc:Choice>
      <mc:Fallback>
        <control shapeId="4106" r:id="rId6" name="cmdCheckCommDataSheet"/>
      </mc:Fallback>
    </mc:AlternateContent>
    <mc:AlternateContent xmlns:mc="http://schemas.openxmlformats.org/markup-compatibility/2006">
      <mc:Choice Requires="x14">
        <control shapeId="4100"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098"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4098" r:id="rId10" name="cmdCommNameAndDesc"/>
      </mc:Fallback>
    </mc:AlternateContent>
    <mc:AlternateContent xmlns:mc="http://schemas.openxmlformats.org/markup-compatibility/2006">
      <mc:Choice Requires="x14">
        <control shapeId="4097"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4097" r:id="rId12" name="cmdAddParameter"/>
      </mc:Fallback>
    </mc:AlternateContent>
  </control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85546875" customWidth="1"/>
    <col min="6" max="6" width="10.5703125" customWidth="1"/>
    <col min="7" max="7" width="9.85546875" customWidth="1"/>
    <col min="8" max="8" width="8.140625" customWidth="1"/>
    <col min="9" max="11" width="9.28515625" customWidth="1"/>
    <col min="12" max="12" width="12.5703125" customWidth="1"/>
    <col min="13" max="13" width="12.42578125" customWidth="1"/>
  </cols>
  <sheetData>
    <row r="1" spans="1:16" x14ac:dyDescent="0.2">
      <c r="A1" s="1" t="s">
        <v>35</v>
      </c>
      <c r="B1" s="2"/>
    </row>
    <row r="4" spans="1:16" ht="17.25" customHeight="1" x14ac:dyDescent="0.2"/>
    <row r="5" spans="1:16" ht="18" customHeight="1" x14ac:dyDescent="0.2">
      <c r="G5" s="3"/>
      <c r="H5" s="3"/>
      <c r="I5" s="3"/>
      <c r="J5" s="12"/>
      <c r="K5" s="12"/>
      <c r="L5" s="3"/>
      <c r="M5" s="10"/>
      <c r="N5" s="3"/>
      <c r="O5" s="10"/>
      <c r="P5" s="10"/>
    </row>
    <row r="6" spans="1:16" ht="17.25" customHeight="1" x14ac:dyDescent="0.2">
      <c r="G6" s="3"/>
      <c r="H6" s="3"/>
      <c r="I6" s="3"/>
      <c r="J6" s="3"/>
      <c r="K6" s="3"/>
      <c r="L6" s="3"/>
      <c r="M6" s="9"/>
      <c r="N6" s="3"/>
      <c r="O6" s="9"/>
    </row>
    <row r="7" spans="1:16" ht="15.75" customHeight="1" x14ac:dyDescent="0.2">
      <c r="B7" s="1" t="s">
        <v>24</v>
      </c>
      <c r="C7" s="1" t="s">
        <v>25</v>
      </c>
      <c r="D7" s="1" t="s">
        <v>26</v>
      </c>
      <c r="E7" s="1" t="s">
        <v>27</v>
      </c>
      <c r="F7" s="1" t="s">
        <v>28</v>
      </c>
      <c r="G7" s="3"/>
      <c r="H7" s="3"/>
      <c r="I7" s="3"/>
      <c r="J7" s="12"/>
      <c r="K7" s="3"/>
      <c r="L7" s="3"/>
      <c r="M7" s="9"/>
      <c r="N7" s="3"/>
      <c r="P7" s="9"/>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3112" r:id="rId4" name="cmdRefreshUnits">
          <controlPr defaultSize="0" autoLine="0" r:id="rId5">
            <anchor moveWithCells="1">
              <from>
                <xdr:col>3</xdr:col>
                <xdr:colOff>0</xdr:colOff>
                <xdr:row>2</xdr:row>
                <xdr:rowOff>19050</xdr:rowOff>
              </from>
              <to>
                <xdr:col>4</xdr:col>
                <xdr:colOff>28575</xdr:colOff>
                <xdr:row>4</xdr:row>
                <xdr:rowOff>9525</xdr:rowOff>
              </to>
            </anchor>
          </controlPr>
        </control>
      </mc:Choice>
      <mc:Fallback>
        <control shapeId="3112" r:id="rId4" name="cmdRefreshUnits"/>
      </mc:Fallback>
    </mc:AlternateContent>
    <mc:AlternateContent xmlns:mc="http://schemas.openxmlformats.org/markup-compatibility/2006">
      <mc:Choice Requires="x14">
        <control shapeId="3080"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3080" r:id="rId6" name="cmdCheckTechDataSheet"/>
      </mc:Fallback>
    </mc:AlternateContent>
    <mc:AlternateContent xmlns:mc="http://schemas.openxmlformats.org/markup-compatibility/2006">
      <mc:Choice Requires="x14">
        <control shapeId="3079"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3079" r:id="rId8" name="cmdAddParamQualifier"/>
      </mc:Fallback>
    </mc:AlternateContent>
    <mc:AlternateContent xmlns:mc="http://schemas.openxmlformats.org/markup-compatibility/2006">
      <mc:Choice Requires="x14">
        <control shapeId="3077" r:id="rId10" name="cmdAddParameter">
          <controlPr defaultSize="0" autoLine="0" r:id="rId11">
            <anchor moveWithCells="1">
              <from>
                <xdr:col>0</xdr:col>
                <xdr:colOff>9525</xdr:colOff>
                <xdr:row>3</xdr:row>
                <xdr:rowOff>200025</xdr:rowOff>
              </from>
              <to>
                <xdr:col>1</xdr:col>
                <xdr:colOff>9525</xdr:colOff>
                <xdr:row>4</xdr:row>
                <xdr:rowOff>219075</xdr:rowOff>
              </to>
            </anchor>
          </controlPr>
        </control>
      </mc:Choice>
      <mc:Fallback>
        <control shapeId="3077" r:id="rId10" name="cmdAddParameter"/>
      </mc:Fallback>
    </mc:AlternateContent>
    <mc:AlternateContent xmlns:mc="http://schemas.openxmlformats.org/markup-compatibility/2006">
      <mc:Choice Requires="x14">
        <control shapeId="3076"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3076" r:id="rId12" name="cmdCommOUT"/>
      </mc:Fallback>
    </mc:AlternateContent>
    <mc:AlternateContent xmlns:mc="http://schemas.openxmlformats.org/markup-compatibility/2006">
      <mc:Choice Requires="x14">
        <control shapeId="3075"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3075" r:id="rId14" name="cmdCommIN"/>
      </mc:Fallback>
    </mc:AlternateContent>
    <mc:AlternateContent xmlns:mc="http://schemas.openxmlformats.org/markup-compatibility/2006">
      <mc:Choice Requires="x14">
        <control shapeId="3074"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3074" r:id="rId16" name="cmdTechNameAndDesc"/>
      </mc:Fallback>
    </mc:AlternateContent>
  </control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36</v>
      </c>
      <c r="B1" s="2"/>
    </row>
    <row r="4" spans="1:5" ht="17.25" customHeight="1" x14ac:dyDescent="0.2"/>
    <row r="5" spans="1:5" ht="18" customHeight="1" x14ac:dyDescent="0.2"/>
    <row r="6" spans="1:5" ht="17.25" customHeight="1" x14ac:dyDescent="0.2"/>
    <row r="7" spans="1:5" ht="15.75" customHeight="1" x14ac:dyDescent="0.2">
      <c r="B7" s="1" t="s">
        <v>29</v>
      </c>
      <c r="C7" s="1" t="s">
        <v>30</v>
      </c>
      <c r="D7" s="1" t="s">
        <v>26</v>
      </c>
      <c r="E7" s="1" t="s">
        <v>24</v>
      </c>
    </row>
    <row r="8" spans="1:5" x14ac:dyDescent="0.2">
      <c r="B8" s="3"/>
      <c r="E8" s="3"/>
    </row>
    <row r="9" spans="1:5" x14ac:dyDescent="0.2">
      <c r="B9" s="8"/>
      <c r="E9" s="3"/>
    </row>
    <row r="10" spans="1:5" x14ac:dyDescent="0.2">
      <c r="B10" s="8"/>
      <c r="E10" s="3"/>
    </row>
    <row r="11" spans="1:5" x14ac:dyDescent="0.2">
      <c r="B11" s="8"/>
      <c r="E11" s="3"/>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65542" r:id="rId4" name="cmdRefreshUnits">
          <controlPr defaultSize="0" autoLine="0" r:id="rId5">
            <anchor moveWithCells="1">
              <from>
                <xdr:col>2</xdr:col>
                <xdr:colOff>1009650</xdr:colOff>
                <xdr:row>2</xdr:row>
                <xdr:rowOff>28575</xdr:rowOff>
              </from>
              <to>
                <xdr:col>4</xdr:col>
                <xdr:colOff>0</xdr:colOff>
                <xdr:row>4</xdr:row>
                <xdr:rowOff>19050</xdr:rowOff>
              </to>
            </anchor>
          </controlPr>
        </control>
      </mc:Choice>
      <mc:Fallback>
        <control shapeId="65542" r:id="rId4" name="cmdRefreshUnits"/>
      </mc:Fallback>
    </mc:AlternateContent>
    <mc:AlternateContent xmlns:mc="http://schemas.openxmlformats.org/markup-compatibility/2006">
      <mc:Choice Requires="x14">
        <control shapeId="65541"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65541" r:id="rId6" name="cmdAddParamQualifier"/>
      </mc:Fallback>
    </mc:AlternateContent>
    <mc:AlternateContent xmlns:mc="http://schemas.openxmlformats.org/markup-compatibility/2006">
      <mc:Choice Requires="x14">
        <control shapeId="65540"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65540" r:id="rId8" name="cmdCheckConstrDataSheet"/>
      </mc:Fallback>
    </mc:AlternateContent>
    <mc:AlternateContent xmlns:mc="http://schemas.openxmlformats.org/markup-compatibility/2006">
      <mc:Choice Requires="x14">
        <control shapeId="65539"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65539" r:id="rId10" name="cmdAddParameter"/>
      </mc:Fallback>
    </mc:AlternateContent>
    <mc:AlternateContent xmlns:mc="http://schemas.openxmlformats.org/markup-compatibility/2006">
      <mc:Choice Requires="x14">
        <control shapeId="65538"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65538" r:id="rId12" name="cmdTechName"/>
      </mc:Fallback>
    </mc:AlternateContent>
    <mc:AlternateContent xmlns:mc="http://schemas.openxmlformats.org/markup-compatibility/2006">
      <mc:Choice Requires="x14">
        <control shapeId="65537" r:id="rId14" name="cmdConstrNameAndDesc">
          <controlPr defaultSize="0" autoLine="0" autoPict="0" r:id="rId15">
            <anchor moveWithCells="1">
              <from>
                <xdr:col>1</xdr:col>
                <xdr:colOff>19050</xdr:colOff>
                <xdr:row>3</xdr:row>
                <xdr:rowOff>0</xdr:rowOff>
              </from>
              <to>
                <xdr:col>2</xdr:col>
                <xdr:colOff>1000125</xdr:colOff>
                <xdr:row>4</xdr:row>
                <xdr:rowOff>19050</xdr:rowOff>
              </to>
            </anchor>
          </controlPr>
        </control>
      </mc:Choice>
      <mc:Fallback>
        <control shapeId="65537" r:id="rId14" name="cmdConstrNameAndDesc"/>
      </mc:Fallback>
    </mc:AlternateContent>
  </control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36</v>
      </c>
      <c r="B1" s="2"/>
    </row>
    <row r="4" spans="1:5" ht="17.25" customHeight="1" x14ac:dyDescent="0.2"/>
    <row r="5" spans="1:5" ht="18" customHeight="1" x14ac:dyDescent="0.2"/>
    <row r="6" spans="1:5" ht="17.25" customHeight="1" x14ac:dyDescent="0.2"/>
    <row r="7" spans="1:5" ht="15.75" customHeight="1" x14ac:dyDescent="0.2">
      <c r="B7" s="1" t="s">
        <v>29</v>
      </c>
      <c r="C7" s="1" t="s">
        <v>30</v>
      </c>
      <c r="D7" s="1" t="s">
        <v>26</v>
      </c>
      <c r="E7" s="1" t="s">
        <v>24</v>
      </c>
    </row>
    <row r="8" spans="1:5" x14ac:dyDescent="0.2">
      <c r="B8" s="3"/>
      <c r="E8" s="3"/>
    </row>
    <row r="9" spans="1:5" x14ac:dyDescent="0.2">
      <c r="B9" s="8"/>
      <c r="E9" s="3"/>
    </row>
    <row r="10" spans="1:5" x14ac:dyDescent="0.2">
      <c r="B10" s="8"/>
      <c r="E10" s="3"/>
    </row>
    <row r="11" spans="1:5" x14ac:dyDescent="0.2">
      <c r="B11" s="8"/>
      <c r="E11" s="3"/>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11374" r:id="rId4" name="cmdRefreshUnits">
          <controlPr defaultSize="0" autoLine="0" r:id="rId5">
            <anchor moveWithCells="1">
              <from>
                <xdr:col>2</xdr:col>
                <xdr:colOff>1009650</xdr:colOff>
                <xdr:row>2</xdr:row>
                <xdr:rowOff>28575</xdr:rowOff>
              </from>
              <to>
                <xdr:col>4</xdr:col>
                <xdr:colOff>0</xdr:colOff>
                <xdr:row>4</xdr:row>
                <xdr:rowOff>19050</xdr:rowOff>
              </to>
            </anchor>
          </controlPr>
        </control>
      </mc:Choice>
      <mc:Fallback>
        <control shapeId="11374" r:id="rId4" name="cmdRefreshUnits"/>
      </mc:Fallback>
    </mc:AlternateContent>
    <mc:AlternateContent xmlns:mc="http://schemas.openxmlformats.org/markup-compatibility/2006">
      <mc:Choice Requires="x14">
        <control shapeId="11361"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11361" r:id="rId6" name="cmdAddParamQualifier"/>
      </mc:Fallback>
    </mc:AlternateContent>
    <mc:AlternateContent xmlns:mc="http://schemas.openxmlformats.org/markup-compatibility/2006">
      <mc:Choice Requires="x14">
        <control shapeId="11271"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11271" r:id="rId8" name="cmdCheckConstrDataSheet"/>
      </mc:Fallback>
    </mc:AlternateContent>
    <mc:AlternateContent xmlns:mc="http://schemas.openxmlformats.org/markup-compatibility/2006">
      <mc:Choice Requires="x14">
        <control shapeId="11268"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11268" r:id="rId10" name="cmdAddParameter"/>
      </mc:Fallback>
    </mc:AlternateContent>
    <mc:AlternateContent xmlns:mc="http://schemas.openxmlformats.org/markup-compatibility/2006">
      <mc:Choice Requires="x14">
        <control shapeId="11266"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11266" r:id="rId12" name="cmdTechName"/>
      </mc:Fallback>
    </mc:AlternateContent>
    <mc:AlternateContent xmlns:mc="http://schemas.openxmlformats.org/markup-compatibility/2006">
      <mc:Choice Requires="x14">
        <control shapeId="11265" r:id="rId14" name="cmdConstrNameAndDesc">
          <controlPr defaultSize="0" autoLine="0" autoPict="0" r:id="rId15">
            <anchor moveWithCells="1">
              <from>
                <xdr:col>1</xdr:col>
                <xdr:colOff>19050</xdr:colOff>
                <xdr:row>3</xdr:row>
                <xdr:rowOff>0</xdr:rowOff>
              </from>
              <to>
                <xdr:col>2</xdr:col>
                <xdr:colOff>1000125</xdr:colOff>
                <xdr:row>4</xdr:row>
                <xdr:rowOff>19050</xdr:rowOff>
              </to>
            </anchor>
          </controlPr>
        </control>
      </mc:Choice>
      <mc:Fallback>
        <control shapeId="11265" r:id="rId14" name="cmdConstrNameAndDesc"/>
      </mc:Fallback>
    </mc:AlternateContent>
  </control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theme="0" tint="-0.14999847407452621"/>
  </sheetPr>
  <dimension ref="A1:V349"/>
  <sheetViews>
    <sheetView showFormulas="1" tabSelected="1" zoomScale="80" zoomScaleNormal="80" workbookViewId="0">
      <pane xSplit="6" ySplit="7" topLeftCell="G8" activePane="bottomRight" state="frozen"/>
      <selection activeCell="I38" sqref="I38"/>
      <selection pane="topRight" activeCell="I38" sqref="I38"/>
      <selection pane="bottomLeft" activeCell="I38" sqref="I38"/>
      <selection pane="bottomRight" activeCell="F55" sqref="F55"/>
    </sheetView>
  </sheetViews>
  <sheetFormatPr defaultColWidth="9.140625" defaultRowHeight="12.75" x14ac:dyDescent="0.2"/>
  <cols>
    <col min="1" max="1" width="26.28515625" style="18" bestFit="1" customWidth="1"/>
    <col min="2" max="2" width="16.85546875" style="18" customWidth="1"/>
    <col min="3" max="3" width="30.140625" style="18" customWidth="1"/>
    <col min="4" max="4" width="8.140625" style="18" bestFit="1" customWidth="1"/>
    <col min="5" max="5" width="9.140625" style="18"/>
    <col min="6" max="6" width="10.5703125" style="18" customWidth="1"/>
    <col min="7" max="8" width="11" style="19" customWidth="1"/>
    <col min="9" max="9" width="9.140625" style="18"/>
    <col min="10" max="10" width="6" style="18" customWidth="1"/>
    <col min="11" max="11" width="11" style="18" bestFit="1" customWidth="1"/>
    <col min="12" max="13" width="11" style="18" customWidth="1"/>
    <col min="14" max="14" width="11" style="30" customWidth="1"/>
    <col min="15" max="20" width="10.85546875" style="18" customWidth="1"/>
    <col min="21" max="21" width="10.5703125" style="18" bestFit="1" customWidth="1"/>
    <col min="22" max="22" width="12.85546875" style="18" customWidth="1"/>
    <col min="23" max="16384" width="9.140625" style="18"/>
  </cols>
  <sheetData>
    <row r="1" spans="1:22" x14ac:dyDescent="0.2">
      <c r="A1" s="14" t="s">
        <v>890</v>
      </c>
      <c r="B1" s="18" t="s">
        <v>887</v>
      </c>
      <c r="I1" s="19"/>
      <c r="J1" s="19"/>
      <c r="K1" s="19"/>
      <c r="L1" s="19"/>
      <c r="M1" s="19"/>
      <c r="O1" s="19"/>
      <c r="P1" s="19"/>
      <c r="Q1" s="19"/>
      <c r="R1" s="19"/>
      <c r="S1" s="19"/>
      <c r="T1" s="19"/>
      <c r="U1" s="19"/>
      <c r="V1" s="19"/>
    </row>
    <row r="2" spans="1:22" x14ac:dyDescent="0.2">
      <c r="I2" s="19"/>
      <c r="J2" s="19"/>
      <c r="K2" s="19"/>
      <c r="L2" s="19"/>
      <c r="M2" s="19"/>
      <c r="O2" s="19"/>
      <c r="P2" s="19"/>
      <c r="Q2" s="19"/>
      <c r="R2" s="19"/>
      <c r="S2" s="19"/>
      <c r="T2" s="19"/>
      <c r="U2" s="19"/>
      <c r="V2" s="19"/>
    </row>
    <row r="3" spans="1:22" x14ac:dyDescent="0.2">
      <c r="I3" s="19"/>
      <c r="J3" s="19"/>
      <c r="K3" s="19"/>
      <c r="L3" s="19"/>
      <c r="M3" s="19"/>
      <c r="O3" s="19"/>
      <c r="P3" s="19"/>
      <c r="Q3" s="19"/>
      <c r="R3" s="19"/>
      <c r="S3" s="19"/>
      <c r="T3" s="19"/>
      <c r="U3" s="19"/>
      <c r="V3" s="19"/>
    </row>
    <row r="4" spans="1:22" ht="17.25" customHeight="1" x14ac:dyDescent="0.2">
      <c r="I4" s="19"/>
      <c r="J4" s="19"/>
      <c r="K4" s="19"/>
      <c r="L4" s="19"/>
      <c r="M4" s="19"/>
      <c r="O4" s="19"/>
      <c r="P4" s="19"/>
      <c r="Q4" s="19"/>
      <c r="R4" s="19"/>
      <c r="S4" s="19"/>
      <c r="T4" s="19"/>
      <c r="U4" s="19"/>
      <c r="V4" s="19"/>
    </row>
    <row r="5" spans="1:22" ht="32.25" customHeight="1" x14ac:dyDescent="0.2">
      <c r="G5" s="23" t="s">
        <v>288</v>
      </c>
      <c r="H5" s="23" t="s">
        <v>289</v>
      </c>
      <c r="I5" s="23" t="s">
        <v>290</v>
      </c>
      <c r="J5" s="23" t="s">
        <v>291</v>
      </c>
      <c r="K5" s="23" t="s">
        <v>292</v>
      </c>
      <c r="L5" s="23" t="s">
        <v>293</v>
      </c>
      <c r="M5" s="23" t="s">
        <v>294</v>
      </c>
      <c r="N5" s="23" t="s">
        <v>295</v>
      </c>
      <c r="O5" s="23" t="s">
        <v>296</v>
      </c>
      <c r="P5" s="23" t="s">
        <v>296</v>
      </c>
      <c r="Q5" s="23" t="s">
        <v>296</v>
      </c>
      <c r="R5" s="23" t="s">
        <v>296</v>
      </c>
      <c r="S5" s="23" t="s">
        <v>296</v>
      </c>
      <c r="T5" s="23" t="s">
        <v>296</v>
      </c>
      <c r="U5" s="23" t="s">
        <v>297</v>
      </c>
      <c r="V5" s="23" t="s">
        <v>298</v>
      </c>
    </row>
    <row r="6" spans="1:22" ht="17.25" customHeight="1" x14ac:dyDescent="0.2">
      <c r="I6" s="19"/>
      <c r="J6" s="19"/>
      <c r="K6" s="19"/>
      <c r="L6" s="19"/>
      <c r="M6" s="19"/>
      <c r="O6" s="19"/>
      <c r="P6" s="19"/>
      <c r="Q6" s="19"/>
      <c r="R6" s="19"/>
      <c r="S6" s="19"/>
      <c r="T6" s="19"/>
      <c r="U6" s="19"/>
      <c r="V6" s="19"/>
    </row>
    <row r="7" spans="1:22" ht="15.75" customHeight="1" x14ac:dyDescent="0.2">
      <c r="B7" s="14" t="s">
        <v>24</v>
      </c>
      <c r="C7" s="14" t="s">
        <v>25</v>
      </c>
      <c r="D7" s="14" t="s">
        <v>26</v>
      </c>
      <c r="E7" s="14" t="s">
        <v>27</v>
      </c>
      <c r="F7" s="14" t="s">
        <v>28</v>
      </c>
      <c r="G7" s="17"/>
      <c r="H7" s="24" t="s">
        <v>301</v>
      </c>
      <c r="I7" s="25" t="s">
        <v>299</v>
      </c>
      <c r="J7" s="25" t="s">
        <v>299</v>
      </c>
      <c r="K7" s="25" t="s">
        <v>299</v>
      </c>
      <c r="L7" s="25"/>
      <c r="M7" s="25"/>
      <c r="N7" s="31"/>
      <c r="O7" s="19">
        <v>2005</v>
      </c>
      <c r="P7" s="19">
        <v>2010</v>
      </c>
      <c r="Q7" s="19">
        <v>2015</v>
      </c>
      <c r="R7" s="19">
        <v>2020</v>
      </c>
      <c r="S7" s="19">
        <v>2025</v>
      </c>
      <c r="T7" s="19" t="s">
        <v>300</v>
      </c>
      <c r="U7" s="19" t="s">
        <v>301</v>
      </c>
      <c r="V7" s="19"/>
    </row>
    <row r="8" spans="1:22" ht="15.75" customHeight="1" x14ac:dyDescent="0.2">
      <c r="A8" s="18" t="s">
        <v>287</v>
      </c>
      <c r="G8" s="26"/>
      <c r="H8" s="26"/>
      <c r="I8" s="25"/>
      <c r="J8" s="25"/>
      <c r="K8" s="25"/>
      <c r="L8" s="25"/>
      <c r="M8" s="25"/>
      <c r="N8" s="31"/>
      <c r="O8" s="19"/>
      <c r="P8" s="19"/>
      <c r="Q8" s="19"/>
      <c r="R8" s="19"/>
      <c r="S8" s="19"/>
      <c r="T8" s="19"/>
      <c r="U8" s="19"/>
      <c r="V8" s="32"/>
    </row>
    <row r="9" spans="1:22" x14ac:dyDescent="0.2">
      <c r="A9" s="18" t="str">
        <f>Commodities!B18</f>
        <v>*R1,R2,R3,R4,R5,R6</v>
      </c>
      <c r="B9" s="18" t="s">
        <v>233</v>
      </c>
      <c r="C9" s="18" t="s">
        <v>234</v>
      </c>
      <c r="D9" s="18" t="s">
        <v>286</v>
      </c>
      <c r="E9" s="18" t="s">
        <v>197</v>
      </c>
      <c r="F9" s="18" t="s">
        <v>85</v>
      </c>
      <c r="G9" s="19">
        <v>1</v>
      </c>
      <c r="H9" s="19">
        <v>1</v>
      </c>
      <c r="J9" s="33"/>
      <c r="K9" s="34"/>
      <c r="L9" s="34"/>
      <c r="M9" s="34"/>
      <c r="O9" s="35">
        <v>1E-3</v>
      </c>
      <c r="P9" s="35">
        <v>1E-3</v>
      </c>
      <c r="Q9" s="35">
        <v>1E-3</v>
      </c>
      <c r="R9" s="35">
        <v>1E-3</v>
      </c>
      <c r="S9" s="35">
        <v>1E-3</v>
      </c>
      <c r="T9" s="35">
        <v>1E-3</v>
      </c>
    </row>
    <row r="10" spans="1:22" x14ac:dyDescent="0.2">
      <c r="A10" s="18" t="str">
        <f>Commodities!B19</f>
        <v>R1</v>
      </c>
      <c r="B10" s="18" t="s">
        <v>235</v>
      </c>
      <c r="C10" s="18" t="s">
        <v>236</v>
      </c>
      <c r="E10" s="18" t="s">
        <v>198</v>
      </c>
      <c r="F10" s="18" t="s">
        <v>176</v>
      </c>
      <c r="G10" s="19">
        <v>1</v>
      </c>
      <c r="H10" s="19">
        <v>1</v>
      </c>
      <c r="J10" s="33"/>
      <c r="K10" s="34"/>
      <c r="L10" s="34"/>
      <c r="M10" s="34"/>
      <c r="O10" s="35">
        <v>1E-3</v>
      </c>
      <c r="P10" s="35">
        <v>1E-3</v>
      </c>
      <c r="Q10" s="35">
        <v>1E-3</v>
      </c>
      <c r="R10" s="35">
        <v>1E-3</v>
      </c>
      <c r="S10" s="35">
        <v>1E-3</v>
      </c>
      <c r="T10" s="35">
        <v>1E-3</v>
      </c>
    </row>
    <row r="11" spans="1:22" x14ac:dyDescent="0.2">
      <c r="A11" s="18" t="str">
        <f>Commodities!B20</f>
        <v>R1</v>
      </c>
      <c r="B11" s="18" t="s">
        <v>237</v>
      </c>
      <c r="C11" s="18" t="s">
        <v>238</v>
      </c>
      <c r="E11" s="18" t="s">
        <v>199</v>
      </c>
      <c r="F11" s="18" t="s">
        <v>178</v>
      </c>
      <c r="G11" s="19">
        <v>1</v>
      </c>
      <c r="H11" s="19">
        <v>1</v>
      </c>
      <c r="J11" s="33"/>
      <c r="K11" s="34"/>
      <c r="L11" s="34"/>
      <c r="M11" s="34"/>
      <c r="O11" s="35">
        <v>1E-3</v>
      </c>
      <c r="P11" s="35">
        <v>1E-3</v>
      </c>
      <c r="Q11" s="35">
        <v>1E-3</v>
      </c>
      <c r="R11" s="35">
        <v>1E-3</v>
      </c>
      <c r="S11" s="35">
        <v>1E-3</v>
      </c>
      <c r="T11" s="35">
        <v>1E-3</v>
      </c>
    </row>
    <row r="12" spans="1:22" x14ac:dyDescent="0.2">
      <c r="A12" s="18" t="str">
        <f>Commodities!B21</f>
        <v>*R1,R2,R3,R4,R5,R6</v>
      </c>
      <c r="B12" s="18" t="s">
        <v>239</v>
      </c>
      <c r="C12" s="18" t="s">
        <v>240</v>
      </c>
      <c r="E12" s="18" t="s">
        <v>200</v>
      </c>
      <c r="F12" s="18" t="s">
        <v>180</v>
      </c>
      <c r="G12" s="19">
        <v>1</v>
      </c>
      <c r="H12" s="19">
        <v>1</v>
      </c>
      <c r="J12" s="33"/>
      <c r="K12" s="34"/>
      <c r="L12" s="34"/>
      <c r="M12" s="34"/>
      <c r="O12" s="35">
        <v>1E-3</v>
      </c>
      <c r="P12" s="35">
        <v>1E-3</v>
      </c>
      <c r="Q12" s="35">
        <v>1E-3</v>
      </c>
      <c r="R12" s="35">
        <v>1E-3</v>
      </c>
      <c r="S12" s="35">
        <v>1E-3</v>
      </c>
      <c r="T12" s="35">
        <v>1E-3</v>
      </c>
    </row>
    <row r="13" spans="1:22" x14ac:dyDescent="0.2">
      <c r="A13" s="18" t="str">
        <f>Commodities!B22</f>
        <v>R1</v>
      </c>
      <c r="B13" s="18" t="s">
        <v>241</v>
      </c>
      <c r="C13" s="18" t="s">
        <v>242</v>
      </c>
      <c r="E13" s="18" t="s">
        <v>201</v>
      </c>
      <c r="F13" s="18" t="s">
        <v>182</v>
      </c>
      <c r="G13" s="19">
        <v>1</v>
      </c>
      <c r="H13" s="19">
        <v>1</v>
      </c>
      <c r="J13" s="33"/>
      <c r="K13" s="34"/>
      <c r="L13" s="34"/>
      <c r="M13" s="34"/>
      <c r="O13" s="35">
        <v>1E-3</v>
      </c>
      <c r="P13" s="35">
        <v>1E-3</v>
      </c>
      <c r="Q13" s="35">
        <v>1E-3</v>
      </c>
      <c r="R13" s="35">
        <v>1E-3</v>
      </c>
      <c r="S13" s="35">
        <v>1E-3</v>
      </c>
      <c r="T13" s="35">
        <v>1E-3</v>
      </c>
    </row>
    <row r="14" spans="1:22" x14ac:dyDescent="0.2">
      <c r="A14" s="18" t="str">
        <f>Commodities!B23</f>
        <v>R1</v>
      </c>
      <c r="B14" s="18" t="s">
        <v>243</v>
      </c>
      <c r="C14" s="18" t="s">
        <v>244</v>
      </c>
      <c r="E14" s="18" t="s">
        <v>202</v>
      </c>
      <c r="F14" s="18" t="s">
        <v>184</v>
      </c>
      <c r="G14" s="19">
        <v>1</v>
      </c>
      <c r="H14" s="19">
        <v>1</v>
      </c>
      <c r="J14" s="33"/>
      <c r="K14" s="34"/>
      <c r="L14" s="34"/>
      <c r="M14" s="34"/>
      <c r="O14" s="35">
        <v>1E-3</v>
      </c>
      <c r="P14" s="35">
        <v>1E-3</v>
      </c>
      <c r="Q14" s="35">
        <v>1E-3</v>
      </c>
      <c r="R14" s="35">
        <v>1E-3</v>
      </c>
      <c r="S14" s="35">
        <v>1E-3</v>
      </c>
      <c r="T14" s="35">
        <v>1E-3</v>
      </c>
    </row>
    <row r="15" spans="1:22" x14ac:dyDescent="0.2">
      <c r="A15" s="18" t="str">
        <f>Commodities!B24</f>
        <v>*R1,R2,R3,R4,R5,R6</v>
      </c>
      <c r="B15" s="18" t="s">
        <v>245</v>
      </c>
      <c r="C15" s="18" t="s">
        <v>246</v>
      </c>
      <c r="E15" s="18" t="s">
        <v>203</v>
      </c>
      <c r="F15" s="18" t="s">
        <v>95</v>
      </c>
      <c r="G15" s="19">
        <v>1</v>
      </c>
      <c r="H15" s="19">
        <v>1</v>
      </c>
      <c r="J15" s="33"/>
      <c r="K15" s="34"/>
      <c r="L15" s="34"/>
      <c r="M15" s="34"/>
      <c r="O15" s="35">
        <v>1E-3</v>
      </c>
      <c r="P15" s="35">
        <v>1E-3</v>
      </c>
      <c r="Q15" s="35">
        <v>1E-3</v>
      </c>
      <c r="R15" s="35">
        <v>1E-3</v>
      </c>
      <c r="S15" s="35">
        <v>1E-3</v>
      </c>
      <c r="T15" s="35">
        <v>1E-3</v>
      </c>
    </row>
    <row r="16" spans="1:22" x14ac:dyDescent="0.2">
      <c r="A16" s="18" t="str">
        <f>Commodities!B25</f>
        <v>*R1,R2,R3,R4,R5,R6</v>
      </c>
      <c r="B16" s="18" t="s">
        <v>247</v>
      </c>
      <c r="C16" s="18" t="s">
        <v>248</v>
      </c>
      <c r="E16" s="18" t="s">
        <v>204</v>
      </c>
      <c r="F16" s="18" t="s">
        <v>187</v>
      </c>
      <c r="G16" s="19">
        <v>1</v>
      </c>
      <c r="H16" s="19">
        <v>1</v>
      </c>
      <c r="J16" s="33"/>
      <c r="K16" s="34"/>
      <c r="L16" s="34"/>
      <c r="M16" s="34"/>
      <c r="O16" s="35">
        <v>1E-3</v>
      </c>
      <c r="P16" s="35">
        <v>1E-3</v>
      </c>
      <c r="Q16" s="35">
        <v>1E-3</v>
      </c>
      <c r="R16" s="35">
        <v>1E-3</v>
      </c>
      <c r="S16" s="35">
        <v>1E-3</v>
      </c>
      <c r="T16" s="35">
        <v>1E-3</v>
      </c>
    </row>
    <row r="17" spans="1:20" x14ac:dyDescent="0.2">
      <c r="A17" s="18" t="str">
        <f>Commodities!B26</f>
        <v>*R1,R2,R3,R4,R5,R6</v>
      </c>
      <c r="B17" s="18" t="s">
        <v>249</v>
      </c>
      <c r="C17" s="18" t="s">
        <v>250</v>
      </c>
      <c r="E17" s="18" t="s">
        <v>205</v>
      </c>
      <c r="F17" s="18" t="s">
        <v>189</v>
      </c>
      <c r="G17" s="19">
        <v>1</v>
      </c>
      <c r="H17" s="19">
        <v>1</v>
      </c>
      <c r="J17" s="33"/>
      <c r="K17" s="34"/>
      <c r="L17" s="34"/>
      <c r="M17" s="34"/>
      <c r="O17" s="35">
        <v>1E-3</v>
      </c>
      <c r="P17" s="35">
        <v>1E-3</v>
      </c>
      <c r="Q17" s="35">
        <v>1E-3</v>
      </c>
      <c r="R17" s="35">
        <v>1E-3</v>
      </c>
      <c r="S17" s="35">
        <v>1E-3</v>
      </c>
      <c r="T17" s="35">
        <v>1E-3</v>
      </c>
    </row>
    <row r="18" spans="1:20" x14ac:dyDescent="0.2">
      <c r="A18" s="18" t="str">
        <f>Commodities!B27</f>
        <v>*R1,R2,R3,R4,R5,R6</v>
      </c>
      <c r="B18" s="18" t="s">
        <v>251</v>
      </c>
      <c r="C18" s="18" t="s">
        <v>252</v>
      </c>
      <c r="E18" s="18" t="s">
        <v>206</v>
      </c>
      <c r="F18" s="18" t="s">
        <v>190</v>
      </c>
      <c r="G18" s="19">
        <v>1</v>
      </c>
      <c r="H18" s="19">
        <v>1</v>
      </c>
      <c r="J18" s="33"/>
      <c r="K18" s="34"/>
      <c r="L18" s="34"/>
      <c r="M18" s="34"/>
      <c r="O18" s="35">
        <v>1E-3</v>
      </c>
      <c r="P18" s="35">
        <v>1E-3</v>
      </c>
      <c r="Q18" s="35">
        <v>1E-3</v>
      </c>
      <c r="R18" s="35">
        <v>1E-3</v>
      </c>
      <c r="S18" s="35">
        <v>1E-3</v>
      </c>
      <c r="T18" s="35">
        <v>1E-3</v>
      </c>
    </row>
    <row r="19" spans="1:20" x14ac:dyDescent="0.2">
      <c r="A19" s="18" t="str">
        <f>Commodities!B28</f>
        <v>R1</v>
      </c>
      <c r="B19" s="18" t="s">
        <v>253</v>
      </c>
      <c r="C19" s="18" t="s">
        <v>254</v>
      </c>
      <c r="E19" s="18" t="s">
        <v>207</v>
      </c>
      <c r="F19" s="18" t="s">
        <v>97</v>
      </c>
      <c r="G19" s="19">
        <v>1</v>
      </c>
      <c r="H19" s="19">
        <v>1</v>
      </c>
      <c r="J19" s="33"/>
      <c r="K19" s="34"/>
      <c r="L19" s="34"/>
      <c r="M19" s="34"/>
      <c r="O19" s="35">
        <v>1E-3</v>
      </c>
      <c r="P19" s="35">
        <v>1E-3</v>
      </c>
      <c r="Q19" s="35">
        <v>1E-3</v>
      </c>
      <c r="R19" s="35">
        <v>1E-3</v>
      </c>
      <c r="S19" s="35">
        <v>1E-3</v>
      </c>
      <c r="T19" s="35">
        <v>1E-3</v>
      </c>
    </row>
    <row r="20" spans="1:20" x14ac:dyDescent="0.2">
      <c r="A20" s="18" t="str">
        <f>Commodities!B29</f>
        <v>R1</v>
      </c>
      <c r="B20" s="18" t="s">
        <v>255</v>
      </c>
      <c r="C20" s="18" t="s">
        <v>256</v>
      </c>
      <c r="E20" s="18" t="s">
        <v>208</v>
      </c>
      <c r="F20" s="18" t="s">
        <v>98</v>
      </c>
      <c r="G20" s="19">
        <v>1</v>
      </c>
      <c r="H20" s="19">
        <v>1</v>
      </c>
      <c r="J20" s="33"/>
      <c r="K20" s="34"/>
      <c r="L20" s="34"/>
      <c r="M20" s="34"/>
      <c r="O20" s="35">
        <v>1E-3</v>
      </c>
      <c r="P20" s="35">
        <v>1E-3</v>
      </c>
      <c r="Q20" s="35">
        <v>1E-3</v>
      </c>
      <c r="R20" s="35">
        <v>1E-3</v>
      </c>
      <c r="S20" s="35">
        <v>1E-3</v>
      </c>
      <c r="T20" s="35">
        <v>1E-3</v>
      </c>
    </row>
    <row r="21" spans="1:20" x14ac:dyDescent="0.2">
      <c r="A21" s="18" t="str">
        <f>Commodities!B30</f>
        <v>*R1,R2,R3,R4,R5,R6</v>
      </c>
      <c r="B21" s="18" t="s">
        <v>257</v>
      </c>
      <c r="C21" s="18" t="s">
        <v>258</v>
      </c>
      <c r="E21" s="18" t="s">
        <v>209</v>
      </c>
      <c r="F21" s="18" t="s">
        <v>193</v>
      </c>
      <c r="G21" s="19">
        <v>1</v>
      </c>
      <c r="H21" s="19">
        <v>1</v>
      </c>
      <c r="J21" s="33"/>
      <c r="K21" s="34"/>
      <c r="L21" s="34"/>
      <c r="M21" s="34"/>
      <c r="O21" s="35">
        <v>1E-3</v>
      </c>
      <c r="P21" s="35">
        <v>1E-3</v>
      </c>
      <c r="Q21" s="35">
        <v>1E-3</v>
      </c>
      <c r="R21" s="35">
        <v>1E-3</v>
      </c>
      <c r="S21" s="35">
        <v>1E-3</v>
      </c>
      <c r="T21" s="35">
        <v>1E-3</v>
      </c>
    </row>
    <row r="22" spans="1:20" x14ac:dyDescent="0.2">
      <c r="A22" s="18" t="str">
        <f>Commodities!B31</f>
        <v>*R1,R2,R3,R4,R5,R6</v>
      </c>
      <c r="B22" s="18" t="s">
        <v>390</v>
      </c>
      <c r="C22" s="18" t="s">
        <v>391</v>
      </c>
      <c r="E22" s="18" t="s">
        <v>385</v>
      </c>
      <c r="F22" s="18" t="s">
        <v>389</v>
      </c>
      <c r="G22" s="19">
        <v>1</v>
      </c>
      <c r="H22" s="19">
        <v>1</v>
      </c>
      <c r="I22" s="19"/>
      <c r="K22" s="33"/>
      <c r="L22" s="34"/>
      <c r="M22" s="34"/>
      <c r="O22" s="35">
        <v>1E-3</v>
      </c>
      <c r="P22" s="35">
        <v>1E-3</v>
      </c>
      <c r="Q22" s="35">
        <v>1E-3</v>
      </c>
      <c r="R22" s="35">
        <v>1E-3</v>
      </c>
      <c r="S22" s="35">
        <v>1E-3</v>
      </c>
      <c r="T22" s="35">
        <v>1E-3</v>
      </c>
    </row>
    <row r="23" spans="1:20" x14ac:dyDescent="0.2">
      <c r="A23" s="18" t="str">
        <f>Commodities!B33</f>
        <v>*R1,R2,R3,R4,R5,R6</v>
      </c>
      <c r="B23" s="18" t="s">
        <v>259</v>
      </c>
      <c r="C23" s="18" t="s">
        <v>260</v>
      </c>
      <c r="E23" s="18" t="s">
        <v>211</v>
      </c>
      <c r="F23" s="18" t="s">
        <v>85</v>
      </c>
      <c r="G23" s="19">
        <v>1</v>
      </c>
      <c r="H23" s="19">
        <v>1</v>
      </c>
      <c r="J23" s="33"/>
      <c r="K23" s="34"/>
      <c r="L23" s="34"/>
      <c r="M23" s="34"/>
      <c r="O23" s="35">
        <v>1E-3</v>
      </c>
      <c r="P23" s="35">
        <v>1E-3</v>
      </c>
      <c r="Q23" s="35">
        <v>1E-3</v>
      </c>
      <c r="R23" s="35">
        <v>1E-3</v>
      </c>
      <c r="S23" s="35">
        <v>1E-3</v>
      </c>
      <c r="T23" s="35">
        <v>1E-3</v>
      </c>
    </row>
    <row r="24" spans="1:20" x14ac:dyDescent="0.2">
      <c r="A24" s="18" t="str">
        <f>Commodities!B34</f>
        <v>R1</v>
      </c>
      <c r="B24" s="18" t="s">
        <v>261</v>
      </c>
      <c r="C24" s="18" t="s">
        <v>262</v>
      </c>
      <c r="E24" s="18" t="s">
        <v>212</v>
      </c>
      <c r="F24" s="18" t="s">
        <v>176</v>
      </c>
      <c r="G24" s="19">
        <v>1</v>
      </c>
      <c r="H24" s="19">
        <v>1</v>
      </c>
      <c r="J24" s="33"/>
      <c r="K24" s="34"/>
      <c r="L24" s="34"/>
      <c r="M24" s="34"/>
      <c r="O24" s="35">
        <v>1E-3</v>
      </c>
      <c r="P24" s="35">
        <v>1E-3</v>
      </c>
      <c r="Q24" s="35">
        <v>1E-3</v>
      </c>
      <c r="R24" s="35">
        <v>1E-3</v>
      </c>
      <c r="S24" s="35">
        <v>1E-3</v>
      </c>
      <c r="T24" s="35">
        <v>1E-3</v>
      </c>
    </row>
    <row r="25" spans="1:20" x14ac:dyDescent="0.2">
      <c r="A25" s="18" t="str">
        <f>Commodities!B35</f>
        <v>R1</v>
      </c>
      <c r="B25" s="18" t="s">
        <v>263</v>
      </c>
      <c r="C25" s="18" t="s">
        <v>264</v>
      </c>
      <c r="E25" s="18" t="s">
        <v>213</v>
      </c>
      <c r="F25" s="18" t="s">
        <v>178</v>
      </c>
      <c r="G25" s="19">
        <v>1</v>
      </c>
      <c r="H25" s="19">
        <v>1</v>
      </c>
      <c r="J25" s="33"/>
      <c r="K25" s="34"/>
      <c r="L25" s="34"/>
      <c r="M25" s="34"/>
      <c r="O25" s="35">
        <v>1E-3</v>
      </c>
      <c r="P25" s="35">
        <v>1E-3</v>
      </c>
      <c r="Q25" s="35">
        <v>1E-3</v>
      </c>
      <c r="R25" s="35">
        <v>1E-3</v>
      </c>
      <c r="S25" s="35">
        <v>1E-3</v>
      </c>
      <c r="T25" s="35">
        <v>1E-3</v>
      </c>
    </row>
    <row r="26" spans="1:20" x14ac:dyDescent="0.2">
      <c r="A26" s="18" t="str">
        <f>Commodities!B36</f>
        <v>*R1,R2,R3,R4,R5,R6</v>
      </c>
      <c r="B26" s="18" t="s">
        <v>265</v>
      </c>
      <c r="C26" s="18" t="s">
        <v>266</v>
      </c>
      <c r="E26" s="18" t="s">
        <v>214</v>
      </c>
      <c r="F26" s="18" t="s">
        <v>180</v>
      </c>
      <c r="G26" s="19">
        <v>1</v>
      </c>
      <c r="H26" s="19">
        <v>1</v>
      </c>
      <c r="J26" s="33"/>
      <c r="K26" s="34"/>
      <c r="L26" s="34"/>
      <c r="M26" s="34"/>
      <c r="O26" s="35">
        <v>1E-3</v>
      </c>
      <c r="P26" s="35">
        <v>1E-3</v>
      </c>
      <c r="Q26" s="35">
        <v>1E-3</v>
      </c>
      <c r="R26" s="35">
        <v>1E-3</v>
      </c>
      <c r="S26" s="35">
        <v>1E-3</v>
      </c>
      <c r="T26" s="35">
        <v>1E-3</v>
      </c>
    </row>
    <row r="27" spans="1:20" x14ac:dyDescent="0.2">
      <c r="A27" s="18" t="str">
        <f>Commodities!B37</f>
        <v>R1</v>
      </c>
      <c r="B27" s="18" t="s">
        <v>267</v>
      </c>
      <c r="C27" s="18" t="s">
        <v>268</v>
      </c>
      <c r="E27" s="18" t="s">
        <v>215</v>
      </c>
      <c r="F27" s="18" t="s">
        <v>182</v>
      </c>
      <c r="G27" s="19">
        <v>1</v>
      </c>
      <c r="H27" s="19">
        <v>1</v>
      </c>
      <c r="J27" s="33"/>
      <c r="K27" s="34"/>
      <c r="L27" s="34"/>
      <c r="M27" s="34"/>
      <c r="O27" s="35">
        <v>1E-3</v>
      </c>
      <c r="P27" s="35">
        <v>1E-3</v>
      </c>
      <c r="Q27" s="35">
        <v>1E-3</v>
      </c>
      <c r="R27" s="35">
        <v>1E-3</v>
      </c>
      <c r="S27" s="35">
        <v>1E-3</v>
      </c>
      <c r="T27" s="35">
        <v>1E-3</v>
      </c>
    </row>
    <row r="28" spans="1:20" x14ac:dyDescent="0.2">
      <c r="A28" s="18" t="str">
        <f>Commodities!B38</f>
        <v>R1</v>
      </c>
      <c r="B28" s="18" t="s">
        <v>269</v>
      </c>
      <c r="C28" s="18" t="s">
        <v>270</v>
      </c>
      <c r="E28" s="18" t="s">
        <v>216</v>
      </c>
      <c r="F28" s="18" t="s">
        <v>184</v>
      </c>
      <c r="G28" s="19">
        <v>1</v>
      </c>
      <c r="H28" s="19">
        <v>1</v>
      </c>
      <c r="J28" s="33"/>
      <c r="K28" s="34"/>
      <c r="L28" s="34"/>
      <c r="M28" s="34"/>
      <c r="O28" s="35">
        <v>1E-3</v>
      </c>
      <c r="P28" s="35">
        <v>1E-3</v>
      </c>
      <c r="Q28" s="35">
        <v>1E-3</v>
      </c>
      <c r="R28" s="35">
        <v>1E-3</v>
      </c>
      <c r="S28" s="35">
        <v>1E-3</v>
      </c>
      <c r="T28" s="35">
        <v>1E-3</v>
      </c>
    </row>
    <row r="29" spans="1:20" x14ac:dyDescent="0.2">
      <c r="A29" s="18" t="str">
        <f>Commodities!B39</f>
        <v>*R1,R2,R3,R4,R5,R6</v>
      </c>
      <c r="B29" s="18" t="s">
        <v>271</v>
      </c>
      <c r="C29" s="18" t="s">
        <v>272</v>
      </c>
      <c r="E29" s="18" t="s">
        <v>217</v>
      </c>
      <c r="F29" s="18" t="s">
        <v>95</v>
      </c>
      <c r="G29" s="19">
        <v>1</v>
      </c>
      <c r="H29" s="19">
        <v>1</v>
      </c>
      <c r="J29" s="33"/>
      <c r="K29" s="34"/>
      <c r="L29" s="34"/>
      <c r="M29" s="34"/>
      <c r="O29" s="35">
        <v>1E-3</v>
      </c>
      <c r="P29" s="35">
        <v>1E-3</v>
      </c>
      <c r="Q29" s="35">
        <v>1E-3</v>
      </c>
      <c r="R29" s="35">
        <v>1E-3</v>
      </c>
      <c r="S29" s="35">
        <v>1E-3</v>
      </c>
      <c r="T29" s="35">
        <v>1E-3</v>
      </c>
    </row>
    <row r="30" spans="1:20" x14ac:dyDescent="0.2">
      <c r="A30" s="18" t="str">
        <f>Commodities!B40</f>
        <v>*R1,R2,R3,R4,R5,R6</v>
      </c>
      <c r="B30" s="18" t="s">
        <v>273</v>
      </c>
      <c r="C30" s="18" t="s">
        <v>274</v>
      </c>
      <c r="E30" s="18" t="s">
        <v>218</v>
      </c>
      <c r="F30" s="18" t="s">
        <v>187</v>
      </c>
      <c r="G30" s="19">
        <v>1</v>
      </c>
      <c r="H30" s="19">
        <v>1</v>
      </c>
      <c r="J30" s="33"/>
      <c r="K30" s="34"/>
      <c r="L30" s="34"/>
      <c r="M30" s="34"/>
      <c r="O30" s="35">
        <v>1E-3</v>
      </c>
      <c r="P30" s="35">
        <v>1E-3</v>
      </c>
      <c r="Q30" s="35">
        <v>1E-3</v>
      </c>
      <c r="R30" s="35">
        <v>1E-3</v>
      </c>
      <c r="S30" s="35">
        <v>1E-3</v>
      </c>
      <c r="T30" s="35">
        <v>1E-3</v>
      </c>
    </row>
    <row r="31" spans="1:20" x14ac:dyDescent="0.2">
      <c r="A31" s="18" t="str">
        <f>Commodities!B41</f>
        <v>*R1,R2,R3,R4,R5,R6</v>
      </c>
      <c r="B31" s="18" t="s">
        <v>275</v>
      </c>
      <c r="C31" s="18" t="s">
        <v>276</v>
      </c>
      <c r="E31" s="18" t="s">
        <v>219</v>
      </c>
      <c r="F31" s="18" t="s">
        <v>189</v>
      </c>
      <c r="G31" s="19">
        <v>1</v>
      </c>
      <c r="H31" s="19">
        <v>1</v>
      </c>
      <c r="J31" s="33"/>
      <c r="K31" s="34"/>
      <c r="L31" s="34"/>
      <c r="M31" s="34"/>
      <c r="O31" s="35">
        <v>1E-3</v>
      </c>
      <c r="P31" s="35">
        <v>1E-3</v>
      </c>
      <c r="Q31" s="35">
        <v>1E-3</v>
      </c>
      <c r="R31" s="35">
        <v>1E-3</v>
      </c>
      <c r="S31" s="35">
        <v>1E-3</v>
      </c>
      <c r="T31" s="35">
        <v>1E-3</v>
      </c>
    </row>
    <row r="32" spans="1:20" x14ac:dyDescent="0.2">
      <c r="A32" s="18" t="str">
        <f>Commodities!B42</f>
        <v>*R1,R2,R3,R4,R5,R6</v>
      </c>
      <c r="B32" s="18" t="s">
        <v>277</v>
      </c>
      <c r="C32" s="18" t="s">
        <v>278</v>
      </c>
      <c r="E32" s="18" t="s">
        <v>220</v>
      </c>
      <c r="F32" s="18" t="s">
        <v>190</v>
      </c>
      <c r="G32" s="19">
        <v>1</v>
      </c>
      <c r="H32" s="19">
        <v>1</v>
      </c>
      <c r="J32" s="33"/>
      <c r="K32" s="34"/>
      <c r="L32" s="34"/>
      <c r="M32" s="34"/>
      <c r="O32" s="35">
        <v>1E-3</v>
      </c>
      <c r="P32" s="35">
        <v>1E-3</v>
      </c>
      <c r="Q32" s="35">
        <v>1E-3</v>
      </c>
      <c r="R32" s="35">
        <v>1E-3</v>
      </c>
      <c r="S32" s="35">
        <v>1E-3</v>
      </c>
      <c r="T32" s="35">
        <v>1E-3</v>
      </c>
    </row>
    <row r="33" spans="1:20" x14ac:dyDescent="0.2">
      <c r="A33" s="18" t="str">
        <f>Commodities!B43</f>
        <v>R1</v>
      </c>
      <c r="B33" s="18" t="s">
        <v>279</v>
      </c>
      <c r="C33" s="18" t="s">
        <v>280</v>
      </c>
      <c r="E33" s="18" t="s">
        <v>221</v>
      </c>
      <c r="F33" s="18" t="s">
        <v>97</v>
      </c>
      <c r="G33" s="19">
        <v>1</v>
      </c>
      <c r="H33" s="19">
        <v>1</v>
      </c>
      <c r="J33" s="33"/>
      <c r="K33" s="34"/>
      <c r="L33" s="34"/>
      <c r="M33" s="34"/>
      <c r="O33" s="35">
        <v>1E-3</v>
      </c>
      <c r="P33" s="35">
        <v>1E-3</v>
      </c>
      <c r="Q33" s="35">
        <v>1E-3</v>
      </c>
      <c r="R33" s="35">
        <v>1E-3</v>
      </c>
      <c r="S33" s="35">
        <v>1E-3</v>
      </c>
      <c r="T33" s="35">
        <v>1E-3</v>
      </c>
    </row>
    <row r="34" spans="1:20" x14ac:dyDescent="0.2">
      <c r="A34" s="18" t="str">
        <f>Commodities!B44</f>
        <v>R1</v>
      </c>
      <c r="B34" s="18" t="s">
        <v>281</v>
      </c>
      <c r="C34" s="18" t="s">
        <v>282</v>
      </c>
      <c r="E34" s="18" t="s">
        <v>222</v>
      </c>
      <c r="F34" s="18" t="s">
        <v>98</v>
      </c>
      <c r="G34" s="19">
        <v>1</v>
      </c>
      <c r="H34" s="19">
        <v>1</v>
      </c>
      <c r="J34" s="33"/>
      <c r="K34" s="34"/>
      <c r="L34" s="34"/>
      <c r="M34" s="34"/>
      <c r="O34" s="35">
        <v>1E-3</v>
      </c>
      <c r="P34" s="35">
        <v>1E-3</v>
      </c>
      <c r="Q34" s="35">
        <v>1E-3</v>
      </c>
      <c r="R34" s="35">
        <v>1E-3</v>
      </c>
      <c r="S34" s="35">
        <v>1E-3</v>
      </c>
      <c r="T34" s="35">
        <v>1E-3</v>
      </c>
    </row>
    <row r="35" spans="1:20" x14ac:dyDescent="0.2">
      <c r="A35" s="18" t="str">
        <f>Commodities!B45</f>
        <v>*R1,R2,R3,R4,R5,R6</v>
      </c>
      <c r="B35" s="18" t="s">
        <v>283</v>
      </c>
      <c r="C35" s="18" t="s">
        <v>284</v>
      </c>
      <c r="E35" s="18" t="s">
        <v>223</v>
      </c>
      <c r="F35" s="18" t="s">
        <v>193</v>
      </c>
      <c r="G35" s="19">
        <v>1</v>
      </c>
      <c r="H35" s="19">
        <v>1</v>
      </c>
      <c r="J35" s="33"/>
      <c r="K35" s="34"/>
      <c r="L35" s="34"/>
      <c r="M35" s="34"/>
      <c r="O35" s="35">
        <v>1E-3</v>
      </c>
      <c r="P35" s="35">
        <v>1E-3</v>
      </c>
      <c r="Q35" s="35">
        <v>1E-3</v>
      </c>
      <c r="R35" s="35">
        <v>1E-3</v>
      </c>
      <c r="S35" s="35">
        <v>1E-3</v>
      </c>
      <c r="T35" s="35">
        <v>1E-3</v>
      </c>
    </row>
    <row r="36" spans="1:20" x14ac:dyDescent="0.2">
      <c r="A36" s="18" t="str">
        <f>Commodities!B46</f>
        <v>*R1,R2,R3,R4,R5,R6</v>
      </c>
      <c r="B36" s="18" t="s">
        <v>392</v>
      </c>
      <c r="C36" s="18" t="s">
        <v>393</v>
      </c>
      <c r="E36" s="18" t="s">
        <v>386</v>
      </c>
      <c r="F36" s="18" t="s">
        <v>389</v>
      </c>
      <c r="G36" s="19">
        <v>1</v>
      </c>
      <c r="H36" s="19">
        <v>1</v>
      </c>
      <c r="I36" s="19"/>
      <c r="K36" s="33"/>
      <c r="L36" s="34"/>
      <c r="M36" s="34"/>
      <c r="O36" s="35">
        <v>1E-3</v>
      </c>
      <c r="P36" s="35">
        <v>1E-3</v>
      </c>
      <c r="Q36" s="35">
        <v>1E-3</v>
      </c>
      <c r="R36" s="35">
        <v>1E-3</v>
      </c>
      <c r="S36" s="35">
        <v>1E-3</v>
      </c>
      <c r="T36" s="35">
        <v>1E-3</v>
      </c>
    </row>
    <row r="37" spans="1:20" x14ac:dyDescent="0.2">
      <c r="A37" s="18" t="str">
        <f>Commodities!B48</f>
        <v>*R1,R2,R3,R4,R5,R6</v>
      </c>
      <c r="B37" s="18" t="s">
        <v>394</v>
      </c>
      <c r="C37" s="18" t="s">
        <v>395</v>
      </c>
      <c r="E37" s="18" t="s">
        <v>396</v>
      </c>
      <c r="F37" s="18" t="s">
        <v>85</v>
      </c>
      <c r="G37" s="19">
        <v>1</v>
      </c>
      <c r="H37" s="19">
        <v>1</v>
      </c>
      <c r="I37" s="19"/>
      <c r="K37" s="33"/>
      <c r="L37" s="34"/>
      <c r="M37" s="34"/>
      <c r="O37" s="35">
        <v>1E-3</v>
      </c>
      <c r="P37" s="35">
        <v>1E-3</v>
      </c>
      <c r="Q37" s="35">
        <v>1E-3</v>
      </c>
      <c r="R37" s="35">
        <v>1E-3</v>
      </c>
      <c r="S37" s="35">
        <v>1E-3</v>
      </c>
      <c r="T37" s="35">
        <v>1E-3</v>
      </c>
    </row>
    <row r="38" spans="1:20" x14ac:dyDescent="0.2">
      <c r="A38" s="18" t="str">
        <f>Commodities!B49</f>
        <v>R1</v>
      </c>
      <c r="B38" s="18" t="s">
        <v>397</v>
      </c>
      <c r="C38" s="18" t="s">
        <v>398</v>
      </c>
      <c r="E38" s="18" t="s">
        <v>399</v>
      </c>
      <c r="F38" s="18" t="s">
        <v>176</v>
      </c>
      <c r="G38" s="19">
        <v>1</v>
      </c>
      <c r="H38" s="19">
        <v>1</v>
      </c>
      <c r="I38" s="19"/>
      <c r="K38" s="33"/>
      <c r="L38" s="34"/>
      <c r="M38" s="34"/>
      <c r="O38" s="35">
        <v>1E-3</v>
      </c>
      <c r="P38" s="35">
        <v>1E-3</v>
      </c>
      <c r="Q38" s="35">
        <v>1E-3</v>
      </c>
      <c r="R38" s="35">
        <v>1E-3</v>
      </c>
      <c r="S38" s="35">
        <v>1E-3</v>
      </c>
      <c r="T38" s="35">
        <v>1E-3</v>
      </c>
    </row>
    <row r="39" spans="1:20" x14ac:dyDescent="0.2">
      <c r="A39" s="18" t="str">
        <f>Commodities!B50</f>
        <v>R1</v>
      </c>
      <c r="B39" s="18" t="s">
        <v>400</v>
      </c>
      <c r="C39" s="18" t="s">
        <v>401</v>
      </c>
      <c r="E39" s="18" t="s">
        <v>402</v>
      </c>
      <c r="F39" s="18" t="s">
        <v>178</v>
      </c>
      <c r="G39" s="19">
        <v>1</v>
      </c>
      <c r="H39" s="19">
        <v>1</v>
      </c>
      <c r="I39" s="19"/>
      <c r="K39" s="33"/>
      <c r="L39" s="34"/>
      <c r="M39" s="34"/>
      <c r="O39" s="35">
        <v>1E-3</v>
      </c>
      <c r="P39" s="35">
        <v>1E-3</v>
      </c>
      <c r="Q39" s="35">
        <v>1E-3</v>
      </c>
      <c r="R39" s="35">
        <v>1E-3</v>
      </c>
      <c r="S39" s="35">
        <v>1E-3</v>
      </c>
      <c r="T39" s="35">
        <v>1E-3</v>
      </c>
    </row>
    <row r="40" spans="1:20" x14ac:dyDescent="0.2">
      <c r="A40" s="18" t="str">
        <f>Commodities!B51</f>
        <v>*R1,R2,R3,R4,R5,R6</v>
      </c>
      <c r="B40" s="18" t="s">
        <v>403</v>
      </c>
      <c r="C40" s="18" t="s">
        <v>404</v>
      </c>
      <c r="E40" s="18" t="s">
        <v>405</v>
      </c>
      <c r="F40" s="18" t="s">
        <v>180</v>
      </c>
      <c r="G40" s="19">
        <v>1</v>
      </c>
      <c r="H40" s="19">
        <v>1</v>
      </c>
      <c r="I40" s="19"/>
      <c r="K40" s="33"/>
      <c r="L40" s="34"/>
      <c r="M40" s="34"/>
      <c r="O40" s="35">
        <v>1E-3</v>
      </c>
      <c r="P40" s="35">
        <v>1E-3</v>
      </c>
      <c r="Q40" s="35">
        <v>1E-3</v>
      </c>
      <c r="R40" s="35">
        <v>1E-3</v>
      </c>
      <c r="S40" s="35">
        <v>1E-3</v>
      </c>
      <c r="T40" s="35">
        <v>1E-3</v>
      </c>
    </row>
    <row r="41" spans="1:20" x14ac:dyDescent="0.2">
      <c r="A41" s="18" t="str">
        <f>Commodities!B52</f>
        <v>R1</v>
      </c>
      <c r="B41" s="18" t="s">
        <v>406</v>
      </c>
      <c r="C41" s="18" t="s">
        <v>407</v>
      </c>
      <c r="E41" s="18" t="s">
        <v>408</v>
      </c>
      <c r="F41" s="18" t="s">
        <v>182</v>
      </c>
      <c r="G41" s="19">
        <v>1</v>
      </c>
      <c r="H41" s="19">
        <v>1</v>
      </c>
      <c r="I41" s="19"/>
      <c r="K41" s="33"/>
      <c r="L41" s="34"/>
      <c r="M41" s="34"/>
      <c r="O41" s="35">
        <v>1E-3</v>
      </c>
      <c r="P41" s="35">
        <v>1E-3</v>
      </c>
      <c r="Q41" s="35">
        <v>1E-3</v>
      </c>
      <c r="R41" s="35">
        <v>1E-3</v>
      </c>
      <c r="S41" s="35">
        <v>1E-3</v>
      </c>
      <c r="T41" s="35">
        <v>1E-3</v>
      </c>
    </row>
    <row r="42" spans="1:20" x14ac:dyDescent="0.2">
      <c r="A42" s="18" t="str">
        <f>Commodities!B53</f>
        <v>R1</v>
      </c>
      <c r="B42" s="18" t="s">
        <v>409</v>
      </c>
      <c r="C42" s="18" t="s">
        <v>410</v>
      </c>
      <c r="E42" s="18" t="s">
        <v>411</v>
      </c>
      <c r="F42" s="18" t="s">
        <v>184</v>
      </c>
      <c r="G42" s="19">
        <v>1</v>
      </c>
      <c r="H42" s="19">
        <v>1</v>
      </c>
      <c r="I42" s="19"/>
      <c r="O42" s="35">
        <v>1E-3</v>
      </c>
      <c r="P42" s="35">
        <v>1E-3</v>
      </c>
      <c r="Q42" s="35">
        <v>1E-3</v>
      </c>
      <c r="R42" s="35">
        <v>1E-3</v>
      </c>
      <c r="S42" s="35">
        <v>1E-3</v>
      </c>
      <c r="T42" s="35">
        <v>1E-3</v>
      </c>
    </row>
    <row r="43" spans="1:20" x14ac:dyDescent="0.2">
      <c r="A43" s="18" t="str">
        <f>Commodities!B54</f>
        <v>*R1,R2,R3,R4,R5,R6</v>
      </c>
      <c r="B43" s="18" t="s">
        <v>412</v>
      </c>
      <c r="C43" s="18" t="s">
        <v>413</v>
      </c>
      <c r="E43" s="18" t="s">
        <v>414</v>
      </c>
      <c r="F43" s="18" t="s">
        <v>95</v>
      </c>
      <c r="G43" s="19">
        <v>1</v>
      </c>
      <c r="H43" s="19">
        <v>1</v>
      </c>
      <c r="I43" s="19"/>
      <c r="O43" s="35">
        <v>1E-3</v>
      </c>
      <c r="P43" s="35">
        <v>1E-3</v>
      </c>
      <c r="Q43" s="35">
        <v>1E-3</v>
      </c>
      <c r="R43" s="35">
        <v>1E-3</v>
      </c>
      <c r="S43" s="35">
        <v>1E-3</v>
      </c>
      <c r="T43" s="35">
        <v>1E-3</v>
      </c>
    </row>
    <row r="44" spans="1:20" x14ac:dyDescent="0.2">
      <c r="A44" s="18" t="str">
        <f>Commodities!B55</f>
        <v>*R1,R2,R3,R4,R5,R6</v>
      </c>
      <c r="B44" s="18" t="s">
        <v>415</v>
      </c>
      <c r="C44" s="18" t="s">
        <v>416</v>
      </c>
      <c r="E44" s="18" t="s">
        <v>417</v>
      </c>
      <c r="F44" s="18" t="s">
        <v>187</v>
      </c>
      <c r="G44" s="19">
        <v>1</v>
      </c>
      <c r="H44" s="19">
        <v>1</v>
      </c>
      <c r="I44" s="19"/>
      <c r="O44" s="35">
        <v>1E-3</v>
      </c>
      <c r="P44" s="35">
        <v>1E-3</v>
      </c>
      <c r="Q44" s="35">
        <v>1E-3</v>
      </c>
      <c r="R44" s="35">
        <v>1E-3</v>
      </c>
      <c r="S44" s="35">
        <v>1E-3</v>
      </c>
      <c r="T44" s="35">
        <v>1E-3</v>
      </c>
    </row>
    <row r="45" spans="1:20" x14ac:dyDescent="0.2">
      <c r="A45" s="18" t="str">
        <f>Commodities!B56</f>
        <v>*R1,R2,R3,R4,R5,R6</v>
      </c>
      <c r="B45" s="18" t="s">
        <v>418</v>
      </c>
      <c r="C45" s="18" t="s">
        <v>419</v>
      </c>
      <c r="E45" s="18" t="s">
        <v>420</v>
      </c>
      <c r="F45" s="18" t="s">
        <v>189</v>
      </c>
      <c r="G45" s="19">
        <v>1</v>
      </c>
      <c r="H45" s="19">
        <v>1</v>
      </c>
      <c r="I45" s="19"/>
      <c r="O45" s="35">
        <v>1E-3</v>
      </c>
      <c r="P45" s="35">
        <v>1E-3</v>
      </c>
      <c r="Q45" s="35">
        <v>1E-3</v>
      </c>
      <c r="R45" s="35">
        <v>1E-3</v>
      </c>
      <c r="S45" s="35">
        <v>1E-3</v>
      </c>
      <c r="T45" s="35">
        <v>1E-3</v>
      </c>
    </row>
    <row r="46" spans="1:20" x14ac:dyDescent="0.2">
      <c r="A46" s="18" t="str">
        <f>Commodities!B57</f>
        <v>*R1,R2,R3,R4,R5,R6</v>
      </c>
      <c r="B46" s="18" t="s">
        <v>421</v>
      </c>
      <c r="C46" s="18" t="s">
        <v>422</v>
      </c>
      <c r="E46" s="18" t="s">
        <v>423</v>
      </c>
      <c r="F46" s="18" t="s">
        <v>190</v>
      </c>
      <c r="G46" s="19">
        <v>1</v>
      </c>
      <c r="H46" s="19">
        <v>1</v>
      </c>
      <c r="I46" s="19"/>
      <c r="O46" s="35">
        <v>1E-3</v>
      </c>
      <c r="P46" s="35">
        <v>1E-3</v>
      </c>
      <c r="Q46" s="35">
        <v>1E-3</v>
      </c>
      <c r="R46" s="35">
        <v>1E-3</v>
      </c>
      <c r="S46" s="35">
        <v>1E-3</v>
      </c>
      <c r="T46" s="35">
        <v>1E-3</v>
      </c>
    </row>
    <row r="47" spans="1:20" x14ac:dyDescent="0.2">
      <c r="A47" s="18" t="str">
        <f>Commodities!B58</f>
        <v>R1</v>
      </c>
      <c r="B47" s="18" t="s">
        <v>424</v>
      </c>
      <c r="C47" s="18" t="s">
        <v>425</v>
      </c>
      <c r="E47" s="18" t="s">
        <v>426</v>
      </c>
      <c r="F47" s="18" t="s">
        <v>97</v>
      </c>
      <c r="G47" s="19">
        <v>1</v>
      </c>
      <c r="H47" s="19">
        <v>1</v>
      </c>
      <c r="I47" s="19"/>
      <c r="O47" s="35">
        <v>1E-3</v>
      </c>
      <c r="P47" s="35">
        <v>1E-3</v>
      </c>
      <c r="Q47" s="35">
        <v>1E-3</v>
      </c>
      <c r="R47" s="35">
        <v>1E-3</v>
      </c>
      <c r="S47" s="35">
        <v>1E-3</v>
      </c>
      <c r="T47" s="35">
        <v>1E-3</v>
      </c>
    </row>
    <row r="48" spans="1:20" x14ac:dyDescent="0.2">
      <c r="A48" s="18" t="str">
        <f>Commodities!B59</f>
        <v>R1</v>
      </c>
      <c r="B48" s="18" t="s">
        <v>427</v>
      </c>
      <c r="C48" s="18" t="s">
        <v>428</v>
      </c>
      <c r="E48" s="18" t="s">
        <v>429</v>
      </c>
      <c r="F48" s="18" t="s">
        <v>98</v>
      </c>
      <c r="G48" s="19">
        <v>1</v>
      </c>
      <c r="H48" s="19">
        <v>1</v>
      </c>
      <c r="I48" s="19"/>
      <c r="O48" s="35">
        <v>1E-3</v>
      </c>
      <c r="P48" s="35">
        <v>1E-3</v>
      </c>
      <c r="Q48" s="35">
        <v>1E-3</v>
      </c>
      <c r="R48" s="35">
        <v>1E-3</v>
      </c>
      <c r="S48" s="35">
        <v>1E-3</v>
      </c>
      <c r="T48" s="35">
        <v>1E-3</v>
      </c>
    </row>
    <row r="49" spans="1:22" x14ac:dyDescent="0.2">
      <c r="A49" s="18" t="str">
        <f>Commodities!B60</f>
        <v>*R1,R2,R3,R4,R5,R6</v>
      </c>
      <c r="B49" s="18" t="s">
        <v>430</v>
      </c>
      <c r="C49" s="18" t="s">
        <v>431</v>
      </c>
      <c r="E49" s="18" t="s">
        <v>432</v>
      </c>
      <c r="F49" s="18" t="s">
        <v>193</v>
      </c>
      <c r="G49" s="19">
        <v>1</v>
      </c>
      <c r="H49" s="19">
        <v>1</v>
      </c>
      <c r="I49" s="19"/>
      <c r="O49" s="35">
        <v>1E-3</v>
      </c>
      <c r="P49" s="35">
        <v>1E-3</v>
      </c>
      <c r="Q49" s="35">
        <v>1E-3</v>
      </c>
      <c r="R49" s="35">
        <v>1E-3</v>
      </c>
      <c r="S49" s="35">
        <v>1E-3</v>
      </c>
      <c r="T49" s="35">
        <v>1E-3</v>
      </c>
    </row>
    <row r="50" spans="1:22" x14ac:dyDescent="0.2">
      <c r="A50" s="18" t="s">
        <v>115</v>
      </c>
      <c r="B50" s="18" t="s">
        <v>226</v>
      </c>
      <c r="C50" s="18" t="s">
        <v>227</v>
      </c>
      <c r="D50" s="18" t="s">
        <v>286</v>
      </c>
      <c r="E50" s="18" t="str">
        <f>Commodities!C74</f>
        <v>OIL</v>
      </c>
      <c r="F50" s="18" t="s">
        <v>197</v>
      </c>
      <c r="G50" s="29">
        <f>Capacity!I3</f>
        <v>1.0378548895899056</v>
      </c>
      <c r="H50" s="28">
        <v>0.06</v>
      </c>
      <c r="I50" s="18">
        <v>2010</v>
      </c>
      <c r="J50" s="33">
        <v>40</v>
      </c>
      <c r="K50" s="34">
        <v>1</v>
      </c>
      <c r="L50" s="34">
        <v>1</v>
      </c>
      <c r="M50" s="36">
        <v>1</v>
      </c>
      <c r="O50" s="35">
        <v>0.11551107268838445</v>
      </c>
      <c r="P50" s="35">
        <v>0.1289873645020293</v>
      </c>
      <c r="Q50" s="35">
        <v>0.14403589036059938</v>
      </c>
      <c r="R50" s="35">
        <v>0.14704559553231339</v>
      </c>
      <c r="S50" s="35">
        <v>0.1483354691773337</v>
      </c>
      <c r="T50" s="35">
        <v>0.14145614307055882</v>
      </c>
      <c r="U50" s="37">
        <f>RESID!K21</f>
        <v>2074.6654545209508</v>
      </c>
      <c r="V50" s="18">
        <f>0</f>
        <v>0</v>
      </c>
    </row>
    <row r="51" spans="1:22" x14ac:dyDescent="0.2">
      <c r="E51" s="18" t="str">
        <f>Commodities!C75</f>
        <v>NGA</v>
      </c>
      <c r="F51" s="18" t="s">
        <v>199</v>
      </c>
      <c r="G51" s="29">
        <f>'Inputs ELC NG'!C35/Conv!C45/1000*G50*1.8</f>
        <v>4.3321494615468303E-2</v>
      </c>
      <c r="H51" s="28">
        <f>'PADD Products'!I4/100</f>
        <v>0.54445200000000005</v>
      </c>
      <c r="J51" s="33"/>
      <c r="K51" s="34"/>
      <c r="L51" s="34"/>
      <c r="M51" s="34"/>
      <c r="O51" s="35"/>
      <c r="P51" s="35"/>
      <c r="Q51" s="35"/>
      <c r="R51" s="35"/>
      <c r="S51" s="35"/>
      <c r="T51" s="35"/>
    </row>
    <row r="52" spans="1:22" x14ac:dyDescent="0.2">
      <c r="E52" s="18" t="str">
        <f>Commodities!C73</f>
        <v>ELC</v>
      </c>
      <c r="F52" s="18" t="s">
        <v>198</v>
      </c>
      <c r="G52" s="29">
        <f>'Inputs ELC NG'!C37/Conv!C45/1000*G50</f>
        <v>4.7956053518981839E-3</v>
      </c>
      <c r="H52" s="28">
        <f>'PADD Products'!I5/100</f>
        <v>0</v>
      </c>
      <c r="J52" s="33"/>
      <c r="K52" s="34"/>
      <c r="L52" s="34"/>
      <c r="M52" s="34"/>
      <c r="O52" s="35"/>
      <c r="P52" s="35"/>
      <c r="Q52" s="35"/>
      <c r="R52" s="35"/>
      <c r="S52" s="35"/>
      <c r="T52" s="35"/>
    </row>
    <row r="53" spans="1:22" x14ac:dyDescent="0.2">
      <c r="E53" s="18" t="str">
        <f>Commodities!$C$82</f>
        <v>NGL</v>
      </c>
      <c r="F53" s="18" t="s">
        <v>200</v>
      </c>
      <c r="G53" s="29">
        <v>0</v>
      </c>
      <c r="H53" s="28">
        <f>'PADD Products'!I6/100</f>
        <v>6.1128000000000009E-2</v>
      </c>
      <c r="J53" s="33"/>
      <c r="K53" s="34"/>
      <c r="L53" s="34"/>
      <c r="M53" s="34"/>
      <c r="O53" s="35"/>
      <c r="P53" s="35"/>
      <c r="Q53" s="35"/>
      <c r="R53" s="35"/>
      <c r="S53" s="35"/>
      <c r="T53" s="35"/>
    </row>
    <row r="54" spans="1:22" x14ac:dyDescent="0.2">
      <c r="F54" s="18" t="s">
        <v>204</v>
      </c>
      <c r="H54" s="28">
        <f>'PADD Products'!I7/100</f>
        <v>4.104E-3</v>
      </c>
      <c r="J54" s="33"/>
      <c r="K54" s="34"/>
      <c r="L54" s="34"/>
      <c r="M54" s="34"/>
      <c r="O54" s="35"/>
      <c r="P54" s="35"/>
      <c r="Q54" s="35"/>
      <c r="R54" s="35"/>
      <c r="S54" s="35"/>
      <c r="T54" s="35"/>
    </row>
    <row r="55" spans="1:22" x14ac:dyDescent="0.2">
      <c r="F55" s="18" t="s">
        <v>208</v>
      </c>
      <c r="H55" s="28">
        <f>'PADD Products'!I8/100</f>
        <v>0.21783261383871788</v>
      </c>
      <c r="J55" s="33"/>
      <c r="K55" s="34"/>
      <c r="L55" s="34"/>
      <c r="M55" s="34"/>
      <c r="O55" s="35"/>
      <c r="P55" s="35"/>
      <c r="Q55" s="35"/>
      <c r="R55" s="35"/>
      <c r="S55" s="35"/>
      <c r="T55" s="35"/>
    </row>
    <row r="56" spans="1:22" x14ac:dyDescent="0.2">
      <c r="F56" s="18" t="s">
        <v>207</v>
      </c>
      <c r="H56" s="28">
        <f>'PADD Products'!I9/100</f>
        <v>0</v>
      </c>
      <c r="J56" s="33"/>
      <c r="K56" s="34"/>
      <c r="L56" s="34"/>
      <c r="M56" s="34"/>
      <c r="O56" s="35"/>
      <c r="P56" s="35"/>
      <c r="Q56" s="35"/>
      <c r="R56" s="35"/>
      <c r="S56" s="35"/>
      <c r="T56" s="35"/>
    </row>
    <row r="57" spans="1:22" x14ac:dyDescent="0.2">
      <c r="F57" s="18" t="s">
        <v>201</v>
      </c>
      <c r="H57" s="28">
        <f>'PADD Products'!I10/100</f>
        <v>0.11618676265581279</v>
      </c>
      <c r="J57" s="33"/>
      <c r="K57" s="34"/>
      <c r="L57" s="34"/>
      <c r="M57" s="34"/>
      <c r="O57" s="35"/>
      <c r="P57" s="35"/>
      <c r="Q57" s="35"/>
      <c r="R57" s="35"/>
      <c r="S57" s="35"/>
      <c r="T57" s="35"/>
    </row>
    <row r="58" spans="1:22" x14ac:dyDescent="0.2">
      <c r="F58" s="18" t="s">
        <v>202</v>
      </c>
      <c r="H58" s="28">
        <f>'PADD Products'!I11/100</f>
        <v>6.4152000000000001E-2</v>
      </c>
      <c r="J58" s="33"/>
      <c r="K58" s="34"/>
      <c r="L58" s="34"/>
      <c r="M58" s="34"/>
      <c r="O58" s="35"/>
      <c r="P58" s="35"/>
      <c r="Q58" s="35"/>
      <c r="R58" s="35"/>
      <c r="S58" s="35"/>
      <c r="T58" s="35"/>
    </row>
    <row r="59" spans="1:22" x14ac:dyDescent="0.2">
      <c r="F59" s="18" t="s">
        <v>203</v>
      </c>
      <c r="H59" s="28">
        <f>H58</f>
        <v>6.4152000000000001E-2</v>
      </c>
      <c r="J59" s="33"/>
      <c r="K59" s="34"/>
      <c r="L59" s="34"/>
      <c r="M59" s="34"/>
      <c r="O59" s="35"/>
      <c r="P59" s="35"/>
      <c r="Q59" s="35"/>
      <c r="R59" s="35"/>
      <c r="S59" s="35"/>
      <c r="T59" s="35"/>
    </row>
    <row r="60" spans="1:22" x14ac:dyDescent="0.2">
      <c r="F60" s="18" t="s">
        <v>205</v>
      </c>
      <c r="G60" s="28"/>
      <c r="H60" s="28">
        <f>'PADD Products'!I13/100</f>
        <v>8.208E-3</v>
      </c>
      <c r="J60" s="33"/>
      <c r="K60" s="34"/>
      <c r="L60" s="34"/>
      <c r="M60" s="34"/>
      <c r="O60" s="35"/>
      <c r="P60" s="35"/>
      <c r="Q60" s="35"/>
      <c r="R60" s="35"/>
      <c r="S60" s="35"/>
      <c r="T60" s="35"/>
    </row>
    <row r="61" spans="1:22" x14ac:dyDescent="0.2">
      <c r="F61" s="18" t="s">
        <v>209</v>
      </c>
      <c r="G61" s="28"/>
      <c r="H61" s="28">
        <f>'PADD Products'!I14/100</f>
        <v>3.3480000000000003E-2</v>
      </c>
      <c r="J61" s="33"/>
      <c r="K61" s="34"/>
      <c r="L61" s="34"/>
      <c r="M61" s="34"/>
      <c r="O61" s="35"/>
      <c r="P61" s="35"/>
      <c r="Q61" s="35"/>
      <c r="R61" s="35"/>
      <c r="S61" s="35"/>
      <c r="T61" s="35"/>
    </row>
    <row r="62" spans="1:22" x14ac:dyDescent="0.2">
      <c r="F62" s="18" t="s">
        <v>206</v>
      </c>
      <c r="G62" s="28"/>
      <c r="H62" s="28">
        <f>'PADD Products'!I15/100</f>
        <v>5.3783999999999998E-2</v>
      </c>
      <c r="I62" s="38"/>
      <c r="J62" s="33"/>
      <c r="K62" s="34"/>
      <c r="L62" s="34"/>
      <c r="M62" s="34"/>
      <c r="O62" s="35"/>
      <c r="P62" s="35"/>
      <c r="Q62" s="35"/>
      <c r="R62" s="35"/>
      <c r="S62" s="35"/>
      <c r="T62" s="35"/>
    </row>
    <row r="63" spans="1:22" x14ac:dyDescent="0.2">
      <c r="F63" s="18" t="s">
        <v>385</v>
      </c>
      <c r="H63" s="28">
        <v>0.2</v>
      </c>
      <c r="J63" s="33"/>
      <c r="K63" s="34"/>
      <c r="L63" s="34"/>
      <c r="M63" s="34"/>
      <c r="O63" s="35"/>
      <c r="P63" s="35"/>
      <c r="Q63" s="35"/>
      <c r="R63" s="35"/>
      <c r="S63" s="35"/>
      <c r="T63" s="35"/>
    </row>
    <row r="64" spans="1:22" x14ac:dyDescent="0.2">
      <c r="B64" s="18" t="s">
        <v>229</v>
      </c>
      <c r="C64" s="18" t="s">
        <v>230</v>
      </c>
      <c r="E64" s="18" t="str">
        <f>Commodities!C74</f>
        <v>OIL</v>
      </c>
      <c r="F64" s="18" t="s">
        <v>211</v>
      </c>
      <c r="G64" s="27">
        <f>G50</f>
        <v>1.0378548895899056</v>
      </c>
      <c r="H64" s="28">
        <f>H50</f>
        <v>0.06</v>
      </c>
      <c r="I64" s="18">
        <v>2015</v>
      </c>
      <c r="J64" s="33">
        <v>40</v>
      </c>
      <c r="K64" s="34">
        <v>1</v>
      </c>
      <c r="L64" s="34">
        <v>1</v>
      </c>
      <c r="M64" s="36">
        <v>1</v>
      </c>
      <c r="N64" s="39">
        <f>'RTI Costs'!F7*Conv!J32</f>
        <v>8.8465027778212519</v>
      </c>
      <c r="O64" s="35">
        <v>0.11551107268838445</v>
      </c>
      <c r="P64" s="35">
        <v>0.1289873645020293</v>
      </c>
      <c r="Q64" s="35">
        <v>0.14403589036059938</v>
      </c>
      <c r="R64" s="35">
        <v>0.14704559553231339</v>
      </c>
      <c r="S64" s="35">
        <v>0.1483354691773337</v>
      </c>
      <c r="T64" s="35">
        <v>0.14145614307055882</v>
      </c>
      <c r="V64" s="18">
        <f>0</f>
        <v>0</v>
      </c>
    </row>
    <row r="65" spans="2:21" x14ac:dyDescent="0.2">
      <c r="E65" s="18" t="str">
        <f>Commodities!C75</f>
        <v>NGA</v>
      </c>
      <c r="F65" s="18" t="s">
        <v>213</v>
      </c>
      <c r="G65" s="29">
        <f>$G$51</f>
        <v>4.3321494615468303E-2</v>
      </c>
      <c r="H65" s="28">
        <f>H51</f>
        <v>0.54445200000000005</v>
      </c>
      <c r="J65" s="33"/>
      <c r="K65" s="34"/>
      <c r="L65" s="34"/>
      <c r="M65" s="34"/>
      <c r="O65" s="35"/>
      <c r="P65" s="35"/>
      <c r="Q65" s="35"/>
      <c r="R65" s="35"/>
      <c r="S65" s="35"/>
      <c r="T65" s="35"/>
    </row>
    <row r="66" spans="2:21" x14ac:dyDescent="0.2">
      <c r="E66" s="18" t="str">
        <f>Commodities!C73</f>
        <v>ELC</v>
      </c>
      <c r="F66" s="18" t="s">
        <v>212</v>
      </c>
      <c r="G66" s="29">
        <f>$G$52</f>
        <v>4.7956053518981839E-3</v>
      </c>
      <c r="H66" s="28">
        <f>H52</f>
        <v>0</v>
      </c>
      <c r="J66" s="33"/>
      <c r="K66" s="34"/>
      <c r="L66" s="34"/>
      <c r="M66" s="34"/>
      <c r="O66" s="35"/>
      <c r="P66" s="35"/>
      <c r="Q66" s="35"/>
      <c r="R66" s="35"/>
      <c r="S66" s="35"/>
      <c r="T66" s="35"/>
    </row>
    <row r="67" spans="2:21" x14ac:dyDescent="0.2">
      <c r="E67" s="18" t="str">
        <f>Commodities!$C$82</f>
        <v>NGL</v>
      </c>
      <c r="F67" s="18" t="s">
        <v>214</v>
      </c>
      <c r="G67" s="29">
        <f>$G$53</f>
        <v>0</v>
      </c>
      <c r="H67" s="28">
        <f>H53</f>
        <v>6.1128000000000009E-2</v>
      </c>
      <c r="J67" s="33"/>
      <c r="K67" s="34"/>
      <c r="L67" s="34"/>
      <c r="M67" s="34"/>
      <c r="O67" s="35"/>
      <c r="P67" s="35"/>
      <c r="Q67" s="35"/>
      <c r="R67" s="35"/>
      <c r="S67" s="35"/>
      <c r="T67" s="35"/>
    </row>
    <row r="68" spans="2:21" x14ac:dyDescent="0.2">
      <c r="F68" s="18" t="s">
        <v>218</v>
      </c>
      <c r="H68" s="28">
        <f t="shared" ref="H68:H76" si="0">H54</f>
        <v>4.104E-3</v>
      </c>
      <c r="J68" s="33"/>
      <c r="K68" s="34"/>
      <c r="L68" s="34"/>
      <c r="M68" s="34"/>
      <c r="O68" s="35"/>
      <c r="P68" s="35"/>
      <c r="Q68" s="35"/>
      <c r="R68" s="35"/>
      <c r="S68" s="35"/>
      <c r="T68" s="35"/>
    </row>
    <row r="69" spans="2:21" x14ac:dyDescent="0.2">
      <c r="F69" s="18" t="s">
        <v>222</v>
      </c>
      <c r="H69" s="28">
        <f>H55</f>
        <v>0.21783261383871788</v>
      </c>
      <c r="J69" s="33"/>
      <c r="K69" s="34"/>
      <c r="L69" s="34"/>
      <c r="M69" s="34"/>
      <c r="O69" s="35"/>
      <c r="P69" s="35"/>
      <c r="Q69" s="35"/>
      <c r="R69" s="35"/>
      <c r="S69" s="35"/>
      <c r="T69" s="35"/>
    </row>
    <row r="70" spans="2:21" x14ac:dyDescent="0.2">
      <c r="F70" s="18" t="s">
        <v>221</v>
      </c>
      <c r="H70" s="28">
        <f>H56</f>
        <v>0</v>
      </c>
      <c r="J70" s="33"/>
      <c r="K70" s="34"/>
      <c r="L70" s="34"/>
      <c r="M70" s="34"/>
      <c r="O70" s="35"/>
      <c r="P70" s="35"/>
      <c r="Q70" s="35"/>
      <c r="R70" s="35"/>
      <c r="S70" s="35"/>
      <c r="T70" s="35"/>
    </row>
    <row r="71" spans="2:21" x14ac:dyDescent="0.2">
      <c r="F71" s="18" t="s">
        <v>215</v>
      </c>
      <c r="H71" s="28">
        <f t="shared" si="0"/>
        <v>0.11618676265581279</v>
      </c>
      <c r="J71" s="33"/>
      <c r="K71" s="34"/>
      <c r="L71" s="34"/>
      <c r="M71" s="34"/>
      <c r="O71" s="35"/>
      <c r="P71" s="35"/>
      <c r="Q71" s="35"/>
      <c r="R71" s="35"/>
      <c r="S71" s="35"/>
      <c r="T71" s="35"/>
    </row>
    <row r="72" spans="2:21" x14ac:dyDescent="0.2">
      <c r="F72" s="18" t="s">
        <v>216</v>
      </c>
      <c r="H72" s="28">
        <f t="shared" si="0"/>
        <v>6.4152000000000001E-2</v>
      </c>
      <c r="J72" s="33"/>
      <c r="K72" s="34"/>
      <c r="L72" s="34"/>
      <c r="M72" s="34"/>
      <c r="O72" s="35"/>
      <c r="P72" s="35"/>
      <c r="Q72" s="35"/>
      <c r="R72" s="35"/>
      <c r="S72" s="35"/>
      <c r="T72" s="35"/>
    </row>
    <row r="73" spans="2:21" x14ac:dyDescent="0.2">
      <c r="F73" s="18" t="s">
        <v>217</v>
      </c>
      <c r="H73" s="28">
        <f t="shared" si="0"/>
        <v>6.4152000000000001E-2</v>
      </c>
      <c r="J73" s="33"/>
      <c r="K73" s="34"/>
      <c r="L73" s="34"/>
      <c r="M73" s="34"/>
      <c r="O73" s="35"/>
      <c r="P73" s="35"/>
      <c r="Q73" s="35"/>
      <c r="R73" s="35"/>
      <c r="S73" s="35"/>
      <c r="T73" s="35"/>
    </row>
    <row r="74" spans="2:21" x14ac:dyDescent="0.2">
      <c r="F74" s="18" t="s">
        <v>219</v>
      </c>
      <c r="H74" s="28">
        <f t="shared" si="0"/>
        <v>8.208E-3</v>
      </c>
      <c r="J74" s="33"/>
      <c r="K74" s="34"/>
      <c r="L74" s="34"/>
      <c r="M74" s="34"/>
      <c r="O74" s="35"/>
      <c r="P74" s="35"/>
      <c r="Q74" s="35"/>
      <c r="R74" s="35"/>
      <c r="S74" s="35"/>
      <c r="T74" s="35"/>
    </row>
    <row r="75" spans="2:21" x14ac:dyDescent="0.2">
      <c r="F75" s="18" t="s">
        <v>223</v>
      </c>
      <c r="H75" s="28">
        <f t="shared" si="0"/>
        <v>3.3480000000000003E-2</v>
      </c>
      <c r="J75" s="33"/>
      <c r="K75" s="34"/>
      <c r="L75" s="34"/>
      <c r="M75" s="34"/>
      <c r="O75" s="35"/>
      <c r="P75" s="35"/>
      <c r="Q75" s="35"/>
      <c r="R75" s="35"/>
      <c r="S75" s="35"/>
      <c r="T75" s="35"/>
    </row>
    <row r="76" spans="2:21" x14ac:dyDescent="0.2">
      <c r="F76" s="18" t="s">
        <v>220</v>
      </c>
      <c r="G76" s="28"/>
      <c r="H76" s="28">
        <f t="shared" si="0"/>
        <v>5.3783999999999998E-2</v>
      </c>
      <c r="J76" s="33"/>
      <c r="K76" s="34"/>
      <c r="L76" s="34"/>
      <c r="M76" s="34"/>
      <c r="O76" s="35"/>
      <c r="P76" s="35"/>
      <c r="Q76" s="35"/>
      <c r="R76" s="35"/>
      <c r="S76" s="35"/>
      <c r="T76" s="35"/>
    </row>
    <row r="77" spans="2:21" x14ac:dyDescent="0.2">
      <c r="F77" s="18" t="s">
        <v>386</v>
      </c>
      <c r="H77" s="28">
        <v>0.2</v>
      </c>
      <c r="J77" s="33"/>
      <c r="K77" s="34"/>
      <c r="L77" s="34"/>
      <c r="M77" s="34"/>
      <c r="O77" s="35"/>
      <c r="P77" s="35"/>
      <c r="Q77" s="35"/>
      <c r="R77" s="35"/>
      <c r="S77" s="35"/>
      <c r="T77" s="35"/>
    </row>
    <row r="78" spans="2:21" x14ac:dyDescent="0.2">
      <c r="B78" s="18" t="s">
        <v>387</v>
      </c>
      <c r="C78" s="18" t="s">
        <v>388</v>
      </c>
      <c r="E78" s="18" t="s">
        <v>389</v>
      </c>
      <c r="F78" s="18" t="s">
        <v>396</v>
      </c>
      <c r="G78" s="29">
        <v>1</v>
      </c>
      <c r="H78" s="28">
        <f>H50*1.25</f>
        <v>7.4999999999999997E-2</v>
      </c>
      <c r="I78" s="18">
        <v>2010</v>
      </c>
      <c r="J78" s="33">
        <v>40</v>
      </c>
      <c r="K78" s="34">
        <v>1</v>
      </c>
      <c r="L78" s="34">
        <v>1</v>
      </c>
      <c r="M78" s="34">
        <v>1</v>
      </c>
      <c r="N78" s="39">
        <f>4.4</f>
        <v>4.4000000000000004</v>
      </c>
      <c r="Q78" s="40"/>
      <c r="R78" s="40"/>
      <c r="S78" s="40"/>
      <c r="T78" s="40"/>
      <c r="U78" s="40"/>
    </row>
    <row r="79" spans="2:21" x14ac:dyDescent="0.2">
      <c r="F79" s="18" t="s">
        <v>402</v>
      </c>
      <c r="H79" s="28">
        <f>H51*1.4</f>
        <v>0.76223280000000004</v>
      </c>
      <c r="J79" s="28"/>
      <c r="L79" s="33"/>
      <c r="M79" s="34"/>
      <c r="O79" s="34"/>
      <c r="P79" s="34"/>
      <c r="Q79" s="40"/>
      <c r="R79" s="40"/>
      <c r="S79" s="40"/>
      <c r="T79" s="40"/>
      <c r="U79" s="40"/>
    </row>
    <row r="80" spans="2:21" x14ac:dyDescent="0.2">
      <c r="F80" s="18" t="s">
        <v>399</v>
      </c>
      <c r="H80" s="28">
        <f>H52*1.4</f>
        <v>0</v>
      </c>
      <c r="J80" s="28"/>
      <c r="L80" s="33"/>
      <c r="M80" s="34"/>
      <c r="O80" s="34"/>
      <c r="P80" s="34"/>
      <c r="Q80" s="40"/>
      <c r="R80" s="40"/>
      <c r="S80" s="40"/>
      <c r="T80" s="40"/>
      <c r="U80" s="40"/>
    </row>
    <row r="81" spans="1:22" x14ac:dyDescent="0.2">
      <c r="F81" s="18" t="s">
        <v>405</v>
      </c>
      <c r="H81" s="28">
        <f t="shared" ref="H81:H90" si="1">H53*1.25</f>
        <v>7.6410000000000006E-2</v>
      </c>
      <c r="J81" s="28"/>
      <c r="L81" s="33"/>
      <c r="M81" s="34"/>
      <c r="O81" s="34"/>
      <c r="P81" s="34"/>
      <c r="Q81" s="40"/>
      <c r="R81" s="40"/>
      <c r="S81" s="40"/>
      <c r="T81" s="40"/>
      <c r="U81" s="40"/>
    </row>
    <row r="82" spans="1:22" x14ac:dyDescent="0.2">
      <c r="F82" s="18" t="s">
        <v>417</v>
      </c>
      <c r="H82" s="28">
        <f>H54*2</f>
        <v>8.208E-3</v>
      </c>
      <c r="J82" s="28"/>
      <c r="L82" s="33"/>
      <c r="M82" s="34"/>
      <c r="O82" s="34"/>
      <c r="P82" s="34"/>
      <c r="Q82" s="40"/>
      <c r="R82" s="40"/>
      <c r="S82" s="40"/>
      <c r="T82" s="40"/>
      <c r="U82" s="40"/>
    </row>
    <row r="83" spans="1:22" x14ac:dyDescent="0.2">
      <c r="F83" s="18" t="s">
        <v>429</v>
      </c>
      <c r="H83" s="28">
        <f>H55*1.4</f>
        <v>0.304965659374205</v>
      </c>
      <c r="J83" s="28"/>
      <c r="L83" s="33"/>
      <c r="M83" s="34"/>
      <c r="O83" s="34"/>
      <c r="P83" s="34"/>
      <c r="Q83" s="40"/>
      <c r="R83" s="40"/>
      <c r="S83" s="40"/>
      <c r="T83" s="40"/>
      <c r="U83" s="40"/>
    </row>
    <row r="84" spans="1:22" x14ac:dyDescent="0.2">
      <c r="F84" s="18" t="s">
        <v>426</v>
      </c>
      <c r="H84" s="28">
        <f>H56*1.4</f>
        <v>0</v>
      </c>
      <c r="J84" s="28"/>
      <c r="L84" s="33"/>
      <c r="M84" s="34"/>
      <c r="O84" s="34"/>
      <c r="P84" s="34"/>
      <c r="Q84" s="40"/>
      <c r="R84" s="40"/>
      <c r="S84" s="40"/>
      <c r="T84" s="40"/>
      <c r="U84" s="40"/>
    </row>
    <row r="85" spans="1:22" x14ac:dyDescent="0.2">
      <c r="F85" s="18" t="s">
        <v>408</v>
      </c>
      <c r="H85" s="28">
        <f t="shared" si="1"/>
        <v>0.145233453319766</v>
      </c>
      <c r="J85" s="28"/>
      <c r="L85" s="33"/>
      <c r="M85" s="34"/>
      <c r="O85" s="34"/>
      <c r="P85" s="34"/>
      <c r="Q85" s="40"/>
      <c r="R85" s="40"/>
      <c r="S85" s="40"/>
      <c r="T85" s="40"/>
      <c r="U85" s="40"/>
    </row>
    <row r="86" spans="1:22" x14ac:dyDescent="0.2">
      <c r="F86" s="18" t="s">
        <v>411</v>
      </c>
      <c r="H86" s="28">
        <f t="shared" si="1"/>
        <v>8.0189999999999997E-2</v>
      </c>
      <c r="J86" s="28"/>
      <c r="L86" s="33"/>
      <c r="M86" s="34"/>
      <c r="O86" s="34"/>
      <c r="P86" s="34"/>
      <c r="Q86" s="40"/>
      <c r="R86" s="40"/>
      <c r="S86" s="40"/>
      <c r="T86" s="40"/>
      <c r="U86" s="40"/>
    </row>
    <row r="87" spans="1:22" x14ac:dyDescent="0.2">
      <c r="F87" s="18" t="s">
        <v>414</v>
      </c>
      <c r="H87" s="28">
        <f t="shared" si="1"/>
        <v>8.0189999999999997E-2</v>
      </c>
      <c r="J87" s="28"/>
      <c r="L87" s="33"/>
      <c r="M87" s="34"/>
      <c r="O87" s="34"/>
      <c r="P87" s="34"/>
      <c r="Q87" s="40"/>
      <c r="R87" s="40"/>
      <c r="S87" s="40"/>
      <c r="T87" s="40"/>
      <c r="U87" s="40"/>
    </row>
    <row r="88" spans="1:22" x14ac:dyDescent="0.2">
      <c r="F88" s="18" t="s">
        <v>420</v>
      </c>
      <c r="H88" s="28">
        <f t="shared" si="1"/>
        <v>1.026E-2</v>
      </c>
      <c r="J88" s="28"/>
      <c r="L88" s="33"/>
      <c r="M88" s="34"/>
      <c r="O88" s="34"/>
      <c r="P88" s="34"/>
      <c r="Q88" s="40"/>
      <c r="R88" s="40"/>
      <c r="S88" s="40"/>
      <c r="T88" s="40"/>
      <c r="U88" s="40"/>
    </row>
    <row r="89" spans="1:22" x14ac:dyDescent="0.2">
      <c r="F89" s="18" t="s">
        <v>432</v>
      </c>
      <c r="H89" s="28">
        <f t="shared" si="1"/>
        <v>4.1850000000000005E-2</v>
      </c>
      <c r="J89" s="28"/>
      <c r="L89" s="33"/>
      <c r="M89" s="34"/>
      <c r="O89" s="34"/>
      <c r="P89" s="34"/>
      <c r="Q89" s="40"/>
      <c r="R89" s="40"/>
      <c r="S89" s="40"/>
      <c r="T89" s="40"/>
      <c r="U89" s="40"/>
    </row>
    <row r="90" spans="1:22" x14ac:dyDescent="0.2">
      <c r="F90" s="18" t="s">
        <v>423</v>
      </c>
      <c r="H90" s="28">
        <f t="shared" si="1"/>
        <v>6.7229999999999998E-2</v>
      </c>
      <c r="J90" s="28"/>
      <c r="L90" s="33"/>
      <c r="M90" s="34"/>
      <c r="O90" s="34"/>
      <c r="P90" s="34"/>
      <c r="Q90" s="40"/>
      <c r="R90" s="40"/>
      <c r="S90" s="40"/>
      <c r="T90" s="40"/>
      <c r="U90" s="40"/>
    </row>
    <row r="91" spans="1:22" x14ac:dyDescent="0.2">
      <c r="A91" s="18" t="s">
        <v>117</v>
      </c>
      <c r="B91" s="18" t="s">
        <v>226</v>
      </c>
      <c r="C91" s="18" t="s">
        <v>227</v>
      </c>
      <c r="E91" s="18" t="str">
        <f>Commodities!$C$74</f>
        <v>OIL</v>
      </c>
      <c r="F91" s="18" t="s">
        <v>197</v>
      </c>
      <c r="G91" s="27">
        <f>Capacity!I4</f>
        <v>1.1031014249790443</v>
      </c>
      <c r="H91" s="28">
        <v>0.06</v>
      </c>
      <c r="I91" s="18">
        <v>2010</v>
      </c>
      <c r="J91" s="33">
        <v>40</v>
      </c>
      <c r="K91" s="34">
        <v>1</v>
      </c>
      <c r="L91" s="34">
        <v>1</v>
      </c>
      <c r="M91" s="36">
        <v>1</v>
      </c>
      <c r="O91" s="35">
        <v>0.10182132383906201</v>
      </c>
      <c r="P91" s="35">
        <v>0.1073351139386502</v>
      </c>
      <c r="Q91" s="35">
        <v>0.11314748472955183</v>
      </c>
      <c r="R91" s="35">
        <v>0.12225353230196438</v>
      </c>
      <c r="S91" s="35">
        <v>0.11547243304591247</v>
      </c>
      <c r="T91" s="35">
        <v>0.1197713259305207</v>
      </c>
      <c r="U91" s="41">
        <f>RESID!K24</f>
        <v>0</v>
      </c>
      <c r="V91" s="18">
        <f>0</f>
        <v>0</v>
      </c>
    </row>
    <row r="92" spans="1:22" x14ac:dyDescent="0.2">
      <c r="E92" s="18" t="str">
        <f>Commodities!$C$75</f>
        <v>NGA</v>
      </c>
      <c r="F92" s="18" t="s">
        <v>199</v>
      </c>
      <c r="G92" s="29">
        <f>$G$51</f>
        <v>4.3321494615468303E-2</v>
      </c>
      <c r="H92" s="28">
        <f>'PADD Products'!J4/100</f>
        <v>0.59383499999999989</v>
      </c>
      <c r="J92" s="33"/>
      <c r="K92" s="34"/>
      <c r="L92" s="34"/>
      <c r="M92" s="34"/>
      <c r="O92" s="35"/>
      <c r="P92" s="35"/>
      <c r="Q92" s="35"/>
      <c r="R92" s="35"/>
      <c r="S92" s="35"/>
      <c r="T92" s="35"/>
    </row>
    <row r="93" spans="1:22" x14ac:dyDescent="0.2">
      <c r="E93" s="18" t="str">
        <f>Commodities!$C$73</f>
        <v>ELC</v>
      </c>
      <c r="F93" s="18" t="s">
        <v>198</v>
      </c>
      <c r="G93" s="29">
        <f>$G$52</f>
        <v>4.7956053518981839E-3</v>
      </c>
      <c r="H93" s="28">
        <f>'PADD Products'!J5/100</f>
        <v>0</v>
      </c>
      <c r="J93" s="33"/>
      <c r="K93" s="34"/>
      <c r="L93" s="34"/>
      <c r="M93" s="34"/>
      <c r="O93" s="35"/>
      <c r="P93" s="35"/>
      <c r="Q93" s="35"/>
      <c r="R93" s="35"/>
      <c r="S93" s="35"/>
      <c r="T93" s="35"/>
    </row>
    <row r="94" spans="1:22" x14ac:dyDescent="0.2">
      <c r="E94" s="18" t="str">
        <f>Commodities!$C$82</f>
        <v>NGL</v>
      </c>
      <c r="F94" s="18" t="s">
        <v>200</v>
      </c>
      <c r="G94" s="29">
        <f>$G$53</f>
        <v>0</v>
      </c>
      <c r="H94" s="28">
        <f>'PADD Products'!J6/100</f>
        <v>7.0739999999999997E-2</v>
      </c>
      <c r="J94" s="33"/>
      <c r="K94" s="34"/>
      <c r="L94" s="34"/>
      <c r="M94" s="34"/>
      <c r="O94" s="35"/>
      <c r="P94" s="35"/>
      <c r="Q94" s="35"/>
      <c r="R94" s="35"/>
      <c r="S94" s="35"/>
      <c r="T94" s="35"/>
    </row>
    <row r="95" spans="1:22" x14ac:dyDescent="0.2">
      <c r="F95" s="18" t="s">
        <v>204</v>
      </c>
      <c r="G95" s="29"/>
      <c r="H95" s="28">
        <f>'PADD Products'!J7/100</f>
        <v>2.7000000000000006E-4</v>
      </c>
      <c r="J95" s="33"/>
      <c r="K95" s="34"/>
      <c r="L95" s="34"/>
      <c r="M95" s="34"/>
      <c r="O95" s="35"/>
      <c r="P95" s="35"/>
      <c r="Q95" s="35"/>
      <c r="R95" s="35"/>
      <c r="S95" s="35"/>
      <c r="T95" s="35"/>
    </row>
    <row r="96" spans="1:22" x14ac:dyDescent="0.2">
      <c r="F96" s="18" t="s">
        <v>208</v>
      </c>
      <c r="G96" s="29"/>
      <c r="H96" s="28">
        <f>'PADD Products'!J8/100</f>
        <v>0.33126229292663678</v>
      </c>
      <c r="J96" s="33"/>
      <c r="K96" s="34"/>
      <c r="L96" s="34"/>
      <c r="M96" s="34"/>
      <c r="O96" s="35"/>
      <c r="P96" s="35"/>
      <c r="Q96" s="35"/>
      <c r="R96" s="35"/>
      <c r="S96" s="35"/>
      <c r="T96" s="35"/>
    </row>
    <row r="97" spans="2:22" x14ac:dyDescent="0.2">
      <c r="F97" s="18" t="s">
        <v>207</v>
      </c>
      <c r="G97" s="29"/>
      <c r="H97" s="28">
        <f>'PADD Products'!J9/100</f>
        <v>0</v>
      </c>
      <c r="J97" s="33"/>
      <c r="K97" s="34"/>
      <c r="L97" s="34"/>
      <c r="M97" s="34"/>
      <c r="O97" s="35"/>
      <c r="P97" s="35"/>
      <c r="Q97" s="35"/>
      <c r="R97" s="35"/>
      <c r="S97" s="35"/>
      <c r="T97" s="35"/>
    </row>
    <row r="98" spans="2:22" x14ac:dyDescent="0.2">
      <c r="F98" s="18" t="s">
        <v>201</v>
      </c>
      <c r="G98" s="29"/>
      <c r="H98" s="28">
        <f>'PADD Products'!J10/100</f>
        <v>2.1014988167236391E-3</v>
      </c>
      <c r="J98" s="33"/>
      <c r="K98" s="34"/>
      <c r="L98" s="34"/>
      <c r="M98" s="34"/>
      <c r="O98" s="35"/>
      <c r="P98" s="35"/>
      <c r="Q98" s="35"/>
      <c r="R98" s="35"/>
      <c r="S98" s="35"/>
      <c r="T98" s="35"/>
    </row>
    <row r="99" spans="2:22" x14ac:dyDescent="0.2">
      <c r="F99" s="18" t="s">
        <v>202</v>
      </c>
      <c r="G99" s="29"/>
      <c r="H99" s="28">
        <f>'PADD Products'!J11/100</f>
        <v>1.5660000000000004E-2</v>
      </c>
      <c r="J99" s="33"/>
      <c r="K99" s="34"/>
      <c r="L99" s="34"/>
      <c r="M99" s="34"/>
      <c r="O99" s="35"/>
      <c r="P99" s="35"/>
      <c r="Q99" s="35"/>
      <c r="R99" s="35"/>
      <c r="S99" s="35"/>
      <c r="T99" s="35"/>
    </row>
    <row r="100" spans="2:22" x14ac:dyDescent="0.2">
      <c r="F100" s="18" t="s">
        <v>203</v>
      </c>
      <c r="G100" s="29"/>
      <c r="H100" s="28">
        <f>H99</f>
        <v>1.5660000000000004E-2</v>
      </c>
      <c r="J100" s="33"/>
      <c r="K100" s="34"/>
      <c r="L100" s="34"/>
      <c r="M100" s="34"/>
      <c r="O100" s="35"/>
      <c r="P100" s="35"/>
      <c r="Q100" s="35"/>
      <c r="R100" s="35"/>
      <c r="S100" s="35"/>
      <c r="T100" s="35"/>
    </row>
    <row r="101" spans="2:22" x14ac:dyDescent="0.2">
      <c r="F101" s="18" t="s">
        <v>205</v>
      </c>
      <c r="G101" s="29"/>
      <c r="H101" s="28">
        <f>'PADD Products'!J13/100</f>
        <v>1.107E-2</v>
      </c>
      <c r="J101" s="33"/>
      <c r="K101" s="34"/>
      <c r="L101" s="34"/>
      <c r="M101" s="34"/>
      <c r="O101" s="35"/>
      <c r="P101" s="35"/>
      <c r="Q101" s="35"/>
      <c r="R101" s="35"/>
      <c r="S101" s="35"/>
      <c r="T101" s="35"/>
    </row>
    <row r="102" spans="2:22" x14ac:dyDescent="0.2">
      <c r="F102" s="18" t="s">
        <v>209</v>
      </c>
      <c r="G102" s="29"/>
      <c r="H102" s="28">
        <f>'PADD Products'!J14/100</f>
        <v>4.6979999999999994E-2</v>
      </c>
      <c r="J102" s="33"/>
      <c r="K102" s="34"/>
      <c r="L102" s="34"/>
      <c r="M102" s="34"/>
      <c r="O102" s="35"/>
      <c r="P102" s="35"/>
      <c r="Q102" s="35"/>
      <c r="R102" s="35"/>
      <c r="S102" s="35"/>
      <c r="T102" s="35"/>
    </row>
    <row r="103" spans="2:22" x14ac:dyDescent="0.2">
      <c r="F103" s="18" t="s">
        <v>206</v>
      </c>
      <c r="G103" s="29"/>
      <c r="H103" s="28">
        <f>'PADD Products'!J15/100</f>
        <v>5.3459999999999994E-2</v>
      </c>
      <c r="J103" s="33"/>
      <c r="K103" s="34"/>
      <c r="L103" s="34"/>
      <c r="M103" s="34"/>
      <c r="O103" s="35"/>
      <c r="P103" s="35"/>
      <c r="Q103" s="35"/>
      <c r="R103" s="35"/>
      <c r="S103" s="35"/>
      <c r="T103" s="35"/>
    </row>
    <row r="104" spans="2:22" x14ac:dyDescent="0.2">
      <c r="F104" s="18" t="s">
        <v>385</v>
      </c>
      <c r="G104" s="29"/>
      <c r="H104" s="28">
        <v>0.2</v>
      </c>
      <c r="J104" s="33"/>
      <c r="K104" s="34"/>
      <c r="L104" s="34"/>
      <c r="M104" s="34"/>
      <c r="O104" s="35"/>
      <c r="P104" s="35"/>
      <c r="Q104" s="35"/>
      <c r="R104" s="35"/>
      <c r="S104" s="35"/>
      <c r="T104" s="35"/>
    </row>
    <row r="105" spans="2:22" x14ac:dyDescent="0.2">
      <c r="B105" s="18" t="s">
        <v>229</v>
      </c>
      <c r="C105" s="18" t="s">
        <v>230</v>
      </c>
      <c r="E105" s="18" t="str">
        <f>Commodities!$C$74</f>
        <v>OIL</v>
      </c>
      <c r="F105" s="18" t="s">
        <v>211</v>
      </c>
      <c r="G105" s="27">
        <f>G91</f>
        <v>1.1031014249790443</v>
      </c>
      <c r="H105" s="28">
        <f t="shared" ref="H105:H117" si="2">H91</f>
        <v>0.06</v>
      </c>
      <c r="I105" s="18">
        <v>2015</v>
      </c>
      <c r="J105" s="33">
        <v>40</v>
      </c>
      <c r="K105" s="34">
        <v>1</v>
      </c>
      <c r="L105" s="34">
        <v>1</v>
      </c>
      <c r="M105" s="36">
        <v>1</v>
      </c>
      <c r="N105" s="39">
        <f>'RTI Costs'!F8*Conv!J32</f>
        <v>8.8465027778212519</v>
      </c>
      <c r="O105" s="35">
        <v>0.10182132383906201</v>
      </c>
      <c r="P105" s="35">
        <v>0.1073351139386502</v>
      </c>
      <c r="Q105" s="35">
        <v>0.11314748472955183</v>
      </c>
      <c r="R105" s="35">
        <v>0.12225353230196438</v>
      </c>
      <c r="S105" s="35">
        <v>0.11547243304591247</v>
      </c>
      <c r="T105" s="35">
        <v>0.1197713259305207</v>
      </c>
      <c r="V105" s="41">
        <f>RESID!G19</f>
        <v>0</v>
      </c>
    </row>
    <row r="106" spans="2:22" x14ac:dyDescent="0.2">
      <c r="E106" s="18" t="str">
        <f>Commodities!$C$75</f>
        <v>NGA</v>
      </c>
      <c r="F106" s="18" t="s">
        <v>213</v>
      </c>
      <c r="G106" s="29">
        <f>$G$51</f>
        <v>4.3321494615468303E-2</v>
      </c>
      <c r="H106" s="28">
        <f t="shared" si="2"/>
        <v>0.59383499999999989</v>
      </c>
      <c r="J106" s="33"/>
      <c r="K106" s="34"/>
      <c r="L106" s="34"/>
      <c r="M106" s="34"/>
      <c r="O106" s="35"/>
      <c r="P106" s="35"/>
      <c r="Q106" s="35"/>
      <c r="R106" s="35"/>
      <c r="S106" s="35"/>
      <c r="T106" s="35"/>
    </row>
    <row r="107" spans="2:22" x14ac:dyDescent="0.2">
      <c r="E107" s="18" t="str">
        <f>Commodities!$C$73</f>
        <v>ELC</v>
      </c>
      <c r="F107" s="18" t="s">
        <v>212</v>
      </c>
      <c r="G107" s="29">
        <f>$G$52</f>
        <v>4.7956053518981839E-3</v>
      </c>
      <c r="H107" s="28">
        <f t="shared" si="2"/>
        <v>0</v>
      </c>
      <c r="J107" s="33"/>
      <c r="K107" s="34"/>
      <c r="L107" s="34"/>
      <c r="M107" s="34"/>
      <c r="O107" s="35"/>
      <c r="P107" s="35"/>
      <c r="Q107" s="35"/>
      <c r="R107" s="35"/>
      <c r="S107" s="35"/>
      <c r="T107" s="35"/>
    </row>
    <row r="108" spans="2:22" x14ac:dyDescent="0.2">
      <c r="E108" s="18" t="str">
        <f>Commodities!$C$82</f>
        <v>NGL</v>
      </c>
      <c r="F108" s="18" t="s">
        <v>214</v>
      </c>
      <c r="G108" s="29">
        <f>$G$53</f>
        <v>0</v>
      </c>
      <c r="H108" s="28">
        <f t="shared" si="2"/>
        <v>7.0739999999999997E-2</v>
      </c>
      <c r="J108" s="33"/>
      <c r="K108" s="34"/>
      <c r="L108" s="34"/>
      <c r="M108" s="34"/>
      <c r="O108" s="35"/>
      <c r="P108" s="35"/>
      <c r="Q108" s="35"/>
      <c r="R108" s="35"/>
      <c r="S108" s="35"/>
      <c r="T108" s="35"/>
    </row>
    <row r="109" spans="2:22" x14ac:dyDescent="0.2">
      <c r="F109" s="18" t="s">
        <v>218</v>
      </c>
      <c r="G109" s="29"/>
      <c r="H109" s="28">
        <f t="shared" si="2"/>
        <v>2.7000000000000006E-4</v>
      </c>
      <c r="J109" s="33"/>
      <c r="K109" s="34"/>
      <c r="L109" s="34"/>
      <c r="M109" s="34"/>
      <c r="O109" s="35"/>
      <c r="P109" s="35"/>
      <c r="Q109" s="35"/>
      <c r="R109" s="35"/>
      <c r="S109" s="35"/>
      <c r="T109" s="35"/>
    </row>
    <row r="110" spans="2:22" x14ac:dyDescent="0.2">
      <c r="F110" s="18" t="s">
        <v>222</v>
      </c>
      <c r="G110" s="29"/>
      <c r="H110" s="28">
        <f t="shared" si="2"/>
        <v>0.33126229292663678</v>
      </c>
      <c r="J110" s="33"/>
      <c r="K110" s="34"/>
      <c r="L110" s="34"/>
      <c r="M110" s="34"/>
      <c r="O110" s="35"/>
      <c r="P110" s="35"/>
      <c r="Q110" s="35"/>
      <c r="R110" s="35"/>
      <c r="S110" s="35"/>
      <c r="T110" s="35"/>
    </row>
    <row r="111" spans="2:22" x14ac:dyDescent="0.2">
      <c r="F111" s="18" t="s">
        <v>221</v>
      </c>
      <c r="G111" s="29"/>
      <c r="H111" s="28">
        <f t="shared" si="2"/>
        <v>0</v>
      </c>
      <c r="J111" s="33"/>
      <c r="K111" s="34"/>
      <c r="L111" s="34"/>
      <c r="M111" s="34"/>
      <c r="O111" s="35"/>
      <c r="P111" s="35"/>
      <c r="Q111" s="35"/>
      <c r="R111" s="35"/>
      <c r="S111" s="35"/>
      <c r="T111" s="35"/>
    </row>
    <row r="112" spans="2:22" x14ac:dyDescent="0.2">
      <c r="F112" s="18" t="s">
        <v>215</v>
      </c>
      <c r="G112" s="29"/>
      <c r="H112" s="28">
        <f t="shared" si="2"/>
        <v>2.1014988167236391E-3</v>
      </c>
      <c r="J112" s="33"/>
      <c r="K112" s="34"/>
      <c r="L112" s="34"/>
      <c r="M112" s="34"/>
      <c r="O112" s="35"/>
      <c r="P112" s="35"/>
      <c r="Q112" s="35"/>
      <c r="R112" s="35"/>
      <c r="S112" s="35"/>
      <c r="T112" s="35"/>
    </row>
    <row r="113" spans="2:21" x14ac:dyDescent="0.2">
      <c r="F113" s="18" t="s">
        <v>216</v>
      </c>
      <c r="G113" s="29"/>
      <c r="H113" s="28">
        <f>0</f>
        <v>0</v>
      </c>
      <c r="J113" s="33"/>
      <c r="K113" s="34"/>
      <c r="L113" s="34"/>
      <c r="M113" s="34"/>
      <c r="O113" s="35"/>
      <c r="P113" s="35"/>
      <c r="Q113" s="35"/>
      <c r="R113" s="35"/>
      <c r="S113" s="35"/>
      <c r="T113" s="35"/>
    </row>
    <row r="114" spans="2:21" x14ac:dyDescent="0.2">
      <c r="F114" s="18" t="s">
        <v>217</v>
      </c>
      <c r="G114" s="29"/>
      <c r="H114" s="28">
        <f t="shared" si="2"/>
        <v>1.5660000000000004E-2</v>
      </c>
      <c r="J114" s="33"/>
      <c r="K114" s="34"/>
      <c r="L114" s="34"/>
      <c r="M114" s="34"/>
      <c r="O114" s="35"/>
      <c r="P114" s="35"/>
      <c r="Q114" s="35"/>
      <c r="R114" s="35"/>
      <c r="S114" s="35"/>
      <c r="T114" s="35"/>
    </row>
    <row r="115" spans="2:21" x14ac:dyDescent="0.2">
      <c r="F115" s="18" t="s">
        <v>219</v>
      </c>
      <c r="G115" s="29"/>
      <c r="H115" s="28">
        <f t="shared" si="2"/>
        <v>1.107E-2</v>
      </c>
      <c r="J115" s="33"/>
      <c r="K115" s="34"/>
      <c r="L115" s="34"/>
      <c r="M115" s="34"/>
      <c r="O115" s="35"/>
      <c r="P115" s="35"/>
      <c r="Q115" s="35"/>
      <c r="R115" s="35"/>
      <c r="S115" s="35"/>
      <c r="T115" s="35"/>
    </row>
    <row r="116" spans="2:21" x14ac:dyDescent="0.2">
      <c r="F116" s="18" t="s">
        <v>223</v>
      </c>
      <c r="G116" s="29"/>
      <c r="H116" s="28">
        <f t="shared" si="2"/>
        <v>4.6979999999999994E-2</v>
      </c>
      <c r="J116" s="33"/>
      <c r="K116" s="34"/>
      <c r="L116" s="34"/>
      <c r="M116" s="34"/>
      <c r="O116" s="35"/>
      <c r="P116" s="35"/>
      <c r="Q116" s="35"/>
      <c r="R116" s="35"/>
      <c r="S116" s="35"/>
      <c r="T116" s="35"/>
    </row>
    <row r="117" spans="2:21" x14ac:dyDescent="0.2">
      <c r="F117" s="18" t="s">
        <v>220</v>
      </c>
      <c r="G117" s="29"/>
      <c r="H117" s="28">
        <f t="shared" si="2"/>
        <v>5.3459999999999994E-2</v>
      </c>
      <c r="J117" s="33"/>
      <c r="K117" s="34"/>
      <c r="L117" s="34"/>
      <c r="M117" s="34"/>
      <c r="O117" s="35"/>
      <c r="P117" s="35"/>
      <c r="Q117" s="35"/>
      <c r="R117" s="35"/>
      <c r="S117" s="35"/>
      <c r="T117" s="35"/>
    </row>
    <row r="118" spans="2:21" x14ac:dyDescent="0.2">
      <c r="F118" s="18" t="s">
        <v>386</v>
      </c>
      <c r="G118" s="29"/>
      <c r="H118" s="28">
        <v>0.2</v>
      </c>
      <c r="J118" s="33"/>
      <c r="K118" s="34"/>
      <c r="L118" s="34"/>
      <c r="M118" s="34"/>
      <c r="O118" s="35"/>
      <c r="P118" s="35"/>
      <c r="Q118" s="35"/>
      <c r="R118" s="35"/>
      <c r="S118" s="35"/>
      <c r="T118" s="35"/>
    </row>
    <row r="119" spans="2:21" x14ac:dyDescent="0.2">
      <c r="B119" s="18" t="s">
        <v>387</v>
      </c>
      <c r="C119" s="18" t="s">
        <v>388</v>
      </c>
      <c r="E119" s="18" t="s">
        <v>389</v>
      </c>
      <c r="F119" s="18" t="s">
        <v>396</v>
      </c>
      <c r="G119" s="29">
        <v>1</v>
      </c>
      <c r="H119" s="28">
        <f>H91*1.25</f>
        <v>7.4999999999999997E-2</v>
      </c>
      <c r="I119" s="18">
        <v>2010</v>
      </c>
      <c r="J119" s="33">
        <v>40</v>
      </c>
      <c r="K119" s="34">
        <v>1</v>
      </c>
      <c r="L119" s="34">
        <v>1</v>
      </c>
      <c r="M119" s="34">
        <v>1</v>
      </c>
      <c r="N119" s="39">
        <f>$N$78</f>
        <v>4.4000000000000004</v>
      </c>
      <c r="Q119" s="40"/>
      <c r="R119" s="40"/>
      <c r="S119" s="40"/>
      <c r="T119" s="40"/>
      <c r="U119" s="40"/>
    </row>
    <row r="120" spans="2:21" x14ac:dyDescent="0.2">
      <c r="F120" s="18" t="s">
        <v>402</v>
      </c>
      <c r="H120" s="28">
        <f>H92*1.4</f>
        <v>0.8313689999999998</v>
      </c>
      <c r="J120" s="28"/>
      <c r="L120" s="33"/>
      <c r="M120" s="34"/>
      <c r="O120" s="34"/>
      <c r="P120" s="34"/>
      <c r="Q120" s="40"/>
      <c r="R120" s="40"/>
      <c r="S120" s="40"/>
      <c r="T120" s="40"/>
      <c r="U120" s="40"/>
    </row>
    <row r="121" spans="2:21" x14ac:dyDescent="0.2">
      <c r="F121" s="18" t="s">
        <v>399</v>
      </c>
      <c r="H121" s="28">
        <f>H93*1.4</f>
        <v>0</v>
      </c>
      <c r="J121" s="28"/>
      <c r="L121" s="33"/>
      <c r="M121" s="34"/>
      <c r="O121" s="34"/>
      <c r="P121" s="34"/>
      <c r="Q121" s="40"/>
      <c r="R121" s="40"/>
      <c r="S121" s="40"/>
      <c r="T121" s="40"/>
      <c r="U121" s="40"/>
    </row>
    <row r="122" spans="2:21" x14ac:dyDescent="0.2">
      <c r="F122" s="18" t="s">
        <v>405</v>
      </c>
      <c r="H122" s="28">
        <f t="shared" ref="H122:H131" si="3">H94*1.25</f>
        <v>8.8425000000000004E-2</v>
      </c>
      <c r="J122" s="28"/>
      <c r="L122" s="33"/>
      <c r="M122" s="34"/>
      <c r="O122" s="34"/>
      <c r="P122" s="34"/>
      <c r="Q122" s="40"/>
      <c r="R122" s="40"/>
      <c r="S122" s="40"/>
      <c r="T122" s="40"/>
      <c r="U122" s="40"/>
    </row>
    <row r="123" spans="2:21" x14ac:dyDescent="0.2">
      <c r="F123" s="18" t="s">
        <v>417</v>
      </c>
      <c r="H123" s="28">
        <f>H95*2</f>
        <v>5.4000000000000012E-4</v>
      </c>
      <c r="J123" s="28"/>
      <c r="L123" s="33"/>
      <c r="M123" s="34"/>
      <c r="O123" s="34"/>
      <c r="P123" s="34"/>
      <c r="Q123" s="40"/>
      <c r="R123" s="40"/>
      <c r="S123" s="40"/>
      <c r="T123" s="40"/>
      <c r="U123" s="40"/>
    </row>
    <row r="124" spans="2:21" x14ac:dyDescent="0.2">
      <c r="F124" s="18" t="s">
        <v>429</v>
      </c>
      <c r="H124" s="28">
        <f>H96*1.4</f>
        <v>0.46376721009729144</v>
      </c>
      <c r="J124" s="28"/>
      <c r="L124" s="33"/>
      <c r="M124" s="34"/>
      <c r="O124" s="34"/>
      <c r="P124" s="34"/>
      <c r="Q124" s="40"/>
      <c r="R124" s="40"/>
      <c r="S124" s="40"/>
      <c r="T124" s="40"/>
      <c r="U124" s="40"/>
    </row>
    <row r="125" spans="2:21" x14ac:dyDescent="0.2">
      <c r="F125" s="18" t="s">
        <v>426</v>
      </c>
      <c r="H125" s="28">
        <f>H97*1.4</f>
        <v>0</v>
      </c>
      <c r="J125" s="28"/>
      <c r="L125" s="33"/>
      <c r="M125" s="34"/>
      <c r="O125" s="34"/>
      <c r="P125" s="34"/>
      <c r="Q125" s="40"/>
      <c r="R125" s="40"/>
      <c r="S125" s="40"/>
      <c r="T125" s="40"/>
      <c r="U125" s="40"/>
    </row>
    <row r="126" spans="2:21" x14ac:dyDescent="0.2">
      <c r="F126" s="18" t="s">
        <v>408</v>
      </c>
      <c r="H126" s="28">
        <f t="shared" si="3"/>
        <v>2.6268735209045487E-3</v>
      </c>
      <c r="J126" s="28"/>
      <c r="L126" s="33"/>
      <c r="M126" s="34"/>
      <c r="O126" s="34"/>
      <c r="P126" s="34"/>
      <c r="Q126" s="40"/>
      <c r="R126" s="40"/>
      <c r="S126" s="40"/>
      <c r="T126" s="40"/>
      <c r="U126" s="40"/>
    </row>
    <row r="127" spans="2:21" x14ac:dyDescent="0.2">
      <c r="F127" s="18" t="s">
        <v>411</v>
      </c>
      <c r="H127" s="28">
        <f t="shared" si="3"/>
        <v>1.9575000000000006E-2</v>
      </c>
      <c r="J127" s="28"/>
      <c r="L127" s="33"/>
      <c r="M127" s="34"/>
      <c r="O127" s="34"/>
      <c r="P127" s="34"/>
      <c r="Q127" s="40"/>
      <c r="R127" s="40"/>
      <c r="S127" s="40"/>
      <c r="T127" s="40"/>
      <c r="U127" s="40"/>
    </row>
    <row r="128" spans="2:21" x14ac:dyDescent="0.2">
      <c r="F128" s="18" t="s">
        <v>414</v>
      </c>
      <c r="H128" s="28">
        <f t="shared" si="3"/>
        <v>1.9575000000000006E-2</v>
      </c>
      <c r="J128" s="28"/>
      <c r="L128" s="33"/>
      <c r="M128" s="34"/>
      <c r="O128" s="34"/>
      <c r="P128" s="34"/>
      <c r="Q128" s="40"/>
      <c r="R128" s="40"/>
      <c r="S128" s="40"/>
      <c r="T128" s="40"/>
      <c r="U128" s="40"/>
    </row>
    <row r="129" spans="1:22" x14ac:dyDescent="0.2">
      <c r="F129" s="18" t="s">
        <v>420</v>
      </c>
      <c r="H129" s="28">
        <f t="shared" si="3"/>
        <v>1.3837499999999999E-2</v>
      </c>
      <c r="J129" s="28"/>
      <c r="L129" s="33"/>
      <c r="M129" s="34"/>
      <c r="O129" s="34"/>
      <c r="P129" s="34"/>
      <c r="Q129" s="40"/>
      <c r="R129" s="40"/>
      <c r="S129" s="40"/>
      <c r="T129" s="40"/>
      <c r="U129" s="40"/>
    </row>
    <row r="130" spans="1:22" x14ac:dyDescent="0.2">
      <c r="F130" s="18" t="s">
        <v>432</v>
      </c>
      <c r="H130" s="28">
        <f t="shared" si="3"/>
        <v>5.8724999999999992E-2</v>
      </c>
      <c r="J130" s="28"/>
      <c r="L130" s="33"/>
      <c r="M130" s="34"/>
      <c r="O130" s="34"/>
      <c r="P130" s="34"/>
      <c r="Q130" s="40"/>
      <c r="R130" s="40"/>
      <c r="S130" s="40"/>
      <c r="T130" s="40"/>
      <c r="U130" s="40"/>
    </row>
    <row r="131" spans="1:22" x14ac:dyDescent="0.2">
      <c r="F131" s="18" t="s">
        <v>423</v>
      </c>
      <c r="H131" s="28">
        <f t="shared" si="3"/>
        <v>6.6824999999999996E-2</v>
      </c>
      <c r="J131" s="28"/>
      <c r="L131" s="33"/>
      <c r="M131" s="34"/>
      <c r="O131" s="34"/>
      <c r="P131" s="34"/>
      <c r="Q131" s="40"/>
      <c r="R131" s="40"/>
      <c r="S131" s="40"/>
      <c r="T131" s="40"/>
      <c r="U131" s="40"/>
    </row>
    <row r="132" spans="1:22" x14ac:dyDescent="0.2">
      <c r="A132" s="18" t="s">
        <v>120</v>
      </c>
      <c r="B132" s="18" t="s">
        <v>226</v>
      </c>
      <c r="C132" s="18" t="s">
        <v>227</v>
      </c>
      <c r="E132" s="18" t="str">
        <f>Commodities!$C$74</f>
        <v>OIL</v>
      </c>
      <c r="F132" s="18" t="s">
        <v>197</v>
      </c>
      <c r="G132" s="27">
        <f>G91</f>
        <v>1.1031014249790443</v>
      </c>
      <c r="H132" s="28">
        <f>H91</f>
        <v>0.06</v>
      </c>
      <c r="I132" s="18">
        <v>2010</v>
      </c>
      <c r="J132" s="33">
        <v>40</v>
      </c>
      <c r="K132" s="34">
        <v>1</v>
      </c>
      <c r="L132" s="34">
        <v>1</v>
      </c>
      <c r="M132" s="36">
        <v>1</v>
      </c>
      <c r="O132" s="35">
        <v>0.10182132383906201</v>
      </c>
      <c r="P132" s="35">
        <v>0.1073351139386502</v>
      </c>
      <c r="Q132" s="35">
        <v>0.11314748472955183</v>
      </c>
      <c r="R132" s="35">
        <v>0.12225353230196438</v>
      </c>
      <c r="S132" s="35">
        <v>0.11547243304591247</v>
      </c>
      <c r="T132" s="35">
        <v>0.1197713259305207</v>
      </c>
      <c r="U132" s="41">
        <f>RESID!K25</f>
        <v>0</v>
      </c>
      <c r="V132" s="18">
        <f>0</f>
        <v>0</v>
      </c>
    </row>
    <row r="133" spans="1:22" x14ac:dyDescent="0.2">
      <c r="E133" s="18" t="str">
        <f>Commodities!$C$75</f>
        <v>NGA</v>
      </c>
      <c r="F133" s="18" t="s">
        <v>199</v>
      </c>
      <c r="G133" s="29">
        <f>$G$51</f>
        <v>4.3321494615468303E-2</v>
      </c>
      <c r="H133" s="28">
        <f t="shared" ref="H133:H172" si="4">H92</f>
        <v>0.59383499999999989</v>
      </c>
      <c r="J133" s="33"/>
      <c r="K133" s="34"/>
      <c r="L133" s="34"/>
      <c r="M133" s="34"/>
      <c r="O133" s="35"/>
      <c r="P133" s="35"/>
      <c r="Q133" s="35"/>
      <c r="R133" s="35"/>
      <c r="S133" s="35"/>
      <c r="T133" s="35"/>
    </row>
    <row r="134" spans="1:22" x14ac:dyDescent="0.2">
      <c r="E134" s="18" t="str">
        <f>Commodities!$C$73</f>
        <v>ELC</v>
      </c>
      <c r="F134" s="18" t="s">
        <v>198</v>
      </c>
      <c r="G134" s="29">
        <f>$G$52</f>
        <v>4.7956053518981839E-3</v>
      </c>
      <c r="H134" s="28">
        <f t="shared" si="4"/>
        <v>0</v>
      </c>
      <c r="J134" s="33"/>
      <c r="K134" s="34"/>
      <c r="L134" s="34"/>
      <c r="M134" s="34"/>
      <c r="O134" s="35"/>
      <c r="P134" s="35"/>
      <c r="Q134" s="35"/>
      <c r="R134" s="35"/>
      <c r="S134" s="35"/>
      <c r="T134" s="35"/>
    </row>
    <row r="135" spans="1:22" x14ac:dyDescent="0.2">
      <c r="E135" s="18" t="str">
        <f>Commodities!$C$82</f>
        <v>NGL</v>
      </c>
      <c r="F135" s="18" t="s">
        <v>200</v>
      </c>
      <c r="G135" s="29">
        <f>$G$53</f>
        <v>0</v>
      </c>
      <c r="H135" s="28">
        <f t="shared" si="4"/>
        <v>7.0739999999999997E-2</v>
      </c>
      <c r="J135" s="33"/>
      <c r="K135" s="34"/>
      <c r="L135" s="34"/>
      <c r="M135" s="34"/>
      <c r="O135" s="35"/>
      <c r="P135" s="35"/>
      <c r="Q135" s="35"/>
      <c r="R135" s="35"/>
      <c r="S135" s="35"/>
      <c r="T135" s="35"/>
    </row>
    <row r="136" spans="1:22" x14ac:dyDescent="0.2">
      <c r="F136" s="18" t="s">
        <v>204</v>
      </c>
      <c r="G136" s="29"/>
      <c r="H136" s="28">
        <f t="shared" si="4"/>
        <v>2.7000000000000006E-4</v>
      </c>
      <c r="J136" s="33"/>
      <c r="K136" s="34"/>
      <c r="L136" s="34"/>
      <c r="M136" s="34"/>
      <c r="O136" s="35"/>
      <c r="P136" s="35"/>
      <c r="Q136" s="35"/>
      <c r="R136" s="35"/>
      <c r="S136" s="35"/>
      <c r="T136" s="35"/>
    </row>
    <row r="137" spans="1:22" x14ac:dyDescent="0.2">
      <c r="F137" s="18" t="s">
        <v>208</v>
      </c>
      <c r="G137" s="29"/>
      <c r="H137" s="28">
        <f t="shared" si="4"/>
        <v>0.33126229292663678</v>
      </c>
      <c r="J137" s="33"/>
      <c r="K137" s="34"/>
      <c r="L137" s="34"/>
      <c r="M137" s="34"/>
      <c r="O137" s="35"/>
      <c r="P137" s="35"/>
      <c r="Q137" s="35"/>
      <c r="R137" s="35"/>
      <c r="S137" s="35"/>
      <c r="T137" s="35"/>
    </row>
    <row r="138" spans="1:22" x14ac:dyDescent="0.2">
      <c r="F138" s="18" t="s">
        <v>207</v>
      </c>
      <c r="G138" s="29"/>
      <c r="H138" s="28">
        <f t="shared" si="4"/>
        <v>0</v>
      </c>
      <c r="J138" s="33"/>
      <c r="K138" s="34"/>
      <c r="L138" s="34"/>
      <c r="M138" s="34"/>
      <c r="O138" s="35"/>
      <c r="P138" s="35"/>
      <c r="Q138" s="35"/>
      <c r="R138" s="35"/>
      <c r="S138" s="35"/>
      <c r="T138" s="35"/>
    </row>
    <row r="139" spans="1:22" x14ac:dyDescent="0.2">
      <c r="F139" s="18" t="s">
        <v>201</v>
      </c>
      <c r="G139" s="29"/>
      <c r="H139" s="28">
        <f t="shared" si="4"/>
        <v>2.1014988167236391E-3</v>
      </c>
      <c r="J139" s="33"/>
      <c r="K139" s="34"/>
      <c r="L139" s="34"/>
      <c r="M139" s="34"/>
      <c r="O139" s="35"/>
      <c r="P139" s="35"/>
      <c r="Q139" s="35"/>
      <c r="R139" s="35"/>
      <c r="S139" s="35"/>
      <c r="T139" s="35"/>
    </row>
    <row r="140" spans="1:22" x14ac:dyDescent="0.2">
      <c r="F140" s="18" t="s">
        <v>202</v>
      </c>
      <c r="G140" s="29"/>
      <c r="H140" s="28">
        <f t="shared" si="4"/>
        <v>1.5660000000000004E-2</v>
      </c>
      <c r="J140" s="33"/>
      <c r="K140" s="34"/>
      <c r="L140" s="34"/>
      <c r="M140" s="34"/>
      <c r="O140" s="35"/>
      <c r="P140" s="35"/>
      <c r="Q140" s="35"/>
      <c r="R140" s="35"/>
      <c r="S140" s="35"/>
      <c r="T140" s="35"/>
    </row>
    <row r="141" spans="1:22" x14ac:dyDescent="0.2">
      <c r="F141" s="18" t="s">
        <v>203</v>
      </c>
      <c r="G141" s="29"/>
      <c r="H141" s="28">
        <f t="shared" si="4"/>
        <v>1.5660000000000004E-2</v>
      </c>
      <c r="J141" s="33"/>
      <c r="K141" s="34"/>
      <c r="L141" s="34"/>
      <c r="M141" s="34"/>
      <c r="O141" s="35"/>
      <c r="P141" s="35"/>
      <c r="Q141" s="35"/>
      <c r="R141" s="35"/>
      <c r="S141" s="35"/>
      <c r="T141" s="35"/>
    </row>
    <row r="142" spans="1:22" x14ac:dyDescent="0.2">
      <c r="F142" s="18" t="s">
        <v>205</v>
      </c>
      <c r="G142" s="29"/>
      <c r="H142" s="28">
        <f t="shared" si="4"/>
        <v>1.107E-2</v>
      </c>
      <c r="J142" s="33"/>
      <c r="K142" s="34"/>
      <c r="L142" s="34"/>
      <c r="M142" s="34"/>
      <c r="O142" s="35"/>
      <c r="P142" s="35"/>
      <c r="Q142" s="35"/>
      <c r="R142" s="35"/>
      <c r="S142" s="35"/>
      <c r="T142" s="35"/>
    </row>
    <row r="143" spans="1:22" x14ac:dyDescent="0.2">
      <c r="F143" s="18" t="s">
        <v>209</v>
      </c>
      <c r="G143" s="29"/>
      <c r="H143" s="28">
        <f t="shared" si="4"/>
        <v>4.6979999999999994E-2</v>
      </c>
      <c r="J143" s="33"/>
      <c r="K143" s="34"/>
      <c r="L143" s="34"/>
      <c r="M143" s="34"/>
      <c r="O143" s="35"/>
      <c r="P143" s="35"/>
      <c r="Q143" s="35"/>
      <c r="R143" s="35"/>
      <c r="S143" s="35"/>
      <c r="T143" s="35"/>
    </row>
    <row r="144" spans="1:22" x14ac:dyDescent="0.2">
      <c r="F144" s="18" t="s">
        <v>206</v>
      </c>
      <c r="G144" s="29"/>
      <c r="H144" s="28">
        <f t="shared" si="4"/>
        <v>5.3459999999999994E-2</v>
      </c>
      <c r="J144" s="33"/>
      <c r="K144" s="34"/>
      <c r="L144" s="34"/>
      <c r="M144" s="34"/>
      <c r="O144" s="35"/>
      <c r="P144" s="35"/>
      <c r="Q144" s="35"/>
      <c r="R144" s="35"/>
      <c r="S144" s="35"/>
      <c r="T144" s="35"/>
    </row>
    <row r="145" spans="2:22" x14ac:dyDescent="0.2">
      <c r="F145" s="18" t="s">
        <v>385</v>
      </c>
      <c r="G145" s="29"/>
      <c r="H145" s="28">
        <f t="shared" si="4"/>
        <v>0.2</v>
      </c>
      <c r="J145" s="33"/>
      <c r="K145" s="34"/>
      <c r="L145" s="34"/>
      <c r="M145" s="34"/>
      <c r="O145" s="35"/>
      <c r="P145" s="35"/>
      <c r="Q145" s="35"/>
      <c r="R145" s="35"/>
      <c r="S145" s="35"/>
      <c r="T145" s="35"/>
    </row>
    <row r="146" spans="2:22" x14ac:dyDescent="0.2">
      <c r="B146" s="18" t="s">
        <v>229</v>
      </c>
      <c r="C146" s="18" t="s">
        <v>230</v>
      </c>
      <c r="E146" s="18" t="str">
        <f>Commodities!$C$74</f>
        <v>OIL</v>
      </c>
      <c r="F146" s="18" t="s">
        <v>211</v>
      </c>
      <c r="G146" s="27">
        <f>G105</f>
        <v>1.1031014249790443</v>
      </c>
      <c r="H146" s="28">
        <f t="shared" si="4"/>
        <v>0.06</v>
      </c>
      <c r="I146" s="18">
        <v>2015</v>
      </c>
      <c r="J146" s="33">
        <v>40</v>
      </c>
      <c r="K146" s="34">
        <v>1</v>
      </c>
      <c r="L146" s="34">
        <v>1</v>
      </c>
      <c r="M146" s="36">
        <v>1</v>
      </c>
      <c r="N146" s="39">
        <f>'RTI Costs'!F9*Conv!J32</f>
        <v>10.763585036981183</v>
      </c>
      <c r="O146" s="35">
        <v>0.10182132383906201</v>
      </c>
      <c r="P146" s="35">
        <v>0.1073351139386502</v>
      </c>
      <c r="Q146" s="35">
        <v>0.11314748472955183</v>
      </c>
      <c r="R146" s="35">
        <v>0.12225353230196438</v>
      </c>
      <c r="S146" s="35">
        <v>0.11547243304591247</v>
      </c>
      <c r="T146" s="35">
        <v>0.1197713259305207</v>
      </c>
      <c r="V146" s="41">
        <f>RESID!G20</f>
        <v>0</v>
      </c>
    </row>
    <row r="147" spans="2:22" x14ac:dyDescent="0.2">
      <c r="E147" s="18" t="str">
        <f>Commodities!$C$75</f>
        <v>NGA</v>
      </c>
      <c r="F147" s="18" t="s">
        <v>213</v>
      </c>
      <c r="G147" s="29">
        <f>$G$51</f>
        <v>4.3321494615468303E-2</v>
      </c>
      <c r="H147" s="28">
        <f t="shared" si="4"/>
        <v>0.59383499999999989</v>
      </c>
      <c r="J147" s="33"/>
      <c r="K147" s="34"/>
      <c r="L147" s="34"/>
      <c r="M147" s="34"/>
      <c r="O147" s="35"/>
      <c r="P147" s="35"/>
      <c r="Q147" s="35"/>
      <c r="R147" s="35"/>
      <c r="S147" s="35"/>
      <c r="T147" s="35"/>
    </row>
    <row r="148" spans="2:22" x14ac:dyDescent="0.2">
      <c r="E148" s="18" t="str">
        <f>Commodities!$C$73</f>
        <v>ELC</v>
      </c>
      <c r="F148" s="18" t="s">
        <v>212</v>
      </c>
      <c r="G148" s="29">
        <f>$G$52</f>
        <v>4.7956053518981839E-3</v>
      </c>
      <c r="H148" s="28">
        <f t="shared" si="4"/>
        <v>0</v>
      </c>
      <c r="J148" s="33"/>
      <c r="K148" s="34"/>
      <c r="L148" s="34"/>
      <c r="M148" s="34"/>
      <c r="O148" s="35"/>
      <c r="P148" s="35"/>
      <c r="Q148" s="35"/>
      <c r="R148" s="35"/>
      <c r="S148" s="35"/>
      <c r="T148" s="35"/>
    </row>
    <row r="149" spans="2:22" x14ac:dyDescent="0.2">
      <c r="E149" s="18" t="str">
        <f>Commodities!$C$82</f>
        <v>NGL</v>
      </c>
      <c r="F149" s="18" t="s">
        <v>214</v>
      </c>
      <c r="G149" s="29">
        <f>$G$53</f>
        <v>0</v>
      </c>
      <c r="H149" s="28">
        <f t="shared" si="4"/>
        <v>7.0739999999999997E-2</v>
      </c>
      <c r="J149" s="33"/>
      <c r="K149" s="34"/>
      <c r="L149" s="34"/>
      <c r="M149" s="34"/>
      <c r="O149" s="35"/>
      <c r="P149" s="35"/>
      <c r="Q149" s="35"/>
      <c r="R149" s="35"/>
      <c r="S149" s="35"/>
      <c r="T149" s="35"/>
    </row>
    <row r="150" spans="2:22" x14ac:dyDescent="0.2">
      <c r="F150" s="18" t="s">
        <v>218</v>
      </c>
      <c r="G150" s="29"/>
      <c r="H150" s="28">
        <f t="shared" si="4"/>
        <v>2.7000000000000006E-4</v>
      </c>
      <c r="J150" s="33"/>
      <c r="K150" s="34"/>
      <c r="L150" s="34"/>
      <c r="M150" s="34"/>
      <c r="O150" s="35"/>
      <c r="P150" s="35"/>
      <c r="Q150" s="35"/>
      <c r="R150" s="35"/>
      <c r="S150" s="35"/>
      <c r="T150" s="35"/>
    </row>
    <row r="151" spans="2:22" x14ac:dyDescent="0.2">
      <c r="F151" s="18" t="s">
        <v>222</v>
      </c>
      <c r="G151" s="29"/>
      <c r="H151" s="28">
        <f t="shared" si="4"/>
        <v>0.33126229292663678</v>
      </c>
      <c r="J151" s="33"/>
      <c r="K151" s="34"/>
      <c r="L151" s="34"/>
      <c r="M151" s="34"/>
      <c r="O151" s="35"/>
      <c r="P151" s="35"/>
      <c r="Q151" s="35"/>
      <c r="R151" s="35"/>
      <c r="S151" s="35"/>
      <c r="T151" s="35"/>
    </row>
    <row r="152" spans="2:22" x14ac:dyDescent="0.2">
      <c r="F152" s="18" t="s">
        <v>221</v>
      </c>
      <c r="G152" s="29"/>
      <c r="H152" s="28">
        <f t="shared" si="4"/>
        <v>0</v>
      </c>
      <c r="J152" s="33"/>
      <c r="K152" s="34"/>
      <c r="L152" s="34"/>
      <c r="M152" s="34"/>
      <c r="O152" s="35"/>
      <c r="P152" s="35"/>
      <c r="Q152" s="35"/>
      <c r="R152" s="35"/>
      <c r="S152" s="35"/>
      <c r="T152" s="35"/>
    </row>
    <row r="153" spans="2:22" x14ac:dyDescent="0.2">
      <c r="F153" s="18" t="s">
        <v>215</v>
      </c>
      <c r="G153" s="29"/>
      <c r="H153" s="28">
        <f t="shared" si="4"/>
        <v>2.1014988167236391E-3</v>
      </c>
      <c r="J153" s="33"/>
      <c r="K153" s="34"/>
      <c r="L153" s="34"/>
      <c r="M153" s="34"/>
      <c r="O153" s="35"/>
      <c r="P153" s="35"/>
      <c r="Q153" s="35"/>
      <c r="R153" s="35"/>
      <c r="S153" s="35"/>
      <c r="T153" s="35"/>
    </row>
    <row r="154" spans="2:22" x14ac:dyDescent="0.2">
      <c r="F154" s="18" t="s">
        <v>216</v>
      </c>
      <c r="G154" s="29"/>
      <c r="H154" s="28">
        <f t="shared" si="4"/>
        <v>0</v>
      </c>
      <c r="J154" s="33"/>
      <c r="K154" s="34"/>
      <c r="L154" s="34"/>
      <c r="M154" s="34"/>
      <c r="O154" s="35"/>
      <c r="P154" s="35"/>
      <c r="Q154" s="35"/>
      <c r="R154" s="35"/>
      <c r="S154" s="35"/>
      <c r="T154" s="35"/>
    </row>
    <row r="155" spans="2:22" x14ac:dyDescent="0.2">
      <c r="F155" s="18" t="s">
        <v>217</v>
      </c>
      <c r="G155" s="29"/>
      <c r="H155" s="28">
        <f t="shared" si="4"/>
        <v>1.5660000000000004E-2</v>
      </c>
      <c r="J155" s="33"/>
      <c r="K155" s="34"/>
      <c r="L155" s="34"/>
      <c r="M155" s="34"/>
      <c r="O155" s="35"/>
      <c r="P155" s="35"/>
      <c r="Q155" s="35"/>
      <c r="R155" s="35"/>
      <c r="S155" s="35"/>
      <c r="T155" s="35"/>
    </row>
    <row r="156" spans="2:22" x14ac:dyDescent="0.2">
      <c r="F156" s="18" t="s">
        <v>219</v>
      </c>
      <c r="G156" s="29"/>
      <c r="H156" s="28">
        <f t="shared" si="4"/>
        <v>1.107E-2</v>
      </c>
      <c r="J156" s="33"/>
      <c r="K156" s="34"/>
      <c r="L156" s="34"/>
      <c r="M156" s="34"/>
      <c r="O156" s="35"/>
      <c r="P156" s="35"/>
      <c r="Q156" s="35"/>
      <c r="R156" s="35"/>
      <c r="S156" s="35"/>
      <c r="T156" s="35"/>
    </row>
    <row r="157" spans="2:22" x14ac:dyDescent="0.2">
      <c r="F157" s="18" t="s">
        <v>223</v>
      </c>
      <c r="G157" s="29"/>
      <c r="H157" s="28">
        <f t="shared" si="4"/>
        <v>4.6979999999999994E-2</v>
      </c>
      <c r="J157" s="33"/>
      <c r="K157" s="34"/>
      <c r="L157" s="34"/>
      <c r="M157" s="34"/>
      <c r="O157" s="35"/>
      <c r="P157" s="35"/>
      <c r="Q157" s="35"/>
      <c r="R157" s="35"/>
      <c r="S157" s="35"/>
      <c r="T157" s="35"/>
    </row>
    <row r="158" spans="2:22" x14ac:dyDescent="0.2">
      <c r="F158" s="18" t="s">
        <v>220</v>
      </c>
      <c r="G158" s="29"/>
      <c r="H158" s="28">
        <f t="shared" si="4"/>
        <v>5.3459999999999994E-2</v>
      </c>
      <c r="J158" s="33"/>
      <c r="K158" s="34"/>
      <c r="L158" s="34"/>
      <c r="M158" s="34"/>
      <c r="O158" s="35"/>
      <c r="P158" s="35"/>
      <c r="Q158" s="35"/>
      <c r="R158" s="35"/>
      <c r="S158" s="35"/>
      <c r="T158" s="35"/>
    </row>
    <row r="159" spans="2:22" x14ac:dyDescent="0.2">
      <c r="F159" s="18" t="s">
        <v>386</v>
      </c>
      <c r="G159" s="29"/>
      <c r="H159" s="28">
        <f t="shared" si="4"/>
        <v>0.2</v>
      </c>
      <c r="J159" s="33"/>
      <c r="K159" s="34"/>
      <c r="L159" s="34"/>
      <c r="M159" s="34"/>
      <c r="O159" s="35"/>
      <c r="P159" s="35"/>
      <c r="Q159" s="35"/>
      <c r="R159" s="35"/>
      <c r="S159" s="35"/>
      <c r="T159" s="35"/>
    </row>
    <row r="160" spans="2:22" x14ac:dyDescent="0.2">
      <c r="B160" s="18" t="s">
        <v>387</v>
      </c>
      <c r="C160" s="18" t="s">
        <v>388</v>
      </c>
      <c r="E160" s="18" t="s">
        <v>389</v>
      </c>
      <c r="F160" s="18" t="s">
        <v>396</v>
      </c>
      <c r="G160" s="29">
        <v>1</v>
      </c>
      <c r="H160" s="28">
        <f t="shared" si="4"/>
        <v>7.4999999999999997E-2</v>
      </c>
      <c r="I160" s="18">
        <v>2010</v>
      </c>
      <c r="J160" s="33">
        <v>40</v>
      </c>
      <c r="K160" s="34">
        <v>1</v>
      </c>
      <c r="L160" s="34">
        <v>1</v>
      </c>
      <c r="M160" s="34">
        <v>1</v>
      </c>
      <c r="N160" s="39">
        <f>$N$78</f>
        <v>4.4000000000000004</v>
      </c>
      <c r="Q160" s="40"/>
      <c r="R160" s="40"/>
      <c r="S160" s="40"/>
      <c r="T160" s="40"/>
      <c r="U160" s="40"/>
    </row>
    <row r="161" spans="1:22" x14ac:dyDescent="0.2">
      <c r="F161" s="18" t="s">
        <v>402</v>
      </c>
      <c r="H161" s="28">
        <f t="shared" si="4"/>
        <v>0.8313689999999998</v>
      </c>
      <c r="J161" s="28"/>
      <c r="L161" s="33"/>
      <c r="M161" s="34"/>
      <c r="O161" s="34"/>
      <c r="P161" s="34"/>
      <c r="Q161" s="40"/>
      <c r="R161" s="40"/>
      <c r="S161" s="40"/>
      <c r="T161" s="40"/>
      <c r="U161" s="40"/>
    </row>
    <row r="162" spans="1:22" x14ac:dyDescent="0.2">
      <c r="F162" s="18" t="s">
        <v>399</v>
      </c>
      <c r="H162" s="28">
        <f t="shared" si="4"/>
        <v>0</v>
      </c>
      <c r="J162" s="28"/>
      <c r="L162" s="33"/>
      <c r="M162" s="34"/>
      <c r="O162" s="34"/>
      <c r="P162" s="34"/>
      <c r="Q162" s="40"/>
      <c r="R162" s="40"/>
      <c r="S162" s="40"/>
      <c r="T162" s="40"/>
      <c r="U162" s="40"/>
    </row>
    <row r="163" spans="1:22" x14ac:dyDescent="0.2">
      <c r="F163" s="18" t="s">
        <v>405</v>
      </c>
      <c r="H163" s="28">
        <f t="shared" si="4"/>
        <v>8.8425000000000004E-2</v>
      </c>
      <c r="J163" s="28"/>
      <c r="L163" s="33"/>
      <c r="M163" s="34"/>
      <c r="O163" s="34"/>
      <c r="P163" s="34"/>
      <c r="Q163" s="40"/>
      <c r="R163" s="40"/>
      <c r="S163" s="40"/>
      <c r="T163" s="40"/>
      <c r="U163" s="40"/>
    </row>
    <row r="164" spans="1:22" x14ac:dyDescent="0.2">
      <c r="F164" s="18" t="s">
        <v>417</v>
      </c>
      <c r="H164" s="28">
        <f t="shared" si="4"/>
        <v>5.4000000000000012E-4</v>
      </c>
      <c r="J164" s="28"/>
      <c r="L164" s="33"/>
      <c r="M164" s="34"/>
      <c r="O164" s="34"/>
      <c r="P164" s="34"/>
      <c r="Q164" s="40"/>
      <c r="R164" s="40"/>
      <c r="S164" s="40"/>
      <c r="T164" s="40"/>
      <c r="U164" s="40"/>
    </row>
    <row r="165" spans="1:22" x14ac:dyDescent="0.2">
      <c r="F165" s="18" t="s">
        <v>429</v>
      </c>
      <c r="H165" s="28">
        <f t="shared" si="4"/>
        <v>0.46376721009729144</v>
      </c>
      <c r="J165" s="28"/>
      <c r="L165" s="33"/>
      <c r="M165" s="34"/>
      <c r="O165" s="34"/>
      <c r="P165" s="34"/>
      <c r="Q165" s="40"/>
      <c r="R165" s="40"/>
      <c r="S165" s="40"/>
      <c r="T165" s="40"/>
      <c r="U165" s="40"/>
    </row>
    <row r="166" spans="1:22" x14ac:dyDescent="0.2">
      <c r="F166" s="18" t="s">
        <v>426</v>
      </c>
      <c r="H166" s="28">
        <f t="shared" si="4"/>
        <v>0</v>
      </c>
      <c r="J166" s="28"/>
      <c r="L166" s="33"/>
      <c r="M166" s="34"/>
      <c r="O166" s="34"/>
      <c r="P166" s="34"/>
      <c r="Q166" s="40"/>
      <c r="R166" s="40"/>
      <c r="S166" s="40"/>
      <c r="T166" s="40"/>
      <c r="U166" s="40"/>
    </row>
    <row r="167" spans="1:22" x14ac:dyDescent="0.2">
      <c r="F167" s="18" t="s">
        <v>408</v>
      </c>
      <c r="H167" s="28">
        <f t="shared" si="4"/>
        <v>2.6268735209045487E-3</v>
      </c>
      <c r="J167" s="28"/>
      <c r="L167" s="33"/>
      <c r="M167" s="34"/>
      <c r="O167" s="34"/>
      <c r="P167" s="34"/>
      <c r="Q167" s="40"/>
      <c r="R167" s="40"/>
      <c r="S167" s="40"/>
      <c r="T167" s="40"/>
      <c r="U167" s="40"/>
    </row>
    <row r="168" spans="1:22" x14ac:dyDescent="0.2">
      <c r="F168" s="18" t="s">
        <v>411</v>
      </c>
      <c r="H168" s="28">
        <f t="shared" si="4"/>
        <v>1.9575000000000006E-2</v>
      </c>
      <c r="J168" s="28"/>
      <c r="L168" s="33"/>
      <c r="M168" s="34"/>
      <c r="O168" s="34"/>
      <c r="P168" s="34"/>
      <c r="Q168" s="40"/>
      <c r="R168" s="40"/>
      <c r="S168" s="40"/>
      <c r="T168" s="40"/>
      <c r="U168" s="40"/>
    </row>
    <row r="169" spans="1:22" x14ac:dyDescent="0.2">
      <c r="F169" s="18" t="s">
        <v>414</v>
      </c>
      <c r="H169" s="28">
        <f t="shared" si="4"/>
        <v>1.9575000000000006E-2</v>
      </c>
      <c r="J169" s="28"/>
      <c r="L169" s="33"/>
      <c r="M169" s="34"/>
      <c r="O169" s="34"/>
      <c r="P169" s="34"/>
      <c r="Q169" s="40"/>
      <c r="R169" s="40"/>
      <c r="S169" s="40"/>
      <c r="T169" s="40"/>
      <c r="U169" s="40"/>
    </row>
    <row r="170" spans="1:22" x14ac:dyDescent="0.2">
      <c r="F170" s="18" t="s">
        <v>420</v>
      </c>
      <c r="H170" s="28">
        <f t="shared" si="4"/>
        <v>1.3837499999999999E-2</v>
      </c>
      <c r="J170" s="28"/>
      <c r="L170" s="33"/>
      <c r="M170" s="34"/>
      <c r="O170" s="34"/>
      <c r="P170" s="34"/>
      <c r="Q170" s="40"/>
      <c r="R170" s="40"/>
      <c r="S170" s="40"/>
      <c r="T170" s="40"/>
      <c r="U170" s="40"/>
    </row>
    <row r="171" spans="1:22" x14ac:dyDescent="0.2">
      <c r="F171" s="18" t="s">
        <v>432</v>
      </c>
      <c r="H171" s="28">
        <f t="shared" si="4"/>
        <v>5.8724999999999992E-2</v>
      </c>
      <c r="J171" s="28"/>
      <c r="L171" s="33"/>
      <c r="M171" s="34"/>
      <c r="O171" s="34"/>
      <c r="P171" s="34"/>
      <c r="Q171" s="40"/>
      <c r="R171" s="40"/>
      <c r="S171" s="40"/>
      <c r="T171" s="40"/>
      <c r="U171" s="40"/>
    </row>
    <row r="172" spans="1:22" x14ac:dyDescent="0.2">
      <c r="F172" s="18" t="s">
        <v>423</v>
      </c>
      <c r="H172" s="28">
        <f t="shared" si="4"/>
        <v>6.6824999999999996E-2</v>
      </c>
      <c r="J172" s="28"/>
      <c r="L172" s="33"/>
      <c r="M172" s="34"/>
      <c r="O172" s="34"/>
      <c r="P172" s="34"/>
      <c r="Q172" s="40"/>
      <c r="R172" s="40"/>
      <c r="S172" s="40"/>
      <c r="T172" s="40"/>
      <c r="U172" s="40"/>
    </row>
    <row r="173" spans="1:22" x14ac:dyDescent="0.2">
      <c r="A173" s="18" t="s">
        <v>122</v>
      </c>
      <c r="B173" s="18" t="s">
        <v>226</v>
      </c>
      <c r="C173" s="18" t="s">
        <v>227</v>
      </c>
      <c r="E173" s="18" t="str">
        <f>Commodities!$C$74</f>
        <v>OIL</v>
      </c>
      <c r="F173" s="18" t="s">
        <v>197</v>
      </c>
      <c r="G173" s="27">
        <f>G50</f>
        <v>1.0378548895899056</v>
      </c>
      <c r="H173" s="28">
        <f>H50</f>
        <v>0.06</v>
      </c>
      <c r="I173" s="18">
        <v>2010</v>
      </c>
      <c r="J173" s="33">
        <v>40</v>
      </c>
      <c r="K173" s="34">
        <v>1</v>
      </c>
      <c r="L173" s="34">
        <v>1</v>
      </c>
      <c r="M173" s="36">
        <v>1</v>
      </c>
      <c r="O173" s="35">
        <v>0.11551107268838445</v>
      </c>
      <c r="P173" s="35">
        <v>0.1289873645020293</v>
      </c>
      <c r="Q173" s="35">
        <v>0.14403589036059938</v>
      </c>
      <c r="R173" s="35">
        <v>0.14704559553231339</v>
      </c>
      <c r="S173" s="35">
        <v>0.1483354691773337</v>
      </c>
      <c r="T173" s="35">
        <v>0.14145614307055882</v>
      </c>
      <c r="U173" s="41">
        <f>RESID!K22</f>
        <v>0</v>
      </c>
      <c r="V173" s="18">
        <f>0</f>
        <v>0</v>
      </c>
    </row>
    <row r="174" spans="1:22" x14ac:dyDescent="0.2">
      <c r="E174" s="18" t="str">
        <f>Commodities!$C$75</f>
        <v>NGA</v>
      </c>
      <c r="F174" s="18" t="s">
        <v>199</v>
      </c>
      <c r="G174" s="29">
        <f>$G$51</f>
        <v>4.3321494615468303E-2</v>
      </c>
      <c r="H174" s="28">
        <f t="shared" ref="H174:H213" si="5">H51</f>
        <v>0.54445200000000005</v>
      </c>
      <c r="J174" s="33"/>
      <c r="K174" s="34"/>
      <c r="L174" s="34"/>
      <c r="M174" s="34"/>
      <c r="O174" s="35"/>
      <c r="P174" s="35"/>
      <c r="Q174" s="35"/>
      <c r="R174" s="35"/>
      <c r="S174" s="35"/>
      <c r="T174" s="35"/>
    </row>
    <row r="175" spans="1:22" x14ac:dyDescent="0.2">
      <c r="E175" s="18" t="str">
        <f>Commodities!$C$73</f>
        <v>ELC</v>
      </c>
      <c r="F175" s="18" t="s">
        <v>198</v>
      </c>
      <c r="G175" s="29">
        <f>$G$52</f>
        <v>4.7956053518981839E-3</v>
      </c>
      <c r="H175" s="28">
        <f t="shared" si="5"/>
        <v>0</v>
      </c>
      <c r="J175" s="33"/>
      <c r="K175" s="34"/>
      <c r="L175" s="34"/>
      <c r="M175" s="34"/>
      <c r="O175" s="35"/>
      <c r="P175" s="35"/>
      <c r="Q175" s="35"/>
      <c r="R175" s="35"/>
      <c r="S175" s="35"/>
      <c r="T175" s="35"/>
    </row>
    <row r="176" spans="1:22" x14ac:dyDescent="0.2">
      <c r="E176" s="18" t="str">
        <f>Commodities!$C$82</f>
        <v>NGL</v>
      </c>
      <c r="F176" s="18" t="s">
        <v>200</v>
      </c>
      <c r="G176" s="29">
        <f>$G$53</f>
        <v>0</v>
      </c>
      <c r="H176" s="28">
        <f t="shared" si="5"/>
        <v>6.1128000000000009E-2</v>
      </c>
      <c r="J176" s="33"/>
      <c r="K176" s="34"/>
      <c r="L176" s="34"/>
      <c r="M176" s="34"/>
      <c r="O176" s="35"/>
      <c r="P176" s="35"/>
      <c r="Q176" s="35"/>
      <c r="R176" s="35"/>
      <c r="S176" s="35"/>
      <c r="T176" s="35"/>
    </row>
    <row r="177" spans="2:22" x14ac:dyDescent="0.2">
      <c r="F177" s="18" t="s">
        <v>204</v>
      </c>
      <c r="G177" s="29"/>
      <c r="H177" s="28">
        <f t="shared" si="5"/>
        <v>4.104E-3</v>
      </c>
      <c r="J177" s="33"/>
      <c r="K177" s="34"/>
      <c r="L177" s="34"/>
      <c r="M177" s="34"/>
      <c r="O177" s="35"/>
      <c r="P177" s="35"/>
      <c r="Q177" s="35"/>
      <c r="R177" s="35"/>
      <c r="S177" s="35"/>
      <c r="T177" s="35"/>
    </row>
    <row r="178" spans="2:22" x14ac:dyDescent="0.2">
      <c r="F178" s="18" t="s">
        <v>208</v>
      </c>
      <c r="G178" s="29"/>
      <c r="H178" s="28">
        <f t="shared" si="5"/>
        <v>0.21783261383871788</v>
      </c>
      <c r="J178" s="33"/>
      <c r="K178" s="34"/>
      <c r="L178" s="34"/>
      <c r="M178" s="34"/>
      <c r="O178" s="35"/>
      <c r="P178" s="35"/>
      <c r="Q178" s="35"/>
      <c r="R178" s="35"/>
      <c r="S178" s="35"/>
      <c r="T178" s="35"/>
    </row>
    <row r="179" spans="2:22" x14ac:dyDescent="0.2">
      <c r="F179" s="18" t="s">
        <v>207</v>
      </c>
      <c r="G179" s="29"/>
      <c r="H179" s="28">
        <f t="shared" si="5"/>
        <v>0</v>
      </c>
      <c r="J179" s="33"/>
      <c r="K179" s="34"/>
      <c r="L179" s="34"/>
      <c r="M179" s="34"/>
      <c r="O179" s="35"/>
      <c r="P179" s="35"/>
      <c r="Q179" s="35"/>
      <c r="R179" s="35"/>
      <c r="S179" s="35"/>
      <c r="T179" s="35"/>
    </row>
    <row r="180" spans="2:22" x14ac:dyDescent="0.2">
      <c r="F180" s="18" t="s">
        <v>201</v>
      </c>
      <c r="G180" s="29"/>
      <c r="H180" s="28">
        <f t="shared" si="5"/>
        <v>0.11618676265581279</v>
      </c>
      <c r="J180" s="33"/>
      <c r="K180" s="34"/>
      <c r="L180" s="34"/>
      <c r="M180" s="34"/>
      <c r="O180" s="35"/>
      <c r="P180" s="35"/>
      <c r="Q180" s="35"/>
      <c r="R180" s="35"/>
      <c r="S180" s="35"/>
      <c r="T180" s="35"/>
    </row>
    <row r="181" spans="2:22" x14ac:dyDescent="0.2">
      <c r="F181" s="18" t="s">
        <v>202</v>
      </c>
      <c r="G181" s="29"/>
      <c r="H181" s="28">
        <f t="shared" si="5"/>
        <v>6.4152000000000001E-2</v>
      </c>
      <c r="J181" s="33"/>
      <c r="K181" s="34"/>
      <c r="L181" s="34"/>
      <c r="M181" s="34"/>
      <c r="O181" s="35"/>
      <c r="P181" s="35"/>
      <c r="Q181" s="35"/>
      <c r="R181" s="35"/>
      <c r="S181" s="35"/>
      <c r="T181" s="35"/>
    </row>
    <row r="182" spans="2:22" x14ac:dyDescent="0.2">
      <c r="F182" s="18" t="s">
        <v>203</v>
      </c>
      <c r="G182" s="29"/>
      <c r="H182" s="28">
        <f t="shared" si="5"/>
        <v>6.4152000000000001E-2</v>
      </c>
      <c r="J182" s="33"/>
      <c r="K182" s="34"/>
      <c r="L182" s="34"/>
      <c r="M182" s="34"/>
      <c r="O182" s="35"/>
      <c r="P182" s="35"/>
      <c r="Q182" s="35"/>
      <c r="R182" s="35"/>
      <c r="S182" s="35"/>
      <c r="T182" s="35"/>
    </row>
    <row r="183" spans="2:22" x14ac:dyDescent="0.2">
      <c r="F183" s="18" t="s">
        <v>205</v>
      </c>
      <c r="G183" s="29"/>
      <c r="H183" s="28">
        <f t="shared" si="5"/>
        <v>8.208E-3</v>
      </c>
      <c r="J183" s="33"/>
      <c r="K183" s="34"/>
      <c r="L183" s="34"/>
      <c r="M183" s="34"/>
      <c r="O183" s="35"/>
      <c r="P183" s="35"/>
      <c r="Q183" s="35"/>
      <c r="R183" s="35"/>
      <c r="S183" s="35"/>
      <c r="T183" s="35"/>
    </row>
    <row r="184" spans="2:22" x14ac:dyDescent="0.2">
      <c r="F184" s="18" t="s">
        <v>209</v>
      </c>
      <c r="G184" s="29"/>
      <c r="H184" s="28">
        <f>H61*1.5</f>
        <v>5.0220000000000001E-2</v>
      </c>
      <c r="J184" s="33"/>
      <c r="K184" s="34"/>
      <c r="L184" s="34"/>
      <c r="M184" s="34"/>
      <c r="O184" s="35"/>
      <c r="P184" s="35"/>
      <c r="Q184" s="35"/>
      <c r="R184" s="35"/>
      <c r="S184" s="35"/>
      <c r="T184" s="35"/>
    </row>
    <row r="185" spans="2:22" x14ac:dyDescent="0.2">
      <c r="F185" s="18" t="s">
        <v>206</v>
      </c>
      <c r="G185" s="29"/>
      <c r="H185" s="28">
        <f t="shared" si="5"/>
        <v>5.3783999999999998E-2</v>
      </c>
      <c r="J185" s="33"/>
      <c r="K185" s="34"/>
      <c r="L185" s="34"/>
      <c r="M185" s="34"/>
      <c r="O185" s="35"/>
      <c r="P185" s="35"/>
      <c r="Q185" s="35"/>
      <c r="R185" s="35"/>
      <c r="S185" s="35"/>
      <c r="T185" s="35"/>
    </row>
    <row r="186" spans="2:22" x14ac:dyDescent="0.2">
      <c r="F186" s="18" t="s">
        <v>385</v>
      </c>
      <c r="G186" s="29"/>
      <c r="H186" s="28">
        <f t="shared" si="5"/>
        <v>0.2</v>
      </c>
      <c r="J186" s="33"/>
      <c r="K186" s="34"/>
      <c r="L186" s="34"/>
      <c r="M186" s="34"/>
      <c r="O186" s="35"/>
      <c r="P186" s="35"/>
      <c r="Q186" s="35"/>
      <c r="R186" s="35"/>
      <c r="S186" s="35"/>
      <c r="T186" s="35"/>
    </row>
    <row r="187" spans="2:22" x14ac:dyDescent="0.2">
      <c r="B187" s="18" t="s">
        <v>229</v>
      </c>
      <c r="C187" s="18" t="s">
        <v>230</v>
      </c>
      <c r="E187" s="18" t="str">
        <f>Commodities!$C$74</f>
        <v>OIL</v>
      </c>
      <c r="F187" s="18" t="s">
        <v>211</v>
      </c>
      <c r="G187" s="27">
        <f>G64</f>
        <v>1.0378548895899056</v>
      </c>
      <c r="H187" s="28">
        <f t="shared" si="5"/>
        <v>0.06</v>
      </c>
      <c r="I187" s="18">
        <v>2015</v>
      </c>
      <c r="J187" s="33">
        <v>40</v>
      </c>
      <c r="K187" s="34">
        <v>1</v>
      </c>
      <c r="L187" s="34">
        <v>1</v>
      </c>
      <c r="M187" s="36">
        <v>1</v>
      </c>
      <c r="N187" s="39">
        <f>'RTI Costs'!F10*Conv!J32</f>
        <v>8.8465027778212519</v>
      </c>
      <c r="O187" s="35">
        <v>0.11551107268838445</v>
      </c>
      <c r="P187" s="35">
        <v>0.1289873645020293</v>
      </c>
      <c r="Q187" s="35">
        <v>0.14403589036059938</v>
      </c>
      <c r="R187" s="35">
        <v>0.14704559553231339</v>
      </c>
      <c r="S187" s="35">
        <v>0.1483354691773337</v>
      </c>
      <c r="T187" s="35">
        <v>0.14145614307055882</v>
      </c>
      <c r="V187" s="18">
        <f>0</f>
        <v>0</v>
      </c>
    </row>
    <row r="188" spans="2:22" x14ac:dyDescent="0.2">
      <c r="E188" s="18" t="str">
        <f>Commodities!$C$75</f>
        <v>NGA</v>
      </c>
      <c r="F188" s="18" t="s">
        <v>213</v>
      </c>
      <c r="G188" s="29">
        <f>$G$51</f>
        <v>4.3321494615468303E-2</v>
      </c>
      <c r="H188" s="28">
        <f t="shared" si="5"/>
        <v>0.54445200000000005</v>
      </c>
      <c r="J188" s="33"/>
      <c r="K188" s="34"/>
      <c r="L188" s="34"/>
      <c r="M188" s="34"/>
      <c r="O188" s="35"/>
      <c r="P188" s="35"/>
      <c r="Q188" s="35"/>
      <c r="R188" s="35"/>
      <c r="S188" s="35"/>
      <c r="T188" s="35"/>
    </row>
    <row r="189" spans="2:22" x14ac:dyDescent="0.2">
      <c r="E189" s="18" t="str">
        <f>Commodities!$C$73</f>
        <v>ELC</v>
      </c>
      <c r="F189" s="18" t="s">
        <v>212</v>
      </c>
      <c r="G189" s="29">
        <f>$G$52</f>
        <v>4.7956053518981839E-3</v>
      </c>
      <c r="H189" s="28">
        <f t="shared" si="5"/>
        <v>0</v>
      </c>
      <c r="J189" s="33"/>
      <c r="K189" s="34"/>
      <c r="L189" s="34"/>
      <c r="M189" s="34"/>
      <c r="O189" s="35"/>
      <c r="P189" s="35"/>
      <c r="Q189" s="35"/>
      <c r="R189" s="35"/>
      <c r="S189" s="35"/>
      <c r="T189" s="35"/>
    </row>
    <row r="190" spans="2:22" x14ac:dyDescent="0.2">
      <c r="E190" s="18" t="str">
        <f>Commodities!$C$82</f>
        <v>NGL</v>
      </c>
      <c r="F190" s="18" t="s">
        <v>214</v>
      </c>
      <c r="G190" s="29">
        <f>$G$53</f>
        <v>0</v>
      </c>
      <c r="H190" s="28">
        <f t="shared" si="5"/>
        <v>6.1128000000000009E-2</v>
      </c>
      <c r="J190" s="33"/>
      <c r="K190" s="34"/>
      <c r="L190" s="34"/>
      <c r="M190" s="34"/>
      <c r="O190" s="35"/>
      <c r="P190" s="35"/>
      <c r="Q190" s="35"/>
      <c r="R190" s="35"/>
      <c r="S190" s="35"/>
      <c r="T190" s="35"/>
    </row>
    <row r="191" spans="2:22" x14ac:dyDescent="0.2">
      <c r="F191" s="18" t="s">
        <v>218</v>
      </c>
      <c r="G191" s="29"/>
      <c r="H191" s="28">
        <f t="shared" si="5"/>
        <v>4.104E-3</v>
      </c>
      <c r="J191" s="33"/>
      <c r="K191" s="34"/>
      <c r="L191" s="34"/>
      <c r="M191" s="34"/>
      <c r="O191" s="35"/>
      <c r="P191" s="35"/>
      <c r="Q191" s="35"/>
      <c r="R191" s="35"/>
      <c r="S191" s="35"/>
      <c r="T191" s="35"/>
    </row>
    <row r="192" spans="2:22" x14ac:dyDescent="0.2">
      <c r="F192" s="18" t="s">
        <v>222</v>
      </c>
      <c r="G192" s="29"/>
      <c r="H192" s="28">
        <f t="shared" si="5"/>
        <v>0.21783261383871788</v>
      </c>
      <c r="J192" s="33"/>
      <c r="K192" s="34"/>
      <c r="L192" s="34"/>
      <c r="M192" s="34"/>
      <c r="O192" s="35"/>
      <c r="P192" s="35"/>
      <c r="Q192" s="35"/>
      <c r="R192" s="35"/>
      <c r="S192" s="35"/>
      <c r="T192" s="35"/>
    </row>
    <row r="193" spans="2:21" x14ac:dyDescent="0.2">
      <c r="F193" s="18" t="s">
        <v>221</v>
      </c>
      <c r="G193" s="29"/>
      <c r="H193" s="28">
        <f t="shared" si="5"/>
        <v>0</v>
      </c>
      <c r="J193" s="33"/>
      <c r="K193" s="34"/>
      <c r="L193" s="34"/>
      <c r="M193" s="34"/>
      <c r="O193" s="35"/>
      <c r="P193" s="35"/>
      <c r="Q193" s="35"/>
      <c r="R193" s="35"/>
      <c r="S193" s="35"/>
      <c r="T193" s="35"/>
    </row>
    <row r="194" spans="2:21" x14ac:dyDescent="0.2">
      <c r="F194" s="18" t="s">
        <v>215</v>
      </c>
      <c r="G194" s="29"/>
      <c r="H194" s="28">
        <f t="shared" si="5"/>
        <v>0.11618676265581279</v>
      </c>
      <c r="J194" s="33"/>
      <c r="K194" s="34"/>
      <c r="L194" s="34"/>
      <c r="M194" s="34"/>
      <c r="O194" s="35"/>
      <c r="P194" s="35"/>
      <c r="Q194" s="35"/>
      <c r="R194" s="35"/>
      <c r="S194" s="35"/>
      <c r="T194" s="35"/>
    </row>
    <row r="195" spans="2:21" x14ac:dyDescent="0.2">
      <c r="F195" s="18" t="s">
        <v>216</v>
      </c>
      <c r="G195" s="29"/>
      <c r="H195" s="28">
        <f t="shared" si="5"/>
        <v>6.4152000000000001E-2</v>
      </c>
      <c r="J195" s="33"/>
      <c r="K195" s="34"/>
      <c r="L195" s="34"/>
      <c r="M195" s="34"/>
      <c r="O195" s="35"/>
      <c r="P195" s="35"/>
      <c r="Q195" s="35"/>
      <c r="R195" s="35"/>
      <c r="S195" s="35"/>
      <c r="T195" s="35"/>
    </row>
    <row r="196" spans="2:21" x14ac:dyDescent="0.2">
      <c r="F196" s="18" t="s">
        <v>217</v>
      </c>
      <c r="G196" s="29"/>
      <c r="H196" s="28">
        <f t="shared" si="5"/>
        <v>6.4152000000000001E-2</v>
      </c>
      <c r="J196" s="33"/>
      <c r="K196" s="34"/>
      <c r="L196" s="34"/>
      <c r="M196" s="34"/>
      <c r="O196" s="35"/>
      <c r="P196" s="35"/>
      <c r="Q196" s="35"/>
      <c r="R196" s="35"/>
      <c r="S196" s="35"/>
      <c r="T196" s="35"/>
    </row>
    <row r="197" spans="2:21" x14ac:dyDescent="0.2">
      <c r="F197" s="18" t="s">
        <v>219</v>
      </c>
      <c r="G197" s="29"/>
      <c r="H197" s="28">
        <f t="shared" si="5"/>
        <v>8.208E-3</v>
      </c>
      <c r="J197" s="33"/>
      <c r="K197" s="34"/>
      <c r="L197" s="34"/>
      <c r="M197" s="34"/>
      <c r="O197" s="35"/>
      <c r="P197" s="35"/>
      <c r="Q197" s="35"/>
      <c r="R197" s="35"/>
      <c r="S197" s="35"/>
      <c r="T197" s="35"/>
    </row>
    <row r="198" spans="2:21" x14ac:dyDescent="0.2">
      <c r="F198" s="18" t="s">
        <v>223</v>
      </c>
      <c r="G198" s="29"/>
      <c r="H198" s="28">
        <f>H75*1.5</f>
        <v>5.0220000000000001E-2</v>
      </c>
      <c r="J198" s="33"/>
      <c r="K198" s="34"/>
      <c r="L198" s="34"/>
      <c r="M198" s="34"/>
      <c r="O198" s="35"/>
      <c r="P198" s="35"/>
      <c r="Q198" s="35"/>
      <c r="R198" s="35"/>
      <c r="S198" s="35"/>
      <c r="T198" s="35"/>
    </row>
    <row r="199" spans="2:21" x14ac:dyDescent="0.2">
      <c r="F199" s="18" t="s">
        <v>220</v>
      </c>
      <c r="G199" s="29"/>
      <c r="H199" s="28">
        <f t="shared" si="5"/>
        <v>5.3783999999999998E-2</v>
      </c>
      <c r="J199" s="33"/>
      <c r="K199" s="34"/>
      <c r="L199" s="34"/>
      <c r="M199" s="34"/>
      <c r="O199" s="35"/>
      <c r="P199" s="35"/>
      <c r="Q199" s="35"/>
      <c r="R199" s="35"/>
      <c r="S199" s="35"/>
      <c r="T199" s="35"/>
    </row>
    <row r="200" spans="2:21" x14ac:dyDescent="0.2">
      <c r="F200" s="18" t="s">
        <v>386</v>
      </c>
      <c r="G200" s="29"/>
      <c r="H200" s="28">
        <f t="shared" si="5"/>
        <v>0.2</v>
      </c>
      <c r="J200" s="33"/>
      <c r="K200" s="34"/>
      <c r="L200" s="34"/>
      <c r="M200" s="34"/>
      <c r="O200" s="35"/>
      <c r="P200" s="35"/>
      <c r="Q200" s="35"/>
      <c r="R200" s="35"/>
      <c r="S200" s="35"/>
      <c r="T200" s="35"/>
    </row>
    <row r="201" spans="2:21" x14ac:dyDescent="0.2">
      <c r="B201" s="18" t="s">
        <v>387</v>
      </c>
      <c r="C201" s="18" t="s">
        <v>388</v>
      </c>
      <c r="E201" s="18" t="s">
        <v>389</v>
      </c>
      <c r="F201" s="18" t="s">
        <v>396</v>
      </c>
      <c r="G201" s="29">
        <v>1</v>
      </c>
      <c r="H201" s="28">
        <f t="shared" si="5"/>
        <v>7.4999999999999997E-2</v>
      </c>
      <c r="I201" s="18">
        <v>2010</v>
      </c>
      <c r="J201" s="33">
        <v>40</v>
      </c>
      <c r="K201" s="34">
        <v>1</v>
      </c>
      <c r="L201" s="34">
        <v>1</v>
      </c>
      <c r="M201" s="34">
        <v>1</v>
      </c>
      <c r="N201" s="39">
        <f>$N$78</f>
        <v>4.4000000000000004</v>
      </c>
      <c r="Q201" s="40"/>
      <c r="R201" s="40"/>
      <c r="S201" s="40"/>
      <c r="T201" s="40"/>
      <c r="U201" s="40"/>
    </row>
    <row r="202" spans="2:21" x14ac:dyDescent="0.2">
      <c r="F202" s="18" t="s">
        <v>402</v>
      </c>
      <c r="H202" s="28">
        <f t="shared" si="5"/>
        <v>0.76223280000000004</v>
      </c>
      <c r="J202" s="28"/>
      <c r="L202" s="33"/>
      <c r="M202" s="34"/>
      <c r="O202" s="34"/>
      <c r="P202" s="34"/>
      <c r="Q202" s="40"/>
      <c r="R202" s="40"/>
      <c r="S202" s="40"/>
      <c r="T202" s="40"/>
      <c r="U202" s="40"/>
    </row>
    <row r="203" spans="2:21" x14ac:dyDescent="0.2">
      <c r="F203" s="18" t="s">
        <v>399</v>
      </c>
      <c r="H203" s="28">
        <f t="shared" si="5"/>
        <v>0</v>
      </c>
      <c r="J203" s="28"/>
      <c r="L203" s="33"/>
      <c r="M203" s="34"/>
      <c r="O203" s="34"/>
      <c r="P203" s="34"/>
      <c r="Q203" s="40"/>
      <c r="R203" s="40"/>
      <c r="S203" s="40"/>
      <c r="T203" s="40"/>
      <c r="U203" s="40"/>
    </row>
    <row r="204" spans="2:21" x14ac:dyDescent="0.2">
      <c r="F204" s="18" t="s">
        <v>405</v>
      </c>
      <c r="H204" s="28">
        <f t="shared" si="5"/>
        <v>7.6410000000000006E-2</v>
      </c>
      <c r="J204" s="28"/>
      <c r="L204" s="33"/>
      <c r="M204" s="34"/>
      <c r="O204" s="34"/>
      <c r="P204" s="34"/>
      <c r="Q204" s="40"/>
      <c r="R204" s="40"/>
      <c r="S204" s="40"/>
      <c r="T204" s="40"/>
      <c r="U204" s="40"/>
    </row>
    <row r="205" spans="2:21" x14ac:dyDescent="0.2">
      <c r="F205" s="18" t="s">
        <v>417</v>
      </c>
      <c r="H205" s="28">
        <f t="shared" si="5"/>
        <v>8.208E-3</v>
      </c>
      <c r="J205" s="28"/>
      <c r="L205" s="33"/>
      <c r="M205" s="34"/>
      <c r="O205" s="34"/>
      <c r="P205" s="34"/>
      <c r="Q205" s="40"/>
      <c r="R205" s="40"/>
      <c r="S205" s="40"/>
      <c r="T205" s="40"/>
      <c r="U205" s="40"/>
    </row>
    <row r="206" spans="2:21" x14ac:dyDescent="0.2">
      <c r="F206" s="18" t="s">
        <v>429</v>
      </c>
      <c r="H206" s="28">
        <f t="shared" si="5"/>
        <v>0.304965659374205</v>
      </c>
      <c r="J206" s="28"/>
      <c r="L206" s="33"/>
      <c r="M206" s="34"/>
      <c r="O206" s="34"/>
      <c r="P206" s="34"/>
      <c r="Q206" s="40"/>
      <c r="R206" s="40"/>
      <c r="S206" s="40"/>
      <c r="T206" s="40"/>
      <c r="U206" s="40"/>
    </row>
    <row r="207" spans="2:21" x14ac:dyDescent="0.2">
      <c r="F207" s="18" t="s">
        <v>426</v>
      </c>
      <c r="H207" s="28">
        <f t="shared" si="5"/>
        <v>0</v>
      </c>
      <c r="J207" s="28"/>
      <c r="L207" s="33"/>
      <c r="M207" s="34"/>
      <c r="O207" s="34"/>
      <c r="P207" s="34"/>
      <c r="Q207" s="40"/>
      <c r="R207" s="40"/>
      <c r="S207" s="40"/>
      <c r="T207" s="40"/>
      <c r="U207" s="40"/>
    </row>
    <row r="208" spans="2:21" x14ac:dyDescent="0.2">
      <c r="F208" s="18" t="s">
        <v>408</v>
      </c>
      <c r="H208" s="28">
        <f t="shared" si="5"/>
        <v>0.145233453319766</v>
      </c>
      <c r="J208" s="28"/>
      <c r="L208" s="33"/>
      <c r="M208" s="34"/>
      <c r="O208" s="34"/>
      <c r="P208" s="34"/>
      <c r="Q208" s="40"/>
      <c r="R208" s="40"/>
      <c r="S208" s="40"/>
      <c r="T208" s="40"/>
      <c r="U208" s="40"/>
    </row>
    <row r="209" spans="1:22" x14ac:dyDescent="0.2">
      <c r="F209" s="18" t="s">
        <v>411</v>
      </c>
      <c r="H209" s="28">
        <f t="shared" si="5"/>
        <v>8.0189999999999997E-2</v>
      </c>
      <c r="J209" s="28"/>
      <c r="L209" s="33"/>
      <c r="M209" s="34"/>
      <c r="O209" s="34"/>
      <c r="P209" s="34"/>
      <c r="Q209" s="40"/>
      <c r="R209" s="40"/>
      <c r="S209" s="40"/>
      <c r="T209" s="40"/>
      <c r="U209" s="40"/>
    </row>
    <row r="210" spans="1:22" x14ac:dyDescent="0.2">
      <c r="F210" s="18" t="s">
        <v>414</v>
      </c>
      <c r="H210" s="28">
        <f t="shared" si="5"/>
        <v>8.0189999999999997E-2</v>
      </c>
      <c r="J210" s="28"/>
      <c r="L210" s="33"/>
      <c r="M210" s="34"/>
      <c r="O210" s="34"/>
      <c r="P210" s="34"/>
      <c r="Q210" s="40"/>
      <c r="R210" s="40"/>
      <c r="S210" s="40"/>
      <c r="T210" s="40"/>
      <c r="U210" s="40"/>
    </row>
    <row r="211" spans="1:22" x14ac:dyDescent="0.2">
      <c r="F211" s="18" t="s">
        <v>420</v>
      </c>
      <c r="H211" s="28">
        <f t="shared" si="5"/>
        <v>1.026E-2</v>
      </c>
      <c r="J211" s="28"/>
      <c r="L211" s="33"/>
      <c r="M211" s="34"/>
      <c r="O211" s="34"/>
      <c r="P211" s="34"/>
      <c r="Q211" s="40"/>
      <c r="R211" s="40"/>
      <c r="S211" s="40"/>
      <c r="T211" s="40"/>
      <c r="U211" s="40"/>
    </row>
    <row r="212" spans="1:22" x14ac:dyDescent="0.2">
      <c r="F212" s="18" t="s">
        <v>432</v>
      </c>
      <c r="H212" s="28">
        <f>H89*1.5</f>
        <v>6.2775000000000011E-2</v>
      </c>
      <c r="J212" s="28"/>
      <c r="L212" s="33"/>
      <c r="M212" s="34"/>
      <c r="O212" s="34"/>
      <c r="P212" s="34"/>
      <c r="Q212" s="40"/>
      <c r="R212" s="40"/>
      <c r="S212" s="40"/>
      <c r="T212" s="40"/>
      <c r="U212" s="40"/>
    </row>
    <row r="213" spans="1:22" x14ac:dyDescent="0.2">
      <c r="F213" s="18" t="s">
        <v>423</v>
      </c>
      <c r="H213" s="28">
        <f t="shared" si="5"/>
        <v>6.7229999999999998E-2</v>
      </c>
      <c r="J213" s="28"/>
      <c r="L213" s="33"/>
      <c r="M213" s="34"/>
      <c r="O213" s="34"/>
      <c r="P213" s="34"/>
      <c r="Q213" s="40"/>
      <c r="R213" s="40"/>
      <c r="S213" s="40"/>
      <c r="T213" s="40"/>
      <c r="U213" s="40"/>
    </row>
    <row r="214" spans="1:22" x14ac:dyDescent="0.2">
      <c r="A214" s="18" t="s">
        <v>124</v>
      </c>
      <c r="B214" s="18" t="s">
        <v>226</v>
      </c>
      <c r="C214" s="18" t="s">
        <v>227</v>
      </c>
      <c r="E214" s="18" t="str">
        <f>Commodities!$C$74</f>
        <v>OIL</v>
      </c>
      <c r="F214" s="18" t="s">
        <v>197</v>
      </c>
      <c r="G214" s="27">
        <f>Capacity!I5</f>
        <v>1.1594713656387665</v>
      </c>
      <c r="H214" s="28">
        <v>0.08</v>
      </c>
      <c r="I214" s="18">
        <v>2010</v>
      </c>
      <c r="J214" s="33">
        <v>40</v>
      </c>
      <c r="K214" s="34">
        <v>1</v>
      </c>
      <c r="L214" s="34">
        <v>1</v>
      </c>
      <c r="M214" s="36">
        <v>1</v>
      </c>
      <c r="O214" s="35">
        <v>0.11081705242328804</v>
      </c>
      <c r="P214" s="35">
        <v>0.1180109926332214</v>
      </c>
      <c r="Q214" s="35">
        <v>0.12567194378246774</v>
      </c>
      <c r="R214" s="35">
        <v>0.13408380753628005</v>
      </c>
      <c r="S214" s="35">
        <v>0.13598459890177453</v>
      </c>
      <c r="T214" s="35">
        <v>0.13730425700245708</v>
      </c>
      <c r="U214" s="41">
        <f>RESID!K27</f>
        <v>0</v>
      </c>
      <c r="V214" s="18">
        <f>0</f>
        <v>0</v>
      </c>
    </row>
    <row r="215" spans="1:22" x14ac:dyDescent="0.2">
      <c r="E215" s="18" t="str">
        <f>Commodities!$C$75</f>
        <v>NGA</v>
      </c>
      <c r="F215" s="18" t="s">
        <v>199</v>
      </c>
      <c r="G215" s="29">
        <f>$G$51</f>
        <v>4.3321494615468303E-2</v>
      </c>
      <c r="H215" s="28">
        <f>'PADD Products'!K4/100</f>
        <v>0.49736999999999992</v>
      </c>
      <c r="J215" s="33"/>
      <c r="K215" s="34"/>
      <c r="L215" s="34"/>
      <c r="M215" s="34"/>
      <c r="O215" s="35"/>
      <c r="P215" s="35"/>
      <c r="Q215" s="35"/>
      <c r="R215" s="35"/>
      <c r="S215" s="35"/>
      <c r="T215" s="35"/>
    </row>
    <row r="216" spans="1:22" x14ac:dyDescent="0.2">
      <c r="E216" s="18" t="str">
        <f>Commodities!$C$73</f>
        <v>ELC</v>
      </c>
      <c r="F216" s="18" t="s">
        <v>198</v>
      </c>
      <c r="G216" s="29">
        <f>$G$52</f>
        <v>4.7956053518981839E-3</v>
      </c>
      <c r="H216" s="28">
        <f>'PADD Products'!K5/100</f>
        <v>0</v>
      </c>
      <c r="J216" s="33"/>
      <c r="K216" s="34"/>
      <c r="L216" s="34"/>
      <c r="M216" s="34"/>
      <c r="O216" s="35"/>
      <c r="P216" s="35"/>
      <c r="Q216" s="35"/>
      <c r="R216" s="35"/>
      <c r="S216" s="35"/>
      <c r="T216" s="35"/>
    </row>
    <row r="217" spans="1:22" x14ac:dyDescent="0.2">
      <c r="E217" s="18" t="str">
        <f>Commodities!$C$82</f>
        <v>NGL</v>
      </c>
      <c r="F217" s="18" t="s">
        <v>200</v>
      </c>
      <c r="G217" s="29">
        <f>$G$53</f>
        <v>0</v>
      </c>
      <c r="H217" s="28">
        <f>'PADD Products'!K6/100</f>
        <v>0.10017</v>
      </c>
      <c r="J217" s="33"/>
      <c r="K217" s="34"/>
      <c r="L217" s="34"/>
      <c r="M217" s="34"/>
      <c r="O217" s="35"/>
      <c r="P217" s="35"/>
      <c r="Q217" s="35"/>
      <c r="R217" s="35"/>
      <c r="S217" s="35"/>
      <c r="T217" s="35"/>
    </row>
    <row r="218" spans="1:22" x14ac:dyDescent="0.2">
      <c r="F218" s="18" t="s">
        <v>204</v>
      </c>
      <c r="G218" s="29"/>
      <c r="H218" s="28">
        <f>'PADD Products'!K7/100</f>
        <v>8.1000000000000017E-4</v>
      </c>
      <c r="J218" s="33"/>
      <c r="K218" s="34"/>
      <c r="L218" s="34"/>
      <c r="M218" s="34"/>
      <c r="O218" s="35"/>
      <c r="P218" s="35"/>
      <c r="Q218" s="35"/>
      <c r="R218" s="35"/>
      <c r="S218" s="35"/>
      <c r="T218" s="35"/>
    </row>
    <row r="219" spans="1:22" x14ac:dyDescent="0.2">
      <c r="F219" s="18" t="s">
        <v>208</v>
      </c>
      <c r="G219" s="29"/>
      <c r="H219" s="28">
        <f>'PADD Products'!K8/100</f>
        <v>0.30281871607375171</v>
      </c>
      <c r="J219" s="33"/>
      <c r="K219" s="34"/>
      <c r="L219" s="34"/>
      <c r="M219" s="34"/>
      <c r="O219" s="35"/>
      <c r="P219" s="35"/>
      <c r="Q219" s="35"/>
      <c r="R219" s="35"/>
      <c r="S219" s="35"/>
      <c r="T219" s="35"/>
    </row>
    <row r="220" spans="1:22" x14ac:dyDescent="0.2">
      <c r="F220" s="18" t="s">
        <v>207</v>
      </c>
      <c r="G220" s="29"/>
      <c r="H220" s="28">
        <f>'PADD Products'!K9/100</f>
        <v>0</v>
      </c>
      <c r="J220" s="33"/>
      <c r="K220" s="34"/>
      <c r="L220" s="34"/>
      <c r="M220" s="34"/>
      <c r="O220" s="35"/>
      <c r="P220" s="35"/>
      <c r="Q220" s="35"/>
      <c r="R220" s="35"/>
      <c r="S220" s="35"/>
      <c r="T220" s="35"/>
    </row>
    <row r="221" spans="1:22" x14ac:dyDescent="0.2">
      <c r="F221" s="18" t="s">
        <v>201</v>
      </c>
      <c r="G221" s="29"/>
      <c r="H221" s="28">
        <f>'PADD Products'!K10/100</f>
        <v>2.6653727513346194E-2</v>
      </c>
      <c r="J221" s="33"/>
      <c r="K221" s="34"/>
      <c r="L221" s="34"/>
      <c r="M221" s="34"/>
      <c r="O221" s="35"/>
      <c r="P221" s="35"/>
      <c r="Q221" s="35"/>
      <c r="R221" s="35"/>
      <c r="S221" s="35"/>
      <c r="T221" s="35"/>
    </row>
    <row r="222" spans="1:22" x14ac:dyDescent="0.2">
      <c r="F222" s="18" t="s">
        <v>202</v>
      </c>
      <c r="G222" s="29"/>
      <c r="H222" s="28">
        <f>'PADD Products'!K11/100</f>
        <v>4.3199999999999995E-2</v>
      </c>
      <c r="J222" s="33"/>
      <c r="K222" s="34"/>
      <c r="L222" s="34"/>
      <c r="M222" s="34"/>
      <c r="O222" s="35"/>
      <c r="P222" s="35"/>
      <c r="Q222" s="35"/>
      <c r="R222" s="35"/>
      <c r="S222" s="35"/>
      <c r="T222" s="35"/>
    </row>
    <row r="223" spans="1:22" x14ac:dyDescent="0.2">
      <c r="F223" s="18" t="s">
        <v>203</v>
      </c>
      <c r="G223" s="29"/>
      <c r="H223" s="28">
        <f>H222</f>
        <v>4.3199999999999995E-2</v>
      </c>
      <c r="J223" s="33"/>
      <c r="K223" s="34"/>
      <c r="L223" s="34"/>
      <c r="M223" s="34"/>
      <c r="O223" s="35"/>
      <c r="P223" s="35"/>
      <c r="Q223" s="35"/>
      <c r="R223" s="35"/>
      <c r="S223" s="35"/>
      <c r="T223" s="35"/>
    </row>
    <row r="224" spans="1:22" x14ac:dyDescent="0.2">
      <c r="F224" s="18" t="s">
        <v>205</v>
      </c>
      <c r="G224" s="29"/>
      <c r="H224" s="28">
        <f>'PADD Products'!K13/100</f>
        <v>3.8880000000000005E-2</v>
      </c>
      <c r="J224" s="33"/>
      <c r="K224" s="34"/>
      <c r="L224" s="34"/>
      <c r="M224" s="34"/>
      <c r="O224" s="35"/>
      <c r="P224" s="35"/>
      <c r="Q224" s="35"/>
      <c r="R224" s="35"/>
      <c r="S224" s="35"/>
      <c r="T224" s="35"/>
    </row>
    <row r="225" spans="2:22" x14ac:dyDescent="0.2">
      <c r="F225" s="18" t="s">
        <v>209</v>
      </c>
      <c r="G225" s="29"/>
      <c r="H225" s="28">
        <f>'PADD Products'!K14/100</f>
        <v>6.480000000000001E-2</v>
      </c>
      <c r="J225" s="33"/>
      <c r="K225" s="34"/>
      <c r="L225" s="34"/>
      <c r="M225" s="34"/>
      <c r="O225" s="35"/>
      <c r="P225" s="35"/>
      <c r="Q225" s="35"/>
      <c r="R225" s="35"/>
      <c r="S225" s="35"/>
      <c r="T225" s="35"/>
    </row>
    <row r="226" spans="2:22" x14ac:dyDescent="0.2">
      <c r="F226" s="18" t="s">
        <v>206</v>
      </c>
      <c r="G226" s="29"/>
      <c r="H226" s="28">
        <f>'PADD Products'!K15/100</f>
        <v>1.2150000000000001E-2</v>
      </c>
      <c r="J226" s="33"/>
      <c r="K226" s="34"/>
      <c r="L226" s="34"/>
      <c r="M226" s="34"/>
      <c r="O226" s="35"/>
      <c r="P226" s="35"/>
      <c r="Q226" s="35"/>
      <c r="R226" s="35"/>
      <c r="S226" s="35"/>
      <c r="T226" s="35"/>
    </row>
    <row r="227" spans="2:22" x14ac:dyDescent="0.2">
      <c r="F227" s="18" t="s">
        <v>385</v>
      </c>
      <c r="G227" s="29"/>
      <c r="H227" s="28">
        <v>0.2</v>
      </c>
      <c r="J227" s="33"/>
      <c r="K227" s="34"/>
      <c r="L227" s="34"/>
      <c r="M227" s="34"/>
      <c r="O227" s="35"/>
      <c r="P227" s="35"/>
      <c r="Q227" s="35"/>
      <c r="R227" s="35"/>
      <c r="S227" s="35"/>
      <c r="T227" s="35"/>
    </row>
    <row r="228" spans="2:22" x14ac:dyDescent="0.2">
      <c r="B228" s="18" t="s">
        <v>229</v>
      </c>
      <c r="C228" s="18" t="s">
        <v>230</v>
      </c>
      <c r="E228" s="18" t="str">
        <f>Commodities!$C$74</f>
        <v>OIL</v>
      </c>
      <c r="F228" s="18" t="s">
        <v>211</v>
      </c>
      <c r="G228" s="27">
        <f>G214</f>
        <v>1.1594713656387665</v>
      </c>
      <c r="H228" s="28">
        <f>H214</f>
        <v>0.08</v>
      </c>
      <c r="I228" s="18">
        <v>2015</v>
      </c>
      <c r="J228" s="33">
        <v>40</v>
      </c>
      <c r="K228" s="34">
        <v>1</v>
      </c>
      <c r="L228" s="34">
        <v>1</v>
      </c>
      <c r="M228" s="36">
        <v>1</v>
      </c>
      <c r="N228" s="39">
        <f>'RTI Costs'!F11*Conv!J32</f>
        <v>8.8465027778212519</v>
      </c>
      <c r="O228" s="35">
        <v>0.11081705242328804</v>
      </c>
      <c r="P228" s="35">
        <v>0.1180109926332214</v>
      </c>
      <c r="Q228" s="35">
        <v>0.12567194378246774</v>
      </c>
      <c r="R228" s="35">
        <v>0.13408380753628005</v>
      </c>
      <c r="S228" s="35">
        <v>0.13598459890177453</v>
      </c>
      <c r="T228" s="35">
        <v>0.13730425700245708</v>
      </c>
      <c r="V228" s="41">
        <f>RESID!G31</f>
        <v>0</v>
      </c>
    </row>
    <row r="229" spans="2:22" x14ac:dyDescent="0.2">
      <c r="E229" s="18" t="str">
        <f>Commodities!$C$75</f>
        <v>NGA</v>
      </c>
      <c r="F229" s="18" t="s">
        <v>213</v>
      </c>
      <c r="G229" s="29">
        <f>$G$51</f>
        <v>4.3321494615468303E-2</v>
      </c>
      <c r="H229" s="28">
        <f t="shared" ref="H229:H240" si="6">H215</f>
        <v>0.49736999999999992</v>
      </c>
      <c r="J229" s="33"/>
      <c r="K229" s="34"/>
      <c r="L229" s="34"/>
      <c r="M229" s="34"/>
      <c r="O229" s="35"/>
      <c r="P229" s="35"/>
      <c r="Q229" s="35"/>
      <c r="R229" s="35"/>
      <c r="S229" s="35"/>
      <c r="T229" s="35"/>
    </row>
    <row r="230" spans="2:22" x14ac:dyDescent="0.2">
      <c r="E230" s="18" t="str">
        <f>Commodities!$C$73</f>
        <v>ELC</v>
      </c>
      <c r="F230" s="18" t="s">
        <v>212</v>
      </c>
      <c r="G230" s="29">
        <f>$G$52</f>
        <v>4.7956053518981839E-3</v>
      </c>
      <c r="H230" s="28">
        <f t="shared" si="6"/>
        <v>0</v>
      </c>
      <c r="J230" s="33"/>
      <c r="K230" s="34"/>
      <c r="L230" s="34"/>
      <c r="M230" s="34"/>
      <c r="O230" s="35"/>
      <c r="P230" s="35"/>
      <c r="Q230" s="35"/>
      <c r="R230" s="35"/>
      <c r="S230" s="35"/>
      <c r="T230" s="35"/>
    </row>
    <row r="231" spans="2:22" x14ac:dyDescent="0.2">
      <c r="E231" s="18" t="str">
        <f>Commodities!$C$82</f>
        <v>NGL</v>
      </c>
      <c r="F231" s="18" t="s">
        <v>214</v>
      </c>
      <c r="G231" s="29">
        <f>$G$53</f>
        <v>0</v>
      </c>
      <c r="H231" s="28">
        <f t="shared" si="6"/>
        <v>0.10017</v>
      </c>
      <c r="J231" s="33"/>
      <c r="K231" s="34"/>
      <c r="L231" s="34"/>
      <c r="M231" s="34"/>
      <c r="O231" s="35"/>
      <c r="P231" s="35"/>
      <c r="Q231" s="35"/>
      <c r="R231" s="35"/>
      <c r="S231" s="35"/>
      <c r="T231" s="35"/>
    </row>
    <row r="232" spans="2:22" x14ac:dyDescent="0.2">
      <c r="F232" s="18" t="s">
        <v>218</v>
      </c>
      <c r="G232" s="29"/>
      <c r="H232" s="28">
        <f t="shared" si="6"/>
        <v>8.1000000000000017E-4</v>
      </c>
      <c r="J232" s="33"/>
      <c r="K232" s="34"/>
      <c r="L232" s="34"/>
      <c r="M232" s="34"/>
      <c r="O232" s="35"/>
      <c r="P232" s="35"/>
      <c r="Q232" s="35"/>
      <c r="R232" s="35"/>
      <c r="S232" s="35"/>
      <c r="T232" s="35"/>
    </row>
    <row r="233" spans="2:22" x14ac:dyDescent="0.2">
      <c r="F233" s="18" t="s">
        <v>222</v>
      </c>
      <c r="G233" s="29"/>
      <c r="H233" s="28">
        <f t="shared" si="6"/>
        <v>0.30281871607375171</v>
      </c>
      <c r="J233" s="33"/>
      <c r="K233" s="34"/>
      <c r="L233" s="34"/>
      <c r="M233" s="34"/>
      <c r="O233" s="35"/>
      <c r="P233" s="35"/>
      <c r="Q233" s="35"/>
      <c r="R233" s="35"/>
      <c r="S233" s="35"/>
      <c r="T233" s="35"/>
    </row>
    <row r="234" spans="2:22" x14ac:dyDescent="0.2">
      <c r="F234" s="18" t="s">
        <v>221</v>
      </c>
      <c r="G234" s="29"/>
      <c r="H234" s="28">
        <f t="shared" si="6"/>
        <v>0</v>
      </c>
      <c r="J234" s="33"/>
      <c r="K234" s="34"/>
      <c r="L234" s="34"/>
      <c r="M234" s="34"/>
      <c r="O234" s="35"/>
      <c r="P234" s="35"/>
      <c r="Q234" s="35"/>
      <c r="R234" s="35"/>
      <c r="S234" s="35"/>
      <c r="T234" s="35"/>
    </row>
    <row r="235" spans="2:22" x14ac:dyDescent="0.2">
      <c r="F235" s="18" t="s">
        <v>215</v>
      </c>
      <c r="G235" s="29"/>
      <c r="H235" s="28">
        <f t="shared" si="6"/>
        <v>2.6653727513346194E-2</v>
      </c>
      <c r="J235" s="33"/>
      <c r="K235" s="34"/>
      <c r="L235" s="34"/>
      <c r="M235" s="34"/>
      <c r="O235" s="35"/>
      <c r="P235" s="35"/>
      <c r="Q235" s="35"/>
      <c r="R235" s="35"/>
      <c r="S235" s="35"/>
      <c r="T235" s="35"/>
    </row>
    <row r="236" spans="2:22" x14ac:dyDescent="0.2">
      <c r="F236" s="18" t="s">
        <v>216</v>
      </c>
      <c r="G236" s="29"/>
      <c r="H236" s="28">
        <f t="shared" si="6"/>
        <v>4.3199999999999995E-2</v>
      </c>
      <c r="J236" s="33"/>
      <c r="K236" s="34"/>
      <c r="L236" s="34"/>
      <c r="M236" s="34"/>
      <c r="O236" s="35"/>
      <c r="P236" s="35"/>
      <c r="Q236" s="35"/>
      <c r="R236" s="35"/>
      <c r="S236" s="35"/>
      <c r="T236" s="35"/>
    </row>
    <row r="237" spans="2:22" x14ac:dyDescent="0.2">
      <c r="F237" s="18" t="s">
        <v>217</v>
      </c>
      <c r="G237" s="29"/>
      <c r="H237" s="28">
        <f t="shared" si="6"/>
        <v>4.3199999999999995E-2</v>
      </c>
      <c r="J237" s="33"/>
      <c r="K237" s="34"/>
      <c r="L237" s="34"/>
      <c r="M237" s="34"/>
      <c r="O237" s="35"/>
      <c r="P237" s="35"/>
      <c r="Q237" s="35"/>
      <c r="R237" s="35"/>
      <c r="S237" s="35"/>
      <c r="T237" s="35"/>
    </row>
    <row r="238" spans="2:22" x14ac:dyDescent="0.2">
      <c r="F238" s="18" t="s">
        <v>219</v>
      </c>
      <c r="G238" s="29"/>
      <c r="H238" s="28">
        <f t="shared" si="6"/>
        <v>3.8880000000000005E-2</v>
      </c>
      <c r="J238" s="33"/>
      <c r="K238" s="34"/>
      <c r="L238" s="34"/>
      <c r="M238" s="34"/>
      <c r="O238" s="35"/>
      <c r="P238" s="35"/>
      <c r="Q238" s="35"/>
      <c r="R238" s="35"/>
      <c r="S238" s="35"/>
      <c r="T238" s="35"/>
    </row>
    <row r="239" spans="2:22" x14ac:dyDescent="0.2">
      <c r="F239" s="18" t="s">
        <v>223</v>
      </c>
      <c r="G239" s="29"/>
      <c r="H239" s="28">
        <f t="shared" si="6"/>
        <v>6.480000000000001E-2</v>
      </c>
      <c r="J239" s="33"/>
      <c r="K239" s="34"/>
      <c r="L239" s="34"/>
      <c r="M239" s="34"/>
      <c r="O239" s="35"/>
      <c r="P239" s="35"/>
      <c r="Q239" s="35"/>
      <c r="R239" s="35"/>
      <c r="S239" s="35"/>
      <c r="T239" s="35"/>
    </row>
    <row r="240" spans="2:22" x14ac:dyDescent="0.2">
      <c r="F240" s="18" t="s">
        <v>220</v>
      </c>
      <c r="G240" s="29"/>
      <c r="H240" s="28">
        <f t="shared" si="6"/>
        <v>1.2150000000000001E-2</v>
      </c>
      <c r="J240" s="33"/>
      <c r="K240" s="34"/>
      <c r="L240" s="34"/>
      <c r="M240" s="34"/>
      <c r="O240" s="35"/>
      <c r="P240" s="35"/>
      <c r="Q240" s="35"/>
      <c r="R240" s="35"/>
      <c r="S240" s="35"/>
      <c r="T240" s="35"/>
    </row>
    <row r="241" spans="1:22" x14ac:dyDescent="0.2">
      <c r="F241" s="18" t="s">
        <v>386</v>
      </c>
      <c r="G241" s="29"/>
      <c r="H241" s="28">
        <f>H227</f>
        <v>0.2</v>
      </c>
      <c r="J241" s="33"/>
      <c r="K241" s="34"/>
      <c r="L241" s="34"/>
      <c r="M241" s="34"/>
      <c r="O241" s="35"/>
      <c r="P241" s="35"/>
      <c r="Q241" s="35"/>
      <c r="R241" s="35"/>
      <c r="S241" s="35"/>
      <c r="T241" s="35"/>
    </row>
    <row r="242" spans="1:22" x14ac:dyDescent="0.2">
      <c r="B242" s="18" t="s">
        <v>387</v>
      </c>
      <c r="C242" s="18" t="s">
        <v>388</v>
      </c>
      <c r="E242" s="18" t="s">
        <v>389</v>
      </c>
      <c r="F242" s="18" t="s">
        <v>396</v>
      </c>
      <c r="G242" s="29">
        <v>1</v>
      </c>
      <c r="H242" s="28">
        <f>H214*1.25</f>
        <v>0.1</v>
      </c>
      <c r="I242" s="18">
        <v>2010</v>
      </c>
      <c r="J242" s="33">
        <v>40</v>
      </c>
      <c r="K242" s="34">
        <v>1</v>
      </c>
      <c r="L242" s="34">
        <v>1</v>
      </c>
      <c r="M242" s="34">
        <v>1</v>
      </c>
      <c r="N242" s="39">
        <f>$N$78</f>
        <v>4.4000000000000004</v>
      </c>
      <c r="Q242" s="40"/>
      <c r="R242" s="40"/>
      <c r="S242" s="40"/>
      <c r="T242" s="40"/>
      <c r="U242" s="40"/>
    </row>
    <row r="243" spans="1:22" x14ac:dyDescent="0.2">
      <c r="F243" s="18" t="s">
        <v>402</v>
      </c>
      <c r="H243" s="28">
        <f>H215*1.4</f>
        <v>0.69631799999999988</v>
      </c>
      <c r="J243" s="28"/>
      <c r="L243" s="33"/>
      <c r="M243" s="34"/>
      <c r="O243" s="34"/>
      <c r="P243" s="34"/>
      <c r="Q243" s="40"/>
      <c r="R243" s="40"/>
      <c r="S243" s="40"/>
      <c r="T243" s="40"/>
      <c r="U243" s="40"/>
    </row>
    <row r="244" spans="1:22" x14ac:dyDescent="0.2">
      <c r="F244" s="18" t="s">
        <v>399</v>
      </c>
      <c r="H244" s="28">
        <f>H216*1.4</f>
        <v>0</v>
      </c>
      <c r="J244" s="28"/>
      <c r="L244" s="33"/>
      <c r="M244" s="34"/>
      <c r="O244" s="34"/>
      <c r="P244" s="34"/>
      <c r="Q244" s="40"/>
      <c r="R244" s="40"/>
      <c r="S244" s="40"/>
      <c r="T244" s="40"/>
      <c r="U244" s="40"/>
    </row>
    <row r="245" spans="1:22" x14ac:dyDescent="0.2">
      <c r="F245" s="18" t="s">
        <v>405</v>
      </c>
      <c r="H245" s="28">
        <f t="shared" ref="H245:H254" si="7">H217*1.25</f>
        <v>0.1252125</v>
      </c>
      <c r="J245" s="28"/>
      <c r="L245" s="33"/>
      <c r="M245" s="34"/>
      <c r="O245" s="34"/>
      <c r="P245" s="34"/>
      <c r="Q245" s="40"/>
      <c r="R245" s="40"/>
      <c r="S245" s="40"/>
      <c r="T245" s="40"/>
      <c r="U245" s="40"/>
    </row>
    <row r="246" spans="1:22" x14ac:dyDescent="0.2">
      <c r="F246" s="18" t="s">
        <v>417</v>
      </c>
      <c r="H246" s="28">
        <f>H218*2</f>
        <v>1.6200000000000003E-3</v>
      </c>
      <c r="J246" s="28"/>
      <c r="L246" s="33"/>
      <c r="M246" s="34"/>
      <c r="O246" s="34"/>
      <c r="P246" s="34"/>
      <c r="Q246" s="40"/>
      <c r="R246" s="40"/>
      <c r="S246" s="40"/>
      <c r="T246" s="40"/>
      <c r="U246" s="40"/>
    </row>
    <row r="247" spans="1:22" x14ac:dyDescent="0.2">
      <c r="F247" s="18" t="s">
        <v>429</v>
      </c>
      <c r="H247" s="28">
        <f>H219*1.4</f>
        <v>0.42394620250325238</v>
      </c>
      <c r="J247" s="28"/>
      <c r="L247" s="33"/>
      <c r="M247" s="34"/>
      <c r="O247" s="34"/>
      <c r="P247" s="34"/>
      <c r="Q247" s="40"/>
      <c r="R247" s="40"/>
      <c r="S247" s="40"/>
      <c r="T247" s="40"/>
      <c r="U247" s="40"/>
    </row>
    <row r="248" spans="1:22" x14ac:dyDescent="0.2">
      <c r="F248" s="18" t="s">
        <v>426</v>
      </c>
      <c r="H248" s="28">
        <f t="shared" si="7"/>
        <v>0</v>
      </c>
      <c r="J248" s="28"/>
      <c r="L248" s="33"/>
      <c r="M248" s="34"/>
      <c r="O248" s="34"/>
      <c r="P248" s="34"/>
      <c r="Q248" s="40"/>
      <c r="R248" s="40"/>
      <c r="S248" s="40"/>
      <c r="T248" s="40"/>
      <c r="U248" s="40"/>
    </row>
    <row r="249" spans="1:22" x14ac:dyDescent="0.2">
      <c r="F249" s="18" t="s">
        <v>408</v>
      </c>
      <c r="H249" s="28">
        <f t="shared" si="7"/>
        <v>3.3317159391682741E-2</v>
      </c>
      <c r="J249" s="28"/>
      <c r="L249" s="33"/>
      <c r="M249" s="34"/>
      <c r="O249" s="34"/>
      <c r="P249" s="34"/>
      <c r="Q249" s="40"/>
      <c r="R249" s="40"/>
      <c r="S249" s="40"/>
      <c r="T249" s="40"/>
      <c r="U249" s="40"/>
    </row>
    <row r="250" spans="1:22" x14ac:dyDescent="0.2">
      <c r="F250" s="18" t="s">
        <v>411</v>
      </c>
      <c r="H250" s="28">
        <f t="shared" si="7"/>
        <v>5.3999999999999992E-2</v>
      </c>
      <c r="J250" s="28"/>
      <c r="L250" s="33"/>
      <c r="M250" s="34"/>
      <c r="O250" s="34"/>
      <c r="P250" s="34"/>
      <c r="Q250" s="40"/>
      <c r="R250" s="40"/>
      <c r="S250" s="40"/>
      <c r="T250" s="40"/>
      <c r="U250" s="40"/>
    </row>
    <row r="251" spans="1:22" x14ac:dyDescent="0.2">
      <c r="F251" s="18" t="s">
        <v>414</v>
      </c>
      <c r="H251" s="28">
        <f t="shared" si="7"/>
        <v>5.3999999999999992E-2</v>
      </c>
      <c r="J251" s="28"/>
      <c r="L251" s="33"/>
      <c r="M251" s="34"/>
      <c r="O251" s="34"/>
      <c r="P251" s="34"/>
      <c r="Q251" s="40"/>
      <c r="R251" s="40"/>
      <c r="S251" s="40"/>
      <c r="T251" s="40"/>
      <c r="U251" s="40"/>
    </row>
    <row r="252" spans="1:22" x14ac:dyDescent="0.2">
      <c r="F252" s="18" t="s">
        <v>420</v>
      </c>
      <c r="H252" s="28">
        <f t="shared" si="7"/>
        <v>4.8600000000000004E-2</v>
      </c>
      <c r="J252" s="28"/>
      <c r="L252" s="33"/>
      <c r="M252" s="34"/>
      <c r="O252" s="34"/>
      <c r="P252" s="34"/>
      <c r="Q252" s="40"/>
      <c r="R252" s="40"/>
      <c r="S252" s="40"/>
      <c r="T252" s="40"/>
      <c r="U252" s="40"/>
    </row>
    <row r="253" spans="1:22" x14ac:dyDescent="0.2">
      <c r="F253" s="18" t="s">
        <v>432</v>
      </c>
      <c r="H253" s="28">
        <f t="shared" si="7"/>
        <v>8.1000000000000016E-2</v>
      </c>
      <c r="J253" s="28"/>
      <c r="L253" s="33"/>
      <c r="M253" s="34"/>
      <c r="O253" s="34"/>
      <c r="P253" s="34"/>
      <c r="Q253" s="40"/>
      <c r="R253" s="40"/>
      <c r="S253" s="40"/>
      <c r="T253" s="40"/>
      <c r="U253" s="40"/>
    </row>
    <row r="254" spans="1:22" x14ac:dyDescent="0.2">
      <c r="F254" s="18" t="s">
        <v>423</v>
      </c>
      <c r="H254" s="28">
        <f t="shared" si="7"/>
        <v>1.5187500000000001E-2</v>
      </c>
      <c r="J254" s="28"/>
      <c r="L254" s="33"/>
      <c r="M254" s="34"/>
      <c r="O254" s="34"/>
      <c r="P254" s="34"/>
      <c r="Q254" s="40"/>
      <c r="R254" s="40"/>
      <c r="S254" s="40"/>
      <c r="T254" s="40"/>
      <c r="U254" s="40"/>
    </row>
    <row r="255" spans="1:22" x14ac:dyDescent="0.2">
      <c r="A255" s="18" t="s">
        <v>126</v>
      </c>
      <c r="B255" s="18" t="s">
        <v>226</v>
      </c>
      <c r="C255" s="18" t="s">
        <v>227</v>
      </c>
      <c r="E255" s="18" t="str">
        <f>Commodities!$C$74</f>
        <v>OIL</v>
      </c>
      <c r="F255" s="18" t="s">
        <v>197</v>
      </c>
      <c r="G255" s="27">
        <f>G214</f>
        <v>1.1594713656387665</v>
      </c>
      <c r="H255" s="28">
        <f>H214</f>
        <v>0.08</v>
      </c>
      <c r="I255" s="18">
        <v>2010</v>
      </c>
      <c r="J255" s="33">
        <v>40</v>
      </c>
      <c r="K255" s="34">
        <v>1</v>
      </c>
      <c r="L255" s="34">
        <v>1</v>
      </c>
      <c r="M255" s="36">
        <v>1</v>
      </c>
      <c r="O255" s="35">
        <v>0.11081705242328804</v>
      </c>
      <c r="P255" s="35">
        <v>0.1180109926332214</v>
      </c>
      <c r="Q255" s="35">
        <v>0.12567194378246774</v>
      </c>
      <c r="R255" s="35">
        <v>0.13408380753628005</v>
      </c>
      <c r="S255" s="35">
        <v>0.13598459890177453</v>
      </c>
      <c r="T255" s="35">
        <v>0.13730425700245708</v>
      </c>
      <c r="U255" s="41">
        <f>RESID!K28</f>
        <v>0</v>
      </c>
      <c r="V255" s="18">
        <f>0</f>
        <v>0</v>
      </c>
    </row>
    <row r="256" spans="1:22" x14ac:dyDescent="0.2">
      <c r="E256" s="18" t="str">
        <f>Commodities!$C$75</f>
        <v>NGA</v>
      </c>
      <c r="F256" s="18" t="s">
        <v>199</v>
      </c>
      <c r="G256" s="29">
        <f>$G$51</f>
        <v>4.3321494615468303E-2</v>
      </c>
      <c r="H256" s="28">
        <f t="shared" ref="H256:H295" si="8">H215</f>
        <v>0.49736999999999992</v>
      </c>
      <c r="J256" s="33"/>
      <c r="K256" s="34"/>
      <c r="L256" s="34"/>
      <c r="M256" s="34"/>
      <c r="O256" s="35"/>
      <c r="P256" s="35"/>
      <c r="Q256" s="35"/>
      <c r="R256" s="35"/>
      <c r="S256" s="35"/>
      <c r="T256" s="35"/>
    </row>
    <row r="257" spans="2:22" x14ac:dyDescent="0.2">
      <c r="E257" s="18" t="str">
        <f>Commodities!$C$73</f>
        <v>ELC</v>
      </c>
      <c r="F257" s="18" t="s">
        <v>198</v>
      </c>
      <c r="G257" s="29">
        <f>$G$52</f>
        <v>4.7956053518981839E-3</v>
      </c>
      <c r="H257" s="28">
        <f t="shared" si="8"/>
        <v>0</v>
      </c>
      <c r="J257" s="33"/>
      <c r="K257" s="34"/>
      <c r="L257" s="34"/>
      <c r="M257" s="34"/>
      <c r="O257" s="35"/>
      <c r="P257" s="35"/>
      <c r="Q257" s="35"/>
      <c r="R257" s="35"/>
      <c r="S257" s="35"/>
      <c r="T257" s="35"/>
    </row>
    <row r="258" spans="2:22" x14ac:dyDescent="0.2">
      <c r="E258" s="18" t="str">
        <f>Commodities!$C$82</f>
        <v>NGL</v>
      </c>
      <c r="F258" s="18" t="s">
        <v>200</v>
      </c>
      <c r="G258" s="29">
        <f>$G$53</f>
        <v>0</v>
      </c>
      <c r="H258" s="28">
        <f t="shared" si="8"/>
        <v>0.10017</v>
      </c>
      <c r="J258" s="33"/>
      <c r="K258" s="34"/>
      <c r="L258" s="34"/>
      <c r="M258" s="34"/>
      <c r="O258" s="35"/>
      <c r="P258" s="35"/>
      <c r="Q258" s="35"/>
      <c r="R258" s="35"/>
      <c r="S258" s="35"/>
      <c r="T258" s="35"/>
    </row>
    <row r="259" spans="2:22" x14ac:dyDescent="0.2">
      <c r="F259" s="18" t="s">
        <v>204</v>
      </c>
      <c r="G259" s="29"/>
      <c r="H259" s="28">
        <f t="shared" si="8"/>
        <v>8.1000000000000017E-4</v>
      </c>
      <c r="J259" s="33"/>
      <c r="K259" s="34"/>
      <c r="L259" s="34"/>
      <c r="M259" s="34"/>
      <c r="O259" s="35"/>
      <c r="P259" s="35"/>
      <c r="Q259" s="35"/>
      <c r="R259" s="35"/>
      <c r="S259" s="35"/>
      <c r="T259" s="35"/>
    </row>
    <row r="260" spans="2:22" x14ac:dyDescent="0.2">
      <c r="F260" s="18" t="s">
        <v>208</v>
      </c>
      <c r="G260" s="29"/>
      <c r="H260" s="28">
        <f t="shared" si="8"/>
        <v>0.30281871607375171</v>
      </c>
      <c r="J260" s="33"/>
      <c r="K260" s="34"/>
      <c r="L260" s="34"/>
      <c r="M260" s="34"/>
      <c r="O260" s="35"/>
      <c r="P260" s="35"/>
      <c r="Q260" s="35"/>
      <c r="R260" s="35"/>
      <c r="S260" s="35"/>
      <c r="T260" s="35"/>
    </row>
    <row r="261" spans="2:22" x14ac:dyDescent="0.2">
      <c r="F261" s="18" t="s">
        <v>207</v>
      </c>
      <c r="G261" s="29"/>
      <c r="H261" s="28">
        <f t="shared" si="8"/>
        <v>0</v>
      </c>
      <c r="J261" s="33"/>
      <c r="K261" s="34"/>
      <c r="L261" s="34"/>
      <c r="M261" s="34"/>
      <c r="O261" s="35"/>
      <c r="P261" s="35"/>
      <c r="Q261" s="35"/>
      <c r="R261" s="35"/>
      <c r="S261" s="35"/>
      <c r="T261" s="35"/>
    </row>
    <row r="262" spans="2:22" x14ac:dyDescent="0.2">
      <c r="F262" s="18" t="s">
        <v>201</v>
      </c>
      <c r="G262" s="29"/>
      <c r="H262" s="28">
        <f t="shared" si="8"/>
        <v>2.6653727513346194E-2</v>
      </c>
      <c r="J262" s="33"/>
      <c r="K262" s="34"/>
      <c r="L262" s="34"/>
      <c r="M262" s="34"/>
      <c r="O262" s="35"/>
      <c r="P262" s="35"/>
      <c r="Q262" s="35"/>
      <c r="R262" s="35"/>
      <c r="S262" s="35"/>
      <c r="T262" s="35"/>
    </row>
    <row r="263" spans="2:22" x14ac:dyDescent="0.2">
      <c r="F263" s="18" t="s">
        <v>202</v>
      </c>
      <c r="G263" s="29"/>
      <c r="H263" s="28">
        <f t="shared" si="8"/>
        <v>4.3199999999999995E-2</v>
      </c>
      <c r="J263" s="33"/>
      <c r="K263" s="34"/>
      <c r="L263" s="34"/>
      <c r="M263" s="34"/>
      <c r="O263" s="35"/>
      <c r="P263" s="35"/>
      <c r="Q263" s="35"/>
      <c r="R263" s="35"/>
      <c r="S263" s="35"/>
      <c r="T263" s="35"/>
    </row>
    <row r="264" spans="2:22" x14ac:dyDescent="0.2">
      <c r="F264" s="18" t="s">
        <v>203</v>
      </c>
      <c r="G264" s="29"/>
      <c r="H264" s="28">
        <f t="shared" si="8"/>
        <v>4.3199999999999995E-2</v>
      </c>
      <c r="J264" s="33"/>
      <c r="K264" s="34"/>
      <c r="L264" s="34"/>
      <c r="M264" s="34"/>
      <c r="O264" s="35"/>
      <c r="P264" s="35"/>
      <c r="Q264" s="35"/>
      <c r="R264" s="35"/>
      <c r="S264" s="35"/>
      <c r="T264" s="35"/>
    </row>
    <row r="265" spans="2:22" x14ac:dyDescent="0.2">
      <c r="F265" s="18" t="s">
        <v>205</v>
      </c>
      <c r="G265" s="29"/>
      <c r="H265" s="28">
        <f t="shared" si="8"/>
        <v>3.8880000000000005E-2</v>
      </c>
      <c r="J265" s="33"/>
      <c r="K265" s="34"/>
      <c r="L265" s="34"/>
      <c r="M265" s="34"/>
      <c r="O265" s="35"/>
      <c r="P265" s="35"/>
      <c r="Q265" s="35"/>
      <c r="R265" s="35"/>
      <c r="S265" s="35"/>
      <c r="T265" s="35"/>
    </row>
    <row r="266" spans="2:22" x14ac:dyDescent="0.2">
      <c r="F266" s="18" t="s">
        <v>209</v>
      </c>
      <c r="G266" s="29"/>
      <c r="H266" s="28">
        <f t="shared" si="8"/>
        <v>6.480000000000001E-2</v>
      </c>
      <c r="J266" s="33"/>
      <c r="K266" s="34"/>
      <c r="L266" s="34"/>
      <c r="M266" s="34"/>
      <c r="O266" s="35"/>
      <c r="P266" s="35"/>
      <c r="Q266" s="35"/>
      <c r="R266" s="35"/>
      <c r="S266" s="35"/>
      <c r="T266" s="35"/>
    </row>
    <row r="267" spans="2:22" x14ac:dyDescent="0.2">
      <c r="F267" s="18" t="s">
        <v>206</v>
      </c>
      <c r="G267" s="29"/>
      <c r="H267" s="28">
        <f t="shared" si="8"/>
        <v>1.2150000000000001E-2</v>
      </c>
      <c r="J267" s="33"/>
      <c r="K267" s="34"/>
      <c r="L267" s="34"/>
      <c r="M267" s="34"/>
      <c r="O267" s="35"/>
      <c r="P267" s="35"/>
      <c r="Q267" s="35"/>
      <c r="R267" s="35"/>
      <c r="S267" s="35"/>
      <c r="T267" s="35"/>
    </row>
    <row r="268" spans="2:22" x14ac:dyDescent="0.2">
      <c r="F268" s="18" t="s">
        <v>385</v>
      </c>
      <c r="G268" s="29"/>
      <c r="H268" s="28">
        <f t="shared" si="8"/>
        <v>0.2</v>
      </c>
      <c r="J268" s="33"/>
      <c r="K268" s="34"/>
      <c r="L268" s="34"/>
      <c r="M268" s="34"/>
      <c r="O268" s="35"/>
      <c r="P268" s="35"/>
      <c r="Q268" s="35"/>
      <c r="R268" s="35"/>
      <c r="S268" s="35"/>
      <c r="T268" s="35"/>
    </row>
    <row r="269" spans="2:22" x14ac:dyDescent="0.2">
      <c r="B269" s="18" t="s">
        <v>229</v>
      </c>
      <c r="C269" s="18" t="s">
        <v>230</v>
      </c>
      <c r="E269" s="18" t="str">
        <f>Commodities!$C$74</f>
        <v>OIL</v>
      </c>
      <c r="F269" s="18" t="s">
        <v>211</v>
      </c>
      <c r="G269" s="27">
        <f>G228</f>
        <v>1.1594713656387665</v>
      </c>
      <c r="H269" s="28">
        <f t="shared" si="8"/>
        <v>0.08</v>
      </c>
      <c r="I269" s="18">
        <v>2015</v>
      </c>
      <c r="J269" s="33">
        <v>40</v>
      </c>
      <c r="K269" s="34">
        <v>1</v>
      </c>
      <c r="L269" s="34">
        <v>1</v>
      </c>
      <c r="M269" s="36">
        <v>1</v>
      </c>
      <c r="N269" s="39">
        <f>N228</f>
        <v>8.8465027778212519</v>
      </c>
      <c r="O269" s="35">
        <v>0.11081705242328804</v>
      </c>
      <c r="P269" s="35">
        <v>0.1180109926332214</v>
      </c>
      <c r="Q269" s="35">
        <v>0.12567194378246774</v>
      </c>
      <c r="R269" s="35">
        <v>0.13408380753628005</v>
      </c>
      <c r="S269" s="35">
        <v>0.13598459890177453</v>
      </c>
      <c r="T269" s="35">
        <v>0.13730425700245708</v>
      </c>
      <c r="V269" s="41">
        <f>RESID!G32</f>
        <v>0</v>
      </c>
    </row>
    <row r="270" spans="2:22" x14ac:dyDescent="0.2">
      <c r="E270" s="18" t="str">
        <f>Commodities!$C$75</f>
        <v>NGA</v>
      </c>
      <c r="F270" s="18" t="s">
        <v>213</v>
      </c>
      <c r="G270" s="29">
        <f>$G$51</f>
        <v>4.3321494615468303E-2</v>
      </c>
      <c r="H270" s="28">
        <f t="shared" si="8"/>
        <v>0.49736999999999992</v>
      </c>
      <c r="J270" s="33"/>
      <c r="K270" s="34"/>
      <c r="L270" s="34"/>
      <c r="M270" s="34"/>
      <c r="O270" s="35"/>
      <c r="P270" s="35"/>
      <c r="Q270" s="35"/>
      <c r="R270" s="35"/>
      <c r="S270" s="35"/>
      <c r="T270" s="35"/>
    </row>
    <row r="271" spans="2:22" x14ac:dyDescent="0.2">
      <c r="E271" s="18" t="str">
        <f>Commodities!$C$73</f>
        <v>ELC</v>
      </c>
      <c r="F271" s="18" t="s">
        <v>212</v>
      </c>
      <c r="G271" s="29">
        <f>$G$52</f>
        <v>4.7956053518981839E-3</v>
      </c>
      <c r="H271" s="28">
        <f t="shared" si="8"/>
        <v>0</v>
      </c>
      <c r="J271" s="33"/>
      <c r="K271" s="34"/>
      <c r="L271" s="34"/>
      <c r="M271" s="34"/>
      <c r="O271" s="35"/>
      <c r="P271" s="35"/>
      <c r="Q271" s="35"/>
      <c r="R271" s="35"/>
      <c r="S271" s="35"/>
      <c r="T271" s="35"/>
    </row>
    <row r="272" spans="2:22" x14ac:dyDescent="0.2">
      <c r="E272" s="18" t="str">
        <f>Commodities!$C$82</f>
        <v>NGL</v>
      </c>
      <c r="F272" s="18" t="s">
        <v>214</v>
      </c>
      <c r="G272" s="29">
        <f>$G$53</f>
        <v>0</v>
      </c>
      <c r="H272" s="28">
        <f t="shared" si="8"/>
        <v>0.10017</v>
      </c>
      <c r="J272" s="33"/>
      <c r="K272" s="34"/>
      <c r="L272" s="34"/>
      <c r="M272" s="34"/>
      <c r="O272" s="35"/>
      <c r="P272" s="35"/>
      <c r="Q272" s="35"/>
      <c r="R272" s="35"/>
      <c r="S272" s="35"/>
      <c r="T272" s="35"/>
    </row>
    <row r="273" spans="2:21" x14ac:dyDescent="0.2">
      <c r="F273" s="18" t="s">
        <v>218</v>
      </c>
      <c r="G273" s="29"/>
      <c r="H273" s="28">
        <f t="shared" si="8"/>
        <v>8.1000000000000017E-4</v>
      </c>
      <c r="J273" s="33"/>
      <c r="K273" s="34"/>
      <c r="L273" s="34"/>
      <c r="M273" s="34"/>
      <c r="O273" s="35"/>
      <c r="P273" s="35"/>
      <c r="Q273" s="35"/>
      <c r="R273" s="35"/>
      <c r="S273" s="35"/>
      <c r="T273" s="35"/>
    </row>
    <row r="274" spans="2:21" x14ac:dyDescent="0.2">
      <c r="F274" s="18" t="s">
        <v>222</v>
      </c>
      <c r="G274" s="29"/>
      <c r="H274" s="28">
        <f t="shared" si="8"/>
        <v>0.30281871607375171</v>
      </c>
      <c r="J274" s="33"/>
      <c r="K274" s="34"/>
      <c r="L274" s="34"/>
      <c r="M274" s="34"/>
      <c r="O274" s="35"/>
      <c r="P274" s="35"/>
      <c r="Q274" s="35"/>
      <c r="R274" s="35"/>
      <c r="S274" s="35"/>
      <c r="T274" s="35"/>
    </row>
    <row r="275" spans="2:21" x14ac:dyDescent="0.2">
      <c r="F275" s="18" t="s">
        <v>221</v>
      </c>
      <c r="G275" s="29"/>
      <c r="H275" s="28">
        <f t="shared" si="8"/>
        <v>0</v>
      </c>
      <c r="J275" s="33"/>
      <c r="K275" s="34"/>
      <c r="L275" s="34"/>
      <c r="M275" s="34"/>
      <c r="O275" s="35"/>
      <c r="P275" s="35"/>
      <c r="Q275" s="35"/>
      <c r="R275" s="35"/>
      <c r="S275" s="35"/>
      <c r="T275" s="35"/>
    </row>
    <row r="276" spans="2:21" x14ac:dyDescent="0.2">
      <c r="F276" s="18" t="s">
        <v>215</v>
      </c>
      <c r="G276" s="29"/>
      <c r="H276" s="28">
        <f t="shared" si="8"/>
        <v>2.6653727513346194E-2</v>
      </c>
      <c r="J276" s="33"/>
      <c r="K276" s="34"/>
      <c r="L276" s="34"/>
      <c r="M276" s="34"/>
      <c r="O276" s="35"/>
      <c r="P276" s="35"/>
      <c r="Q276" s="35"/>
      <c r="R276" s="35"/>
      <c r="S276" s="35"/>
      <c r="T276" s="35"/>
    </row>
    <row r="277" spans="2:21" x14ac:dyDescent="0.2">
      <c r="F277" s="18" t="s">
        <v>216</v>
      </c>
      <c r="G277" s="29"/>
      <c r="H277" s="28">
        <f t="shared" si="8"/>
        <v>4.3199999999999995E-2</v>
      </c>
      <c r="J277" s="33"/>
      <c r="K277" s="34"/>
      <c r="L277" s="34"/>
      <c r="M277" s="34"/>
      <c r="O277" s="35"/>
      <c r="P277" s="35"/>
      <c r="Q277" s="35"/>
      <c r="R277" s="35"/>
      <c r="S277" s="35"/>
      <c r="T277" s="35"/>
    </row>
    <row r="278" spans="2:21" x14ac:dyDescent="0.2">
      <c r="F278" s="18" t="s">
        <v>217</v>
      </c>
      <c r="G278" s="29"/>
      <c r="H278" s="28">
        <f t="shared" si="8"/>
        <v>4.3199999999999995E-2</v>
      </c>
      <c r="J278" s="33"/>
      <c r="K278" s="34"/>
      <c r="L278" s="34"/>
      <c r="M278" s="34"/>
      <c r="O278" s="35"/>
      <c r="P278" s="35"/>
      <c r="Q278" s="35"/>
      <c r="R278" s="35"/>
      <c r="S278" s="35"/>
      <c r="T278" s="35"/>
    </row>
    <row r="279" spans="2:21" x14ac:dyDescent="0.2">
      <c r="F279" s="18" t="s">
        <v>219</v>
      </c>
      <c r="G279" s="29"/>
      <c r="H279" s="28">
        <f t="shared" si="8"/>
        <v>3.8880000000000005E-2</v>
      </c>
      <c r="J279" s="33"/>
      <c r="K279" s="34"/>
      <c r="L279" s="34"/>
      <c r="M279" s="34"/>
      <c r="O279" s="35"/>
      <c r="P279" s="35"/>
      <c r="Q279" s="35"/>
      <c r="R279" s="35"/>
      <c r="S279" s="35"/>
      <c r="T279" s="35"/>
    </row>
    <row r="280" spans="2:21" x14ac:dyDescent="0.2">
      <c r="F280" s="18" t="s">
        <v>223</v>
      </c>
      <c r="G280" s="29"/>
      <c r="H280" s="28">
        <f t="shared" si="8"/>
        <v>6.480000000000001E-2</v>
      </c>
      <c r="J280" s="33"/>
      <c r="K280" s="34"/>
      <c r="L280" s="34"/>
      <c r="M280" s="34"/>
      <c r="O280" s="35"/>
      <c r="P280" s="35"/>
      <c r="Q280" s="35"/>
      <c r="R280" s="35"/>
      <c r="S280" s="35"/>
      <c r="T280" s="35"/>
    </row>
    <row r="281" spans="2:21" x14ac:dyDescent="0.2">
      <c r="F281" s="18" t="s">
        <v>220</v>
      </c>
      <c r="G281" s="29"/>
      <c r="H281" s="28">
        <f t="shared" si="8"/>
        <v>1.2150000000000001E-2</v>
      </c>
      <c r="J281" s="33"/>
      <c r="K281" s="34"/>
      <c r="L281" s="34"/>
      <c r="M281" s="34"/>
      <c r="O281" s="35"/>
      <c r="P281" s="35"/>
      <c r="Q281" s="35"/>
      <c r="R281" s="35"/>
      <c r="S281" s="35"/>
      <c r="T281" s="35"/>
    </row>
    <row r="282" spans="2:21" x14ac:dyDescent="0.2">
      <c r="F282" s="18" t="s">
        <v>386</v>
      </c>
      <c r="G282" s="29"/>
      <c r="H282" s="28">
        <f t="shared" si="8"/>
        <v>0.2</v>
      </c>
      <c r="J282" s="33"/>
      <c r="K282" s="34"/>
      <c r="L282" s="34"/>
      <c r="M282" s="34"/>
      <c r="O282" s="35"/>
      <c r="P282" s="35"/>
      <c r="Q282" s="35"/>
      <c r="R282" s="35"/>
      <c r="S282" s="35"/>
      <c r="T282" s="35"/>
    </row>
    <row r="283" spans="2:21" x14ac:dyDescent="0.2">
      <c r="B283" s="18" t="s">
        <v>387</v>
      </c>
      <c r="C283" s="18" t="s">
        <v>388</v>
      </c>
      <c r="E283" s="18" t="s">
        <v>389</v>
      </c>
      <c r="F283" s="18" t="s">
        <v>396</v>
      </c>
      <c r="G283" s="29">
        <v>1</v>
      </c>
      <c r="H283" s="28">
        <f t="shared" si="8"/>
        <v>0.1</v>
      </c>
      <c r="I283" s="18">
        <v>2010</v>
      </c>
      <c r="J283" s="33">
        <v>40</v>
      </c>
      <c r="K283" s="34">
        <v>1</v>
      </c>
      <c r="L283" s="34">
        <v>1</v>
      </c>
      <c r="M283" s="34">
        <v>1</v>
      </c>
      <c r="N283" s="39">
        <f>$N$78</f>
        <v>4.4000000000000004</v>
      </c>
      <c r="Q283" s="40"/>
      <c r="R283" s="40"/>
      <c r="S283" s="40"/>
      <c r="T283" s="40"/>
      <c r="U283" s="40"/>
    </row>
    <row r="284" spans="2:21" x14ac:dyDescent="0.2">
      <c r="F284" s="18" t="s">
        <v>402</v>
      </c>
      <c r="H284" s="28">
        <f t="shared" si="8"/>
        <v>0.69631799999999988</v>
      </c>
      <c r="J284" s="28"/>
      <c r="L284" s="33"/>
      <c r="M284" s="34"/>
      <c r="O284" s="34"/>
      <c r="P284" s="34"/>
      <c r="Q284" s="40"/>
      <c r="R284" s="40"/>
      <c r="S284" s="40"/>
      <c r="T284" s="40"/>
      <c r="U284" s="40"/>
    </row>
    <row r="285" spans="2:21" x14ac:dyDescent="0.2">
      <c r="F285" s="18" t="s">
        <v>399</v>
      </c>
      <c r="H285" s="28">
        <f t="shared" si="8"/>
        <v>0</v>
      </c>
      <c r="J285" s="28"/>
      <c r="L285" s="33"/>
      <c r="M285" s="34"/>
      <c r="O285" s="34"/>
      <c r="P285" s="34"/>
      <c r="Q285" s="40"/>
      <c r="R285" s="40"/>
      <c r="S285" s="40"/>
      <c r="T285" s="40"/>
      <c r="U285" s="40"/>
    </row>
    <row r="286" spans="2:21" x14ac:dyDescent="0.2">
      <c r="F286" s="18" t="s">
        <v>405</v>
      </c>
      <c r="H286" s="28">
        <f t="shared" si="8"/>
        <v>0.1252125</v>
      </c>
      <c r="J286" s="28"/>
      <c r="L286" s="33"/>
      <c r="M286" s="34"/>
      <c r="O286" s="34"/>
      <c r="P286" s="34"/>
      <c r="Q286" s="40"/>
      <c r="R286" s="40"/>
      <c r="S286" s="40"/>
      <c r="T286" s="40"/>
      <c r="U286" s="40"/>
    </row>
    <row r="287" spans="2:21" x14ac:dyDescent="0.2">
      <c r="F287" s="18" t="s">
        <v>417</v>
      </c>
      <c r="H287" s="28">
        <f t="shared" si="8"/>
        <v>1.6200000000000003E-3</v>
      </c>
      <c r="J287" s="28"/>
      <c r="L287" s="33"/>
      <c r="M287" s="34"/>
      <c r="O287" s="34"/>
      <c r="P287" s="34"/>
      <c r="Q287" s="40"/>
      <c r="R287" s="40"/>
      <c r="S287" s="40"/>
      <c r="T287" s="40"/>
      <c r="U287" s="40"/>
    </row>
    <row r="288" spans="2:21" x14ac:dyDescent="0.2">
      <c r="F288" s="18" t="s">
        <v>429</v>
      </c>
      <c r="H288" s="28">
        <f t="shared" si="8"/>
        <v>0.42394620250325238</v>
      </c>
      <c r="J288" s="28"/>
      <c r="L288" s="33"/>
      <c r="M288" s="34"/>
      <c r="O288" s="34"/>
      <c r="P288" s="34"/>
      <c r="Q288" s="40"/>
      <c r="R288" s="40"/>
      <c r="S288" s="40"/>
      <c r="T288" s="40"/>
      <c r="U288" s="40"/>
    </row>
    <row r="289" spans="6:21" x14ac:dyDescent="0.2">
      <c r="F289" s="18" t="s">
        <v>426</v>
      </c>
      <c r="H289" s="28">
        <f t="shared" si="8"/>
        <v>0</v>
      </c>
      <c r="J289" s="28"/>
      <c r="L289" s="33"/>
      <c r="M289" s="34"/>
      <c r="O289" s="34"/>
      <c r="P289" s="34"/>
      <c r="Q289" s="40"/>
      <c r="R289" s="40"/>
      <c r="S289" s="40"/>
      <c r="T289" s="40"/>
      <c r="U289" s="40"/>
    </row>
    <row r="290" spans="6:21" x14ac:dyDescent="0.2">
      <c r="F290" s="18" t="s">
        <v>408</v>
      </c>
      <c r="H290" s="28">
        <f t="shared" si="8"/>
        <v>3.3317159391682741E-2</v>
      </c>
      <c r="J290" s="28"/>
      <c r="L290" s="33"/>
      <c r="M290" s="34"/>
      <c r="O290" s="34"/>
      <c r="P290" s="34"/>
      <c r="Q290" s="40"/>
      <c r="R290" s="40"/>
      <c r="S290" s="40"/>
      <c r="T290" s="40"/>
      <c r="U290" s="40"/>
    </row>
    <row r="291" spans="6:21" x14ac:dyDescent="0.2">
      <c r="F291" s="18" t="s">
        <v>411</v>
      </c>
      <c r="H291" s="28">
        <f t="shared" si="8"/>
        <v>5.3999999999999992E-2</v>
      </c>
      <c r="J291" s="28"/>
      <c r="L291" s="33"/>
      <c r="M291" s="34"/>
      <c r="O291" s="34"/>
      <c r="P291" s="34"/>
      <c r="Q291" s="40"/>
      <c r="R291" s="40"/>
      <c r="S291" s="40"/>
      <c r="T291" s="40"/>
      <c r="U291" s="40"/>
    </row>
    <row r="292" spans="6:21" x14ac:dyDescent="0.2">
      <c r="F292" s="18" t="s">
        <v>414</v>
      </c>
      <c r="H292" s="28">
        <f t="shared" si="8"/>
        <v>5.3999999999999992E-2</v>
      </c>
      <c r="J292" s="28"/>
      <c r="L292" s="33"/>
      <c r="M292" s="34"/>
      <c r="O292" s="34"/>
      <c r="P292" s="34"/>
      <c r="Q292" s="40"/>
      <c r="R292" s="40"/>
      <c r="S292" s="40"/>
      <c r="T292" s="40"/>
      <c r="U292" s="40"/>
    </row>
    <row r="293" spans="6:21" x14ac:dyDescent="0.2">
      <c r="F293" s="18" t="s">
        <v>420</v>
      </c>
      <c r="H293" s="28">
        <f t="shared" si="8"/>
        <v>4.8600000000000004E-2</v>
      </c>
      <c r="J293" s="28"/>
      <c r="L293" s="33"/>
      <c r="M293" s="34"/>
      <c r="O293" s="34"/>
      <c r="P293" s="34"/>
      <c r="Q293" s="40"/>
      <c r="R293" s="40"/>
      <c r="S293" s="40"/>
      <c r="T293" s="40"/>
      <c r="U293" s="40"/>
    </row>
    <row r="294" spans="6:21" x14ac:dyDescent="0.2">
      <c r="F294" s="18" t="s">
        <v>432</v>
      </c>
      <c r="H294" s="28">
        <f t="shared" si="8"/>
        <v>8.1000000000000016E-2</v>
      </c>
      <c r="J294" s="28"/>
      <c r="L294" s="33"/>
      <c r="M294" s="34"/>
      <c r="O294" s="34"/>
      <c r="P294" s="34"/>
      <c r="Q294" s="40"/>
      <c r="R294" s="40"/>
      <c r="S294" s="40"/>
      <c r="T294" s="40"/>
      <c r="U294" s="40"/>
    </row>
    <row r="295" spans="6:21" x14ac:dyDescent="0.2">
      <c r="F295" s="18" t="s">
        <v>423</v>
      </c>
      <c r="H295" s="28">
        <f t="shared" si="8"/>
        <v>1.5187500000000001E-2</v>
      </c>
      <c r="J295" s="28"/>
      <c r="L295" s="33"/>
      <c r="M295" s="34"/>
      <c r="O295" s="34"/>
      <c r="P295" s="34"/>
      <c r="Q295" s="40"/>
      <c r="R295" s="40"/>
      <c r="S295" s="40"/>
      <c r="T295" s="40"/>
      <c r="U295" s="40"/>
    </row>
    <row r="296" spans="6:21" x14ac:dyDescent="0.2">
      <c r="G296" s="29"/>
      <c r="H296" s="29"/>
      <c r="J296" s="33"/>
      <c r="K296" s="34"/>
      <c r="L296" s="34"/>
      <c r="M296" s="34"/>
      <c r="O296" s="35"/>
      <c r="P296" s="35"/>
      <c r="Q296" s="35"/>
      <c r="R296" s="35"/>
      <c r="S296" s="35"/>
      <c r="T296" s="35"/>
    </row>
    <row r="297" spans="6:21" x14ac:dyDescent="0.2">
      <c r="G297" s="29"/>
      <c r="H297" s="29"/>
      <c r="J297" s="33"/>
      <c r="K297" s="34"/>
      <c r="L297" s="34"/>
      <c r="M297" s="34"/>
      <c r="O297" s="35"/>
      <c r="P297" s="35"/>
      <c r="Q297" s="35"/>
      <c r="R297" s="35"/>
      <c r="S297" s="35"/>
      <c r="T297" s="35"/>
    </row>
    <row r="298" spans="6:21" x14ac:dyDescent="0.2">
      <c r="G298" s="29"/>
      <c r="H298" s="29"/>
      <c r="J298" s="33"/>
      <c r="K298" s="34"/>
      <c r="L298" s="34"/>
      <c r="M298" s="34"/>
      <c r="O298" s="35"/>
      <c r="P298" s="35"/>
      <c r="Q298" s="35"/>
      <c r="R298" s="35"/>
      <c r="S298" s="35"/>
      <c r="T298" s="35"/>
    </row>
    <row r="299" spans="6:21" x14ac:dyDescent="0.2">
      <c r="G299" s="29"/>
      <c r="H299" s="29"/>
      <c r="J299" s="33"/>
      <c r="K299" s="34"/>
      <c r="L299" s="34"/>
      <c r="M299" s="34"/>
      <c r="O299" s="35"/>
      <c r="P299" s="35"/>
      <c r="Q299" s="35"/>
      <c r="R299" s="35"/>
      <c r="S299" s="35"/>
      <c r="T299" s="35"/>
    </row>
    <row r="300" spans="6:21" x14ac:dyDescent="0.2">
      <c r="G300" s="29"/>
      <c r="H300" s="29"/>
      <c r="J300" s="33"/>
      <c r="K300" s="34"/>
      <c r="L300" s="34"/>
      <c r="M300" s="34"/>
      <c r="O300" s="35"/>
      <c r="P300" s="35"/>
      <c r="Q300" s="35"/>
      <c r="R300" s="35"/>
      <c r="S300" s="35"/>
      <c r="T300" s="35"/>
    </row>
    <row r="301" spans="6:21" x14ac:dyDescent="0.2">
      <c r="G301" s="29"/>
      <c r="H301" s="29"/>
      <c r="J301" s="33"/>
      <c r="K301" s="34"/>
      <c r="L301" s="34"/>
      <c r="M301" s="34"/>
      <c r="O301" s="35"/>
      <c r="P301" s="35"/>
      <c r="Q301" s="35"/>
      <c r="R301" s="35"/>
      <c r="S301" s="35"/>
      <c r="T301" s="35"/>
    </row>
    <row r="302" spans="6:21" x14ac:dyDescent="0.2">
      <c r="G302" s="29"/>
      <c r="H302" s="29"/>
      <c r="J302" s="33"/>
      <c r="K302" s="34"/>
      <c r="L302" s="34"/>
      <c r="M302" s="34"/>
      <c r="O302" s="35"/>
      <c r="P302" s="35"/>
      <c r="Q302" s="35"/>
      <c r="R302" s="35"/>
      <c r="S302" s="35"/>
      <c r="T302" s="35"/>
    </row>
    <row r="303" spans="6:21" x14ac:dyDescent="0.2">
      <c r="G303" s="29"/>
      <c r="H303" s="29"/>
      <c r="J303" s="33"/>
      <c r="K303" s="34"/>
      <c r="L303" s="34"/>
      <c r="M303" s="34"/>
      <c r="O303" s="35"/>
      <c r="P303" s="35"/>
      <c r="Q303" s="35"/>
      <c r="R303" s="35"/>
      <c r="S303" s="35"/>
      <c r="T303" s="35"/>
    </row>
    <row r="304" spans="6:21" x14ac:dyDescent="0.2">
      <c r="G304" s="29"/>
      <c r="H304" s="29"/>
      <c r="J304" s="33"/>
      <c r="K304" s="34"/>
      <c r="L304" s="34"/>
      <c r="M304" s="34"/>
      <c r="O304" s="35"/>
      <c r="P304" s="35"/>
      <c r="Q304" s="35"/>
      <c r="R304" s="35"/>
      <c r="S304" s="35"/>
      <c r="T304" s="35"/>
    </row>
    <row r="305" spans="7:20" x14ac:dyDescent="0.2">
      <c r="G305" s="29"/>
      <c r="H305" s="29"/>
      <c r="J305" s="33"/>
      <c r="K305" s="34"/>
      <c r="L305" s="34"/>
      <c r="M305" s="34"/>
      <c r="O305" s="35"/>
      <c r="P305" s="35"/>
      <c r="Q305" s="35"/>
      <c r="R305" s="35"/>
      <c r="S305" s="35"/>
      <c r="T305" s="35"/>
    </row>
    <row r="306" spans="7:20" x14ac:dyDescent="0.2">
      <c r="G306" s="29"/>
      <c r="H306" s="29"/>
      <c r="J306" s="33"/>
      <c r="K306" s="34"/>
      <c r="L306" s="34"/>
      <c r="M306" s="34"/>
      <c r="O306" s="35"/>
      <c r="P306" s="35"/>
      <c r="Q306" s="35"/>
      <c r="R306" s="35"/>
      <c r="S306" s="35"/>
      <c r="T306" s="35"/>
    </row>
    <row r="307" spans="7:20" x14ac:dyDescent="0.2">
      <c r="G307" s="29"/>
      <c r="H307" s="29"/>
      <c r="J307" s="33"/>
      <c r="K307" s="34"/>
      <c r="L307" s="34"/>
      <c r="M307" s="34"/>
      <c r="O307" s="35"/>
      <c r="P307" s="35"/>
      <c r="Q307" s="35"/>
      <c r="R307" s="35"/>
      <c r="S307" s="35"/>
      <c r="T307" s="35"/>
    </row>
    <row r="308" spans="7:20" x14ac:dyDescent="0.2">
      <c r="G308" s="29"/>
      <c r="H308" s="29"/>
      <c r="J308" s="33"/>
      <c r="K308" s="34"/>
      <c r="L308" s="34"/>
      <c r="M308" s="34"/>
      <c r="O308" s="35"/>
      <c r="P308" s="35"/>
      <c r="Q308" s="35"/>
      <c r="R308" s="35"/>
      <c r="S308" s="35"/>
      <c r="T308" s="35"/>
    </row>
    <row r="309" spans="7:20" x14ac:dyDescent="0.2">
      <c r="G309" s="29"/>
      <c r="H309" s="29"/>
      <c r="J309" s="33"/>
      <c r="K309" s="34"/>
      <c r="L309" s="34"/>
      <c r="M309" s="34"/>
      <c r="O309" s="35"/>
      <c r="P309" s="35"/>
      <c r="Q309" s="35"/>
      <c r="R309" s="35"/>
      <c r="S309" s="35"/>
      <c r="T309" s="35"/>
    </row>
    <row r="310" spans="7:20" x14ac:dyDescent="0.2">
      <c r="G310" s="29"/>
      <c r="H310" s="29"/>
      <c r="J310" s="33"/>
      <c r="K310" s="34"/>
      <c r="L310" s="34"/>
      <c r="M310" s="34"/>
      <c r="O310" s="35"/>
      <c r="P310" s="35"/>
      <c r="Q310" s="35"/>
      <c r="R310" s="35"/>
      <c r="S310" s="35"/>
      <c r="T310" s="35"/>
    </row>
    <row r="311" spans="7:20" x14ac:dyDescent="0.2">
      <c r="G311" s="29"/>
      <c r="H311" s="29"/>
      <c r="J311" s="33"/>
      <c r="K311" s="34"/>
      <c r="L311" s="34"/>
      <c r="M311" s="34"/>
      <c r="O311" s="35"/>
      <c r="P311" s="35"/>
      <c r="Q311" s="35"/>
      <c r="R311" s="35"/>
      <c r="S311" s="35"/>
      <c r="T311" s="35"/>
    </row>
    <row r="312" spans="7:20" x14ac:dyDescent="0.2">
      <c r="G312" s="29"/>
      <c r="H312" s="29"/>
      <c r="J312" s="33"/>
      <c r="K312" s="34"/>
      <c r="L312" s="34"/>
      <c r="M312" s="34"/>
      <c r="O312" s="35"/>
      <c r="P312" s="35"/>
      <c r="Q312" s="35"/>
      <c r="R312" s="35"/>
      <c r="S312" s="35"/>
      <c r="T312" s="35"/>
    </row>
    <row r="313" spans="7:20" x14ac:dyDescent="0.2">
      <c r="G313" s="29"/>
      <c r="H313" s="29"/>
      <c r="J313" s="33"/>
      <c r="K313" s="34"/>
      <c r="L313" s="34"/>
      <c r="M313" s="34"/>
      <c r="O313" s="35"/>
      <c r="P313" s="35"/>
      <c r="Q313" s="35"/>
      <c r="R313" s="35"/>
      <c r="S313" s="35"/>
      <c r="T313" s="35"/>
    </row>
    <row r="314" spans="7:20" x14ac:dyDescent="0.2">
      <c r="G314" s="29"/>
      <c r="H314" s="29"/>
      <c r="J314" s="33"/>
      <c r="K314" s="34"/>
      <c r="L314" s="34"/>
      <c r="M314" s="34"/>
      <c r="O314" s="35"/>
      <c r="P314" s="35"/>
      <c r="Q314" s="35"/>
      <c r="R314" s="35"/>
      <c r="S314" s="35"/>
      <c r="T314" s="35"/>
    </row>
    <row r="315" spans="7:20" x14ac:dyDescent="0.2">
      <c r="G315" s="29"/>
      <c r="H315" s="29"/>
      <c r="J315" s="33"/>
      <c r="K315" s="34"/>
      <c r="L315" s="34"/>
      <c r="M315" s="34"/>
      <c r="O315" s="35"/>
      <c r="P315" s="35"/>
      <c r="Q315" s="35"/>
      <c r="R315" s="35"/>
      <c r="S315" s="35"/>
      <c r="T315" s="35"/>
    </row>
    <row r="316" spans="7:20" x14ac:dyDescent="0.2">
      <c r="G316" s="29"/>
      <c r="H316" s="29"/>
      <c r="J316" s="33"/>
      <c r="K316" s="34"/>
      <c r="L316" s="34"/>
      <c r="M316" s="34"/>
      <c r="O316" s="35"/>
      <c r="P316" s="35"/>
      <c r="Q316" s="35"/>
      <c r="R316" s="35"/>
      <c r="S316" s="35"/>
      <c r="T316" s="35"/>
    </row>
    <row r="317" spans="7:20" x14ac:dyDescent="0.2">
      <c r="G317" s="29"/>
      <c r="H317" s="29"/>
      <c r="J317" s="33"/>
      <c r="K317" s="34"/>
      <c r="L317" s="34"/>
      <c r="M317" s="34"/>
      <c r="O317" s="35"/>
      <c r="P317" s="35"/>
      <c r="Q317" s="35"/>
      <c r="R317" s="35"/>
      <c r="S317" s="35"/>
      <c r="T317" s="35"/>
    </row>
    <row r="318" spans="7:20" x14ac:dyDescent="0.2">
      <c r="G318" s="29"/>
      <c r="H318" s="29"/>
      <c r="J318" s="33"/>
      <c r="K318" s="34"/>
      <c r="L318" s="34"/>
      <c r="M318" s="34"/>
      <c r="O318" s="35"/>
      <c r="P318" s="35"/>
      <c r="Q318" s="35"/>
      <c r="R318" s="35"/>
      <c r="S318" s="35"/>
      <c r="T318" s="35"/>
    </row>
    <row r="319" spans="7:20" x14ac:dyDescent="0.2">
      <c r="G319" s="29"/>
      <c r="H319" s="29"/>
      <c r="J319" s="33"/>
      <c r="K319" s="34"/>
      <c r="L319" s="34"/>
      <c r="M319" s="34"/>
      <c r="O319" s="35"/>
      <c r="P319" s="35"/>
      <c r="Q319" s="35"/>
      <c r="R319" s="35"/>
      <c r="S319" s="35"/>
      <c r="T319" s="35"/>
    </row>
    <row r="320" spans="7:20" x14ac:dyDescent="0.2">
      <c r="G320" s="29"/>
      <c r="H320" s="29"/>
      <c r="J320" s="33"/>
      <c r="K320" s="34"/>
      <c r="L320" s="34"/>
      <c r="M320" s="34"/>
      <c r="O320" s="35"/>
      <c r="P320" s="35"/>
      <c r="Q320" s="35"/>
      <c r="R320" s="35"/>
      <c r="S320" s="35"/>
      <c r="T320" s="35"/>
    </row>
    <row r="321" spans="7:20" x14ac:dyDescent="0.2">
      <c r="G321" s="29"/>
      <c r="H321" s="29"/>
      <c r="J321" s="33"/>
      <c r="K321" s="34"/>
      <c r="L321" s="34"/>
      <c r="M321" s="34"/>
      <c r="O321" s="35"/>
      <c r="P321" s="35"/>
      <c r="Q321" s="35"/>
      <c r="R321" s="35"/>
      <c r="S321" s="35"/>
      <c r="T321" s="35"/>
    </row>
    <row r="322" spans="7:20" x14ac:dyDescent="0.2">
      <c r="G322" s="29"/>
      <c r="H322" s="29"/>
      <c r="J322" s="33"/>
      <c r="K322" s="34"/>
      <c r="L322" s="34"/>
      <c r="M322" s="34"/>
      <c r="O322" s="35"/>
      <c r="P322" s="35"/>
      <c r="Q322" s="35"/>
      <c r="R322" s="35"/>
      <c r="S322" s="35"/>
      <c r="T322" s="35"/>
    </row>
    <row r="323" spans="7:20" x14ac:dyDescent="0.2">
      <c r="G323" s="29"/>
      <c r="H323" s="29"/>
      <c r="J323" s="33"/>
      <c r="K323" s="34"/>
      <c r="L323" s="34"/>
      <c r="M323" s="34"/>
      <c r="O323" s="35"/>
      <c r="P323" s="35"/>
      <c r="Q323" s="35"/>
      <c r="R323" s="35"/>
      <c r="S323" s="35"/>
      <c r="T323" s="35"/>
    </row>
    <row r="324" spans="7:20" x14ac:dyDescent="0.2">
      <c r="J324" s="33"/>
      <c r="K324" s="34"/>
      <c r="L324" s="34"/>
      <c r="M324" s="34"/>
      <c r="O324" s="42"/>
      <c r="P324" s="42"/>
      <c r="Q324" s="42"/>
      <c r="R324" s="42"/>
      <c r="S324" s="42"/>
      <c r="T324" s="42"/>
    </row>
    <row r="327" spans="7:20" x14ac:dyDescent="0.2">
      <c r="J327" s="33"/>
      <c r="K327" s="34"/>
      <c r="L327" s="34"/>
      <c r="M327" s="34"/>
    </row>
    <row r="328" spans="7:20" x14ac:dyDescent="0.2">
      <c r="J328" s="33"/>
      <c r="K328" s="34"/>
      <c r="L328" s="34"/>
      <c r="M328" s="34"/>
    </row>
    <row r="329" spans="7:20" x14ac:dyDescent="0.2">
      <c r="J329" s="33"/>
      <c r="K329" s="34"/>
      <c r="L329" s="34"/>
      <c r="M329" s="34"/>
    </row>
    <row r="330" spans="7:20" x14ac:dyDescent="0.2">
      <c r="J330" s="33"/>
      <c r="K330" s="34"/>
      <c r="L330" s="34"/>
      <c r="M330" s="34"/>
    </row>
    <row r="331" spans="7:20" x14ac:dyDescent="0.2">
      <c r="J331" s="33"/>
      <c r="K331" s="34"/>
      <c r="L331" s="34"/>
      <c r="M331" s="34"/>
    </row>
    <row r="332" spans="7:20" x14ac:dyDescent="0.2">
      <c r="J332" s="33"/>
      <c r="K332" s="34"/>
      <c r="L332" s="34"/>
      <c r="M332" s="34"/>
    </row>
    <row r="333" spans="7:20" x14ac:dyDescent="0.2">
      <c r="J333" s="33"/>
      <c r="K333" s="34"/>
      <c r="L333" s="34"/>
      <c r="M333" s="34"/>
    </row>
    <row r="334" spans="7:20" x14ac:dyDescent="0.2">
      <c r="J334" s="33"/>
      <c r="K334" s="34"/>
      <c r="L334" s="34"/>
      <c r="M334" s="34"/>
    </row>
    <row r="335" spans="7:20" x14ac:dyDescent="0.2">
      <c r="J335" s="33"/>
      <c r="K335" s="34"/>
      <c r="L335" s="34"/>
      <c r="M335" s="34"/>
    </row>
    <row r="336" spans="7:20" x14ac:dyDescent="0.2">
      <c r="J336" s="33"/>
      <c r="K336" s="34"/>
      <c r="L336" s="34"/>
      <c r="M336" s="34"/>
    </row>
    <row r="337" spans="10:13" x14ac:dyDescent="0.2">
      <c r="J337" s="33"/>
      <c r="K337" s="34"/>
      <c r="L337" s="34"/>
      <c r="M337" s="34"/>
    </row>
    <row r="338" spans="10:13" x14ac:dyDescent="0.2">
      <c r="J338" s="33"/>
      <c r="K338" s="34"/>
      <c r="L338" s="34"/>
      <c r="M338" s="34"/>
    </row>
    <row r="339" spans="10:13" x14ac:dyDescent="0.2">
      <c r="J339" s="33"/>
      <c r="K339" s="34"/>
      <c r="L339" s="34"/>
      <c r="M339" s="34"/>
    </row>
    <row r="340" spans="10:13" x14ac:dyDescent="0.2">
      <c r="J340" s="33"/>
      <c r="K340" s="34"/>
      <c r="L340" s="34"/>
      <c r="M340" s="34"/>
    </row>
    <row r="341" spans="10:13" x14ac:dyDescent="0.2">
      <c r="J341" s="33"/>
      <c r="K341" s="34"/>
      <c r="L341" s="34"/>
      <c r="M341" s="34"/>
    </row>
    <row r="342" spans="10:13" x14ac:dyDescent="0.2">
      <c r="J342" s="33"/>
      <c r="K342" s="34"/>
      <c r="L342" s="34"/>
      <c r="M342" s="34"/>
    </row>
    <row r="343" spans="10:13" x14ac:dyDescent="0.2">
      <c r="J343" s="33"/>
      <c r="K343" s="34"/>
      <c r="L343" s="34"/>
      <c r="M343" s="34"/>
    </row>
    <row r="344" spans="10:13" x14ac:dyDescent="0.2">
      <c r="J344" s="33"/>
      <c r="K344" s="34"/>
      <c r="L344" s="34"/>
      <c r="M344" s="34"/>
    </row>
    <row r="346" spans="10:13" x14ac:dyDescent="0.2">
      <c r="J346" s="33"/>
      <c r="K346" s="34"/>
      <c r="L346" s="34"/>
      <c r="M346" s="34"/>
    </row>
    <row r="348" spans="10:13" x14ac:dyDescent="0.2">
      <c r="J348" s="33"/>
      <c r="K348" s="34"/>
      <c r="L348" s="34"/>
      <c r="M348" s="34"/>
    </row>
    <row r="349" spans="10:13" x14ac:dyDescent="0.2">
      <c r="J349" s="33"/>
      <c r="K349" s="34"/>
      <c r="L349" s="34"/>
      <c r="M349" s="34"/>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63495" r:id="rId4" name="cmdRefreshUnits">
          <controlPr defaultSize="0" autoLine="0" r:id="rId5">
            <anchor moveWithCells="1">
              <from>
                <xdr:col>3</xdr:col>
                <xdr:colOff>0</xdr:colOff>
                <xdr:row>2</xdr:row>
                <xdr:rowOff>19050</xdr:rowOff>
              </from>
              <to>
                <xdr:col>4</xdr:col>
                <xdr:colOff>9525</xdr:colOff>
                <xdr:row>4</xdr:row>
                <xdr:rowOff>9525</xdr:rowOff>
              </to>
            </anchor>
          </controlPr>
        </control>
      </mc:Choice>
      <mc:Fallback>
        <control shapeId="63495" r:id="rId4" name="cmdRefreshUnits"/>
      </mc:Fallback>
    </mc:AlternateContent>
    <mc:AlternateContent xmlns:mc="http://schemas.openxmlformats.org/markup-compatibility/2006">
      <mc:Choice Requires="x14">
        <control shapeId="63494" r:id="rId6" name="cmdCheckTechDataSheet">
          <controlPr defaultSize="0" autoLine="0" autoPict="0" r:id="rId7">
            <anchor moveWithCells="1">
              <from>
                <xdr:col>0</xdr:col>
                <xdr:colOff>9525</xdr:colOff>
                <xdr:row>2</xdr:row>
                <xdr:rowOff>152400</xdr:rowOff>
              </from>
              <to>
                <xdr:col>0</xdr:col>
                <xdr:colOff>695325</xdr:colOff>
                <xdr:row>4</xdr:row>
                <xdr:rowOff>9525</xdr:rowOff>
              </to>
            </anchor>
          </controlPr>
        </control>
      </mc:Choice>
      <mc:Fallback>
        <control shapeId="63494" r:id="rId6" name="cmdCheckTechDataSheet"/>
      </mc:Fallback>
    </mc:AlternateContent>
    <mc:AlternateContent xmlns:mc="http://schemas.openxmlformats.org/markup-compatibility/2006">
      <mc:Choice Requires="x14">
        <control shapeId="63493" r:id="rId8" name="cmdAddParamQualifier">
          <controlPr defaultSize="0" autoLine="0" autoPict="0" r:id="rId9">
            <anchor moveWithCells="1">
              <from>
                <xdr:col>0</xdr:col>
                <xdr:colOff>9525</xdr:colOff>
                <xdr:row>5</xdr:row>
                <xdr:rowOff>9525</xdr:rowOff>
              </from>
              <to>
                <xdr:col>0</xdr:col>
                <xdr:colOff>695325</xdr:colOff>
                <xdr:row>6</xdr:row>
                <xdr:rowOff>28575</xdr:rowOff>
              </to>
            </anchor>
          </controlPr>
        </control>
      </mc:Choice>
      <mc:Fallback>
        <control shapeId="63493" r:id="rId8" name="cmdAddParamQualifier"/>
      </mc:Fallback>
    </mc:AlternateContent>
    <mc:AlternateContent xmlns:mc="http://schemas.openxmlformats.org/markup-compatibility/2006">
      <mc:Choice Requires="x14">
        <control shapeId="63492" r:id="rId10" name="cmdAddParameter">
          <controlPr defaultSize="0" autoLine="0" r:id="rId11">
            <anchor moveWithCells="1">
              <from>
                <xdr:col>0</xdr:col>
                <xdr:colOff>9525</xdr:colOff>
                <xdr:row>3</xdr:row>
                <xdr:rowOff>200025</xdr:rowOff>
              </from>
              <to>
                <xdr:col>0</xdr:col>
                <xdr:colOff>695325</xdr:colOff>
                <xdr:row>4</xdr:row>
                <xdr:rowOff>219075</xdr:rowOff>
              </to>
            </anchor>
          </controlPr>
        </control>
      </mc:Choice>
      <mc:Fallback>
        <control shapeId="63492" r:id="rId10" name="cmdAddParameter"/>
      </mc:Fallback>
    </mc:AlternateContent>
    <mc:AlternateContent xmlns:mc="http://schemas.openxmlformats.org/markup-compatibility/2006">
      <mc:Choice Requires="x14">
        <control shapeId="63491"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63491" r:id="rId12" name="cmdCommOUT"/>
      </mc:Fallback>
    </mc:AlternateContent>
    <mc:AlternateContent xmlns:mc="http://schemas.openxmlformats.org/markup-compatibility/2006">
      <mc:Choice Requires="x14">
        <control shapeId="63490"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63490" r:id="rId14" name="cmdCommIN"/>
      </mc:Fallback>
    </mc:AlternateContent>
    <mc:AlternateContent xmlns:mc="http://schemas.openxmlformats.org/markup-compatibility/2006">
      <mc:Choice Requires="x14">
        <control shapeId="63489" r:id="rId16" name="cmdTechNameAndDesc">
          <controlPr defaultSize="0" autoLine="0" r:id="rId17">
            <anchor moveWithCells="1">
              <from>
                <xdr:col>1</xdr:col>
                <xdr:colOff>38100</xdr:colOff>
                <xdr:row>2</xdr:row>
                <xdr:rowOff>152400</xdr:rowOff>
              </from>
              <to>
                <xdr:col>2</xdr:col>
                <xdr:colOff>1143000</xdr:colOff>
                <xdr:row>4</xdr:row>
                <xdr:rowOff>9525</xdr:rowOff>
              </to>
            </anchor>
          </controlPr>
        </control>
      </mc:Choice>
      <mc:Fallback>
        <control shapeId="63489" r:id="rId16" name="cmdTechNameAndDesc"/>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2024-08-07T00:48:12+00:00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Props1.xml><?xml version="1.0" encoding="utf-8"?>
<ds:datastoreItem xmlns:ds="http://schemas.openxmlformats.org/officeDocument/2006/customXml" ds:itemID="{03A493AC-239B-4C7A-A994-2EBA784CA4CC}">
  <ds:schemaRefs>
    <ds:schemaRef ds:uri="http://schemas.microsoft.com/sharepoint/v3/contenttype/forms"/>
  </ds:schemaRefs>
</ds:datastoreItem>
</file>

<file path=customXml/itemProps2.xml><?xml version="1.0" encoding="utf-8"?>
<ds:datastoreItem xmlns:ds="http://schemas.openxmlformats.org/officeDocument/2006/customXml" ds:itemID="{260040D9-D0C3-4740-891F-448597ED5F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8C5C69-383B-4DEE-9059-E0313112B9B7}">
  <ds:schemaRefs>
    <ds:schemaRef ds:uri="Microsoft.SharePoint.Taxonomy.ContentTypeSync"/>
  </ds:schemaRefs>
</ds:datastoreItem>
</file>

<file path=customXml/itemProps4.xml><?xml version="1.0" encoding="utf-8"?>
<ds:datastoreItem xmlns:ds="http://schemas.openxmlformats.org/officeDocument/2006/customXml" ds:itemID="{2D6D118D-7E19-4053-9978-A56F2E8D96E7}">
  <ds:schemaRefs>
    <ds:schemaRef ds:uri="http://schemas.microsoft.com/office/2006/metadata/properties"/>
    <ds:schemaRef ds:uri="http://www.w3.org/XML/1998/namespace"/>
    <ds:schemaRef ds:uri="b61e3246-ffdd-47fd-afd5-fb211f629678"/>
    <ds:schemaRef ds:uri="http://schemas.microsoft.com/office/2006/documentManagement/types"/>
    <ds:schemaRef ds:uri="http://purl.org/dc/dcmitype/"/>
    <ds:schemaRef ds:uri="http://schemas.microsoft.com/office/infopath/2007/PartnerControls"/>
    <ds:schemaRef ds:uri="http://purl.org/dc/terms/"/>
    <ds:schemaRef ds:uri="http://purl.org/dc/elements/1.1/"/>
    <ds:schemaRef ds:uri="http://schemas.openxmlformats.org/package/2006/metadata/core-properties"/>
    <ds:schemaRef ds:uri="13d1ff91-c56c-48a5-881f-c0ec757c423c"/>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Commodities</vt:lpstr>
      <vt:lpstr>Technologies</vt:lpstr>
      <vt:lpstr>TechData_REFNYC</vt:lpstr>
      <vt:lpstr>RESID</vt:lpstr>
      <vt:lpstr>Capacity</vt:lpstr>
      <vt:lpstr>PADD Products</vt:lpstr>
      <vt:lpstr>Yields</vt:lpstr>
      <vt:lpstr>Utilization</vt:lpstr>
      <vt:lpstr>DSH percent</vt:lpstr>
      <vt:lpstr>Inputs ELC NG</vt:lpstr>
      <vt:lpstr>RTI Costs</vt:lpstr>
      <vt:lpstr>Conv</vt:lpstr>
      <vt:lpstr>EPAUS9RTechData</vt:lpstr>
    </vt:vector>
  </TitlesOfParts>
  <Company>Noble-Soft Systems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Ken Noble</dc:creator>
  <cp:lastModifiedBy>Carroll, Zane</cp:lastModifiedBy>
  <cp:lastPrinted>2005-06-23T04:07:43Z</cp:lastPrinted>
  <dcterms:created xsi:type="dcterms:W3CDTF">2005-05-01T12:39:10Z</dcterms:created>
  <dcterms:modified xsi:type="dcterms:W3CDTF">2025-05-27T19:50:26Z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bool>true</vt:bool>
  </property>
  <property fmtid="{D5CDD505-2E9C-101B-9397-08002B2CF9AE}" pid="3" name="ContentTypeId">
    <vt:lpwstr>0x010100214A9614FEBF9340B4F6922FA5A4AE60</vt:lpwstr>
  </property>
  <property fmtid="{D5CDD505-2E9C-101B-9397-08002B2CF9AE}" pid="4" name="TaxKeyword">
    <vt:lpwstr/>
  </property>
  <property fmtid="{D5CDD505-2E9C-101B-9397-08002B2CF9AE}" pid="5" name="Document_x0020_Type">
    <vt:lpwstr/>
  </property>
  <property fmtid="{D5CDD505-2E9C-101B-9397-08002B2CF9AE}" pid="6" name="Document Type">
    <vt:lpwstr/>
  </property>
  <property fmtid="{D5CDD505-2E9C-101B-9397-08002B2CF9AE}" pid="7" name="SaveCode">
    <vt:r8>509105861186981</vt:r8>
  </property>
  <property fmtid="{D5CDD505-2E9C-101B-9397-08002B2CF9AE}" pid="8" name="MediaServiceImageTags">
    <vt:lpwstr/>
  </property>
</Properties>
</file>