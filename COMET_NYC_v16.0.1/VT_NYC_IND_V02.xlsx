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pivotTables/pivotTable1.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comments7.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drawings/drawing3.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threadedComments/threadedComment8.xml" ContentType="application/vnd.ms-excel.threadedcomments+xml"/>
  <Override PartName="/xl/tables/table34.xml" ContentType="application/vnd.openxmlformats-officedocument.spreadsheetml.table+xml"/>
  <Override PartName="/xl/tables/table35.xml" ContentType="application/vnd.openxmlformats-officedocument.spreadsheetml.table+xml"/>
  <Override PartName="/xl/comments10.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3"/>
  <workbookPr/>
  <mc:AlternateContent xmlns:mc="http://schemas.openxmlformats.org/markup-compatibility/2006">
    <mc:Choice Requires="x15">
      <x15ac:absPath xmlns:x15ac="http://schemas.microsoft.com/office/spreadsheetml/2010/11/ac" url="https://nycmomb.sharepoint.com/sites/grp_ESR/Shared Documents/Sustainability/Models/COMET_NYC/FY26/COMET_NYC_v16.0/"/>
    </mc:Choice>
  </mc:AlternateContent>
  <xr:revisionPtr revIDLastSave="5201" documentId="13_ncr:1_{23363216-F948-4567-8D55-7399AE80DC88}" xr6:coauthVersionLast="47" xr6:coauthVersionMax="47" xr10:uidLastSave="{A6030E9B-AA81-4F23-A135-352F7E4E29F7}"/>
  <bookViews>
    <workbookView xWindow="30612" yWindow="-108" windowWidth="30936" windowHeight="16896" firstSheet="10" activeTab="10" xr2:uid="{4C32B3A4-2286-4DF0-B870-F1186DB32C20}"/>
  </bookViews>
  <sheets>
    <sheet name="Commodities" sheetId="1" r:id="rId1"/>
    <sheet name="Technologies" sheetId="2" r:id="rId2"/>
    <sheet name="CommDemand" sheetId="33" r:id="rId3"/>
    <sheet name="CommData_DMD_dep" sheetId="4" state="hidden" r:id="rId4"/>
    <sheet name="Technologies_dep" sheetId="17" state="hidden" r:id="rId5"/>
    <sheet name="TechData_OTR_dep" sheetId="18" state="hidden" r:id="rId6"/>
    <sheet name="TechData_X&amp;ZZ_dep" sheetId="19" state="hidden" r:id="rId7"/>
    <sheet name="zzzTechData_Emis_dep" sheetId="15" state="hidden" r:id="rId8"/>
    <sheet name="Fuel Share_dep" sheetId="8" state="hidden" r:id="rId9"/>
    <sheet name="TechData_EmisLITE_dep" sheetId="12" state="hidden" r:id="rId10"/>
    <sheet name="Tech_Data" sheetId="34" r:id="rId11"/>
    <sheet name="TechData" sheetId="10" state="hidden" r:id="rId12"/>
    <sheet name="DemandCalc" sheetId="31" r:id="rId13"/>
    <sheet name="ResidCalc" sheetId="37" state="hidden" r:id="rId14"/>
    <sheet name="Tech_Emissions" sheetId="35" r:id="rId15"/>
    <sheet name="Tech_Dummy" sheetId="36" r:id="rId16"/>
    <sheet name="TechInfo_dep" sheetId="21" state="hidden" r:id="rId17"/>
    <sheet name="BldgArea" sheetId="7" state="hidden" r:id="rId18"/>
    <sheet name="Original" sheetId="23" r:id="rId19"/>
    <sheet name="GHG_Inv" sheetId="29" r:id="rId20"/>
    <sheet name="AEO" sheetId="32" r:id="rId21"/>
    <sheet name="Emissions" sheetId="16" r:id="rId22"/>
    <sheet name="TechInfo" sheetId="11" state="hidden" r:id="rId23"/>
    <sheet name="NYC 2010" sheetId="25" state="hidden" r:id="rId24"/>
    <sheet name="Demand (old)" sheetId="9" state="hidden" r:id="rId25"/>
    <sheet name="NYCIND_DMD" sheetId="5" r:id="rId26"/>
    <sheet name="NYCIND_DMD_dep" sheetId="24" state="hidden" r:id="rId27"/>
    <sheet name="Conversions" sheetId="30" r:id="rId28"/>
    <sheet name="Original_dep" sheetId="6" state="hidden" r:id="rId29"/>
    <sheet name="Demand_dep" sheetId="26" state="hidden" r:id="rId30"/>
  </sheets>
  <definedNames>
    <definedName name="FO2_l_to_gj">Conversions!$C$23</definedName>
    <definedName name="FO4_l_to_gj">Conversions!$C$24</definedName>
    <definedName name="FO6_l_to_gj">Conversions!$C$25</definedName>
    <definedName name="gal_to_liter">Conversions!$C$20</definedName>
    <definedName name="GJ_to_PJ">Conversions!$C$18</definedName>
    <definedName name="kgs_to_gj">Conversions!$C$26</definedName>
    <definedName name="kwh_to_gj">Conversions!$C$21</definedName>
    <definedName name="MMBtu_to_PJ">Conversions!$C$14</definedName>
    <definedName name="scf_to_gj">Conversions!$C$22</definedName>
    <definedName name="trilBtu_to_PJ">Conversions!$C$28</definedName>
    <definedName name="var_derate">Tech_Data!$D$3</definedName>
    <definedName name="var_derate2">Tech_Data!$E$3</definedName>
    <definedName name="var_inflate">Tech_Data!$D$4</definedName>
    <definedName name="var_inflate2">Tech_Data!$E$4</definedName>
  </definedNames>
  <calcPr calcId="191028"/>
  <pivotCaches>
    <pivotCache cacheId="1295" r:id="rId3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7" i="34" l="1"/>
  <c r="Y46" i="34"/>
  <c r="Y43" i="34"/>
  <c r="Y68" i="34"/>
  <c r="Y62" i="34"/>
  <c r="X62" i="34"/>
  <c r="W62" i="34"/>
  <c r="Y61" i="34"/>
  <c r="Y59" i="34"/>
  <c r="Y58" i="34"/>
  <c r="Y36" i="34"/>
  <c r="Y34" i="34"/>
  <c r="Y33" i="34"/>
  <c r="Y31" i="34"/>
  <c r="Y30" i="34"/>
  <c r="Y28" i="34"/>
  <c r="Y27" i="34"/>
  <c r="Y25" i="34"/>
  <c r="Y24" i="34"/>
  <c r="Y22" i="34"/>
  <c r="T85" i="34"/>
  <c r="Y85" i="34" s="1"/>
  <c r="T84" i="34"/>
  <c r="Y84" i="34" s="1"/>
  <c r="T82" i="34"/>
  <c r="Y82" i="34" s="1"/>
  <c r="AA5" i="37"/>
  <c r="Z5" i="37"/>
  <c r="Y5" i="37"/>
  <c r="AA4" i="37"/>
  <c r="Z4" i="37"/>
  <c r="Y4" i="37"/>
  <c r="T5" i="37"/>
  <c r="S5" i="37"/>
  <c r="V5" i="37"/>
  <c r="U5" i="37"/>
  <c r="T4" i="37"/>
  <c r="S4" i="37"/>
  <c r="S8" i="35" l="1"/>
  <c r="S7" i="35"/>
  <c r="R8" i="35"/>
  <c r="R7" i="35"/>
  <c r="Q8" i="35"/>
  <c r="Q7" i="35"/>
  <c r="P8" i="35"/>
  <c r="P7" i="35"/>
  <c r="O8" i="35"/>
  <c r="O7" i="35"/>
  <c r="N8" i="35"/>
  <c r="N7" i="35"/>
  <c r="M8" i="35"/>
  <c r="M7" i="35"/>
  <c r="L8" i="35"/>
  <c r="L7" i="35"/>
  <c r="K7" i="35"/>
  <c r="K8" i="35"/>
  <c r="J8" i="35"/>
  <c r="J7" i="35"/>
  <c r="C8" i="36"/>
  <c r="C9" i="36"/>
  <c r="C10" i="36"/>
  <c r="C7" i="36"/>
  <c r="Q2" i="33" l="1"/>
  <c r="P2" i="33"/>
  <c r="O2" i="33"/>
  <c r="N2" i="33"/>
  <c r="M2" i="33"/>
  <c r="L2" i="33"/>
  <c r="K2" i="33"/>
  <c r="J2" i="33"/>
  <c r="I2" i="33"/>
  <c r="H2" i="33"/>
  <c r="G2" i="33"/>
  <c r="Q67" i="23" l="1"/>
  <c r="I107" i="29"/>
  <c r="E113" i="29"/>
  <c r="E114" i="29"/>
  <c r="G111" i="29"/>
  <c r="I113" i="29"/>
  <c r="G103" i="29"/>
  <c r="G97" i="29"/>
  <c r="G87" i="29"/>
  <c r="E95" i="29"/>
  <c r="E98" i="29"/>
  <c r="E107" i="29"/>
  <c r="I98" i="29"/>
  <c r="G104" i="29"/>
  <c r="G91" i="29"/>
  <c r="G88" i="29"/>
  <c r="G93" i="29"/>
  <c r="E109" i="29"/>
  <c r="I111" i="29"/>
  <c r="E92" i="29"/>
  <c r="E91" i="29"/>
  <c r="I101" i="29"/>
  <c r="G94" i="29"/>
  <c r="I104" i="29"/>
  <c r="E93" i="29"/>
  <c r="E103" i="29"/>
  <c r="E99" i="29"/>
  <c r="I91" i="29"/>
  <c r="G110" i="29"/>
  <c r="G95" i="29"/>
  <c r="G113" i="29"/>
  <c r="I89" i="29"/>
  <c r="G98" i="29"/>
  <c r="G89" i="29"/>
  <c r="E104" i="29"/>
  <c r="I87" i="29"/>
  <c r="E88" i="29"/>
  <c r="I100" i="29"/>
  <c r="G109" i="29"/>
  <c r="I109" i="29"/>
  <c r="G112" i="29"/>
  <c r="E89" i="29"/>
  <c r="G102" i="29"/>
  <c r="E94" i="29"/>
  <c r="E90" i="29"/>
  <c r="G101" i="29"/>
  <c r="G90" i="29"/>
  <c r="G114" i="29"/>
  <c r="G107" i="29"/>
  <c r="E108" i="29"/>
  <c r="E101" i="29"/>
  <c r="I99" i="29"/>
  <c r="I108" i="29"/>
  <c r="G92" i="29"/>
  <c r="E100" i="29"/>
  <c r="I96" i="29"/>
  <c r="E102" i="29"/>
  <c r="I112" i="29"/>
  <c r="E96" i="29"/>
  <c r="I92" i="29"/>
  <c r="I90" i="29"/>
  <c r="I97" i="29"/>
  <c r="I106" i="29"/>
  <c r="I105" i="29"/>
  <c r="E110" i="29"/>
  <c r="I93" i="29"/>
  <c r="G108" i="29"/>
  <c r="G106" i="29"/>
  <c r="G99" i="29"/>
  <c r="E97" i="29"/>
  <c r="E87" i="29"/>
  <c r="I103" i="29"/>
  <c r="I88" i="29"/>
  <c r="G96" i="29"/>
  <c r="I114" i="29"/>
  <c r="I102" i="29"/>
  <c r="E106" i="29"/>
  <c r="I95" i="29"/>
  <c r="E112" i="29"/>
  <c r="G105" i="29"/>
  <c r="I94" i="29"/>
  <c r="I110" i="29"/>
  <c r="E111" i="29"/>
  <c r="G100" i="29"/>
  <c r="E105" i="29"/>
  <c r="C28" i="30" l="1"/>
  <c r="AC40" i="32" l="1"/>
  <c r="D40" i="32"/>
  <c r="L40" i="32"/>
  <c r="T40" i="32"/>
  <c r="AB40" i="32"/>
  <c r="K41" i="32"/>
  <c r="S41" i="32"/>
  <c r="AA41" i="32"/>
  <c r="J42" i="32"/>
  <c r="R42" i="32"/>
  <c r="Z42" i="32"/>
  <c r="I43" i="32"/>
  <c r="Q43" i="32"/>
  <c r="Y43" i="32"/>
  <c r="K42" i="32"/>
  <c r="J43" i="32"/>
  <c r="Z43" i="32"/>
  <c r="F40" i="32"/>
  <c r="E41" i="32"/>
  <c r="AB42" i="32"/>
  <c r="AD40" i="32"/>
  <c r="E40" i="32"/>
  <c r="M40" i="32"/>
  <c r="U40" i="32"/>
  <c r="D41" i="32"/>
  <c r="L41" i="32"/>
  <c r="T41" i="32"/>
  <c r="AB41" i="32"/>
  <c r="S42" i="32"/>
  <c r="AA42" i="32"/>
  <c r="R43" i="32"/>
  <c r="N40" i="32"/>
  <c r="V40" i="32"/>
  <c r="M41" i="32"/>
  <c r="K43" i="32"/>
  <c r="AC41" i="32"/>
  <c r="AD41" i="32"/>
  <c r="G40" i="32"/>
  <c r="O40" i="32"/>
  <c r="W40" i="32"/>
  <c r="F41" i="32"/>
  <c r="N41" i="32"/>
  <c r="V41" i="32"/>
  <c r="E42" i="32"/>
  <c r="M42" i="32"/>
  <c r="U42" i="32"/>
  <c r="D43" i="32"/>
  <c r="L43" i="32"/>
  <c r="T43" i="32"/>
  <c r="AB43" i="32"/>
  <c r="K40" i="32"/>
  <c r="R41" i="32"/>
  <c r="Q42" i="32"/>
  <c r="X43" i="32"/>
  <c r="U41" i="32"/>
  <c r="AA43" i="32"/>
  <c r="AC42" i="32"/>
  <c r="H40" i="32"/>
  <c r="P40" i="32"/>
  <c r="X40" i="32"/>
  <c r="G41" i="32"/>
  <c r="O41" i="32"/>
  <c r="W41" i="32"/>
  <c r="F42" i="32"/>
  <c r="N42" i="32"/>
  <c r="V42" i="32"/>
  <c r="E43" i="32"/>
  <c r="M43" i="32"/>
  <c r="U43" i="32"/>
  <c r="C43" i="32"/>
  <c r="W43" i="32"/>
  <c r="S40" i="32"/>
  <c r="Z41" i="32"/>
  <c r="H43" i="32"/>
  <c r="T42" i="32"/>
  <c r="AD42" i="32"/>
  <c r="I40" i="32"/>
  <c r="Q40" i="32"/>
  <c r="Y40" i="32"/>
  <c r="H41" i="32"/>
  <c r="P41" i="32"/>
  <c r="X41" i="32"/>
  <c r="G42" i="32"/>
  <c r="O42" i="32"/>
  <c r="W42" i="32"/>
  <c r="F43" i="32"/>
  <c r="N43" i="32"/>
  <c r="V43" i="32"/>
  <c r="C42" i="32"/>
  <c r="O43" i="32"/>
  <c r="J41" i="32"/>
  <c r="Y42" i="32"/>
  <c r="C40" i="32"/>
  <c r="D42" i="32"/>
  <c r="AC43" i="32"/>
  <c r="J40" i="32"/>
  <c r="R40" i="32"/>
  <c r="Z40" i="32"/>
  <c r="I41" i="32"/>
  <c r="Q41" i="32"/>
  <c r="Y41" i="32"/>
  <c r="H42" i="32"/>
  <c r="P42" i="32"/>
  <c r="X42" i="32"/>
  <c r="G43" i="32"/>
  <c r="C41" i="32"/>
  <c r="AA40" i="32"/>
  <c r="I42" i="32"/>
  <c r="P43" i="32"/>
  <c r="L42" i="32"/>
  <c r="S43" i="32"/>
  <c r="AD43" i="32"/>
  <c r="H83" i="29"/>
  <c r="F83" i="29"/>
  <c r="D83" i="29"/>
  <c r="H82" i="29"/>
  <c r="F82" i="29"/>
  <c r="D82" i="29"/>
  <c r="H81" i="29"/>
  <c r="F81" i="29"/>
  <c r="D81" i="29"/>
  <c r="H80" i="29"/>
  <c r="F80" i="29"/>
  <c r="D80" i="29"/>
  <c r="H79" i="29"/>
  <c r="F79" i="29"/>
  <c r="D79" i="29"/>
  <c r="H78" i="29"/>
  <c r="F78" i="29"/>
  <c r="D78" i="29"/>
  <c r="H77" i="29"/>
  <c r="F77" i="29"/>
  <c r="D77" i="29"/>
  <c r="H67" i="29"/>
  <c r="H68" i="29"/>
  <c r="H69" i="29"/>
  <c r="H70" i="29"/>
  <c r="H71" i="29"/>
  <c r="H72" i="29"/>
  <c r="H73" i="29"/>
  <c r="F67" i="29"/>
  <c r="F68" i="29"/>
  <c r="F69" i="29"/>
  <c r="F70" i="29"/>
  <c r="F71" i="29"/>
  <c r="F72" i="29"/>
  <c r="F73" i="29"/>
  <c r="D67" i="29"/>
  <c r="D68" i="29"/>
  <c r="D69" i="29"/>
  <c r="D70" i="29"/>
  <c r="D71" i="29"/>
  <c r="D72" i="29"/>
  <c r="D73" i="29"/>
  <c r="D65" i="30"/>
  <c r="D64" i="30"/>
  <c r="D63" i="30"/>
  <c r="D62" i="30"/>
  <c r="D61" i="30"/>
  <c r="D60" i="30"/>
  <c r="D59" i="30"/>
  <c r="D58" i="30"/>
  <c r="D57" i="30"/>
  <c r="D56" i="30"/>
  <c r="D55" i="30"/>
  <c r="D54" i="30"/>
  <c r="D53" i="30"/>
  <c r="D52" i="30"/>
  <c r="D51" i="30"/>
  <c r="D50" i="30"/>
  <c r="D49" i="30"/>
  <c r="D48" i="30"/>
  <c r="D47" i="30"/>
  <c r="D46" i="30"/>
  <c r="D45" i="30"/>
  <c r="D44" i="30"/>
  <c r="D43" i="30"/>
  <c r="D42" i="30"/>
  <c r="D41" i="30"/>
  <c r="D40" i="30"/>
  <c r="D39" i="30"/>
  <c r="D38" i="30"/>
  <c r="D37" i="30"/>
  <c r="D36" i="30"/>
  <c r="C26" i="30"/>
  <c r="J10" i="30" s="1"/>
  <c r="C22" i="30"/>
  <c r="J9" i="30" s="1"/>
  <c r="C21" i="30"/>
  <c r="J8" i="30" s="1"/>
  <c r="C20" i="30"/>
  <c r="C19" i="30"/>
  <c r="C14" i="30"/>
  <c r="C10" i="30"/>
  <c r="C9" i="30"/>
  <c r="C8" i="30"/>
  <c r="C7" i="30"/>
  <c r="W44" i="7"/>
  <c r="V44" i="7"/>
  <c r="U44" i="7"/>
  <c r="T44" i="7"/>
  <c r="S44" i="7"/>
  <c r="W43" i="7"/>
  <c r="V43" i="7"/>
  <c r="U43" i="7"/>
  <c r="T43" i="7"/>
  <c r="S43" i="7"/>
  <c r="W42" i="7"/>
  <c r="V42" i="7"/>
  <c r="U42" i="7"/>
  <c r="T42" i="7"/>
  <c r="S42" i="7"/>
  <c r="W41" i="7"/>
  <c r="V41" i="7"/>
  <c r="U41" i="7"/>
  <c r="T41" i="7"/>
  <c r="S41" i="7"/>
  <c r="W40" i="7"/>
  <c r="V40" i="7"/>
  <c r="U40" i="7"/>
  <c r="T40" i="7"/>
  <c r="S40" i="7"/>
  <c r="O44" i="7"/>
  <c r="N44" i="7"/>
  <c r="M44" i="7"/>
  <c r="L44" i="7"/>
  <c r="K44" i="7"/>
  <c r="O43" i="7"/>
  <c r="N43" i="7"/>
  <c r="M43" i="7"/>
  <c r="L43" i="7"/>
  <c r="K43" i="7"/>
  <c r="O42" i="7"/>
  <c r="N42" i="7"/>
  <c r="M42" i="7"/>
  <c r="L42" i="7"/>
  <c r="K42" i="7"/>
  <c r="O41" i="7"/>
  <c r="N41" i="7"/>
  <c r="M41" i="7"/>
  <c r="L41" i="7"/>
  <c r="K41" i="7"/>
  <c r="O40" i="7"/>
  <c r="N40" i="7"/>
  <c r="M40" i="7"/>
  <c r="L40" i="7"/>
  <c r="K40" i="7"/>
  <c r="T35" i="7"/>
  <c r="T62" i="7" s="1"/>
  <c r="U35" i="7"/>
  <c r="U63" i="7" s="1"/>
  <c r="V35" i="7"/>
  <c r="V63" i="7" s="1"/>
  <c r="W35" i="7"/>
  <c r="W60" i="7" s="1"/>
  <c r="X35" i="7"/>
  <c r="X60" i="7" s="1"/>
  <c r="S35" i="7"/>
  <c r="S62" i="7" s="1"/>
  <c r="L35" i="7"/>
  <c r="L63" i="7" s="1"/>
  <c r="M35" i="7"/>
  <c r="M63" i="7" s="1"/>
  <c r="N35" i="7"/>
  <c r="N60" i="7" s="1"/>
  <c r="O35" i="7"/>
  <c r="O60" i="7" s="1"/>
  <c r="P35" i="7"/>
  <c r="P61" i="7" s="1"/>
  <c r="K35" i="7"/>
  <c r="K62" i="7" s="1"/>
  <c r="D35" i="7"/>
  <c r="E35" i="7"/>
  <c r="F35" i="7"/>
  <c r="G35" i="7"/>
  <c r="H35" i="7"/>
  <c r="C35" i="7"/>
  <c r="X34" i="7"/>
  <c r="W34" i="7"/>
  <c r="V34" i="7"/>
  <c r="U34" i="7"/>
  <c r="T34" i="7"/>
  <c r="S34" i="7"/>
  <c r="P34" i="7"/>
  <c r="O34" i="7"/>
  <c r="N34" i="7"/>
  <c r="M34" i="7"/>
  <c r="L34" i="7"/>
  <c r="K34" i="7"/>
  <c r="D34" i="7"/>
  <c r="E34" i="7"/>
  <c r="F34" i="7"/>
  <c r="G34" i="7"/>
  <c r="H34" i="7"/>
  <c r="C34" i="7"/>
  <c r="U70" i="23"/>
  <c r="Q70" i="23"/>
  <c r="P70" i="23"/>
  <c r="O70" i="23"/>
  <c r="N70" i="23"/>
  <c r="S69" i="23"/>
  <c r="Q69" i="23"/>
  <c r="P69" i="23"/>
  <c r="O69" i="23"/>
  <c r="N69" i="23"/>
  <c r="T68" i="23"/>
  <c r="Q68" i="23"/>
  <c r="P68" i="23"/>
  <c r="O68" i="23"/>
  <c r="N68" i="23"/>
  <c r="R67" i="23"/>
  <c r="P67" i="23"/>
  <c r="O67" i="23"/>
  <c r="N67" i="23"/>
  <c r="U65" i="23"/>
  <c r="R62" i="23"/>
  <c r="Q65" i="23"/>
  <c r="P65" i="23"/>
  <c r="O65" i="23"/>
  <c r="N65" i="23"/>
  <c r="S64" i="23"/>
  <c r="Q64" i="23"/>
  <c r="P64" i="23"/>
  <c r="O64" i="23"/>
  <c r="N64" i="23"/>
  <c r="T63" i="23"/>
  <c r="Q63" i="23"/>
  <c r="P63" i="23"/>
  <c r="O63" i="23"/>
  <c r="N63" i="23"/>
  <c r="Q62" i="23"/>
  <c r="P62" i="23"/>
  <c r="O62" i="23"/>
  <c r="N62" i="23"/>
  <c r="U60" i="23"/>
  <c r="Q60" i="23"/>
  <c r="P60" i="23"/>
  <c r="O60" i="23"/>
  <c r="N60" i="23"/>
  <c r="S59" i="23"/>
  <c r="Q59" i="23"/>
  <c r="P59" i="23"/>
  <c r="O59" i="23"/>
  <c r="N59" i="23"/>
  <c r="T58" i="23"/>
  <c r="Q58" i="23"/>
  <c r="P58" i="23"/>
  <c r="O58" i="23"/>
  <c r="N58" i="23"/>
  <c r="R57" i="23"/>
  <c r="Q57" i="23"/>
  <c r="P57" i="23"/>
  <c r="O57" i="23"/>
  <c r="N57" i="23"/>
  <c r="G70" i="29" l="1"/>
  <c r="X42" i="7"/>
  <c r="V52" i="7" s="1"/>
  <c r="E69" i="29"/>
  <c r="L45" i="7"/>
  <c r="L60" i="7"/>
  <c r="V68" i="23"/>
  <c r="T87" i="23" s="1"/>
  <c r="P42" i="7"/>
  <c r="L52" i="7" s="1"/>
  <c r="M61" i="7"/>
  <c r="E70" i="29"/>
  <c r="G69" i="29"/>
  <c r="I68" i="29"/>
  <c r="E79" i="29"/>
  <c r="H47" i="32"/>
  <c r="N61" i="7"/>
  <c r="G68" i="29"/>
  <c r="I67" i="29"/>
  <c r="O62" i="7"/>
  <c r="E68" i="29"/>
  <c r="G67" i="29"/>
  <c r="E77" i="29"/>
  <c r="I79" i="29"/>
  <c r="P62" i="7"/>
  <c r="I82" i="29"/>
  <c r="X40" i="7"/>
  <c r="T50" i="7" s="1"/>
  <c r="G73" i="29"/>
  <c r="I72" i="29"/>
  <c r="I77" i="29"/>
  <c r="M45" i="7"/>
  <c r="V70" i="23"/>
  <c r="Q97" i="23" s="1"/>
  <c r="T45" i="7"/>
  <c r="W45" i="7"/>
  <c r="E78" i="29"/>
  <c r="I80" i="29"/>
  <c r="G83" i="29"/>
  <c r="P43" i="7"/>
  <c r="L53" i="7" s="1"/>
  <c r="K60" i="7"/>
  <c r="E72" i="29"/>
  <c r="I70" i="29"/>
  <c r="F47" i="32"/>
  <c r="G49" i="32"/>
  <c r="D50" i="32"/>
  <c r="F50" i="32"/>
  <c r="G50" i="32"/>
  <c r="N59" i="7"/>
  <c r="P60" i="7"/>
  <c r="L62" i="7"/>
  <c r="N63" i="7"/>
  <c r="W59" i="7"/>
  <c r="S61" i="7"/>
  <c r="U62" i="7"/>
  <c r="W63" i="7"/>
  <c r="J5" i="30"/>
  <c r="J4" i="30"/>
  <c r="J7" i="30"/>
  <c r="J6" i="30"/>
  <c r="E67" i="29"/>
  <c r="I73" i="29"/>
  <c r="E82" i="29"/>
  <c r="I78" i="29"/>
  <c r="G81" i="29"/>
  <c r="I47" i="32"/>
  <c r="J47" i="32" s="1"/>
  <c r="E47" i="32"/>
  <c r="I50" i="32"/>
  <c r="J50" i="32" s="1"/>
  <c r="E50" i="32"/>
  <c r="P41" i="7"/>
  <c r="N51" i="7" s="1"/>
  <c r="N45" i="7"/>
  <c r="P44" i="7"/>
  <c r="N54" i="7" s="1"/>
  <c r="O59" i="7"/>
  <c r="K61" i="7"/>
  <c r="M62" i="7"/>
  <c r="O63" i="7"/>
  <c r="X59" i="7"/>
  <c r="T61" i="7"/>
  <c r="V62" i="7"/>
  <c r="X63" i="7"/>
  <c r="F105" i="29"/>
  <c r="F98" i="29"/>
  <c r="H105" i="29"/>
  <c r="H98" i="29"/>
  <c r="H112" i="29"/>
  <c r="J112" i="29"/>
  <c r="J91" i="29"/>
  <c r="J98" i="29"/>
  <c r="H91" i="29"/>
  <c r="J105" i="29"/>
  <c r="F91" i="29"/>
  <c r="F112" i="29"/>
  <c r="I81" i="29"/>
  <c r="V67" i="23"/>
  <c r="R86" i="23" s="1"/>
  <c r="V69" i="23"/>
  <c r="R88" i="23" s="1"/>
  <c r="P59" i="7"/>
  <c r="L61" i="7"/>
  <c r="N62" i="7"/>
  <c r="P63" i="7"/>
  <c r="X41" i="7"/>
  <c r="V51" i="7" s="1"/>
  <c r="X43" i="7"/>
  <c r="S53" i="7" s="1"/>
  <c r="X44" i="7"/>
  <c r="T54" i="7" s="1"/>
  <c r="S60" i="7"/>
  <c r="U61" i="7"/>
  <c r="W62" i="7"/>
  <c r="F113" i="29"/>
  <c r="H92" i="29"/>
  <c r="H99" i="29"/>
  <c r="F106" i="29"/>
  <c r="F99" i="29"/>
  <c r="H106" i="29"/>
  <c r="J113" i="29"/>
  <c r="J106" i="29"/>
  <c r="J92" i="29"/>
  <c r="H113" i="29"/>
  <c r="J99" i="29"/>
  <c r="F92" i="29"/>
  <c r="E73" i="29"/>
  <c r="G72" i="29"/>
  <c r="I71" i="29"/>
  <c r="G79" i="29"/>
  <c r="F48" i="32"/>
  <c r="D47" i="32"/>
  <c r="H50" i="32"/>
  <c r="T60" i="7"/>
  <c r="V61" i="7"/>
  <c r="X62" i="7"/>
  <c r="F100" i="29"/>
  <c r="H93" i="29"/>
  <c r="F114" i="29"/>
  <c r="H107" i="29"/>
  <c r="J93" i="29"/>
  <c r="H100" i="29"/>
  <c r="H114" i="29"/>
  <c r="F107" i="29"/>
  <c r="J107" i="29"/>
  <c r="J100" i="29"/>
  <c r="F93" i="29"/>
  <c r="J114" i="29"/>
  <c r="G71" i="29"/>
  <c r="G82" i="29"/>
  <c r="H48" i="32"/>
  <c r="S59" i="7"/>
  <c r="U60" i="7"/>
  <c r="W61" i="7"/>
  <c r="S63" i="7"/>
  <c r="E71" i="29"/>
  <c r="I69" i="29"/>
  <c r="G77" i="29"/>
  <c r="H49" i="32"/>
  <c r="F49" i="32"/>
  <c r="D49" i="32"/>
  <c r="G47" i="32"/>
  <c r="P40" i="7"/>
  <c r="K50" i="7" s="1"/>
  <c r="K59" i="7"/>
  <c r="M60" i="7"/>
  <c r="O61" i="7"/>
  <c r="K63" i="7"/>
  <c r="T59" i="7"/>
  <c r="V60" i="7"/>
  <c r="X61" i="7"/>
  <c r="T63" i="7"/>
  <c r="G80" i="29"/>
  <c r="E83" i="29"/>
  <c r="I48" i="32"/>
  <c r="J48" i="32" s="1"/>
  <c r="E48" i="32"/>
  <c r="G48" i="32"/>
  <c r="D48" i="32"/>
  <c r="L59" i="7"/>
  <c r="U59" i="7"/>
  <c r="M59" i="7"/>
  <c r="V59" i="7"/>
  <c r="E80" i="29"/>
  <c r="G78" i="29"/>
  <c r="E81" i="29"/>
  <c r="I83" i="29"/>
  <c r="I49" i="32"/>
  <c r="J49" i="32" s="1"/>
  <c r="E49" i="32"/>
  <c r="U45" i="7"/>
  <c r="U52" i="7"/>
  <c r="S45" i="7"/>
  <c r="V50" i="7"/>
  <c r="S52" i="7"/>
  <c r="V45" i="7"/>
  <c r="K45" i="7"/>
  <c r="K53" i="7"/>
  <c r="O45" i="7"/>
  <c r="K51" i="7"/>
  <c r="V65" i="23"/>
  <c r="R84" i="23" s="1"/>
  <c r="V64" i="23"/>
  <c r="S83" i="23" s="1"/>
  <c r="V63" i="23"/>
  <c r="S82" i="23" s="1"/>
  <c r="V62" i="23"/>
  <c r="R81" i="23" s="1"/>
  <c r="V60" i="23"/>
  <c r="V59" i="23"/>
  <c r="T78" i="23" s="1"/>
  <c r="V58" i="23"/>
  <c r="V57" i="23"/>
  <c r="Q76" i="23" s="1"/>
  <c r="W50" i="7" l="1"/>
  <c r="T52" i="7"/>
  <c r="W52" i="7"/>
  <c r="O86" i="23"/>
  <c r="O94" i="23" s="1"/>
  <c r="T86" i="23"/>
  <c r="M51" i="7"/>
  <c r="S89" i="23"/>
  <c r="N88" i="23"/>
  <c r="N96" i="23" s="1"/>
  <c r="U88" i="23"/>
  <c r="V54" i="7"/>
  <c r="S88" i="23"/>
  <c r="O54" i="7"/>
  <c r="P88" i="23"/>
  <c r="P96" i="23" s="1"/>
  <c r="O53" i="7"/>
  <c r="S51" i="7"/>
  <c r="R89" i="23"/>
  <c r="T51" i="7"/>
  <c r="J79" i="29"/>
  <c r="U51" i="7"/>
  <c r="M52" i="7"/>
  <c r="N89" i="23"/>
  <c r="N97" i="23" s="1"/>
  <c r="D17" i="31" s="1" a="1"/>
  <c r="D17" i="31" s="1"/>
  <c r="L64" i="7"/>
  <c r="O89" i="23"/>
  <c r="O97" i="23" s="1"/>
  <c r="E9" i="31" s="1" a="1"/>
  <c r="E9" i="31" s="1"/>
  <c r="S97" i="23"/>
  <c r="I9" i="31" s="1" a="1"/>
  <c r="I9" i="31" s="1"/>
  <c r="U89" i="23"/>
  <c r="P89" i="23"/>
  <c r="P97" i="23" s="1"/>
  <c r="F13" i="31" s="1" a="1"/>
  <c r="F13" i="31" s="1"/>
  <c r="J82" i="29"/>
  <c r="T89" i="23"/>
  <c r="K54" i="7"/>
  <c r="L54" i="7"/>
  <c r="T95" i="23"/>
  <c r="J15" i="31" s="1" a="1"/>
  <c r="J15" i="31" s="1"/>
  <c r="S87" i="23"/>
  <c r="P87" i="23"/>
  <c r="P95" i="23" s="1"/>
  <c r="F11" i="31" s="1" a="1"/>
  <c r="F11" i="31" s="1"/>
  <c r="U95" i="23"/>
  <c r="K19" i="31" s="1" a="1"/>
  <c r="K19" i="31" s="1"/>
  <c r="R87" i="23"/>
  <c r="U87" i="23"/>
  <c r="J68" i="29"/>
  <c r="S50" i="7"/>
  <c r="J67" i="29"/>
  <c r="U50" i="7"/>
  <c r="J70" i="29"/>
  <c r="Q87" i="23"/>
  <c r="R95" i="23" s="1"/>
  <c r="H15" i="31" s="1" a="1"/>
  <c r="H15" i="31" s="1"/>
  <c r="Q88" i="23"/>
  <c r="R96" i="23" s="1"/>
  <c r="W51" i="7"/>
  <c r="Q89" i="23"/>
  <c r="R97" i="23" s="1"/>
  <c r="H21" i="31" s="1" a="1"/>
  <c r="H21" i="31" s="1"/>
  <c r="Q95" i="23"/>
  <c r="G7" i="31" s="1" a="1"/>
  <c r="G7" i="31" s="1"/>
  <c r="O52" i="7"/>
  <c r="O87" i="23"/>
  <c r="O95" i="23" s="1"/>
  <c r="E19" i="31" s="1" a="1"/>
  <c r="E19" i="31" s="1"/>
  <c r="T88" i="23"/>
  <c r="O88" i="23"/>
  <c r="O96" i="23" s="1"/>
  <c r="N87" i="23"/>
  <c r="N95" i="23" s="1"/>
  <c r="D19" i="31" s="1" a="1"/>
  <c r="D19" i="31" s="1"/>
  <c r="S95" i="23"/>
  <c r="I19" i="31" s="1" a="1"/>
  <c r="I19" i="31" s="1"/>
  <c r="K52" i="7"/>
  <c r="N52" i="7"/>
  <c r="J83" i="29"/>
  <c r="U97" i="23"/>
  <c r="K13" i="31" s="1" a="1"/>
  <c r="K13" i="31" s="1"/>
  <c r="U86" i="23"/>
  <c r="N53" i="7"/>
  <c r="M53" i="7"/>
  <c r="J77" i="29"/>
  <c r="M64" i="7"/>
  <c r="L51" i="7"/>
  <c r="M54" i="7"/>
  <c r="T97" i="23"/>
  <c r="J9" i="31" s="1" a="1"/>
  <c r="J9" i="31" s="1"/>
  <c r="W53" i="7"/>
  <c r="V53" i="7"/>
  <c r="X45" i="7"/>
  <c r="T53" i="7"/>
  <c r="U53" i="7"/>
  <c r="J81" i="29"/>
  <c r="J73" i="29"/>
  <c r="J72" i="29"/>
  <c r="J69" i="29"/>
  <c r="N76" i="23"/>
  <c r="P86" i="23"/>
  <c r="P94" i="23" s="1"/>
  <c r="S86" i="23"/>
  <c r="W54" i="7"/>
  <c r="V64" i="7"/>
  <c r="U54" i="7"/>
  <c r="J80" i="29"/>
  <c r="K64" i="7"/>
  <c r="Q86" i="23"/>
  <c r="R94" i="23" s="1"/>
  <c r="H10" i="31" s="1" a="1"/>
  <c r="H10" i="31" s="1"/>
  <c r="N86" i="23"/>
  <c r="N94" i="23" s="1"/>
  <c r="S54" i="7"/>
  <c r="O51" i="7"/>
  <c r="T64" i="7"/>
  <c r="J78" i="29"/>
  <c r="J71" i="29"/>
  <c r="K93" i="29"/>
  <c r="K91" i="29"/>
  <c r="K99" i="29"/>
  <c r="K105" i="29"/>
  <c r="K92" i="29"/>
  <c r="K106" i="29"/>
  <c r="X52" i="7"/>
  <c r="M50" i="7"/>
  <c r="Q82" i="23"/>
  <c r="G21" i="31" a="1"/>
  <c r="G21" i="31" s="1"/>
  <c r="G17" i="31" a="1"/>
  <c r="G17" i="31" s="1"/>
  <c r="G13" i="31" a="1"/>
  <c r="G13" i="31" s="1"/>
  <c r="G9" i="31" a="1"/>
  <c r="G9" i="31" s="1"/>
  <c r="K112" i="29"/>
  <c r="F110" i="29"/>
  <c r="F103" i="29"/>
  <c r="F89" i="29"/>
  <c r="H89" i="29"/>
  <c r="J110" i="29"/>
  <c r="J103" i="29"/>
  <c r="H103" i="29"/>
  <c r="H110" i="29"/>
  <c r="F96" i="29"/>
  <c r="J96" i="29"/>
  <c r="H96" i="29"/>
  <c r="J89" i="29"/>
  <c r="K114" i="29"/>
  <c r="K113" i="29"/>
  <c r="H104" i="29"/>
  <c r="F97" i="29"/>
  <c r="F104" i="29"/>
  <c r="J90" i="29"/>
  <c r="H97" i="29"/>
  <c r="F111" i="29"/>
  <c r="J104" i="29"/>
  <c r="H90" i="29"/>
  <c r="J97" i="29"/>
  <c r="H111" i="29"/>
  <c r="F90" i="29"/>
  <c r="J111" i="29"/>
  <c r="W64" i="7"/>
  <c r="K98" i="29"/>
  <c r="F101" i="29"/>
  <c r="J108" i="29"/>
  <c r="H94" i="29"/>
  <c r="H87" i="29"/>
  <c r="J94" i="29"/>
  <c r="J101" i="29"/>
  <c r="F108" i="29"/>
  <c r="H108" i="29"/>
  <c r="F94" i="29"/>
  <c r="H101" i="29"/>
  <c r="J87" i="29"/>
  <c r="F87" i="29"/>
  <c r="H7" i="31" a="1"/>
  <c r="H7" i="31" s="1"/>
  <c r="F21" i="31" a="1"/>
  <c r="F21" i="31" s="1"/>
  <c r="F9" i="31" a="1"/>
  <c r="F9" i="31" s="1"/>
  <c r="F17" i="31" a="1"/>
  <c r="F17" i="31" s="1"/>
  <c r="O50" i="7"/>
  <c r="K100" i="29"/>
  <c r="U64" i="7"/>
  <c r="O64" i="7"/>
  <c r="F88" i="29"/>
  <c r="J95" i="29"/>
  <c r="F102" i="29"/>
  <c r="F109" i="29"/>
  <c r="H109" i="29"/>
  <c r="J109" i="29"/>
  <c r="H102" i="29"/>
  <c r="J88" i="29"/>
  <c r="F95" i="29"/>
  <c r="H95" i="29"/>
  <c r="H88" i="29"/>
  <c r="J102" i="29"/>
  <c r="N64" i="7"/>
  <c r="K11" i="31" a="1"/>
  <c r="K11" i="31" s="1"/>
  <c r="K7" i="31" a="1"/>
  <c r="K7" i="31" s="1"/>
  <c r="N50" i="7"/>
  <c r="L50" i="7"/>
  <c r="K107" i="29"/>
  <c r="S64" i="7"/>
  <c r="U96" i="23"/>
  <c r="Q96" i="23"/>
  <c r="T96" i="23"/>
  <c r="S96" i="23"/>
  <c r="E18" i="31" a="1"/>
  <c r="E18" i="31" s="1"/>
  <c r="E14" i="31" a="1"/>
  <c r="E14" i="31" s="1"/>
  <c r="E10" i="31" a="1"/>
  <c r="E10" i="31" s="1"/>
  <c r="E6" i="31" a="1"/>
  <c r="E6" i="31" s="1"/>
  <c r="P45" i="7"/>
  <c r="U94" i="23"/>
  <c r="T94" i="23"/>
  <c r="Q94" i="23"/>
  <c r="S94" i="23"/>
  <c r="R77" i="23"/>
  <c r="T77" i="23"/>
  <c r="P79" i="23"/>
  <c r="T79" i="23"/>
  <c r="Q84" i="23"/>
  <c r="Q77" i="23"/>
  <c r="Q79" i="23"/>
  <c r="Q83" i="23"/>
  <c r="Q78" i="23"/>
  <c r="P84" i="23"/>
  <c r="T81" i="23"/>
  <c r="O84" i="23"/>
  <c r="N84" i="23"/>
  <c r="T84" i="23"/>
  <c r="U84" i="23"/>
  <c r="S84" i="23"/>
  <c r="P82" i="23"/>
  <c r="R82" i="23"/>
  <c r="N82" i="23"/>
  <c r="T82" i="23"/>
  <c r="O82" i="23"/>
  <c r="U82" i="23"/>
  <c r="O83" i="23"/>
  <c r="P83" i="23"/>
  <c r="U83" i="23"/>
  <c r="T83" i="23"/>
  <c r="R83" i="23"/>
  <c r="N83" i="23"/>
  <c r="U81" i="23"/>
  <c r="Q81" i="23"/>
  <c r="P81" i="23"/>
  <c r="O81" i="23"/>
  <c r="N81" i="23"/>
  <c r="S81" i="23"/>
  <c r="N79" i="23"/>
  <c r="S79" i="23"/>
  <c r="U79" i="23"/>
  <c r="O79" i="23"/>
  <c r="R79" i="23"/>
  <c r="O78" i="23"/>
  <c r="S78" i="23"/>
  <c r="R78" i="23"/>
  <c r="P78" i="23"/>
  <c r="N78" i="23"/>
  <c r="U78" i="23"/>
  <c r="S77" i="23"/>
  <c r="P77" i="23"/>
  <c r="O77" i="23"/>
  <c r="N77" i="23"/>
  <c r="U77" i="23"/>
  <c r="U76" i="23"/>
  <c r="O76" i="23"/>
  <c r="S76" i="23"/>
  <c r="R76" i="23"/>
  <c r="P76" i="23"/>
  <c r="T76" i="23"/>
  <c r="I21" i="31" l="1" a="1"/>
  <c r="I21" i="31" s="1"/>
  <c r="I54" i="31" s="1" a="1"/>
  <c r="I54" i="31" s="1"/>
  <c r="I13" i="31" a="1"/>
  <c r="I13" i="31" s="1"/>
  <c r="I17" i="31" a="1"/>
  <c r="I17" i="31" s="1"/>
  <c r="F15" i="31" a="1"/>
  <c r="F15" i="31" s="1"/>
  <c r="D10" i="31" a="1"/>
  <c r="D10" i="31" s="1"/>
  <c r="D6" i="31" a="1"/>
  <c r="D6" i="31" s="1"/>
  <c r="K15" i="31" a="1"/>
  <c r="K15" i="31" s="1"/>
  <c r="D9" i="31" a="1"/>
  <c r="D9" i="31" s="1"/>
  <c r="D21" i="31" a="1"/>
  <c r="D21" i="31" s="1"/>
  <c r="D42" i="31" s="1" a="1"/>
  <c r="D42" i="31" s="1"/>
  <c r="E21" i="31" a="1"/>
  <c r="E21" i="31" s="1"/>
  <c r="E34" i="31" s="1" a="1"/>
  <c r="E34" i="31" s="1"/>
  <c r="H11" i="31" a="1"/>
  <c r="H11" i="31" s="1"/>
  <c r="M67" i="29"/>
  <c r="K9" i="31" a="1"/>
  <c r="K9" i="31" s="1"/>
  <c r="K21" i="31" a="1"/>
  <c r="K21" i="31" s="1"/>
  <c r="K50" i="31" s="1" a="1"/>
  <c r="K50" i="31" s="1"/>
  <c r="J19" i="31" a="1"/>
  <c r="J19" i="31" s="1"/>
  <c r="J28" i="31" s="1" a="1"/>
  <c r="J28" i="31" s="1"/>
  <c r="H18" i="31" a="1"/>
  <c r="H18" i="31" s="1"/>
  <c r="H35" i="31" s="1" a="1"/>
  <c r="H35" i="31" s="1"/>
  <c r="P52" i="7"/>
  <c r="P54" i="7"/>
  <c r="X51" i="7"/>
  <c r="G19" i="31" a="1"/>
  <c r="G19" i="31" s="1"/>
  <c r="G48" i="31" s="1" a="1"/>
  <c r="G48" i="31" s="1"/>
  <c r="D18" i="31" a="1"/>
  <c r="D18" i="31" s="1"/>
  <c r="D47" i="31" s="1" a="1"/>
  <c r="D47" i="31" s="1"/>
  <c r="G15" i="31" a="1"/>
  <c r="G15" i="31" s="1"/>
  <c r="X50" i="7"/>
  <c r="D13" i="31" a="1"/>
  <c r="D13" i="31" s="1"/>
  <c r="N67" i="29"/>
  <c r="J11" i="31" a="1"/>
  <c r="J11" i="31" s="1"/>
  <c r="E17" i="31" a="1"/>
  <c r="E17" i="31" s="1"/>
  <c r="J7" i="31" a="1"/>
  <c r="J7" i="31" s="1"/>
  <c r="V97" i="23"/>
  <c r="E13" i="31" a="1"/>
  <c r="E13" i="31" s="1"/>
  <c r="M69" i="29"/>
  <c r="V89" i="23"/>
  <c r="H9" i="31" a="1"/>
  <c r="H9" i="31" s="1"/>
  <c r="F7" i="31" a="1"/>
  <c r="F7" i="31" s="1"/>
  <c r="F19" i="31" a="1"/>
  <c r="F19" i="31" s="1"/>
  <c r="F28" i="31" s="1" a="1"/>
  <c r="F28" i="31" s="1"/>
  <c r="M68" i="29"/>
  <c r="J13" i="31" a="1"/>
  <c r="J13" i="31" s="1"/>
  <c r="E15" i="31" a="1"/>
  <c r="E15" i="31" s="1"/>
  <c r="D14" i="31" a="1"/>
  <c r="D14" i="31" s="1"/>
  <c r="J21" i="31" a="1"/>
  <c r="J21" i="31" s="1"/>
  <c r="J34" i="31" s="1" a="1"/>
  <c r="J34" i="31" s="1"/>
  <c r="X53" i="7"/>
  <c r="P53" i="7"/>
  <c r="N68" i="29"/>
  <c r="H19" i="31" a="1"/>
  <c r="H19" i="31" s="1"/>
  <c r="H52" i="31" s="1" a="1"/>
  <c r="H52" i="31" s="1"/>
  <c r="D15" i="31" a="1"/>
  <c r="D15" i="31" s="1"/>
  <c r="V95" i="23"/>
  <c r="D7" i="31" a="1"/>
  <c r="D7" i="31" s="1"/>
  <c r="D11" i="31" a="1"/>
  <c r="D11" i="31" s="1"/>
  <c r="V87" i="23"/>
  <c r="V88" i="23"/>
  <c r="V86" i="23"/>
  <c r="H14" i="31" a="1"/>
  <c r="H14" i="31" s="1"/>
  <c r="N69" i="29"/>
  <c r="I7" i="31" a="1"/>
  <c r="I7" i="31" s="1"/>
  <c r="I11" i="31" a="1"/>
  <c r="I11" i="31" s="1"/>
  <c r="I15" i="31" a="1"/>
  <c r="I15" i="31" s="1"/>
  <c r="P51" i="7"/>
  <c r="X54" i="7"/>
  <c r="E11" i="31" a="1"/>
  <c r="E11" i="31" s="1"/>
  <c r="J17" i="31" a="1"/>
  <c r="J17" i="31" s="1"/>
  <c r="E7" i="31" a="1"/>
  <c r="E7" i="31" s="1"/>
  <c r="K17" i="31" a="1"/>
  <c r="K17" i="31" s="1"/>
  <c r="H17" i="31" a="1"/>
  <c r="H17" i="31" s="1"/>
  <c r="H6" i="31" a="1"/>
  <c r="H6" i="31" s="1"/>
  <c r="G11" i="31" a="1"/>
  <c r="G11" i="31" s="1"/>
  <c r="H13" i="31" a="1"/>
  <c r="H13" i="31" s="1"/>
  <c r="P50" i="7"/>
  <c r="D52" i="31" a="1"/>
  <c r="D52" i="31" s="1"/>
  <c r="V96" i="23"/>
  <c r="V94" i="23"/>
  <c r="D44" i="31" a="1"/>
  <c r="D44" i="31" s="1"/>
  <c r="D32" i="31" a="1"/>
  <c r="D32" i="31" s="1"/>
  <c r="D48" i="31" a="1"/>
  <c r="D48" i="31" s="1"/>
  <c r="D40" i="31" a="1"/>
  <c r="D40" i="31" s="1"/>
  <c r="D36" i="31" a="1"/>
  <c r="D36" i="31" s="1"/>
  <c r="D28" i="31" a="1"/>
  <c r="D28" i="31" s="1"/>
  <c r="K36" i="31" a="1"/>
  <c r="K36" i="31" s="1"/>
  <c r="K52" i="31" a="1"/>
  <c r="K52" i="31" s="1"/>
  <c r="E51" i="31" a="1"/>
  <c r="E51" i="31" s="1"/>
  <c r="H34" i="31" a="1"/>
  <c r="H34" i="31" s="1"/>
  <c r="H54" i="31" a="1"/>
  <c r="H54" i="31" s="1"/>
  <c r="E28" i="31" a="1"/>
  <c r="E28" i="31" s="1"/>
  <c r="E52" i="31" a="1"/>
  <c r="E52" i="31" s="1"/>
  <c r="I48" i="31" a="1"/>
  <c r="I48" i="31" s="1"/>
  <c r="I52" i="31" a="1"/>
  <c r="I52" i="31" s="1"/>
  <c r="F34" i="31" a="1"/>
  <c r="F34" i="31" s="1"/>
  <c r="F54" i="31" a="1"/>
  <c r="F54" i="31" s="1"/>
  <c r="G34" i="31" a="1"/>
  <c r="G34" i="31" s="1"/>
  <c r="G54" i="31" a="1"/>
  <c r="G54" i="31" s="1"/>
  <c r="E31" i="31" a="1"/>
  <c r="E31" i="31" s="1"/>
  <c r="K48" i="31" a="1"/>
  <c r="K48" i="31" s="1"/>
  <c r="K44" i="31" a="1"/>
  <c r="K44" i="31" s="1"/>
  <c r="E12" i="31" a="1"/>
  <c r="E12" i="31" s="1"/>
  <c r="G46" i="31" a="1"/>
  <c r="G46" i="31" s="1"/>
  <c r="E8" i="31" a="1"/>
  <c r="E8" i="31" s="1"/>
  <c r="D20" i="31" a="1"/>
  <c r="D20" i="31" s="1"/>
  <c r="E48" i="31" a="1"/>
  <c r="E48" i="31" s="1"/>
  <c r="E44" i="31" a="1"/>
  <c r="E44" i="31" s="1"/>
  <c r="H20" i="31" a="1"/>
  <c r="H20" i="31" s="1"/>
  <c r="H50" i="31" a="1"/>
  <c r="H50" i="31" s="1"/>
  <c r="D12" i="31" a="1"/>
  <c r="D12" i="31" s="1"/>
  <c r="H16" i="31" a="1"/>
  <c r="H16" i="31" s="1"/>
  <c r="K109" i="29"/>
  <c r="E16" i="31" a="1"/>
  <c r="E16" i="31" s="1"/>
  <c r="K94" i="29"/>
  <c r="K101" i="29"/>
  <c r="F12" i="31" a="1"/>
  <c r="F12" i="31" s="1"/>
  <c r="G50" i="31" a="1"/>
  <c r="G50" i="31" s="1"/>
  <c r="F16" i="31" a="1"/>
  <c r="F16" i="31" s="1"/>
  <c r="E20" i="31" a="1"/>
  <c r="E20" i="31" s="1"/>
  <c r="K95" i="29"/>
  <c r="D16" i="31" a="1"/>
  <c r="D16" i="31" s="1"/>
  <c r="F20" i="31" a="1"/>
  <c r="F20" i="31" s="1"/>
  <c r="K96" i="29"/>
  <c r="K110" i="29"/>
  <c r="H12" i="31" a="1"/>
  <c r="H12" i="31" s="1"/>
  <c r="K87" i="29"/>
  <c r="E40" i="31" a="1"/>
  <c r="E40" i="31" s="1"/>
  <c r="K97" i="29"/>
  <c r="G20" i="31" a="1"/>
  <c r="G20" i="31" s="1"/>
  <c r="G8" i="31" a="1"/>
  <c r="G8" i="31" s="1"/>
  <c r="G12" i="31" a="1"/>
  <c r="G12" i="31" s="1"/>
  <c r="G16" i="31" a="1"/>
  <c r="G16" i="31" s="1"/>
  <c r="K102" i="29"/>
  <c r="E36" i="31" a="1"/>
  <c r="E36" i="31" s="1"/>
  <c r="K28" i="31" a="1"/>
  <c r="K28" i="31" s="1"/>
  <c r="H46" i="31" a="1"/>
  <c r="H46" i="31" s="1"/>
  <c r="I44" i="31" a="1"/>
  <c r="I44" i="31" s="1"/>
  <c r="E35" i="31" a="1"/>
  <c r="E35" i="31" s="1"/>
  <c r="E43" i="31" a="1"/>
  <c r="E43" i="31" s="1"/>
  <c r="K20" i="31" a="1"/>
  <c r="K20" i="31" s="1"/>
  <c r="K53" i="31" s="1" a="1"/>
  <c r="K53" i="31" s="1"/>
  <c r="K12" i="31" a="1"/>
  <c r="K12" i="31" s="1"/>
  <c r="K8" i="31" a="1"/>
  <c r="K8" i="31" s="1"/>
  <c r="K16" i="31" a="1"/>
  <c r="K16" i="31" s="1"/>
  <c r="E32" i="31" a="1"/>
  <c r="E32" i="31" s="1"/>
  <c r="E39" i="31" a="1"/>
  <c r="E39" i="31" s="1"/>
  <c r="E27" i="31" a="1"/>
  <c r="E27" i="31" s="1"/>
  <c r="F18" i="31" a="1"/>
  <c r="F18" i="31" s="1"/>
  <c r="F10" i="31" a="1"/>
  <c r="F10" i="31" s="1"/>
  <c r="F14" i="31" a="1"/>
  <c r="F14" i="31" s="1"/>
  <c r="F6" i="31" a="1"/>
  <c r="F6" i="31" s="1"/>
  <c r="F8" i="31" a="1"/>
  <c r="F8" i="31" s="1"/>
  <c r="K88" i="29"/>
  <c r="F30" i="31" a="1"/>
  <c r="F30" i="31" s="1"/>
  <c r="F42" i="31" a="1"/>
  <c r="F42" i="31" s="1"/>
  <c r="F38" i="31" a="1"/>
  <c r="F38" i="31" s="1"/>
  <c r="I40" i="31" a="1"/>
  <c r="I40" i="31" s="1"/>
  <c r="I36" i="31" a="1"/>
  <c r="I36" i="31" s="1"/>
  <c r="J20" i="31" a="1"/>
  <c r="J20" i="31" s="1"/>
  <c r="J53" i="31" s="1" a="1"/>
  <c r="J53" i="31" s="1"/>
  <c r="J8" i="31" a="1"/>
  <c r="J8" i="31" s="1"/>
  <c r="J16" i="31" a="1"/>
  <c r="J16" i="31" s="1"/>
  <c r="J12" i="31" a="1"/>
  <c r="J12" i="31" s="1"/>
  <c r="K111" i="29"/>
  <c r="I38" i="31" a="1"/>
  <c r="I38" i="31" s="1"/>
  <c r="I30" i="31" a="1"/>
  <c r="I30" i="31" s="1"/>
  <c r="I42" i="31" a="1"/>
  <c r="I42" i="31" s="1"/>
  <c r="I46" i="31" a="1"/>
  <c r="I46" i="31" s="1"/>
  <c r="I34" i="31" a="1"/>
  <c r="I34" i="31" s="1"/>
  <c r="I18" i="31" a="1"/>
  <c r="I18" i="31" s="1"/>
  <c r="J12" i="33" s="1"/>
  <c r="I6" i="31" a="1"/>
  <c r="I6" i="31" s="1"/>
  <c r="G12" i="33" s="1"/>
  <c r="I10" i="31" a="1"/>
  <c r="I10" i="31" s="1"/>
  <c r="H12" i="33" s="1"/>
  <c r="I14" i="31" a="1"/>
  <c r="I14" i="31" s="1"/>
  <c r="I12" i="33" s="1"/>
  <c r="G18" i="31" a="1"/>
  <c r="G18" i="31" s="1"/>
  <c r="J10" i="33" s="1"/>
  <c r="G6" i="31" a="1"/>
  <c r="G6" i="31" s="1"/>
  <c r="G14" i="31" a="1"/>
  <c r="G14" i="31" s="1"/>
  <c r="I10" i="33" s="1"/>
  <c r="G10" i="31" a="1"/>
  <c r="G10" i="31" s="1"/>
  <c r="H10" i="33" s="1"/>
  <c r="D8" i="31" a="1"/>
  <c r="D8" i="31" s="1"/>
  <c r="I32" i="31" a="1"/>
  <c r="I32" i="31" s="1"/>
  <c r="K108" i="29"/>
  <c r="K40" i="31" a="1"/>
  <c r="K40" i="31" s="1"/>
  <c r="H30" i="31" a="1"/>
  <c r="H30" i="31" s="1"/>
  <c r="H42" i="31" a="1"/>
  <c r="H42" i="31" s="1"/>
  <c r="H38" i="31" a="1"/>
  <c r="H38" i="31" s="1"/>
  <c r="I28" i="31" a="1"/>
  <c r="I28" i="31" s="1"/>
  <c r="I50" i="31" a="1"/>
  <c r="I50" i="31" s="1"/>
  <c r="G38" i="31" a="1"/>
  <c r="G38" i="31" s="1"/>
  <c r="G30" i="31" a="1"/>
  <c r="G30" i="31" s="1"/>
  <c r="G42" i="31" a="1"/>
  <c r="G42" i="31" s="1"/>
  <c r="H8" i="31" a="1"/>
  <c r="H8" i="31" s="1"/>
  <c r="J18" i="31" a="1"/>
  <c r="J18" i="31" s="1"/>
  <c r="J14" i="33" s="1"/>
  <c r="J6" i="31" a="1"/>
  <c r="J6" i="31" s="1"/>
  <c r="G14" i="33" s="1"/>
  <c r="J14" i="31" a="1"/>
  <c r="J14" i="31" s="1"/>
  <c r="I14" i="33" s="1"/>
  <c r="J10" i="31" a="1"/>
  <c r="J10" i="31" s="1"/>
  <c r="H14" i="33" s="1"/>
  <c r="K32" i="31" a="1"/>
  <c r="K32" i="31" s="1"/>
  <c r="E47" i="31" a="1"/>
  <c r="E47" i="31" s="1"/>
  <c r="K89" i="29"/>
  <c r="F50" i="31" a="1"/>
  <c r="F50" i="31" s="1"/>
  <c r="K18" i="31" a="1"/>
  <c r="K18" i="31" s="1"/>
  <c r="J16" i="33" s="1"/>
  <c r="K10" i="31" a="1"/>
  <c r="K10" i="31" s="1"/>
  <c r="H16" i="33" s="1"/>
  <c r="K6" i="31" a="1"/>
  <c r="K6" i="31" s="1"/>
  <c r="G16" i="33" s="1"/>
  <c r="K14" i="31" a="1"/>
  <c r="K14" i="31" s="1"/>
  <c r="I16" i="33" s="1"/>
  <c r="I20" i="31" a="1"/>
  <c r="I20" i="31" s="1"/>
  <c r="I53" i="31" s="1" a="1"/>
  <c r="I53" i="31" s="1"/>
  <c r="I16" i="31" a="1"/>
  <c r="I16" i="31" s="1"/>
  <c r="I12" i="31" a="1"/>
  <c r="I12" i="31" s="1"/>
  <c r="I8" i="31" a="1"/>
  <c r="I8" i="31" s="1"/>
  <c r="K90" i="29"/>
  <c r="K104" i="29"/>
  <c r="K103" i="29"/>
  <c r="F46" i="31" a="1"/>
  <c r="F46" i="31" s="1"/>
  <c r="V84" i="23"/>
  <c r="V82" i="23"/>
  <c r="V81" i="23"/>
  <c r="V83" i="23"/>
  <c r="V79" i="23"/>
  <c r="V78" i="23"/>
  <c r="V77" i="23"/>
  <c r="V76" i="23"/>
  <c r="G17" i="33" l="1"/>
  <c r="J18" i="33"/>
  <c r="I18" i="33"/>
  <c r="H18" i="33"/>
  <c r="J15" i="33"/>
  <c r="I15" i="33"/>
  <c r="H17" i="33"/>
  <c r="I17" i="33"/>
  <c r="G15" i="33"/>
  <c r="J17" i="33"/>
  <c r="H15" i="33"/>
  <c r="I13" i="33"/>
  <c r="H13" i="33"/>
  <c r="G13" i="33"/>
  <c r="J13" i="33"/>
  <c r="I11" i="33"/>
  <c r="J11" i="33"/>
  <c r="H11" i="33"/>
  <c r="G10" i="33"/>
  <c r="D46" i="31" a="1"/>
  <c r="D46" i="31" s="1"/>
  <c r="D50" i="31" a="1"/>
  <c r="D50" i="31" s="1"/>
  <c r="D38" i="31" a="1"/>
  <c r="D38" i="31" s="1"/>
  <c r="K54" i="31" a="1"/>
  <c r="K54" i="31" s="1"/>
  <c r="K46" i="31" a="1"/>
  <c r="K46" i="31" s="1"/>
  <c r="D34" i="31" a="1"/>
  <c r="D34" i="31" s="1"/>
  <c r="D54" i="31" a="1"/>
  <c r="D54" i="31" s="1"/>
  <c r="D30" i="31" a="1"/>
  <c r="D30" i="31" s="1"/>
  <c r="O32" i="31"/>
  <c r="E30" i="31" a="1"/>
  <c r="E30" i="31" s="1"/>
  <c r="E46" i="31" a="1"/>
  <c r="E46" i="31" s="1"/>
  <c r="E42" i="31" a="1"/>
  <c r="E42" i="31" s="1"/>
  <c r="E38" i="31" a="1"/>
  <c r="E38" i="31" s="1"/>
  <c r="E54" i="31" a="1"/>
  <c r="E54" i="31" s="1"/>
  <c r="E50" i="31" a="1"/>
  <c r="E50" i="31" s="1"/>
  <c r="K38" i="31" a="1"/>
  <c r="K38" i="31" s="1"/>
  <c r="K42" i="31" a="1"/>
  <c r="K42" i="31" s="1"/>
  <c r="K34" i="31" a="1"/>
  <c r="K34" i="31" s="1"/>
  <c r="K30" i="31" a="1"/>
  <c r="K30" i="31" s="1"/>
  <c r="H27" i="31" a="1"/>
  <c r="H27" i="31" s="1"/>
  <c r="J48" i="31" a="1"/>
  <c r="J48" i="31" s="1"/>
  <c r="J40" i="31" a="1"/>
  <c r="J40" i="31" s="1"/>
  <c r="J32" i="31" a="1"/>
  <c r="J32" i="31" s="1"/>
  <c r="J44" i="31" a="1"/>
  <c r="J44" i="31" s="1"/>
  <c r="J36" i="31" a="1"/>
  <c r="J36" i="31" s="1"/>
  <c r="J52" i="31" a="1"/>
  <c r="J52" i="31" s="1"/>
  <c r="H31" i="31" a="1"/>
  <c r="H31" i="31" s="1"/>
  <c r="H39" i="31" a="1"/>
  <c r="H39" i="31" s="1"/>
  <c r="H51" i="31" a="1"/>
  <c r="H51" i="31" s="1"/>
  <c r="H47" i="31" a="1"/>
  <c r="H47" i="31" s="1"/>
  <c r="H43" i="31" a="1"/>
  <c r="H43" i="31" s="1"/>
  <c r="D31" i="31" a="1"/>
  <c r="D31" i="31" s="1"/>
  <c r="G36" i="31" a="1"/>
  <c r="G36" i="31" s="1"/>
  <c r="G40" i="31" a="1"/>
  <c r="G40" i="31" s="1"/>
  <c r="G32" i="31" a="1"/>
  <c r="G32" i="31" s="1"/>
  <c r="G44" i="31" a="1"/>
  <c r="G44" i="31" s="1"/>
  <c r="G52" i="31" a="1"/>
  <c r="G52" i="31" s="1"/>
  <c r="G28" i="31" a="1"/>
  <c r="G28" i="31" s="1"/>
  <c r="D27" i="31" a="1"/>
  <c r="D27" i="31" s="1"/>
  <c r="D35" i="31" a="1"/>
  <c r="D35" i="31" s="1"/>
  <c r="D39" i="31" a="1"/>
  <c r="D39" i="31" s="1"/>
  <c r="D43" i="31" a="1"/>
  <c r="D43" i="31" s="1"/>
  <c r="D51" i="31" a="1"/>
  <c r="D51" i="31" s="1"/>
  <c r="N32" i="31"/>
  <c r="F40" i="31" a="1"/>
  <c r="F40" i="31" s="1"/>
  <c r="F44" i="31" a="1"/>
  <c r="F44" i="31" s="1"/>
  <c r="H28" i="31" a="1"/>
  <c r="H28" i="31" s="1"/>
  <c r="O25" i="31"/>
  <c r="H44" i="31" a="1"/>
  <c r="H44" i="31" s="1"/>
  <c r="H32" i="31" a="1"/>
  <c r="H32" i="31" s="1"/>
  <c r="H36" i="31" a="1"/>
  <c r="H36" i="31" s="1"/>
  <c r="H48" i="31" a="1"/>
  <c r="H48" i="31" s="1"/>
  <c r="H40" i="31" a="1"/>
  <c r="H40" i="31" s="1"/>
  <c r="Q33" i="31"/>
  <c r="F36" i="31" a="1"/>
  <c r="F36" i="31" s="1"/>
  <c r="J50" i="31" a="1"/>
  <c r="J50" i="31" s="1"/>
  <c r="J30" i="31" a="1"/>
  <c r="J30" i="31" s="1"/>
  <c r="J38" i="31" a="1"/>
  <c r="J38" i="31" s="1"/>
  <c r="J54" i="31" a="1"/>
  <c r="J54" i="31" s="1"/>
  <c r="F52" i="31" a="1"/>
  <c r="F52" i="31" s="1"/>
  <c r="F32" i="31" a="1"/>
  <c r="F32" i="31" s="1"/>
  <c r="F48" i="31" a="1"/>
  <c r="F48" i="31" s="1"/>
  <c r="J46" i="31" a="1"/>
  <c r="J46" i="31" s="1"/>
  <c r="J42" i="31" a="1"/>
  <c r="J42" i="31" s="1"/>
  <c r="N25" i="31"/>
  <c r="N17" i="31"/>
  <c r="Q25" i="31"/>
  <c r="R33" i="31"/>
  <c r="P30" i="31"/>
  <c r="O33" i="31"/>
  <c r="P33" i="31"/>
  <c r="N33" i="31"/>
  <c r="R31" i="31"/>
  <c r="Q30" i="31"/>
  <c r="Q32" i="31"/>
  <c r="G53" i="31" a="1"/>
  <c r="G53" i="31" s="1"/>
  <c r="R32" i="31"/>
  <c r="P32" i="31"/>
  <c r="P31" i="31"/>
  <c r="N31" i="31"/>
  <c r="O31" i="31"/>
  <c r="Q31" i="31"/>
  <c r="R30" i="31"/>
  <c r="O30" i="31"/>
  <c r="N30" i="31"/>
  <c r="R25" i="31"/>
  <c r="R24" i="31"/>
  <c r="R23" i="31"/>
  <c r="R22" i="31"/>
  <c r="P23" i="31"/>
  <c r="P25" i="31"/>
  <c r="N24" i="31"/>
  <c r="O24" i="31"/>
  <c r="P24" i="31"/>
  <c r="Q24" i="31"/>
  <c r="Q23" i="31"/>
  <c r="N23" i="31"/>
  <c r="O23" i="31"/>
  <c r="P22" i="31"/>
  <c r="Q22" i="31"/>
  <c r="O22" i="31"/>
  <c r="N22" i="31"/>
  <c r="R17" i="31"/>
  <c r="R14" i="31"/>
  <c r="J6" i="33"/>
  <c r="J8" i="33"/>
  <c r="J9" i="33"/>
  <c r="S77" i="34" s="1"/>
  <c r="X77" i="34" s="1"/>
  <c r="R16" i="31"/>
  <c r="R15" i="31"/>
  <c r="H9" i="33"/>
  <c r="Q77" i="34" s="1"/>
  <c r="Q16" i="31"/>
  <c r="Q15" i="31"/>
  <c r="Q17" i="31"/>
  <c r="Q14" i="31"/>
  <c r="P14" i="31"/>
  <c r="P16" i="31"/>
  <c r="P15" i="31"/>
  <c r="P17" i="31"/>
  <c r="H8" i="33"/>
  <c r="O16" i="31"/>
  <c r="O17" i="31"/>
  <c r="O15" i="31"/>
  <c r="O14" i="31"/>
  <c r="H6" i="33"/>
  <c r="N16" i="31"/>
  <c r="N15" i="31"/>
  <c r="N14" i="31"/>
  <c r="I8" i="33"/>
  <c r="I9" i="33"/>
  <c r="R77" i="34" s="1"/>
  <c r="W77" i="34" s="1"/>
  <c r="I6" i="33"/>
  <c r="R7" i="31"/>
  <c r="R8" i="31"/>
  <c r="R9" i="31"/>
  <c r="R6" i="31"/>
  <c r="Q6" i="31"/>
  <c r="Q8" i="31"/>
  <c r="Q9" i="31"/>
  <c r="Q7" i="31"/>
  <c r="G9" i="33"/>
  <c r="P77" i="34" s="1"/>
  <c r="U77" i="34" s="1"/>
  <c r="P7" i="31"/>
  <c r="P8" i="31"/>
  <c r="P9" i="31"/>
  <c r="P6" i="31"/>
  <c r="G8" i="33"/>
  <c r="O8" i="31"/>
  <c r="O7" i="31"/>
  <c r="O9" i="31"/>
  <c r="O6" i="31"/>
  <c r="G6" i="33"/>
  <c r="N8" i="31"/>
  <c r="N7" i="31"/>
  <c r="N9" i="31"/>
  <c r="N6" i="31"/>
  <c r="J7" i="33"/>
  <c r="H7" i="33"/>
  <c r="I7" i="33"/>
  <c r="G7" i="33"/>
  <c r="P43" i="34" s="1"/>
  <c r="U43" i="34" s="1"/>
  <c r="E33" i="31" a="1"/>
  <c r="E33" i="31" s="1"/>
  <c r="L8" i="33" s="1"/>
  <c r="K51" i="31" a="1"/>
  <c r="K51" i="31" s="1"/>
  <c r="Q16" i="33" s="1"/>
  <c r="I51" i="31" a="1"/>
  <c r="I51" i="31" s="1"/>
  <c r="Q12" i="33" s="1"/>
  <c r="Q13" i="33" s="1"/>
  <c r="H33" i="31" a="1"/>
  <c r="H33" i="31" s="1"/>
  <c r="H53" i="31" a="1"/>
  <c r="H53" i="31" s="1"/>
  <c r="E37" i="31" a="1"/>
  <c r="E37" i="31" s="1"/>
  <c r="E53" i="31" a="1"/>
  <c r="E53" i="31" s="1"/>
  <c r="J51" i="31" a="1"/>
  <c r="J51" i="31" s="1"/>
  <c r="Q14" i="33" s="1"/>
  <c r="F45" i="31" a="1"/>
  <c r="F45" i="31" s="1"/>
  <c r="F53" i="31" a="1"/>
  <c r="F53" i="31" s="1"/>
  <c r="D41" i="31" a="1"/>
  <c r="D41" i="31" s="1"/>
  <c r="D53" i="31" a="1"/>
  <c r="D53" i="31" s="1"/>
  <c r="G51" i="31" a="1"/>
  <c r="G51" i="31" s="1"/>
  <c r="Q10" i="33" s="1"/>
  <c r="F51" i="31" a="1"/>
  <c r="F51" i="31" s="1"/>
  <c r="D37" i="31" a="1"/>
  <c r="D37" i="31" s="1"/>
  <c r="D33" i="31" a="1"/>
  <c r="D33" i="31" s="1"/>
  <c r="D29" i="31" a="1"/>
  <c r="D29" i="31" s="1"/>
  <c r="D45" i="31" a="1"/>
  <c r="D45" i="31" s="1"/>
  <c r="D49" i="31" a="1"/>
  <c r="D49" i="31" s="1"/>
  <c r="H49" i="31" a="1"/>
  <c r="H49" i="31" s="1"/>
  <c r="E29" i="31" a="1"/>
  <c r="E29" i="31" s="1"/>
  <c r="E45" i="31" a="1"/>
  <c r="E45" i="31" s="1"/>
  <c r="H41" i="31" a="1"/>
  <c r="H41" i="31" s="1"/>
  <c r="E41" i="31" a="1"/>
  <c r="E41" i="31" s="1"/>
  <c r="H29" i="31" a="1"/>
  <c r="H29" i="31" s="1"/>
  <c r="H37" i="31" a="1"/>
  <c r="H37" i="31" s="1"/>
  <c r="E49" i="31" a="1"/>
  <c r="E49" i="31" s="1"/>
  <c r="H45" i="31" a="1"/>
  <c r="H45" i="31" s="1"/>
  <c r="O69" i="29"/>
  <c r="F49" i="31" a="1"/>
  <c r="F49" i="31" s="1"/>
  <c r="F37" i="31" a="1"/>
  <c r="F37" i="31" s="1"/>
  <c r="F33" i="31" a="1"/>
  <c r="F33" i="31" s="1"/>
  <c r="F41" i="31" a="1"/>
  <c r="F41" i="31" s="1"/>
  <c r="F29" i="31" a="1"/>
  <c r="F29" i="31" s="1"/>
  <c r="G35" i="31" a="1"/>
  <c r="G35" i="31" s="1"/>
  <c r="M10" i="33" s="1"/>
  <c r="G43" i="31" a="1"/>
  <c r="G43" i="31" s="1"/>
  <c r="O10" i="33" s="1"/>
  <c r="G31" i="31" a="1"/>
  <c r="G31" i="31" s="1"/>
  <c r="L10" i="33" s="1"/>
  <c r="G39" i="31" a="1"/>
  <c r="G39" i="31" s="1"/>
  <c r="N10" i="33" s="1"/>
  <c r="G47" i="31" a="1"/>
  <c r="G47" i="31" s="1"/>
  <c r="P10" i="33" s="1"/>
  <c r="G27" i="31" a="1"/>
  <c r="G27" i="31" s="1"/>
  <c r="K10" i="33" s="1"/>
  <c r="J41" i="31" a="1"/>
  <c r="J41" i="31" s="1"/>
  <c r="J45" i="31" a="1"/>
  <c r="J45" i="31" s="1"/>
  <c r="J29" i="31" a="1"/>
  <c r="J29" i="31" s="1"/>
  <c r="J49" i="31" a="1"/>
  <c r="J49" i="31" s="1"/>
  <c r="J37" i="31" a="1"/>
  <c r="J37" i="31" s="1"/>
  <c r="J33" i="31" a="1"/>
  <c r="J33" i="31" s="1"/>
  <c r="K43" i="31" a="1"/>
  <c r="K43" i="31" s="1"/>
  <c r="O16" i="33" s="1"/>
  <c r="K35" i="31" a="1"/>
  <c r="K35" i="31" s="1"/>
  <c r="M16" i="33" s="1"/>
  <c r="K27" i="31" a="1"/>
  <c r="K27" i="31" s="1"/>
  <c r="K16" i="33" s="1"/>
  <c r="K39" i="31" a="1"/>
  <c r="K39" i="31" s="1"/>
  <c r="N16" i="33" s="1"/>
  <c r="K31" i="31" a="1"/>
  <c r="K31" i="31" s="1"/>
  <c r="L16" i="33" s="1"/>
  <c r="K47" i="31" a="1"/>
  <c r="K47" i="31" s="1"/>
  <c r="P16" i="33" s="1"/>
  <c r="K41" i="31" a="1"/>
  <c r="K41" i="31" s="1"/>
  <c r="K37" i="31" a="1"/>
  <c r="K37" i="31" s="1"/>
  <c r="K45" i="31" a="1"/>
  <c r="K45" i="31" s="1"/>
  <c r="K29" i="31" a="1"/>
  <c r="K29" i="31" s="1"/>
  <c r="K49" i="31" a="1"/>
  <c r="K49" i="31" s="1"/>
  <c r="K33" i="31" a="1"/>
  <c r="K33" i="31" s="1"/>
  <c r="G41" i="31" a="1"/>
  <c r="G41" i="31" s="1"/>
  <c r="G33" i="31" a="1"/>
  <c r="G33" i="31" s="1"/>
  <c r="G45" i="31" a="1"/>
  <c r="G45" i="31" s="1"/>
  <c r="G37" i="31" a="1"/>
  <c r="G37" i="31" s="1"/>
  <c r="G29" i="31" a="1"/>
  <c r="G29" i="31" s="1"/>
  <c r="G49" i="31" a="1"/>
  <c r="G49" i="31" s="1"/>
  <c r="J35" i="31" a="1"/>
  <c r="J35" i="31" s="1"/>
  <c r="M14" i="33" s="1"/>
  <c r="J43" i="31" a="1"/>
  <c r="J43" i="31" s="1"/>
  <c r="O14" i="33" s="1"/>
  <c r="J31" i="31" a="1"/>
  <c r="J31" i="31" s="1"/>
  <c r="L14" i="33" s="1"/>
  <c r="J39" i="31" a="1"/>
  <c r="J39" i="31" s="1"/>
  <c r="N14" i="33" s="1"/>
  <c r="J47" i="31" a="1"/>
  <c r="J47" i="31" s="1"/>
  <c r="P14" i="33" s="1"/>
  <c r="J27" i="31" a="1"/>
  <c r="J27" i="31" s="1"/>
  <c r="K14" i="33" s="1"/>
  <c r="O68" i="29"/>
  <c r="F43" i="31" a="1"/>
  <c r="F43" i="31" s="1"/>
  <c r="F35" i="31" a="1"/>
  <c r="F35" i="31" s="1"/>
  <c r="F27" i="31" a="1"/>
  <c r="F27" i="31" s="1"/>
  <c r="F39" i="31" a="1"/>
  <c r="F39" i="31" s="1"/>
  <c r="F31" i="31" a="1"/>
  <c r="F31" i="31" s="1"/>
  <c r="F47" i="31" a="1"/>
  <c r="F47" i="31" s="1"/>
  <c r="I35" i="31" a="1"/>
  <c r="I35" i="31" s="1"/>
  <c r="M12" i="33" s="1"/>
  <c r="I43" i="31" a="1"/>
  <c r="I43" i="31" s="1"/>
  <c r="O12" i="33" s="1"/>
  <c r="I47" i="31" a="1"/>
  <c r="I47" i="31" s="1"/>
  <c r="P12" i="33" s="1"/>
  <c r="I27" i="31" a="1"/>
  <c r="I27" i="31" s="1"/>
  <c r="K12" i="33" s="1"/>
  <c r="I39" i="31" a="1"/>
  <c r="I39" i="31" s="1"/>
  <c r="N12" i="33" s="1"/>
  <c r="I31" i="31" a="1"/>
  <c r="I31" i="31" s="1"/>
  <c r="L12" i="33" s="1"/>
  <c r="I41" i="31" a="1"/>
  <c r="I41" i="31" s="1"/>
  <c r="I29" i="31" a="1"/>
  <c r="I29" i="31" s="1"/>
  <c r="I37" i="31" a="1"/>
  <c r="I37" i="31" s="1"/>
  <c r="I33" i="31" a="1"/>
  <c r="I33" i="31" s="1"/>
  <c r="I49" i="31" a="1"/>
  <c r="I49" i="31" s="1"/>
  <c r="I45" i="31" a="1"/>
  <c r="I45" i="31" s="1"/>
  <c r="O67" i="29"/>
  <c r="D18" i="5"/>
  <c r="CX3" i="25"/>
  <c r="K74" i="23"/>
  <c r="J74" i="23"/>
  <c r="I74" i="23"/>
  <c r="H74" i="23"/>
  <c r="G74" i="23"/>
  <c r="F74" i="23"/>
  <c r="E74" i="23"/>
  <c r="D74" i="23"/>
  <c r="F165" i="9"/>
  <c r="F166" i="9" s="1"/>
  <c r="G165" i="9"/>
  <c r="G166" i="9" s="1"/>
  <c r="H165" i="9"/>
  <c r="H166" i="9" s="1"/>
  <c r="I165" i="9"/>
  <c r="I166" i="9" s="1"/>
  <c r="J165" i="9"/>
  <c r="J166" i="9" s="1"/>
  <c r="K165" i="9"/>
  <c r="K166" i="9" s="1"/>
  <c r="L165" i="9"/>
  <c r="L166" i="9" s="1"/>
  <c r="M165" i="9"/>
  <c r="M166" i="9" s="1"/>
  <c r="N165" i="9"/>
  <c r="N166" i="9" s="1"/>
  <c r="O165" i="9"/>
  <c r="O166" i="9" s="1"/>
  <c r="P165" i="9"/>
  <c r="P166" i="9" s="1"/>
  <c r="Q165" i="9"/>
  <c r="Q166" i="9" s="1"/>
  <c r="R165" i="9"/>
  <c r="R166" i="9" s="1"/>
  <c r="S165" i="9"/>
  <c r="S166" i="9" s="1"/>
  <c r="T165" i="9"/>
  <c r="T166" i="9" s="1"/>
  <c r="U165" i="9"/>
  <c r="U166" i="9" s="1"/>
  <c r="V165" i="9"/>
  <c r="V166" i="9" s="1"/>
  <c r="W165" i="9"/>
  <c r="W166" i="9" s="1"/>
  <c r="X165" i="9"/>
  <c r="X166" i="9" s="1"/>
  <c r="Y165" i="9"/>
  <c r="Y166" i="9" s="1"/>
  <c r="Z165" i="9"/>
  <c r="Z166" i="9" s="1"/>
  <c r="AA165" i="9"/>
  <c r="AA166" i="9" s="1"/>
  <c r="AB165" i="9"/>
  <c r="AB166" i="9" s="1"/>
  <c r="AC165" i="9"/>
  <c r="AC166" i="9" s="1"/>
  <c r="AD165" i="9"/>
  <c r="AD166" i="9" s="1"/>
  <c r="AE165" i="9"/>
  <c r="AE166" i="9" s="1"/>
  <c r="AF165" i="9"/>
  <c r="AF166" i="9" s="1"/>
  <c r="AG165" i="9"/>
  <c r="AG166" i="9" s="1"/>
  <c r="AH165" i="9"/>
  <c r="AH166" i="9" s="1"/>
  <c r="AI165" i="9"/>
  <c r="AI166" i="9" s="1"/>
  <c r="AJ165" i="9"/>
  <c r="AJ166" i="9" s="1"/>
  <c r="AK165" i="9"/>
  <c r="AK166" i="9" s="1"/>
  <c r="E165" i="9"/>
  <c r="E166" i="9" s="1"/>
  <c r="CT11" i="25"/>
  <c r="CT13" i="25"/>
  <c r="CT12" i="25"/>
  <c r="CX8" i="25"/>
  <c r="CX7" i="25"/>
  <c r="CX6" i="25"/>
  <c r="CX4" i="25"/>
  <c r="CX5" i="25"/>
  <c r="CX2" i="25"/>
  <c r="CP8" i="25"/>
  <c r="CO8" i="25"/>
  <c r="CN8" i="25"/>
  <c r="CP7" i="25"/>
  <c r="CO7" i="25"/>
  <c r="CN7" i="25"/>
  <c r="CP6" i="25"/>
  <c r="CO6" i="25"/>
  <c r="CN6" i="25"/>
  <c r="CP5" i="25"/>
  <c r="CO5" i="25"/>
  <c r="CN5" i="25"/>
  <c r="CP4" i="25"/>
  <c r="CO4" i="25"/>
  <c r="CN4" i="25"/>
  <c r="CP3" i="25"/>
  <c r="CO3" i="25"/>
  <c r="CN3" i="25"/>
  <c r="CP2" i="25"/>
  <c r="CO2" i="25"/>
  <c r="CN2" i="25"/>
  <c r="R40" i="23"/>
  <c r="R39" i="23"/>
  <c r="R38" i="23"/>
  <c r="R37" i="23"/>
  <c r="Q40" i="23"/>
  <c r="Q39" i="23"/>
  <c r="Q38" i="23"/>
  <c r="Q37" i="23"/>
  <c r="P40" i="23"/>
  <c r="P39" i="23"/>
  <c r="P38" i="23"/>
  <c r="P37" i="23"/>
  <c r="O40" i="23"/>
  <c r="O39" i="23"/>
  <c r="O38" i="23"/>
  <c r="O37" i="23"/>
  <c r="N40" i="23"/>
  <c r="N39" i="23"/>
  <c r="N38" i="23"/>
  <c r="N37" i="23"/>
  <c r="J19" i="33" l="1"/>
  <c r="I19" i="33"/>
  <c r="M18" i="33"/>
  <c r="H19" i="33"/>
  <c r="K18" i="33"/>
  <c r="P18" i="33"/>
  <c r="N18" i="33"/>
  <c r="L18" i="33"/>
  <c r="Q18" i="33"/>
  <c r="O18" i="33"/>
  <c r="G11" i="33"/>
  <c r="G19" i="33" s="1"/>
  <c r="G18" i="33"/>
  <c r="P82" i="34" s="1"/>
  <c r="U82" i="34" s="1"/>
  <c r="M17" i="33"/>
  <c r="P15" i="33"/>
  <c r="K15" i="33"/>
  <c r="N13" i="33"/>
  <c r="P17" i="33"/>
  <c r="L13" i="33"/>
  <c r="Q17" i="33"/>
  <c r="P13" i="33"/>
  <c r="O17" i="33"/>
  <c r="L17" i="33"/>
  <c r="N17" i="33"/>
  <c r="K17" i="33"/>
  <c r="Q15" i="33"/>
  <c r="N15" i="33"/>
  <c r="L15" i="33"/>
  <c r="O15" i="33"/>
  <c r="M15" i="33"/>
  <c r="O13" i="33"/>
  <c r="K13" i="33"/>
  <c r="M13" i="33"/>
  <c r="O11" i="33"/>
  <c r="M11" i="33"/>
  <c r="K11" i="33"/>
  <c r="P11" i="33"/>
  <c r="N11" i="33"/>
  <c r="L11" i="33"/>
  <c r="Q11" i="33"/>
  <c r="P6" i="33"/>
  <c r="P55" i="34"/>
  <c r="P36" i="34"/>
  <c r="U36" i="34" s="1"/>
  <c r="Q55" i="34"/>
  <c r="Q68" i="34"/>
  <c r="V68" i="34" s="1"/>
  <c r="Q33" i="34"/>
  <c r="Q30" i="34"/>
  <c r="P30" i="34"/>
  <c r="P33" i="34"/>
  <c r="S55" i="34"/>
  <c r="R55" i="34"/>
  <c r="S58" i="34"/>
  <c r="R58" i="34"/>
  <c r="S30" i="34"/>
  <c r="S33" i="34"/>
  <c r="R33" i="34"/>
  <c r="R30" i="34"/>
  <c r="V77" i="34"/>
  <c r="S36" i="34"/>
  <c r="S27" i="34" s="1"/>
  <c r="S28" i="34" s="1"/>
  <c r="S68" i="34"/>
  <c r="X68" i="34" s="1"/>
  <c r="S61" i="34"/>
  <c r="X61" i="34" s="1"/>
  <c r="R61" i="34"/>
  <c r="W61" i="34" s="1"/>
  <c r="V62" i="34"/>
  <c r="R68" i="34"/>
  <c r="W68" i="34" s="1"/>
  <c r="P68" i="34"/>
  <c r="P58" i="34" s="1"/>
  <c r="Q43" i="34"/>
  <c r="V43" i="34" s="1"/>
  <c r="Q46" i="34"/>
  <c r="V46" i="34" s="1"/>
  <c r="R43" i="34"/>
  <c r="W43" i="34" s="1"/>
  <c r="R46" i="34"/>
  <c r="W46" i="34" s="1"/>
  <c r="S43" i="34"/>
  <c r="X43" i="34" s="1"/>
  <c r="S46" i="34"/>
  <c r="X46" i="34" s="1"/>
  <c r="R36" i="34"/>
  <c r="R27" i="34" s="1"/>
  <c r="Q36" i="34"/>
  <c r="P46" i="34"/>
  <c r="U46" i="34" s="1"/>
  <c r="Q8" i="33"/>
  <c r="O8" i="33"/>
  <c r="N8" i="33"/>
  <c r="M8" i="33"/>
  <c r="P8" i="33"/>
  <c r="Q9" i="33"/>
  <c r="O6" i="33"/>
  <c r="O9" i="33"/>
  <c r="L6" i="33"/>
  <c r="Q6" i="33"/>
  <c r="M6" i="33"/>
  <c r="N6" i="33"/>
  <c r="P9" i="33"/>
  <c r="M9" i="33"/>
  <c r="L9" i="33"/>
  <c r="N9" i="33"/>
  <c r="Q22" i="34"/>
  <c r="V22" i="34" s="1"/>
  <c r="S22" i="34"/>
  <c r="X22" i="34" s="1"/>
  <c r="R22" i="34"/>
  <c r="W22" i="34" s="1"/>
  <c r="K9" i="33"/>
  <c r="K6" i="33"/>
  <c r="K8" i="33"/>
  <c r="K7" i="33"/>
  <c r="P22" i="34"/>
  <c r="U22" i="34" s="1"/>
  <c r="R82" i="34"/>
  <c r="W82" i="34" s="1"/>
  <c r="P7" i="33"/>
  <c r="M7" i="33"/>
  <c r="Q7" i="33"/>
  <c r="S85" i="34"/>
  <c r="X85" i="34" s="1"/>
  <c r="Q82" i="34"/>
  <c r="V82" i="34" s="1"/>
  <c r="N7" i="33"/>
  <c r="O7" i="33"/>
  <c r="L7" i="33"/>
  <c r="CQ4" i="25"/>
  <c r="CV4" i="25" s="1"/>
  <c r="CQ7" i="25"/>
  <c r="CV7" i="25" s="1"/>
  <c r="CQ5" i="25"/>
  <c r="CV5" i="25" s="1"/>
  <c r="CQ2" i="25"/>
  <c r="CV2" i="25" s="1"/>
  <c r="CQ3" i="25"/>
  <c r="CV3" i="25" s="1"/>
  <c r="CQ6" i="25"/>
  <c r="CV6" i="25" s="1"/>
  <c r="CQ8" i="25"/>
  <c r="CV8" i="25" s="1"/>
  <c r="S40" i="23"/>
  <c r="R50" i="23" s="1"/>
  <c r="S37" i="23"/>
  <c r="N47" i="23" s="1"/>
  <c r="S39" i="23"/>
  <c r="N49" i="23" s="1"/>
  <c r="S38" i="23"/>
  <c r="R48" i="23" s="1"/>
  <c r="K19" i="33" l="1"/>
  <c r="M19" i="33"/>
  <c r="O19" i="33"/>
  <c r="N19" i="33"/>
  <c r="P19" i="33"/>
  <c r="Q19" i="33"/>
  <c r="L19" i="33"/>
  <c r="P27" i="34"/>
  <c r="P28" i="34" s="1"/>
  <c r="P24" i="34"/>
  <c r="P25" i="34" s="1"/>
  <c r="Q61" i="34"/>
  <c r="V61" i="34" s="1"/>
  <c r="Q58" i="34"/>
  <c r="Q59" i="34" s="1"/>
  <c r="V59" i="34" s="1"/>
  <c r="S59" i="34"/>
  <c r="W58" i="34"/>
  <c r="R59" i="34"/>
  <c r="W59" i="34" s="1"/>
  <c r="P59" i="34"/>
  <c r="R24" i="34"/>
  <c r="R25" i="34" s="1"/>
  <c r="R28" i="34"/>
  <c r="Q24" i="34"/>
  <c r="Q25" i="34" s="1"/>
  <c r="V25" i="34" s="1"/>
  <c r="Q27" i="34"/>
  <c r="Q28" i="34" s="1"/>
  <c r="X36" i="34"/>
  <c r="S24" i="34"/>
  <c r="S25" i="34" s="1"/>
  <c r="W36" i="34"/>
  <c r="V36" i="34"/>
  <c r="P61" i="34"/>
  <c r="U61" i="34" s="1"/>
  <c r="U68" i="34"/>
  <c r="U62" i="34"/>
  <c r="X33" i="34"/>
  <c r="X30" i="34"/>
  <c r="W30" i="34"/>
  <c r="W33" i="34"/>
  <c r="V30" i="34"/>
  <c r="V33" i="34"/>
  <c r="U66" i="34"/>
  <c r="V66" i="34"/>
  <c r="X66" i="34"/>
  <c r="Y66" i="34" s="1"/>
  <c r="W66" i="34"/>
  <c r="S84" i="34"/>
  <c r="X84" i="34" s="1"/>
  <c r="S82" i="34"/>
  <c r="X82" i="34" s="1"/>
  <c r="R85" i="34"/>
  <c r="W85" i="34" s="1"/>
  <c r="R84" i="34"/>
  <c r="W84" i="34" s="1"/>
  <c r="Q84" i="34"/>
  <c r="V84" i="34" s="1"/>
  <c r="Q85" i="34"/>
  <c r="V85" i="34" s="1"/>
  <c r="P85" i="34"/>
  <c r="U85" i="34" s="1"/>
  <c r="P84" i="34"/>
  <c r="U84" i="34" s="1"/>
  <c r="R49" i="23"/>
  <c r="P49" i="23"/>
  <c r="O49" i="23"/>
  <c r="Q49" i="23"/>
  <c r="CY8" i="25"/>
  <c r="CM19" i="25" s="1"/>
  <c r="CR19" i="25" s="1"/>
  <c r="CU8" i="25"/>
  <c r="CU4" i="25"/>
  <c r="CY4" i="25"/>
  <c r="CY6" i="25"/>
  <c r="CU6" i="25"/>
  <c r="CU3" i="25"/>
  <c r="CY3" i="25"/>
  <c r="CU2" i="25"/>
  <c r="CY2" i="25"/>
  <c r="CY5" i="25"/>
  <c r="CU5" i="25"/>
  <c r="CU7" i="25"/>
  <c r="CY7" i="25"/>
  <c r="CM18" i="25" s="1"/>
  <c r="CN18" i="25" s="1"/>
  <c r="Q50" i="23"/>
  <c r="P48" i="23"/>
  <c r="N48" i="23"/>
  <c r="R47" i="23"/>
  <c r="P47" i="23"/>
  <c r="Q48" i="23"/>
  <c r="O48" i="23"/>
  <c r="Q47" i="23"/>
  <c r="N50" i="23"/>
  <c r="O47" i="23"/>
  <c r="O50" i="23"/>
  <c r="P50" i="23"/>
  <c r="U24" i="34" l="1"/>
  <c r="V58" i="34"/>
  <c r="W24" i="34"/>
  <c r="V27" i="34"/>
  <c r="V24" i="34"/>
  <c r="X27" i="34"/>
  <c r="W27" i="34"/>
  <c r="X24" i="34"/>
  <c r="U33" i="34"/>
  <c r="U30" i="34"/>
  <c r="U27" i="34"/>
  <c r="X59" i="34"/>
  <c r="X58" i="34"/>
  <c r="U59" i="34"/>
  <c r="U58" i="34"/>
  <c r="W55" i="34"/>
  <c r="V55" i="34"/>
  <c r="U55" i="34"/>
  <c r="X55" i="34"/>
  <c r="Y55" i="34" s="1"/>
  <c r="W56" i="34"/>
  <c r="V56" i="34"/>
  <c r="U56" i="34"/>
  <c r="W25" i="34"/>
  <c r="V34" i="34"/>
  <c r="W34" i="34"/>
  <c r="X34" i="34"/>
  <c r="U34" i="34"/>
  <c r="W31" i="34"/>
  <c r="V31" i="34"/>
  <c r="X31" i="34"/>
  <c r="U31" i="34"/>
  <c r="U28" i="34"/>
  <c r="V28" i="34"/>
  <c r="W28" i="34"/>
  <c r="X28" i="34"/>
  <c r="X25" i="34"/>
  <c r="U25" i="34"/>
  <c r="CM17" i="25"/>
  <c r="CO17" i="25" s="1"/>
  <c r="CQ18" i="25"/>
  <c r="CO18" i="25"/>
  <c r="CQ19" i="25"/>
  <c r="CN19" i="25"/>
  <c r="CP19" i="25"/>
  <c r="CO19" i="25"/>
  <c r="CP18" i="25"/>
  <c r="CM16" i="25"/>
  <c r="CN16" i="25" s="1"/>
  <c r="CR18" i="25"/>
  <c r="O56" i="24" s="1"/>
  <c r="S48" i="23"/>
  <c r="S49" i="23"/>
  <c r="S50" i="23"/>
  <c r="S47" i="23"/>
  <c r="X56" i="34" l="1"/>
  <c r="Y56" i="34" s="1"/>
  <c r="CR17" i="25"/>
  <c r="D6" i="5" s="1"/>
  <c r="CQ17" i="25"/>
  <c r="CP17" i="25"/>
  <c r="CN17" i="25"/>
  <c r="CP16" i="25"/>
  <c r="CO16" i="25"/>
  <c r="CQ16" i="25"/>
  <c r="CR16" i="25"/>
  <c r="D7" i="5"/>
  <c r="O55" i="24" l="1"/>
  <c r="CS16" i="25"/>
  <c r="CS18" i="25"/>
  <c r="CS19" i="25"/>
  <c r="CS17" i="25"/>
  <c r="D5" i="5"/>
  <c r="D4" i="5" s="1"/>
  <c r="O54" i="24"/>
  <c r="X71" i="24" l="1"/>
  <c r="W71" i="24"/>
  <c r="V71" i="24"/>
  <c r="U71" i="24"/>
  <c r="T71" i="24"/>
  <c r="S71" i="24"/>
  <c r="R71" i="24"/>
  <c r="Q71" i="24"/>
  <c r="P71" i="24"/>
  <c r="O71" i="24"/>
  <c r="X70" i="24"/>
  <c r="W70" i="24"/>
  <c r="V70" i="24"/>
  <c r="U70" i="24"/>
  <c r="T70" i="24"/>
  <c r="S70" i="24"/>
  <c r="R70" i="24"/>
  <c r="Q70" i="24"/>
  <c r="P70" i="24"/>
  <c r="O70" i="24"/>
  <c r="X69" i="24"/>
  <c r="W69" i="24"/>
  <c r="V69" i="24"/>
  <c r="U69" i="24"/>
  <c r="T69" i="24"/>
  <c r="S69" i="24"/>
  <c r="R69" i="24"/>
  <c r="Q69" i="24"/>
  <c r="P69" i="24"/>
  <c r="O69" i="24"/>
  <c r="X68" i="24"/>
  <c r="W68" i="24"/>
  <c r="V68" i="24"/>
  <c r="U68" i="24"/>
  <c r="T68" i="24"/>
  <c r="S68" i="24"/>
  <c r="R68" i="24"/>
  <c r="Q68" i="24"/>
  <c r="P68" i="24"/>
  <c r="O68" i="24"/>
  <c r="X67" i="24"/>
  <c r="W67" i="24"/>
  <c r="V67" i="24"/>
  <c r="U67" i="24"/>
  <c r="T67" i="24"/>
  <c r="S67" i="24"/>
  <c r="R67" i="24"/>
  <c r="Q67" i="24"/>
  <c r="P67" i="24"/>
  <c r="O67" i="24"/>
  <c r="T48" i="24"/>
  <c r="S48" i="24"/>
  <c r="R48" i="24"/>
  <c r="Q48" i="24"/>
  <c r="P48" i="24"/>
  <c r="O48" i="24"/>
  <c r="T47" i="24"/>
  <c r="S47" i="24"/>
  <c r="R47" i="24"/>
  <c r="Q47" i="24"/>
  <c r="P47" i="24"/>
  <c r="O47" i="24"/>
  <c r="T46" i="24"/>
  <c r="S46" i="24"/>
  <c r="R46" i="24"/>
  <c r="Q46" i="24"/>
  <c r="P46" i="24"/>
  <c r="O46" i="24"/>
  <c r="AE43" i="24"/>
  <c r="AD43" i="24"/>
  <c r="AC43" i="24"/>
  <c r="AB43" i="24"/>
  <c r="Z43" i="24"/>
  <c r="Y43" i="24"/>
  <c r="X43" i="24"/>
  <c r="W43" i="24"/>
  <c r="V43" i="24"/>
  <c r="U43" i="24"/>
  <c r="T43" i="24"/>
  <c r="S43" i="24"/>
  <c r="R43" i="24"/>
  <c r="Q43" i="24"/>
  <c r="P43" i="24"/>
  <c r="O43" i="24"/>
  <c r="AE42" i="24"/>
  <c r="AD42" i="24"/>
  <c r="AC42" i="24"/>
  <c r="AB42" i="24"/>
  <c r="Z42" i="24"/>
  <c r="Y42" i="24"/>
  <c r="X42" i="24"/>
  <c r="W42" i="24"/>
  <c r="V42" i="24"/>
  <c r="U42" i="24"/>
  <c r="T42" i="24"/>
  <c r="S42" i="24"/>
  <c r="R42" i="24"/>
  <c r="Q42" i="24"/>
  <c r="P42" i="24"/>
  <c r="O42" i="24"/>
  <c r="AE41" i="24"/>
  <c r="AD41" i="24"/>
  <c r="AC41" i="24"/>
  <c r="AB41" i="24"/>
  <c r="Z41" i="24"/>
  <c r="Y41" i="24"/>
  <c r="X41" i="24"/>
  <c r="W41" i="24"/>
  <c r="V41" i="24"/>
  <c r="U41" i="24"/>
  <c r="T41" i="24"/>
  <c r="S41" i="24"/>
  <c r="R41" i="24"/>
  <c r="Q41" i="24"/>
  <c r="P41" i="24"/>
  <c r="O41" i="24"/>
  <c r="AE37" i="24"/>
  <c r="AD37" i="24"/>
  <c r="AC37" i="24"/>
  <c r="AB37" i="24"/>
  <c r="Z37" i="24"/>
  <c r="Y37" i="24"/>
  <c r="X37" i="24"/>
  <c r="W37" i="24"/>
  <c r="V37" i="24"/>
  <c r="U37" i="24"/>
  <c r="T37" i="24"/>
  <c r="S37" i="24"/>
  <c r="R37" i="24"/>
  <c r="Q37" i="24"/>
  <c r="P37" i="24"/>
  <c r="O37" i="24"/>
  <c r="AE36" i="24"/>
  <c r="AD36" i="24"/>
  <c r="AC36" i="24"/>
  <c r="AB36" i="24"/>
  <c r="Z36" i="24"/>
  <c r="Y36" i="24"/>
  <c r="X36" i="24"/>
  <c r="W36" i="24"/>
  <c r="V36" i="24"/>
  <c r="U36" i="24"/>
  <c r="T36" i="24"/>
  <c r="S36" i="24"/>
  <c r="R36" i="24"/>
  <c r="Q36" i="24"/>
  <c r="P36" i="24"/>
  <c r="O36" i="24"/>
  <c r="AE35" i="24"/>
  <c r="AD35" i="24"/>
  <c r="AC35" i="24"/>
  <c r="AB35" i="24"/>
  <c r="Z35" i="24"/>
  <c r="Y35" i="24"/>
  <c r="X35" i="24"/>
  <c r="W35" i="24"/>
  <c r="V35" i="24"/>
  <c r="U35" i="24"/>
  <c r="T35" i="24"/>
  <c r="S35" i="24"/>
  <c r="R35" i="24"/>
  <c r="Q35" i="24"/>
  <c r="P35" i="24"/>
  <c r="O35" i="24"/>
  <c r="AE34" i="24"/>
  <c r="AD34" i="24"/>
  <c r="AC34" i="24"/>
  <c r="AB34" i="24"/>
  <c r="Z34" i="24"/>
  <c r="Y34" i="24"/>
  <c r="X34" i="24"/>
  <c r="W34" i="24"/>
  <c r="V34" i="24"/>
  <c r="U34" i="24"/>
  <c r="T34" i="24"/>
  <c r="S34" i="24"/>
  <c r="R34" i="24"/>
  <c r="Q34" i="24"/>
  <c r="P34" i="24"/>
  <c r="O34" i="24"/>
  <c r="J34" i="24"/>
  <c r="I34" i="24"/>
  <c r="H34" i="24"/>
  <c r="G34" i="24"/>
  <c r="F34" i="24"/>
  <c r="E34" i="24"/>
  <c r="D34" i="24"/>
  <c r="AE33" i="24"/>
  <c r="AD33" i="24"/>
  <c r="AC33" i="24"/>
  <c r="AB33" i="24"/>
  <c r="Z33" i="24"/>
  <c r="Y33" i="24"/>
  <c r="X33" i="24"/>
  <c r="W33" i="24"/>
  <c r="V33" i="24"/>
  <c r="U33" i="24"/>
  <c r="T33" i="24"/>
  <c r="S33" i="24"/>
  <c r="R33" i="24"/>
  <c r="Q33" i="24"/>
  <c r="P33" i="24"/>
  <c r="O33" i="24"/>
  <c r="J33" i="24"/>
  <c r="I33" i="24"/>
  <c r="H33" i="24"/>
  <c r="G33" i="24"/>
  <c r="F33" i="24"/>
  <c r="E33" i="24"/>
  <c r="D33" i="24"/>
  <c r="J32" i="24"/>
  <c r="I32" i="24"/>
  <c r="H32" i="24"/>
  <c r="G32" i="24"/>
  <c r="F32" i="24"/>
  <c r="E32" i="24"/>
  <c r="D32" i="24"/>
  <c r="J29" i="24"/>
  <c r="I29" i="24"/>
  <c r="H29" i="24"/>
  <c r="G29" i="24"/>
  <c r="F29" i="24"/>
  <c r="E29" i="24"/>
  <c r="D29" i="24"/>
  <c r="J28" i="24"/>
  <c r="I28" i="24"/>
  <c r="H28" i="24"/>
  <c r="G28" i="24"/>
  <c r="F28" i="24"/>
  <c r="E28" i="24"/>
  <c r="D28" i="24"/>
  <c r="J27" i="24"/>
  <c r="I27" i="24"/>
  <c r="H27" i="24"/>
  <c r="G27" i="24"/>
  <c r="F27" i="24"/>
  <c r="E27" i="24"/>
  <c r="D27" i="24"/>
  <c r="J26" i="24"/>
  <c r="I26" i="24"/>
  <c r="H26" i="24"/>
  <c r="G26" i="24"/>
  <c r="F26" i="24"/>
  <c r="E26" i="24"/>
  <c r="D26" i="24"/>
  <c r="J25" i="24"/>
  <c r="I25" i="24"/>
  <c r="H25" i="24"/>
  <c r="G25" i="24"/>
  <c r="F25" i="24"/>
  <c r="E25" i="24"/>
  <c r="D25" i="24"/>
  <c r="J24" i="24"/>
  <c r="I24" i="24"/>
  <c r="H24" i="24"/>
  <c r="G24" i="24"/>
  <c r="F24" i="24"/>
  <c r="E24" i="24"/>
  <c r="D24" i="24"/>
  <c r="J23" i="24"/>
  <c r="I23" i="24"/>
  <c r="H23" i="24"/>
  <c r="G23" i="24"/>
  <c r="F23" i="24"/>
  <c r="E23" i="24"/>
  <c r="D23" i="24"/>
  <c r="J22" i="24"/>
  <c r="I22" i="24"/>
  <c r="H22" i="24"/>
  <c r="G22" i="24"/>
  <c r="F22" i="24"/>
  <c r="E22" i="24"/>
  <c r="D22" i="24"/>
  <c r="J21" i="24"/>
  <c r="I21" i="24"/>
  <c r="H21" i="24"/>
  <c r="G21" i="24"/>
  <c r="F21" i="24"/>
  <c r="E21" i="24"/>
  <c r="D21" i="24"/>
  <c r="J20" i="24"/>
  <c r="I20" i="24"/>
  <c r="H20" i="24"/>
  <c r="G20" i="24"/>
  <c r="F20" i="24"/>
  <c r="E20" i="24"/>
  <c r="D20" i="24"/>
  <c r="J19" i="24"/>
  <c r="I19" i="24"/>
  <c r="H19" i="24"/>
  <c r="G19" i="24"/>
  <c r="F19" i="24"/>
  <c r="E19" i="24"/>
  <c r="D19" i="24"/>
  <c r="J18" i="24"/>
  <c r="I18" i="24"/>
  <c r="H18" i="24"/>
  <c r="G18" i="24"/>
  <c r="F18" i="24"/>
  <c r="E18" i="24"/>
  <c r="D18" i="24"/>
  <c r="J17" i="24"/>
  <c r="I17" i="24"/>
  <c r="H17" i="24"/>
  <c r="G17" i="24"/>
  <c r="F17" i="24"/>
  <c r="E17" i="24"/>
  <c r="D17" i="24"/>
  <c r="J16" i="24"/>
  <c r="I16" i="24"/>
  <c r="H16" i="24"/>
  <c r="G16" i="24"/>
  <c r="F16" i="24"/>
  <c r="E16" i="24"/>
  <c r="D16" i="24"/>
  <c r="J15" i="24"/>
  <c r="I15" i="24"/>
  <c r="H15" i="24"/>
  <c r="G15" i="24"/>
  <c r="F15" i="24"/>
  <c r="E15" i="24"/>
  <c r="D15" i="24"/>
  <c r="J14" i="24"/>
  <c r="I14" i="24"/>
  <c r="H14" i="24"/>
  <c r="G14" i="24"/>
  <c r="F14" i="24"/>
  <c r="E14" i="24"/>
  <c r="D14" i="24"/>
  <c r="J13" i="24"/>
  <c r="I13" i="24"/>
  <c r="H13" i="24"/>
  <c r="G13" i="24"/>
  <c r="F13" i="24"/>
  <c r="E13" i="24"/>
  <c r="D13" i="24"/>
  <c r="J12" i="24"/>
  <c r="I12" i="24"/>
  <c r="H12" i="24"/>
  <c r="G12" i="24"/>
  <c r="F12" i="24"/>
  <c r="E12" i="24"/>
  <c r="D12" i="24"/>
  <c r="J11" i="24"/>
  <c r="I11" i="24"/>
  <c r="H11" i="24"/>
  <c r="G11" i="24"/>
  <c r="F11" i="24"/>
  <c r="E11" i="24"/>
  <c r="D11" i="24"/>
  <c r="J10" i="24"/>
  <c r="I10" i="24"/>
  <c r="H10" i="24"/>
  <c r="G10" i="24"/>
  <c r="F10" i="24"/>
  <c r="E10" i="24"/>
  <c r="D10" i="24"/>
  <c r="J9" i="24"/>
  <c r="I9" i="24"/>
  <c r="H9" i="24"/>
  <c r="G9" i="24"/>
  <c r="F9" i="24"/>
  <c r="E9" i="24"/>
  <c r="D9" i="24"/>
  <c r="J8" i="24"/>
  <c r="I8" i="24"/>
  <c r="H8" i="24"/>
  <c r="G8" i="24"/>
  <c r="F8" i="24"/>
  <c r="E8" i="24"/>
  <c r="D8" i="24"/>
  <c r="J7" i="24"/>
  <c r="I7" i="24"/>
  <c r="H7" i="24"/>
  <c r="G7" i="24"/>
  <c r="F7" i="24"/>
  <c r="E7" i="24"/>
  <c r="D7" i="24"/>
  <c r="J6" i="24"/>
  <c r="I6" i="24"/>
  <c r="H6" i="24"/>
  <c r="G6" i="24"/>
  <c r="F6" i="24"/>
  <c r="E6" i="24"/>
  <c r="D6" i="24"/>
  <c r="J5" i="24"/>
  <c r="I5" i="24"/>
  <c r="H5" i="24"/>
  <c r="G5" i="24"/>
  <c r="F5" i="24"/>
  <c r="E5" i="24"/>
  <c r="D5" i="24"/>
  <c r="J4" i="24"/>
  <c r="I4" i="24"/>
  <c r="H4" i="24"/>
  <c r="G4" i="24"/>
  <c r="F4" i="24"/>
  <c r="E4" i="24"/>
  <c r="D4" i="24"/>
  <c r="K32" i="24" l="1"/>
  <c r="K34" i="24"/>
  <c r="K33" i="24"/>
  <c r="BB30" i="23" l="1"/>
  <c r="BA30" i="23"/>
  <c r="AZ30" i="23"/>
  <c r="AY30" i="23"/>
  <c r="AX30" i="23"/>
  <c r="AW30" i="23"/>
  <c r="AV30" i="23"/>
  <c r="AU30" i="23"/>
  <c r="BB29" i="23"/>
  <c r="BA29" i="23"/>
  <c r="AZ29" i="23"/>
  <c r="AY29" i="23"/>
  <c r="AX29" i="23"/>
  <c r="AW29" i="23"/>
  <c r="AV29" i="23"/>
  <c r="AU29" i="23"/>
  <c r="BB28" i="23"/>
  <c r="BA28" i="23"/>
  <c r="AZ28" i="23"/>
  <c r="AY28" i="23"/>
  <c r="AX28" i="23"/>
  <c r="AW28" i="23"/>
  <c r="AV28" i="23"/>
  <c r="AU28" i="23"/>
  <c r="BB27" i="23"/>
  <c r="BA27" i="23"/>
  <c r="AZ27" i="23"/>
  <c r="AY27" i="23"/>
  <c r="AX27" i="23"/>
  <c r="AW27" i="23"/>
  <c r="AV27" i="23"/>
  <c r="AU27" i="23"/>
  <c r="BB26" i="23"/>
  <c r="BA26" i="23"/>
  <c r="AZ26" i="23"/>
  <c r="AY26" i="23"/>
  <c r="AX26" i="23"/>
  <c r="AW26" i="23"/>
  <c r="AV26" i="23"/>
  <c r="AU26" i="23"/>
  <c r="BB25" i="23"/>
  <c r="BA25" i="23"/>
  <c r="AZ25" i="23"/>
  <c r="AY25" i="23"/>
  <c r="AX25" i="23"/>
  <c r="AW25" i="23"/>
  <c r="AV25" i="23"/>
  <c r="AU25" i="23"/>
  <c r="BB24" i="23"/>
  <c r="BA24" i="23"/>
  <c r="AZ24" i="23"/>
  <c r="AY24" i="23"/>
  <c r="AX24" i="23"/>
  <c r="AW24" i="23"/>
  <c r="AV24" i="23"/>
  <c r="AU24" i="23"/>
  <c r="BB23" i="23"/>
  <c r="BA23" i="23"/>
  <c r="AZ23" i="23"/>
  <c r="AY23" i="23"/>
  <c r="AX23" i="23"/>
  <c r="AW23" i="23"/>
  <c r="AV23" i="23"/>
  <c r="AU23" i="23"/>
  <c r="BB22" i="23"/>
  <c r="BA22" i="23"/>
  <c r="AZ22" i="23"/>
  <c r="AY22" i="23"/>
  <c r="AX22" i="23"/>
  <c r="AW22" i="23"/>
  <c r="AV22" i="23"/>
  <c r="AU22" i="23"/>
  <c r="BB21" i="23"/>
  <c r="BA21" i="23"/>
  <c r="AZ21" i="23"/>
  <c r="AY21" i="23"/>
  <c r="AX21" i="23"/>
  <c r="AW21" i="23"/>
  <c r="AV21" i="23"/>
  <c r="AU21" i="23"/>
  <c r="BB20" i="23"/>
  <c r="BA20" i="23"/>
  <c r="AZ20" i="23"/>
  <c r="AY20" i="23"/>
  <c r="AX20" i="23"/>
  <c r="AW20" i="23"/>
  <c r="AV20" i="23"/>
  <c r="AU20" i="23"/>
  <c r="BB19" i="23"/>
  <c r="BA19" i="23"/>
  <c r="AZ19" i="23"/>
  <c r="AY19" i="23"/>
  <c r="AX19" i="23"/>
  <c r="AW19" i="23"/>
  <c r="AV19" i="23"/>
  <c r="AU19" i="23"/>
  <c r="BB18" i="23"/>
  <c r="BA18" i="23"/>
  <c r="AZ18" i="23"/>
  <c r="AY18" i="23"/>
  <c r="AX18" i="23"/>
  <c r="AW18" i="23"/>
  <c r="AV18" i="23"/>
  <c r="AU18" i="23"/>
  <c r="BB17" i="23"/>
  <c r="BA17" i="23"/>
  <c r="AZ17" i="23"/>
  <c r="AY17" i="23"/>
  <c r="AX17" i="23"/>
  <c r="AW17" i="23"/>
  <c r="AV17" i="23"/>
  <c r="AU17" i="23"/>
  <c r="BB16" i="23"/>
  <c r="BA16" i="23"/>
  <c r="AZ16" i="23"/>
  <c r="AY16" i="23"/>
  <c r="AX16" i="23"/>
  <c r="AW16" i="23"/>
  <c r="AV16" i="23"/>
  <c r="AU16" i="23"/>
  <c r="BB15" i="23"/>
  <c r="BA15" i="23"/>
  <c r="AZ15" i="23"/>
  <c r="AY15" i="23"/>
  <c r="AX15" i="23"/>
  <c r="AW15" i="23"/>
  <c r="AV15" i="23"/>
  <c r="AU15" i="23"/>
  <c r="BB14" i="23"/>
  <c r="BA14" i="23"/>
  <c r="AZ14" i="23"/>
  <c r="AY14" i="23"/>
  <c r="AX14" i="23"/>
  <c r="AW14" i="23"/>
  <c r="AV14" i="23"/>
  <c r="AU14" i="23"/>
  <c r="BB13" i="23"/>
  <c r="BA13" i="23"/>
  <c r="AZ13" i="23"/>
  <c r="AY13" i="23"/>
  <c r="AX13" i="23"/>
  <c r="AW13" i="23"/>
  <c r="AV13" i="23"/>
  <c r="AU13" i="23"/>
  <c r="BB12" i="23"/>
  <c r="BA12" i="23"/>
  <c r="AZ12" i="23"/>
  <c r="AY12" i="23"/>
  <c r="AX12" i="23"/>
  <c r="AW12" i="23"/>
  <c r="AV12" i="23"/>
  <c r="AU12" i="23"/>
  <c r="BB11" i="23"/>
  <c r="BA11" i="23"/>
  <c r="AZ11" i="23"/>
  <c r="AY11" i="23"/>
  <c r="AX11" i="23"/>
  <c r="AW11" i="23"/>
  <c r="AV11" i="23"/>
  <c r="AU11" i="23"/>
  <c r="BB10" i="23"/>
  <c r="BA10" i="23"/>
  <c r="AZ10" i="23"/>
  <c r="AY10" i="23"/>
  <c r="AX10" i="23"/>
  <c r="AW10" i="23"/>
  <c r="AV10" i="23"/>
  <c r="AU10" i="23"/>
  <c r="BB9" i="23"/>
  <c r="BA9" i="23"/>
  <c r="AZ9" i="23"/>
  <c r="AY9" i="23"/>
  <c r="AX9" i="23"/>
  <c r="AW9" i="23"/>
  <c r="AV9" i="23"/>
  <c r="AU9" i="23"/>
  <c r="BB8" i="23"/>
  <c r="BA8" i="23"/>
  <c r="AZ8" i="23"/>
  <c r="AY8" i="23"/>
  <c r="AX8" i="23"/>
  <c r="AW8" i="23"/>
  <c r="AV8" i="23"/>
  <c r="AU8" i="23"/>
  <c r="BB7" i="23"/>
  <c r="BA7" i="23"/>
  <c r="AZ7" i="23"/>
  <c r="AY7" i="23"/>
  <c r="AX7" i="23"/>
  <c r="AW7" i="23"/>
  <c r="AV7" i="23"/>
  <c r="AU7" i="23"/>
  <c r="BB6" i="23"/>
  <c r="BA6" i="23"/>
  <c r="AZ6" i="23"/>
  <c r="AY6" i="23"/>
  <c r="AX6" i="23"/>
  <c r="AW6" i="23"/>
  <c r="AV6" i="23"/>
  <c r="AU6" i="23"/>
  <c r="BB5" i="23"/>
  <c r="BA5" i="23"/>
  <c r="AZ5" i="23"/>
  <c r="AY5" i="23"/>
  <c r="AX5" i="23"/>
  <c r="AW5" i="23"/>
  <c r="AV5" i="23"/>
  <c r="AU5" i="23"/>
  <c r="D22" i="23"/>
  <c r="AM32" i="23"/>
  <c r="AN32" i="23"/>
  <c r="AO32" i="23"/>
  <c r="AP32" i="23"/>
  <c r="AQ32" i="23"/>
  <c r="AR32" i="23"/>
  <c r="AS32" i="23"/>
  <c r="AT32" i="23"/>
  <c r="AE32" i="23"/>
  <c r="AF32" i="23"/>
  <c r="AG32" i="23"/>
  <c r="AH32" i="23"/>
  <c r="AI32" i="23"/>
  <c r="AJ32" i="23"/>
  <c r="AK32" i="23"/>
  <c r="AL32" i="23"/>
  <c r="AC32" i="23"/>
  <c r="AD32" i="23"/>
  <c r="AA32" i="23"/>
  <c r="AB32" i="23"/>
  <c r="Z32" i="23"/>
  <c r="Y32" i="23"/>
  <c r="W32" i="23"/>
  <c r="X32" i="23"/>
  <c r="V32" i="23"/>
  <c r="R32" i="23"/>
  <c r="S32" i="23"/>
  <c r="T32" i="23"/>
  <c r="U32" i="23"/>
  <c r="Q32" i="23"/>
  <c r="P32" i="23"/>
  <c r="O32" i="23"/>
  <c r="M32" i="23"/>
  <c r="N32" i="23"/>
  <c r="J32" i="23"/>
  <c r="K32" i="23"/>
  <c r="L32" i="23"/>
  <c r="I32" i="23"/>
  <c r="H32" i="23"/>
  <c r="E32" i="23"/>
  <c r="F29" i="23" s="1"/>
  <c r="E70" i="23"/>
  <c r="F70" i="23"/>
  <c r="G70" i="23"/>
  <c r="H70" i="23"/>
  <c r="I70" i="23"/>
  <c r="J70" i="23"/>
  <c r="K70" i="23"/>
  <c r="E71" i="23"/>
  <c r="F71" i="23"/>
  <c r="G71" i="23"/>
  <c r="H71" i="23"/>
  <c r="I71" i="23"/>
  <c r="J71" i="23"/>
  <c r="K71" i="23"/>
  <c r="E72" i="23"/>
  <c r="F72" i="23"/>
  <c r="G72" i="23"/>
  <c r="H72" i="23"/>
  <c r="I72" i="23"/>
  <c r="J72" i="23"/>
  <c r="K72" i="23"/>
  <c r="E73" i="23"/>
  <c r="F73" i="23"/>
  <c r="G73" i="23"/>
  <c r="H73" i="23"/>
  <c r="I73" i="23"/>
  <c r="J73" i="23"/>
  <c r="K73" i="23"/>
  <c r="E75" i="23"/>
  <c r="F75" i="23"/>
  <c r="G75" i="23"/>
  <c r="H75" i="23"/>
  <c r="I75" i="23"/>
  <c r="J75" i="23"/>
  <c r="K75" i="23"/>
  <c r="E76" i="23"/>
  <c r="F76" i="23"/>
  <c r="G76" i="23"/>
  <c r="H76" i="23"/>
  <c r="I76" i="23"/>
  <c r="J76" i="23"/>
  <c r="K76" i="23"/>
  <c r="E77" i="23"/>
  <c r="F77" i="23"/>
  <c r="G77" i="23"/>
  <c r="H77" i="23"/>
  <c r="I77" i="23"/>
  <c r="J77" i="23"/>
  <c r="K77" i="23"/>
  <c r="E78" i="23"/>
  <c r="F78" i="23"/>
  <c r="G78" i="23"/>
  <c r="H78" i="23"/>
  <c r="I78" i="23"/>
  <c r="J78" i="23"/>
  <c r="K78" i="23"/>
  <c r="E79" i="23"/>
  <c r="F79" i="23"/>
  <c r="G79" i="23"/>
  <c r="H79" i="23"/>
  <c r="I79" i="23"/>
  <c r="J79" i="23"/>
  <c r="K79" i="23"/>
  <c r="E80" i="23"/>
  <c r="F80" i="23"/>
  <c r="G80" i="23"/>
  <c r="H80" i="23"/>
  <c r="I80" i="23"/>
  <c r="J80" i="23"/>
  <c r="K80" i="23"/>
  <c r="E81" i="23"/>
  <c r="F81" i="23"/>
  <c r="G81" i="23"/>
  <c r="H81" i="23"/>
  <c r="I81" i="23"/>
  <c r="J81" i="23"/>
  <c r="K81" i="23"/>
  <c r="E82" i="23"/>
  <c r="F82" i="23"/>
  <c r="G82" i="23"/>
  <c r="H82" i="23"/>
  <c r="I82" i="23"/>
  <c r="J82" i="23"/>
  <c r="K82" i="23"/>
  <c r="E83" i="23"/>
  <c r="F83" i="23"/>
  <c r="G83" i="23"/>
  <c r="H83" i="23"/>
  <c r="I83" i="23"/>
  <c r="J83" i="23"/>
  <c r="K83" i="23"/>
  <c r="E84" i="23"/>
  <c r="F84" i="23"/>
  <c r="G84" i="23"/>
  <c r="H84" i="23"/>
  <c r="I84" i="23"/>
  <c r="J84" i="23"/>
  <c r="K84" i="23"/>
  <c r="E85" i="23"/>
  <c r="F85" i="23"/>
  <c r="G85" i="23"/>
  <c r="H85" i="23"/>
  <c r="I85" i="23"/>
  <c r="J85" i="23"/>
  <c r="K85" i="23"/>
  <c r="E86" i="23"/>
  <c r="F86" i="23"/>
  <c r="G86" i="23"/>
  <c r="H86" i="23"/>
  <c r="I86" i="23"/>
  <c r="J86" i="23"/>
  <c r="K86" i="23"/>
  <c r="E87" i="23"/>
  <c r="F87" i="23"/>
  <c r="G87" i="23"/>
  <c r="H87" i="23"/>
  <c r="I87" i="23"/>
  <c r="J87" i="23"/>
  <c r="K87" i="23"/>
  <c r="E88" i="23"/>
  <c r="F88" i="23"/>
  <c r="G88" i="23"/>
  <c r="H88" i="23"/>
  <c r="I88" i="23"/>
  <c r="J88" i="23"/>
  <c r="K88" i="23"/>
  <c r="E89" i="23"/>
  <c r="F89" i="23"/>
  <c r="G89" i="23"/>
  <c r="H89" i="23"/>
  <c r="I89" i="23"/>
  <c r="J89" i="23"/>
  <c r="K89" i="23"/>
  <c r="E90" i="23"/>
  <c r="F90" i="23"/>
  <c r="G90" i="23"/>
  <c r="H90" i="23"/>
  <c r="I90" i="23"/>
  <c r="J90" i="23"/>
  <c r="K90" i="23"/>
  <c r="E91" i="23"/>
  <c r="F91" i="23"/>
  <c r="G91" i="23"/>
  <c r="H91" i="23"/>
  <c r="I91" i="23"/>
  <c r="J91" i="23"/>
  <c r="K91" i="23"/>
  <c r="E92" i="23"/>
  <c r="F92" i="23"/>
  <c r="G92" i="23"/>
  <c r="H92" i="23"/>
  <c r="I92" i="23"/>
  <c r="J92" i="23"/>
  <c r="K92" i="23"/>
  <c r="E93" i="23"/>
  <c r="F93" i="23"/>
  <c r="G93" i="23"/>
  <c r="H93" i="23"/>
  <c r="I93" i="23"/>
  <c r="J93" i="23"/>
  <c r="K93" i="23"/>
  <c r="E94" i="23"/>
  <c r="F94" i="23"/>
  <c r="G94" i="23"/>
  <c r="H94" i="23"/>
  <c r="I94" i="23"/>
  <c r="J94" i="23"/>
  <c r="K94" i="23"/>
  <c r="E95" i="23"/>
  <c r="F95" i="23"/>
  <c r="G95" i="23"/>
  <c r="H95" i="23"/>
  <c r="I95" i="23"/>
  <c r="J95" i="23"/>
  <c r="K95" i="23"/>
  <c r="D95" i="23"/>
  <c r="D94" i="23"/>
  <c r="D93" i="23"/>
  <c r="D92" i="23"/>
  <c r="D91" i="23"/>
  <c r="D90" i="23"/>
  <c r="D89" i="23"/>
  <c r="D88" i="23"/>
  <c r="D87" i="23"/>
  <c r="D86" i="23"/>
  <c r="D85" i="23"/>
  <c r="D84" i="23"/>
  <c r="D83" i="23"/>
  <c r="D82" i="23"/>
  <c r="D81" i="23"/>
  <c r="D80" i="23"/>
  <c r="D79" i="23"/>
  <c r="D78" i="23"/>
  <c r="D77" i="23"/>
  <c r="D76" i="23"/>
  <c r="D75" i="23"/>
  <c r="D73" i="23"/>
  <c r="D72" i="23"/>
  <c r="D71" i="23"/>
  <c r="D70" i="23"/>
  <c r="AV31" i="23" l="1"/>
  <c r="BA31" i="23"/>
  <c r="AZ31" i="23"/>
  <c r="BB31" i="23"/>
  <c r="AY31" i="23"/>
  <c r="AW31" i="23"/>
  <c r="AX31" i="23"/>
  <c r="BC30" i="23"/>
  <c r="BC14" i="23"/>
  <c r="F6" i="23"/>
  <c r="F14" i="23"/>
  <c r="BC5" i="23"/>
  <c r="BC6" i="23"/>
  <c r="BC7" i="23"/>
  <c r="BC8" i="23"/>
  <c r="BC9" i="23"/>
  <c r="BC10" i="23"/>
  <c r="BC11" i="23"/>
  <c r="BC12" i="23"/>
  <c r="BC13" i="23"/>
  <c r="BC15" i="23"/>
  <c r="BC16" i="23"/>
  <c r="BC17" i="23"/>
  <c r="BC18" i="23"/>
  <c r="BC19" i="23"/>
  <c r="BC20" i="23"/>
  <c r="BC21" i="23"/>
  <c r="BC22" i="23"/>
  <c r="BC23" i="23"/>
  <c r="BC24" i="23"/>
  <c r="BC25" i="23"/>
  <c r="BC26" i="23"/>
  <c r="BC27" i="23"/>
  <c r="BC28" i="23"/>
  <c r="F30" i="23"/>
  <c r="AU31" i="23"/>
  <c r="BC29" i="23"/>
  <c r="F22" i="23"/>
  <c r="O84" i="24"/>
  <c r="P84" i="24" s="1"/>
  <c r="Q84" i="24" s="1"/>
  <c r="R84" i="24" s="1"/>
  <c r="S84" i="24" s="1"/>
  <c r="T84" i="24" s="1"/>
  <c r="U84" i="24" s="1"/>
  <c r="V84" i="24" s="1"/>
  <c r="W84" i="24" s="1"/>
  <c r="X84" i="24" s="1"/>
  <c r="O93" i="24"/>
  <c r="P93" i="24" s="1"/>
  <c r="Q93" i="24" s="1"/>
  <c r="R93" i="24" s="1"/>
  <c r="S93" i="24" s="1"/>
  <c r="T93" i="24" s="1"/>
  <c r="U93" i="24" s="1"/>
  <c r="V93" i="24" s="1"/>
  <c r="W93" i="24" s="1"/>
  <c r="X93" i="24" s="1"/>
  <c r="F15" i="23"/>
  <c r="F24" i="23"/>
  <c r="F9" i="23"/>
  <c r="F17" i="23"/>
  <c r="F25" i="23"/>
  <c r="F23" i="23"/>
  <c r="F16" i="23"/>
  <c r="F10" i="23"/>
  <c r="F18" i="23"/>
  <c r="F26" i="23"/>
  <c r="F7" i="23"/>
  <c r="F8" i="23"/>
  <c r="F11" i="23"/>
  <c r="F19" i="23"/>
  <c r="F27" i="23"/>
  <c r="F12" i="23"/>
  <c r="F20" i="23"/>
  <c r="F28" i="23"/>
  <c r="F5" i="23"/>
  <c r="F13" i="23"/>
  <c r="F21" i="23"/>
  <c r="B45" i="10"/>
  <c r="C45" i="10"/>
  <c r="D45" i="10"/>
  <c r="D44" i="10"/>
  <c r="C44" i="10"/>
  <c r="B44" i="10"/>
  <c r="J41" i="21"/>
  <c r="K41" i="21" s="1"/>
  <c r="J40" i="21"/>
  <c r="K40" i="21" s="1"/>
  <c r="J39" i="21"/>
  <c r="K39" i="21" s="1"/>
  <c r="G40" i="7"/>
  <c r="G41" i="7"/>
  <c r="G42" i="7"/>
  <c r="G43" i="7"/>
  <c r="G44" i="7"/>
  <c r="F40" i="7"/>
  <c r="F41" i="7"/>
  <c r="F42" i="7"/>
  <c r="F43" i="7"/>
  <c r="F44" i="7"/>
  <c r="E40" i="7"/>
  <c r="E41" i="7"/>
  <c r="E42" i="7"/>
  <c r="E43" i="7"/>
  <c r="E44" i="7"/>
  <c r="D40" i="7"/>
  <c r="D41" i="7"/>
  <c r="D42" i="7"/>
  <c r="D43" i="7"/>
  <c r="D44" i="7"/>
  <c r="C40" i="7"/>
  <c r="D6" i="23"/>
  <c r="D15" i="23"/>
  <c r="D16" i="23"/>
  <c r="D17" i="23"/>
  <c r="D18" i="23"/>
  <c r="D19" i="23"/>
  <c r="D20" i="23"/>
  <c r="D21" i="23"/>
  <c r="D23" i="23"/>
  <c r="D24" i="23"/>
  <c r="D25" i="23"/>
  <c r="D26" i="23"/>
  <c r="D27" i="23"/>
  <c r="D28" i="23"/>
  <c r="D29" i="23"/>
  <c r="D30" i="23"/>
  <c r="D7" i="23"/>
  <c r="D8" i="23"/>
  <c r="D9" i="23"/>
  <c r="D10" i="23"/>
  <c r="D11" i="23"/>
  <c r="D12" i="23"/>
  <c r="D13" i="23"/>
  <c r="D14" i="23"/>
  <c r="D31" i="23"/>
  <c r="D5" i="23"/>
  <c r="C41" i="7"/>
  <c r="C42" i="7"/>
  <c r="C43" i="7"/>
  <c r="C44" i="7"/>
  <c r="AL43" i="10"/>
  <c r="AM43" i="10" s="1"/>
  <c r="AK43" i="10"/>
  <c r="AJ43" i="10"/>
  <c r="AH43" i="10"/>
  <c r="AI43" i="10" s="1"/>
  <c r="AG43" i="10"/>
  <c r="AF43" i="10"/>
  <c r="AD43" i="10"/>
  <c r="AE43" i="10" s="1"/>
  <c r="AC43" i="10"/>
  <c r="AB43" i="10"/>
  <c r="Z43" i="10"/>
  <c r="AA43" i="10" s="1"/>
  <c r="Y43" i="10"/>
  <c r="AW43" i="10" s="1"/>
  <c r="X43" i="10"/>
  <c r="AV43" i="10" s="1"/>
  <c r="V43" i="10"/>
  <c r="W43" i="10" s="1"/>
  <c r="U43" i="10"/>
  <c r="AS43" i="10" s="1"/>
  <c r="T43" i="10"/>
  <c r="AR43" i="10" s="1"/>
  <c r="R43" i="10"/>
  <c r="S43" i="10" s="1"/>
  <c r="Q43" i="10"/>
  <c r="DU43" i="10" s="1"/>
  <c r="P43" i="10"/>
  <c r="DT43" i="10" s="1"/>
  <c r="O43" i="10"/>
  <c r="N43" i="10"/>
  <c r="M43" i="10"/>
  <c r="L43" i="10"/>
  <c r="K43" i="10"/>
  <c r="AL42" i="10"/>
  <c r="AM42" i="10" s="1"/>
  <c r="AK42" i="10"/>
  <c r="AJ42" i="10"/>
  <c r="AH42" i="10"/>
  <c r="AI42" i="10" s="1"/>
  <c r="AG42" i="10"/>
  <c r="AF42" i="10"/>
  <c r="AD42" i="10"/>
  <c r="AE42" i="10" s="1"/>
  <c r="AC42" i="10"/>
  <c r="AB42" i="10"/>
  <c r="Z42" i="10"/>
  <c r="AX42" i="10" s="1"/>
  <c r="AY42" i="10" s="1"/>
  <c r="Y42" i="10"/>
  <c r="AW42" i="10" s="1"/>
  <c r="X42" i="10"/>
  <c r="AV42" i="10" s="1"/>
  <c r="V42" i="10"/>
  <c r="AT42" i="10" s="1"/>
  <c r="AU42" i="10" s="1"/>
  <c r="U42" i="10"/>
  <c r="AS42" i="10" s="1"/>
  <c r="T42" i="10"/>
  <c r="AR42" i="10" s="1"/>
  <c r="R42" i="10"/>
  <c r="AP42" i="10" s="1"/>
  <c r="AQ42" i="10" s="1"/>
  <c r="Q42" i="10"/>
  <c r="AO42" i="10" s="1"/>
  <c r="P42" i="10"/>
  <c r="DT42" i="10" s="1"/>
  <c r="O42" i="10"/>
  <c r="N42" i="10"/>
  <c r="M42" i="10"/>
  <c r="L42" i="10"/>
  <c r="K42" i="10"/>
  <c r="B28" i="10"/>
  <c r="C28" i="10"/>
  <c r="D28" i="10"/>
  <c r="B29" i="10"/>
  <c r="C29" i="10"/>
  <c r="D29" i="10"/>
  <c r="B30" i="10"/>
  <c r="C30" i="10"/>
  <c r="D30" i="10"/>
  <c r="B31" i="10"/>
  <c r="C31" i="10"/>
  <c r="D31" i="10"/>
  <c r="D12" i="10"/>
  <c r="D13" i="10"/>
  <c r="D14" i="10"/>
  <c r="D15" i="10"/>
  <c r="C13" i="10"/>
  <c r="C14" i="10"/>
  <c r="C15" i="10"/>
  <c r="C12" i="10"/>
  <c r="B13" i="10"/>
  <c r="B14" i="10"/>
  <c r="B15" i="10"/>
  <c r="B12" i="10"/>
  <c r="D5" i="10"/>
  <c r="C5" i="10"/>
  <c r="B5" i="10"/>
  <c r="E42" i="17"/>
  <c r="D42" i="17"/>
  <c r="B42" i="17"/>
  <c r="E41" i="17"/>
  <c r="D41" i="17"/>
  <c r="B41" i="17"/>
  <c r="E40" i="17"/>
  <c r="D40" i="17"/>
  <c r="B40" i="17"/>
  <c r="E39" i="17"/>
  <c r="D39" i="17"/>
  <c r="B39" i="17"/>
  <c r="E38" i="17"/>
  <c r="D38" i="17"/>
  <c r="B38" i="17"/>
  <c r="E37" i="17"/>
  <c r="D37" i="17"/>
  <c r="B37" i="17"/>
  <c r="E36" i="17"/>
  <c r="D36" i="17"/>
  <c r="B36" i="17"/>
  <c r="E35" i="17"/>
  <c r="D35" i="17"/>
  <c r="B35" i="17"/>
  <c r="E34" i="17"/>
  <c r="D34" i="17"/>
  <c r="B34" i="17"/>
  <c r="E33" i="17"/>
  <c r="D33" i="17"/>
  <c r="B33" i="17"/>
  <c r="E32" i="17"/>
  <c r="D32" i="17"/>
  <c r="B32" i="17"/>
  <c r="E31" i="17"/>
  <c r="D31" i="17"/>
  <c r="B31" i="17"/>
  <c r="E30" i="17"/>
  <c r="D30" i="17"/>
  <c r="B30" i="17"/>
  <c r="E29" i="17"/>
  <c r="D29" i="17"/>
  <c r="B29" i="17"/>
  <c r="E28" i="17"/>
  <c r="D28" i="17"/>
  <c r="B28" i="17"/>
  <c r="E27" i="17"/>
  <c r="D27" i="17"/>
  <c r="B27" i="17"/>
  <c r="E26" i="17"/>
  <c r="D26" i="17"/>
  <c r="B26" i="17"/>
  <c r="E25" i="17"/>
  <c r="D25" i="17"/>
  <c r="B25" i="17"/>
  <c r="E24" i="17"/>
  <c r="D24" i="17"/>
  <c r="B24" i="17"/>
  <c r="E23" i="17"/>
  <c r="D23" i="17"/>
  <c r="B23" i="17"/>
  <c r="E22" i="17"/>
  <c r="D22" i="17"/>
  <c r="B22" i="17"/>
  <c r="E21" i="17"/>
  <c r="D21" i="17"/>
  <c r="B21" i="17"/>
  <c r="E20" i="17"/>
  <c r="D20" i="17"/>
  <c r="B20" i="17"/>
  <c r="E19" i="17"/>
  <c r="D19" i="17"/>
  <c r="B19" i="17"/>
  <c r="E18" i="17"/>
  <c r="D18" i="17"/>
  <c r="B18" i="17"/>
  <c r="E17" i="17"/>
  <c r="D17" i="17"/>
  <c r="B17" i="17"/>
  <c r="E16" i="17"/>
  <c r="D16" i="17"/>
  <c r="B16" i="17"/>
  <c r="E15" i="17"/>
  <c r="D15" i="17"/>
  <c r="B15" i="17"/>
  <c r="E14" i="17"/>
  <c r="D14" i="17"/>
  <c r="B14" i="17"/>
  <c r="E13" i="17"/>
  <c r="D13" i="17"/>
  <c r="B13" i="17"/>
  <c r="E12" i="17"/>
  <c r="D12" i="17"/>
  <c r="B12" i="17"/>
  <c r="E11" i="17"/>
  <c r="D11" i="17"/>
  <c r="B11" i="17"/>
  <c r="E10" i="17"/>
  <c r="D10" i="17"/>
  <c r="B10" i="17"/>
  <c r="E9" i="17"/>
  <c r="D9" i="17"/>
  <c r="B9" i="17"/>
  <c r="E8" i="17"/>
  <c r="D8" i="17"/>
  <c r="B8" i="17"/>
  <c r="E7" i="17"/>
  <c r="D7" i="17"/>
  <c r="B7" i="17"/>
  <c r="E6" i="17"/>
  <c r="D6" i="17"/>
  <c r="B6" i="17"/>
  <c r="J26" i="21"/>
  <c r="J28" i="21"/>
  <c r="J32" i="21"/>
  <c r="J33" i="21"/>
  <c r="J35" i="21"/>
  <c r="J34" i="21"/>
  <c r="J29" i="21"/>
  <c r="J27" i="21"/>
  <c r="J30" i="21"/>
  <c r="J37" i="21"/>
  <c r="J36" i="21"/>
  <c r="J31" i="21"/>
  <c r="J38" i="21" l="1"/>
  <c r="K38" i="21" s="1"/>
  <c r="BC31" i="23"/>
  <c r="AW32" i="23" s="1"/>
  <c r="F32" i="23"/>
  <c r="F45" i="7"/>
  <c r="C45" i="7"/>
  <c r="E45" i="7"/>
  <c r="K26" i="21"/>
  <c r="K30" i="21"/>
  <c r="K34" i="21"/>
  <c r="K27" i="21"/>
  <c r="K31" i="21"/>
  <c r="K35" i="21"/>
  <c r="K28" i="21"/>
  <c r="K36" i="21"/>
  <c r="K32" i="21"/>
  <c r="K29" i="21"/>
  <c r="K33" i="21"/>
  <c r="K37" i="21"/>
  <c r="D45" i="7"/>
  <c r="G60" i="7"/>
  <c r="G61" i="7"/>
  <c r="G62" i="7"/>
  <c r="G63" i="7"/>
  <c r="G59" i="7"/>
  <c r="F63" i="7"/>
  <c r="F59" i="7"/>
  <c r="F60" i="7"/>
  <c r="F61" i="7"/>
  <c r="F62" i="7"/>
  <c r="E59" i="7"/>
  <c r="E60" i="7"/>
  <c r="E61" i="7"/>
  <c r="E62" i="7"/>
  <c r="E63" i="7"/>
  <c r="D61" i="7"/>
  <c r="D62" i="7"/>
  <c r="D63" i="7"/>
  <c r="D59" i="7"/>
  <c r="D60" i="7"/>
  <c r="C59" i="7"/>
  <c r="C60" i="7"/>
  <c r="C61" i="7"/>
  <c r="C62" i="7"/>
  <c r="C63" i="7"/>
  <c r="H41" i="7"/>
  <c r="F51" i="7" s="1"/>
  <c r="H44" i="7"/>
  <c r="G54" i="7" s="1"/>
  <c r="H43" i="7"/>
  <c r="E53" i="7" s="1"/>
  <c r="H40" i="7"/>
  <c r="C50" i="7" s="1"/>
  <c r="H42" i="7"/>
  <c r="G52" i="7" s="1"/>
  <c r="G45" i="7"/>
  <c r="W42" i="10"/>
  <c r="DU42" i="10"/>
  <c r="AX43" i="10"/>
  <c r="AY43" i="10" s="1"/>
  <c r="S42" i="10"/>
  <c r="AA42" i="10"/>
  <c r="AP43" i="10"/>
  <c r="AQ43" i="10" s="1"/>
  <c r="DV43" i="10"/>
  <c r="DW43" i="10" s="1"/>
  <c r="AN43" i="10"/>
  <c r="DV42" i="10"/>
  <c r="DW42" i="10" s="1"/>
  <c r="AO43" i="10"/>
  <c r="AN42" i="10"/>
  <c r="AT43" i="10"/>
  <c r="AU43" i="10" s="1"/>
  <c r="AZ32" i="23" l="1"/>
  <c r="AX32" i="23"/>
  <c r="AY32" i="23"/>
  <c r="BC32" i="23"/>
  <c r="AU32" i="23"/>
  <c r="AV32" i="23"/>
  <c r="BB32" i="23"/>
  <c r="BA32" i="23"/>
  <c r="E54" i="7"/>
  <c r="E50" i="7"/>
  <c r="I4" i="5"/>
  <c r="T53" i="24"/>
  <c r="C52" i="7"/>
  <c r="D51" i="7"/>
  <c r="D53" i="7"/>
  <c r="C51" i="7"/>
  <c r="C54" i="7"/>
  <c r="G53" i="7"/>
  <c r="F52" i="7"/>
  <c r="G51" i="7"/>
  <c r="E51" i="7"/>
  <c r="D50" i="7"/>
  <c r="F54" i="7"/>
  <c r="D54" i="7"/>
  <c r="C53" i="7"/>
  <c r="D52" i="7"/>
  <c r="F53" i="7"/>
  <c r="F50" i="7"/>
  <c r="E52" i="7"/>
  <c r="G50" i="7"/>
  <c r="C64" i="7"/>
  <c r="H61" i="7"/>
  <c r="H62" i="7"/>
  <c r="H60" i="7"/>
  <c r="H63" i="7"/>
  <c r="H59" i="7"/>
  <c r="H45" i="7"/>
  <c r="H51" i="7" l="1"/>
  <c r="H53" i="7"/>
  <c r="H50" i="7"/>
  <c r="H54" i="7"/>
  <c r="G4" i="5"/>
  <c r="R53" i="24"/>
  <c r="H52" i="7"/>
  <c r="E4" i="5"/>
  <c r="P53" i="24"/>
  <c r="T56" i="24"/>
  <c r="O98" i="24" s="1"/>
  <c r="T55" i="24"/>
  <c r="O89" i="24" s="1"/>
  <c r="H4" i="5"/>
  <c r="S53" i="24"/>
  <c r="F4" i="5"/>
  <c r="Q53" i="24"/>
  <c r="BJ53" i="18"/>
  <c r="BF53" i="18"/>
  <c r="BE53" i="18"/>
  <c r="BD53" i="18"/>
  <c r="BC53" i="18"/>
  <c r="BB53" i="18"/>
  <c r="M53" i="18"/>
  <c r="L53" i="18"/>
  <c r="BJ52" i="18"/>
  <c r="BF52" i="18"/>
  <c r="BE52" i="18"/>
  <c r="BD52" i="18"/>
  <c r="BC52" i="18"/>
  <c r="BB52" i="18"/>
  <c r="M52" i="18"/>
  <c r="L52" i="18"/>
  <c r="BJ51" i="18"/>
  <c r="BA51" i="18"/>
  <c r="BF51" i="18" s="1"/>
  <c r="AZ51" i="18"/>
  <c r="BE51" i="18" s="1"/>
  <c r="AY51" i="18"/>
  <c r="BD51" i="18" s="1"/>
  <c r="AX51" i="18"/>
  <c r="BC51" i="18" s="1"/>
  <c r="AW51" i="18"/>
  <c r="BB51" i="18" s="1"/>
  <c r="AV51" i="18"/>
  <c r="AU51" i="18"/>
  <c r="AT51" i="18"/>
  <c r="AS51" i="18"/>
  <c r="AR51" i="18"/>
  <c r="M51" i="18"/>
  <c r="L51" i="18"/>
  <c r="BJ50" i="18"/>
  <c r="BF50" i="18"/>
  <c r="BE50" i="18"/>
  <c r="BD50" i="18"/>
  <c r="BC50" i="18"/>
  <c r="BB50" i="18"/>
  <c r="M50" i="18"/>
  <c r="L50" i="18"/>
  <c r="BJ49" i="18"/>
  <c r="BF49" i="18"/>
  <c r="BE49" i="18"/>
  <c r="BD49" i="18"/>
  <c r="BC49" i="18"/>
  <c r="BB49" i="18"/>
  <c r="M49" i="18"/>
  <c r="L49" i="18"/>
  <c r="BJ48" i="18"/>
  <c r="BF48" i="18"/>
  <c r="BE48" i="18"/>
  <c r="BD48" i="18"/>
  <c r="BC48" i="18"/>
  <c r="BB48" i="18"/>
  <c r="M48" i="18"/>
  <c r="L48" i="18"/>
  <c r="BJ47" i="18"/>
  <c r="BF47" i="18"/>
  <c r="BE47" i="18"/>
  <c r="BD47" i="18"/>
  <c r="BC47" i="18"/>
  <c r="BB47" i="18"/>
  <c r="M47" i="18"/>
  <c r="L47" i="18"/>
  <c r="BJ46" i="18"/>
  <c r="BF46" i="18"/>
  <c r="BE46" i="18"/>
  <c r="BD46" i="18"/>
  <c r="BC46" i="18"/>
  <c r="BB46" i="18"/>
  <c r="AQ46" i="18"/>
  <c r="M46" i="18"/>
  <c r="L46" i="18"/>
  <c r="BR45" i="18"/>
  <c r="AQ45" i="18" s="1"/>
  <c r="BQ45" i="18"/>
  <c r="AP45" i="18" s="1"/>
  <c r="BP45" i="18"/>
  <c r="AO45" i="18" s="1"/>
  <c r="BO45" i="18"/>
  <c r="AN45" i="18" s="1"/>
  <c r="BN45" i="18"/>
  <c r="AM45" i="18" s="1"/>
  <c r="BM45" i="18"/>
  <c r="AL45" i="18" s="1"/>
  <c r="BL45" i="18"/>
  <c r="AK45" i="18" s="1"/>
  <c r="BK45" i="18"/>
  <c r="AJ45" i="18" s="1"/>
  <c r="BJ45" i="18"/>
  <c r="AI45" i="18" s="1"/>
  <c r="BF45" i="18"/>
  <c r="BE45" i="18"/>
  <c r="BD45" i="18"/>
  <c r="BC45" i="18"/>
  <c r="BB45" i="18"/>
  <c r="AH45" i="18"/>
  <c r="M45" i="18"/>
  <c r="L45" i="18"/>
  <c r="BR44" i="18"/>
  <c r="AQ44" i="18" s="1"/>
  <c r="BQ44" i="18"/>
  <c r="AP44" i="18" s="1"/>
  <c r="BP44" i="18"/>
  <c r="AO44" i="18" s="1"/>
  <c r="BO44" i="18"/>
  <c r="AN44" i="18" s="1"/>
  <c r="BN44" i="18"/>
  <c r="AM44" i="18" s="1"/>
  <c r="BM44" i="18"/>
  <c r="AL44" i="18" s="1"/>
  <c r="BL44" i="18"/>
  <c r="AK44" i="18" s="1"/>
  <c r="BK44" i="18"/>
  <c r="AJ44" i="18" s="1"/>
  <c r="BJ44" i="18"/>
  <c r="AI44" i="18" s="1"/>
  <c r="BF44" i="18"/>
  <c r="BE44" i="18"/>
  <c r="BD44" i="18"/>
  <c r="BC44" i="18"/>
  <c r="BB44" i="18"/>
  <c r="AH44" i="18"/>
  <c r="M44" i="18"/>
  <c r="L44" i="18"/>
  <c r="BR43" i="18"/>
  <c r="AQ43" i="18" s="1"/>
  <c r="BQ43" i="18"/>
  <c r="AP43" i="18" s="1"/>
  <c r="BP43" i="18"/>
  <c r="AO43" i="18" s="1"/>
  <c r="BO43" i="18"/>
  <c r="AN43" i="18" s="1"/>
  <c r="BN43" i="18"/>
  <c r="AM43" i="18" s="1"/>
  <c r="BM43" i="18"/>
  <c r="AL43" i="18" s="1"/>
  <c r="BL43" i="18"/>
  <c r="AK43" i="18" s="1"/>
  <c r="BK43" i="18"/>
  <c r="AJ43" i="18" s="1"/>
  <c r="BJ43" i="18"/>
  <c r="AI43" i="18" s="1"/>
  <c r="BF43" i="18"/>
  <c r="BE43" i="18"/>
  <c r="BD43" i="18"/>
  <c r="BC43" i="18"/>
  <c r="BB43" i="18"/>
  <c r="AH43" i="18"/>
  <c r="M43" i="18"/>
  <c r="L43" i="18"/>
  <c r="BR42" i="18"/>
  <c r="AQ42" i="18" s="1"/>
  <c r="BQ42" i="18"/>
  <c r="AP42" i="18" s="1"/>
  <c r="BP42" i="18"/>
  <c r="AO42" i="18" s="1"/>
  <c r="BO42" i="18"/>
  <c r="AN42" i="18" s="1"/>
  <c r="BN42" i="18"/>
  <c r="AM42" i="18" s="1"/>
  <c r="BM42" i="18"/>
  <c r="AL42" i="18" s="1"/>
  <c r="BL42" i="18"/>
  <c r="AK42" i="18" s="1"/>
  <c r="BK42" i="18"/>
  <c r="AJ42" i="18" s="1"/>
  <c r="BJ42" i="18"/>
  <c r="AI42" i="18" s="1"/>
  <c r="BF42" i="18"/>
  <c r="BE42" i="18"/>
  <c r="BD42" i="18"/>
  <c r="BC42" i="18"/>
  <c r="BB42" i="18"/>
  <c r="AH42" i="18"/>
  <c r="M42" i="18"/>
  <c r="L42" i="18"/>
  <c r="BR41" i="18"/>
  <c r="AQ41" i="18" s="1"/>
  <c r="BQ41" i="18"/>
  <c r="AP41" i="18" s="1"/>
  <c r="BP41" i="18"/>
  <c r="AO41" i="18" s="1"/>
  <c r="BO41" i="18"/>
  <c r="AN41" i="18" s="1"/>
  <c r="BN41" i="18"/>
  <c r="AM41" i="18" s="1"/>
  <c r="BM41" i="18"/>
  <c r="AL41" i="18" s="1"/>
  <c r="BL41" i="18"/>
  <c r="AK41" i="18" s="1"/>
  <c r="BK41" i="18"/>
  <c r="AJ41" i="18" s="1"/>
  <c r="BJ41" i="18"/>
  <c r="AI41" i="18" s="1"/>
  <c r="BF41" i="18"/>
  <c r="BE41" i="18"/>
  <c r="BD41" i="18"/>
  <c r="BC41" i="18"/>
  <c r="BB41" i="18"/>
  <c r="AH41" i="18"/>
  <c r="M41" i="18"/>
  <c r="L41" i="18"/>
  <c r="BR40" i="18"/>
  <c r="AQ40" i="18" s="1"/>
  <c r="BQ40" i="18"/>
  <c r="AP40" i="18" s="1"/>
  <c r="BP40" i="18"/>
  <c r="AO40" i="18" s="1"/>
  <c r="BO40" i="18"/>
  <c r="AN40" i="18" s="1"/>
  <c r="BN40" i="18"/>
  <c r="AM40" i="18" s="1"/>
  <c r="BM40" i="18"/>
  <c r="AL40" i="18" s="1"/>
  <c r="BL40" i="18"/>
  <c r="AK40" i="18" s="1"/>
  <c r="BK40" i="18"/>
  <c r="AJ40" i="18" s="1"/>
  <c r="BJ40" i="18"/>
  <c r="AI40" i="18" s="1"/>
  <c r="BF40" i="18"/>
  <c r="BE40" i="18"/>
  <c r="BD40" i="18"/>
  <c r="BC40" i="18"/>
  <c r="BB40" i="18"/>
  <c r="AH40" i="18"/>
  <c r="M40" i="18"/>
  <c r="L40" i="18"/>
  <c r="BR39" i="18"/>
  <c r="AQ39" i="18" s="1"/>
  <c r="BQ39" i="18"/>
  <c r="AP39" i="18" s="1"/>
  <c r="BP39" i="18"/>
  <c r="AO39" i="18" s="1"/>
  <c r="BO39" i="18"/>
  <c r="AN39" i="18" s="1"/>
  <c r="BN39" i="18"/>
  <c r="AM39" i="18" s="1"/>
  <c r="BM39" i="18"/>
  <c r="AL39" i="18" s="1"/>
  <c r="BL39" i="18"/>
  <c r="BK39" i="18"/>
  <c r="AJ39" i="18" s="1"/>
  <c r="BJ39" i="18"/>
  <c r="AI39" i="18" s="1"/>
  <c r="BF39" i="18"/>
  <c r="BE39" i="18"/>
  <c r="BD39" i="18"/>
  <c r="BC39" i="18"/>
  <c r="BB39" i="18"/>
  <c r="AK39" i="18"/>
  <c r="AH39" i="18"/>
  <c r="M39" i="18"/>
  <c r="L39" i="18"/>
  <c r="BR38" i="18"/>
  <c r="AQ38" i="18" s="1"/>
  <c r="BQ38" i="18"/>
  <c r="AP38" i="18" s="1"/>
  <c r="BP38" i="18"/>
  <c r="AO38" i="18" s="1"/>
  <c r="BO38" i="18"/>
  <c r="AN38" i="18" s="1"/>
  <c r="BN38" i="18"/>
  <c r="AM38" i="18" s="1"/>
  <c r="BM38" i="18"/>
  <c r="AL38" i="18" s="1"/>
  <c r="BL38" i="18"/>
  <c r="AK38" i="18" s="1"/>
  <c r="BK38" i="18"/>
  <c r="AJ38" i="18" s="1"/>
  <c r="BJ38" i="18"/>
  <c r="AI38" i="18" s="1"/>
  <c r="BF38" i="18"/>
  <c r="BE38" i="18"/>
  <c r="BD38" i="18"/>
  <c r="BC38" i="18"/>
  <c r="BB38" i="18"/>
  <c r="AH38" i="18"/>
  <c r="M38" i="18"/>
  <c r="L38" i="18"/>
  <c r="BR37" i="18"/>
  <c r="AQ37" i="18" s="1"/>
  <c r="BQ37" i="18"/>
  <c r="AP37" i="18" s="1"/>
  <c r="BP37" i="18"/>
  <c r="AO37" i="18" s="1"/>
  <c r="BO37" i="18"/>
  <c r="AN37" i="18" s="1"/>
  <c r="BN37" i="18"/>
  <c r="AM37" i="18" s="1"/>
  <c r="BM37" i="18"/>
  <c r="AL37" i="18" s="1"/>
  <c r="BL37" i="18"/>
  <c r="AK37" i="18" s="1"/>
  <c r="BK37" i="18"/>
  <c r="AJ37" i="18" s="1"/>
  <c r="BJ37" i="18"/>
  <c r="AI37" i="18" s="1"/>
  <c r="BF37" i="18"/>
  <c r="BE37" i="18"/>
  <c r="BD37" i="18"/>
  <c r="BC37" i="18"/>
  <c r="BB37" i="18"/>
  <c r="AH37" i="18"/>
  <c r="M37" i="18"/>
  <c r="L37" i="18"/>
  <c r="BR36" i="18"/>
  <c r="AQ36" i="18" s="1"/>
  <c r="BQ36" i="18"/>
  <c r="AP36" i="18" s="1"/>
  <c r="BP36" i="18"/>
  <c r="AO36" i="18" s="1"/>
  <c r="BO36" i="18"/>
  <c r="AN36" i="18" s="1"/>
  <c r="BN36" i="18"/>
  <c r="AM36" i="18" s="1"/>
  <c r="BM36" i="18"/>
  <c r="AL36" i="18" s="1"/>
  <c r="BL36" i="18"/>
  <c r="AK36" i="18" s="1"/>
  <c r="BK36" i="18"/>
  <c r="AJ36" i="18" s="1"/>
  <c r="BJ36" i="18"/>
  <c r="AI36" i="18" s="1"/>
  <c r="BF36" i="18"/>
  <c r="BE36" i="18"/>
  <c r="BD36" i="18"/>
  <c r="BC36" i="18"/>
  <c r="BB36" i="18"/>
  <c r="AH36" i="18"/>
  <c r="M36" i="18"/>
  <c r="L36" i="18"/>
  <c r="BR35" i="18"/>
  <c r="AQ35" i="18" s="1"/>
  <c r="BQ35" i="18"/>
  <c r="AP35" i="18" s="1"/>
  <c r="BP35" i="18"/>
  <c r="AO35" i="18" s="1"/>
  <c r="BO35" i="18"/>
  <c r="AN35" i="18" s="1"/>
  <c r="BN35" i="18"/>
  <c r="AM35" i="18" s="1"/>
  <c r="BM35" i="18"/>
  <c r="AL35" i="18" s="1"/>
  <c r="BL35" i="18"/>
  <c r="AK35" i="18" s="1"/>
  <c r="BK35" i="18"/>
  <c r="AJ35" i="18" s="1"/>
  <c r="BJ35" i="18"/>
  <c r="AI35" i="18" s="1"/>
  <c r="BF35" i="18"/>
  <c r="BE35" i="18"/>
  <c r="BD35" i="18"/>
  <c r="BC35" i="18"/>
  <c r="BB35" i="18"/>
  <c r="AH35" i="18"/>
  <c r="M35" i="18"/>
  <c r="L35" i="18"/>
  <c r="BR34" i="18"/>
  <c r="AQ34" i="18" s="1"/>
  <c r="BQ34" i="18"/>
  <c r="AP34" i="18" s="1"/>
  <c r="BP34" i="18"/>
  <c r="AO34" i="18" s="1"/>
  <c r="BO34" i="18"/>
  <c r="AN34" i="18" s="1"/>
  <c r="BN34" i="18"/>
  <c r="AM34" i="18" s="1"/>
  <c r="BM34" i="18"/>
  <c r="AL34" i="18" s="1"/>
  <c r="BL34" i="18"/>
  <c r="AK34" i="18" s="1"/>
  <c r="BK34" i="18"/>
  <c r="AJ34" i="18" s="1"/>
  <c r="BJ34" i="18"/>
  <c r="AI34" i="18" s="1"/>
  <c r="BF34" i="18"/>
  <c r="BE34" i="18"/>
  <c r="BD34" i="18"/>
  <c r="BC34" i="18"/>
  <c r="BB34" i="18"/>
  <c r="AH34" i="18"/>
  <c r="M34" i="18"/>
  <c r="L34" i="18"/>
  <c r="BR33" i="18"/>
  <c r="AQ33" i="18" s="1"/>
  <c r="BQ33" i="18"/>
  <c r="AP33" i="18" s="1"/>
  <c r="BP33" i="18"/>
  <c r="AO33" i="18" s="1"/>
  <c r="BO33" i="18"/>
  <c r="AN33" i="18" s="1"/>
  <c r="BN33" i="18"/>
  <c r="AM33" i="18" s="1"/>
  <c r="BM33" i="18"/>
  <c r="AL33" i="18" s="1"/>
  <c r="BL33" i="18"/>
  <c r="AK33" i="18" s="1"/>
  <c r="BK33" i="18"/>
  <c r="AJ33" i="18" s="1"/>
  <c r="BJ33" i="18"/>
  <c r="AI33" i="18" s="1"/>
  <c r="BF33" i="18"/>
  <c r="BE33" i="18"/>
  <c r="BD33" i="18"/>
  <c r="BC33" i="18"/>
  <c r="BB33" i="18"/>
  <c r="AH33" i="18"/>
  <c r="M33" i="18"/>
  <c r="L33" i="18"/>
  <c r="BR32" i="18"/>
  <c r="AQ32" i="18" s="1"/>
  <c r="BQ32" i="18"/>
  <c r="AP32" i="18" s="1"/>
  <c r="BP32" i="18"/>
  <c r="AO32" i="18" s="1"/>
  <c r="BO32" i="18"/>
  <c r="AN32" i="18" s="1"/>
  <c r="BN32" i="18"/>
  <c r="AM32" i="18" s="1"/>
  <c r="BM32" i="18"/>
  <c r="AL32" i="18" s="1"/>
  <c r="BL32" i="18"/>
  <c r="AK32" i="18" s="1"/>
  <c r="BK32" i="18"/>
  <c r="AJ32" i="18" s="1"/>
  <c r="BJ32" i="18"/>
  <c r="AI32" i="18" s="1"/>
  <c r="BF32" i="18"/>
  <c r="BE32" i="18"/>
  <c r="BD32" i="18"/>
  <c r="BC32" i="18"/>
  <c r="BB32" i="18"/>
  <c r="AH32" i="18"/>
  <c r="M32" i="18"/>
  <c r="L32" i="18"/>
  <c r="BR31" i="18"/>
  <c r="AQ31" i="18" s="1"/>
  <c r="BQ31" i="18"/>
  <c r="AP31" i="18" s="1"/>
  <c r="BP31" i="18"/>
  <c r="AO31" i="18" s="1"/>
  <c r="BO31" i="18"/>
  <c r="AN31" i="18" s="1"/>
  <c r="BN31" i="18"/>
  <c r="AM31" i="18" s="1"/>
  <c r="BM31" i="18"/>
  <c r="AL31" i="18" s="1"/>
  <c r="BL31" i="18"/>
  <c r="AK31" i="18" s="1"/>
  <c r="BK31" i="18"/>
  <c r="AJ31" i="18" s="1"/>
  <c r="BJ31" i="18"/>
  <c r="AI31" i="18" s="1"/>
  <c r="BF31" i="18"/>
  <c r="BE31" i="18"/>
  <c r="BD31" i="18"/>
  <c r="BC31" i="18"/>
  <c r="BB31" i="18"/>
  <c r="AH31" i="18"/>
  <c r="M31" i="18"/>
  <c r="L31" i="18"/>
  <c r="BR30" i="18"/>
  <c r="AQ30" i="18" s="1"/>
  <c r="BQ30" i="18"/>
  <c r="AP30" i="18" s="1"/>
  <c r="BP30" i="18"/>
  <c r="AO30" i="18" s="1"/>
  <c r="BO30" i="18"/>
  <c r="AN30" i="18" s="1"/>
  <c r="BN30" i="18"/>
  <c r="AM30" i="18" s="1"/>
  <c r="BM30" i="18"/>
  <c r="AL30" i="18" s="1"/>
  <c r="BL30" i="18"/>
  <c r="BK30" i="18"/>
  <c r="AJ30" i="18" s="1"/>
  <c r="BJ30" i="18"/>
  <c r="AI30" i="18" s="1"/>
  <c r="BF30" i="18"/>
  <c r="BE30" i="18"/>
  <c r="BD30" i="18"/>
  <c r="BC30" i="18"/>
  <c r="BB30" i="18"/>
  <c r="AK30" i="18"/>
  <c r="AH30" i="18"/>
  <c r="M30" i="18"/>
  <c r="L30" i="18"/>
  <c r="BR29" i="18"/>
  <c r="AQ29" i="18" s="1"/>
  <c r="BQ29" i="18"/>
  <c r="AP29" i="18" s="1"/>
  <c r="BP29" i="18"/>
  <c r="AO29" i="18" s="1"/>
  <c r="BO29" i="18"/>
  <c r="AN29" i="18" s="1"/>
  <c r="BN29" i="18"/>
  <c r="AM29" i="18" s="1"/>
  <c r="BM29" i="18"/>
  <c r="AL29" i="18" s="1"/>
  <c r="BL29" i="18"/>
  <c r="AK29" i="18" s="1"/>
  <c r="BK29" i="18"/>
  <c r="AJ29" i="18" s="1"/>
  <c r="BJ29" i="18"/>
  <c r="AI29" i="18" s="1"/>
  <c r="BF29" i="18"/>
  <c r="BE29" i="18"/>
  <c r="BD29" i="18"/>
  <c r="BC29" i="18"/>
  <c r="BB29" i="18"/>
  <c r="AH29" i="18"/>
  <c r="M29" i="18"/>
  <c r="L29" i="18"/>
  <c r="BR28" i="18"/>
  <c r="AQ28" i="18" s="1"/>
  <c r="BQ28" i="18"/>
  <c r="AP28" i="18" s="1"/>
  <c r="BP28" i="18"/>
  <c r="AO28" i="18" s="1"/>
  <c r="BO28" i="18"/>
  <c r="AN28" i="18" s="1"/>
  <c r="BN28" i="18"/>
  <c r="AM28" i="18" s="1"/>
  <c r="BM28" i="18"/>
  <c r="AL28" i="18" s="1"/>
  <c r="BL28" i="18"/>
  <c r="AK28" i="18" s="1"/>
  <c r="BK28" i="18"/>
  <c r="AJ28" i="18" s="1"/>
  <c r="BJ28" i="18"/>
  <c r="AI28" i="18" s="1"/>
  <c r="BF28" i="18"/>
  <c r="BE28" i="18"/>
  <c r="BD28" i="18"/>
  <c r="BC28" i="18"/>
  <c r="BB28" i="18"/>
  <c r="AH28" i="18"/>
  <c r="M28" i="18"/>
  <c r="L28" i="18"/>
  <c r="BR27" i="18"/>
  <c r="AQ27" i="18" s="1"/>
  <c r="BQ27" i="18"/>
  <c r="AP27" i="18" s="1"/>
  <c r="BP27" i="18"/>
  <c r="AO27" i="18" s="1"/>
  <c r="BO27" i="18"/>
  <c r="AN27" i="18" s="1"/>
  <c r="BN27" i="18"/>
  <c r="AM27" i="18" s="1"/>
  <c r="BM27" i="18"/>
  <c r="AL27" i="18" s="1"/>
  <c r="BL27" i="18"/>
  <c r="AK27" i="18" s="1"/>
  <c r="BK27" i="18"/>
  <c r="AJ27" i="18" s="1"/>
  <c r="BJ27" i="18"/>
  <c r="AI27" i="18" s="1"/>
  <c r="BF27" i="18"/>
  <c r="BE27" i="18"/>
  <c r="BD27" i="18"/>
  <c r="BC27" i="18"/>
  <c r="BB27" i="18"/>
  <c r="AH27" i="18"/>
  <c r="M27" i="18"/>
  <c r="L27" i="18"/>
  <c r="BR26" i="18"/>
  <c r="AQ26" i="18" s="1"/>
  <c r="BQ26" i="18"/>
  <c r="AP26" i="18" s="1"/>
  <c r="BP26" i="18"/>
  <c r="AO26" i="18" s="1"/>
  <c r="BO26" i="18"/>
  <c r="AN26" i="18" s="1"/>
  <c r="BN26" i="18"/>
  <c r="AM26" i="18" s="1"/>
  <c r="BM26" i="18"/>
  <c r="AL26" i="18" s="1"/>
  <c r="BL26" i="18"/>
  <c r="AK26" i="18" s="1"/>
  <c r="BK26" i="18"/>
  <c r="AJ26" i="18" s="1"/>
  <c r="BJ26" i="18"/>
  <c r="AI26" i="18" s="1"/>
  <c r="BF26" i="18"/>
  <c r="BE26" i="18"/>
  <c r="BD26" i="18"/>
  <c r="BC26" i="18"/>
  <c r="BB26" i="18"/>
  <c r="AH26" i="18"/>
  <c r="M26" i="18"/>
  <c r="L26" i="18"/>
  <c r="BR25" i="18"/>
  <c r="AQ25" i="18" s="1"/>
  <c r="BQ25" i="18"/>
  <c r="AP25" i="18" s="1"/>
  <c r="BP25" i="18"/>
  <c r="AO25" i="18" s="1"/>
  <c r="BO25" i="18"/>
  <c r="AN25" i="18" s="1"/>
  <c r="BN25" i="18"/>
  <c r="AM25" i="18" s="1"/>
  <c r="BM25" i="18"/>
  <c r="AL25" i="18" s="1"/>
  <c r="BL25" i="18"/>
  <c r="AK25" i="18" s="1"/>
  <c r="BK25" i="18"/>
  <c r="AJ25" i="18" s="1"/>
  <c r="BJ25" i="18"/>
  <c r="AI25" i="18" s="1"/>
  <c r="BF25" i="18"/>
  <c r="BE25" i="18"/>
  <c r="BD25" i="18"/>
  <c r="BC25" i="18"/>
  <c r="BB25" i="18"/>
  <c r="AH25" i="18"/>
  <c r="M25" i="18"/>
  <c r="L25" i="18"/>
  <c r="BR24" i="18"/>
  <c r="AQ24" i="18" s="1"/>
  <c r="BQ24" i="18"/>
  <c r="AP24" i="18" s="1"/>
  <c r="BP24" i="18"/>
  <c r="AO24" i="18" s="1"/>
  <c r="BO24" i="18"/>
  <c r="AN24" i="18" s="1"/>
  <c r="BN24" i="18"/>
  <c r="AM24" i="18" s="1"/>
  <c r="BM24" i="18"/>
  <c r="AL24" i="18" s="1"/>
  <c r="BL24" i="18"/>
  <c r="AK24" i="18" s="1"/>
  <c r="BK24" i="18"/>
  <c r="AJ24" i="18" s="1"/>
  <c r="BJ24" i="18"/>
  <c r="AI24" i="18" s="1"/>
  <c r="BF24" i="18"/>
  <c r="BE24" i="18"/>
  <c r="BD24" i="18"/>
  <c r="BC24" i="18"/>
  <c r="BB24" i="18"/>
  <c r="AH24" i="18"/>
  <c r="M24" i="18"/>
  <c r="L24" i="18"/>
  <c r="BR23" i="18"/>
  <c r="AQ23" i="18" s="1"/>
  <c r="BQ23" i="18"/>
  <c r="AP23" i="18" s="1"/>
  <c r="BP23" i="18"/>
  <c r="AO23" i="18" s="1"/>
  <c r="BO23" i="18"/>
  <c r="AN23" i="18" s="1"/>
  <c r="BN23" i="18"/>
  <c r="AM23" i="18" s="1"/>
  <c r="BM23" i="18"/>
  <c r="AL23" i="18" s="1"/>
  <c r="BL23" i="18"/>
  <c r="AK23" i="18" s="1"/>
  <c r="BK23" i="18"/>
  <c r="AJ23" i="18" s="1"/>
  <c r="BJ23" i="18"/>
  <c r="AI23" i="18" s="1"/>
  <c r="BF23" i="18"/>
  <c r="BE23" i="18"/>
  <c r="BD23" i="18"/>
  <c r="BC23" i="18"/>
  <c r="BB23" i="18"/>
  <c r="AH23" i="18"/>
  <c r="M23" i="18"/>
  <c r="L23" i="18"/>
  <c r="BR22" i="18"/>
  <c r="AQ22" i="18" s="1"/>
  <c r="BQ22" i="18"/>
  <c r="AP22" i="18" s="1"/>
  <c r="BP22" i="18"/>
  <c r="AO22" i="18" s="1"/>
  <c r="BO22" i="18"/>
  <c r="AN22" i="18" s="1"/>
  <c r="BN22" i="18"/>
  <c r="AM22" i="18" s="1"/>
  <c r="BM22" i="18"/>
  <c r="AL22" i="18" s="1"/>
  <c r="BL22" i="18"/>
  <c r="AK22" i="18" s="1"/>
  <c r="BK22" i="18"/>
  <c r="AJ22" i="18" s="1"/>
  <c r="BJ22" i="18"/>
  <c r="AI22" i="18" s="1"/>
  <c r="BF22" i="18"/>
  <c r="BE22" i="18"/>
  <c r="BD22" i="18"/>
  <c r="BC22" i="18"/>
  <c r="BB22" i="18"/>
  <c r="AH22" i="18"/>
  <c r="M22" i="18"/>
  <c r="L22" i="18"/>
  <c r="BR21" i="18"/>
  <c r="AQ21" i="18" s="1"/>
  <c r="BQ21" i="18"/>
  <c r="AP21" i="18" s="1"/>
  <c r="BP21" i="18"/>
  <c r="AO21" i="18" s="1"/>
  <c r="BO21" i="18"/>
  <c r="AN21" i="18" s="1"/>
  <c r="BN21" i="18"/>
  <c r="AM21" i="18" s="1"/>
  <c r="BM21" i="18"/>
  <c r="AL21" i="18" s="1"/>
  <c r="BL21" i="18"/>
  <c r="AK21" i="18" s="1"/>
  <c r="BK21" i="18"/>
  <c r="AJ21" i="18" s="1"/>
  <c r="BJ21" i="18"/>
  <c r="AI21" i="18" s="1"/>
  <c r="BF21" i="18"/>
  <c r="BE21" i="18"/>
  <c r="BD21" i="18"/>
  <c r="BC21" i="18"/>
  <c r="BB21" i="18"/>
  <c r="AH21" i="18"/>
  <c r="M21" i="18"/>
  <c r="L21" i="18"/>
  <c r="BR20" i="18"/>
  <c r="AQ20" i="18" s="1"/>
  <c r="BQ20" i="18"/>
  <c r="AP20" i="18" s="1"/>
  <c r="BP20" i="18"/>
  <c r="AO20" i="18" s="1"/>
  <c r="BO20" i="18"/>
  <c r="AN20" i="18" s="1"/>
  <c r="BN20" i="18"/>
  <c r="AM20" i="18" s="1"/>
  <c r="BM20" i="18"/>
  <c r="AL20" i="18" s="1"/>
  <c r="BL20" i="18"/>
  <c r="AK20" i="18" s="1"/>
  <c r="BK20" i="18"/>
  <c r="AJ20" i="18" s="1"/>
  <c r="BJ20" i="18"/>
  <c r="AI20" i="18" s="1"/>
  <c r="BF20" i="18"/>
  <c r="BE20" i="18"/>
  <c r="BD20" i="18"/>
  <c r="BC20" i="18"/>
  <c r="BB20" i="18"/>
  <c r="AH20" i="18"/>
  <c r="M20" i="18"/>
  <c r="L20" i="18"/>
  <c r="BJ19" i="18"/>
  <c r="AI19" i="18" s="1"/>
  <c r="BF19" i="18"/>
  <c r="BE19" i="18"/>
  <c r="BD19" i="18"/>
  <c r="BC19" i="18"/>
  <c r="BB19" i="18"/>
  <c r="AQ19" i="18"/>
  <c r="AP19" i="18"/>
  <c r="AO19" i="18"/>
  <c r="AN19" i="18"/>
  <c r="AM19" i="18"/>
  <c r="AL19" i="18"/>
  <c r="AK19" i="18"/>
  <c r="AJ19" i="18"/>
  <c r="AH19" i="18"/>
  <c r="M19" i="18"/>
  <c r="L19" i="18"/>
  <c r="BJ18" i="18"/>
  <c r="AI18" i="18" s="1"/>
  <c r="BF18" i="18"/>
  <c r="BE18" i="18"/>
  <c r="BD18" i="18"/>
  <c r="BC18" i="18"/>
  <c r="BB18" i="18"/>
  <c r="AQ18" i="18"/>
  <c r="AP18" i="18"/>
  <c r="AO18" i="18"/>
  <c r="AN18" i="18"/>
  <c r="AM18" i="18"/>
  <c r="AL18" i="18"/>
  <c r="AK18" i="18"/>
  <c r="AJ18" i="18"/>
  <c r="AH18" i="18"/>
  <c r="M18" i="18"/>
  <c r="L18" i="18"/>
  <c r="BJ17" i="18"/>
  <c r="AI17" i="18" s="1"/>
  <c r="BF17" i="18"/>
  <c r="BE17" i="18"/>
  <c r="BD17" i="18"/>
  <c r="BC17" i="18"/>
  <c r="BB17" i="18"/>
  <c r="AQ17" i="18"/>
  <c r="AP17" i="18"/>
  <c r="AO17" i="18"/>
  <c r="AN17" i="18"/>
  <c r="AM17" i="18"/>
  <c r="AL17" i="18"/>
  <c r="AK17" i="18"/>
  <c r="AJ17" i="18"/>
  <c r="AH17" i="18"/>
  <c r="M17" i="18"/>
  <c r="L17" i="18"/>
  <c r="BJ16" i="18"/>
  <c r="AI16" i="18" s="1"/>
  <c r="BF16" i="18"/>
  <c r="BE16" i="18"/>
  <c r="BD16" i="18"/>
  <c r="BC16" i="18"/>
  <c r="BB16" i="18"/>
  <c r="AQ16" i="18"/>
  <c r="AP16" i="18"/>
  <c r="AO16" i="18"/>
  <c r="AN16" i="18"/>
  <c r="AM16" i="18"/>
  <c r="AL16" i="18"/>
  <c r="AK16" i="18"/>
  <c r="AJ16" i="18"/>
  <c r="AH16" i="18"/>
  <c r="M16" i="18"/>
  <c r="L16" i="18"/>
  <c r="BJ15" i="18"/>
  <c r="AI15" i="18" s="1"/>
  <c r="BF15" i="18"/>
  <c r="BE15" i="18"/>
  <c r="BD15" i="18"/>
  <c r="BC15" i="18"/>
  <c r="BB15" i="18"/>
  <c r="AQ15" i="18"/>
  <c r="AP15" i="18"/>
  <c r="AO15" i="18"/>
  <c r="AN15" i="18"/>
  <c r="AM15" i="18"/>
  <c r="AL15" i="18"/>
  <c r="AK15" i="18"/>
  <c r="AJ15" i="18"/>
  <c r="AH15" i="18"/>
  <c r="M15" i="18"/>
  <c r="L15" i="18"/>
  <c r="BJ14" i="18"/>
  <c r="AI14" i="18" s="1"/>
  <c r="BF14" i="18"/>
  <c r="BE14" i="18"/>
  <c r="BD14" i="18"/>
  <c r="BC14" i="18"/>
  <c r="BB14" i="18"/>
  <c r="AQ14" i="18"/>
  <c r="AP14" i="18"/>
  <c r="AO14" i="18"/>
  <c r="AN14" i="18"/>
  <c r="AM14" i="18"/>
  <c r="AL14" i="18"/>
  <c r="AK14" i="18"/>
  <c r="AJ14" i="18"/>
  <c r="AH14" i="18"/>
  <c r="M14" i="18"/>
  <c r="L14" i="18"/>
  <c r="BJ13" i="18"/>
  <c r="AI13" i="18" s="1"/>
  <c r="BF13" i="18"/>
  <c r="BE13" i="18"/>
  <c r="BD13" i="18"/>
  <c r="BC13" i="18"/>
  <c r="BB13" i="18"/>
  <c r="AQ13" i="18"/>
  <c r="AP13" i="18"/>
  <c r="AO13" i="18"/>
  <c r="AN13" i="18"/>
  <c r="AM13" i="18"/>
  <c r="AL13" i="18"/>
  <c r="AK13" i="18"/>
  <c r="AJ13" i="18"/>
  <c r="AH13" i="18"/>
  <c r="M13" i="18"/>
  <c r="L13" i="18"/>
  <c r="BJ12" i="18"/>
  <c r="AI12" i="18" s="1"/>
  <c r="BF12" i="18"/>
  <c r="BE12" i="18"/>
  <c r="BD12" i="18"/>
  <c r="BC12" i="18"/>
  <c r="BB12" i="18"/>
  <c r="AQ12" i="18"/>
  <c r="AP12" i="18"/>
  <c r="AO12" i="18"/>
  <c r="AN12" i="18"/>
  <c r="AM12" i="18"/>
  <c r="AL12" i="18"/>
  <c r="AK12" i="18"/>
  <c r="AJ12" i="18"/>
  <c r="AH12" i="18"/>
  <c r="M12" i="18"/>
  <c r="L12" i="18"/>
  <c r="BJ11" i="18"/>
  <c r="AI11" i="18" s="1"/>
  <c r="BF11" i="18"/>
  <c r="BE11" i="18"/>
  <c r="BD11" i="18"/>
  <c r="BC11" i="18"/>
  <c r="BB11" i="18"/>
  <c r="AQ11" i="18"/>
  <c r="AP11" i="18"/>
  <c r="AO11" i="18"/>
  <c r="AN11" i="18"/>
  <c r="AM11" i="18"/>
  <c r="AL11" i="18"/>
  <c r="AK11" i="18"/>
  <c r="AJ11" i="18"/>
  <c r="AH11" i="18"/>
  <c r="M11" i="18"/>
  <c r="L11" i="18"/>
  <c r="BJ10" i="18"/>
  <c r="BF10" i="18"/>
  <c r="BE10" i="18"/>
  <c r="BD10" i="18"/>
  <c r="BC10" i="18"/>
  <c r="BB10" i="18"/>
  <c r="M12" i="10"/>
  <c r="M13" i="10"/>
  <c r="M14" i="10"/>
  <c r="M15" i="10"/>
  <c r="M16" i="10"/>
  <c r="M17" i="10"/>
  <c r="M18" i="10"/>
  <c r="M19" i="10"/>
  <c r="M20" i="10"/>
  <c r="M21" i="10"/>
  <c r="M22" i="10"/>
  <c r="L12" i="10"/>
  <c r="L13" i="10"/>
  <c r="L14" i="10"/>
  <c r="L15" i="10"/>
  <c r="L16" i="10"/>
  <c r="L17" i="10"/>
  <c r="L18" i="10"/>
  <c r="L19" i="10"/>
  <c r="L20" i="10"/>
  <c r="L21" i="10"/>
  <c r="L22" i="10"/>
  <c r="AA33" i="18" l="1"/>
  <c r="AA35" i="18"/>
  <c r="AC33" i="18"/>
  <c r="AC35" i="18"/>
  <c r="R89" i="24"/>
  <c r="S89" i="24"/>
  <c r="Q89" i="24"/>
  <c r="U89" i="24"/>
  <c r="T89" i="24"/>
  <c r="V89" i="24"/>
  <c r="W89" i="24"/>
  <c r="P89" i="24"/>
  <c r="X89" i="24"/>
  <c r="S98" i="24"/>
  <c r="T98" i="24"/>
  <c r="U98" i="24"/>
  <c r="V98" i="24"/>
  <c r="R98" i="24"/>
  <c r="W98" i="24"/>
  <c r="P98" i="24"/>
  <c r="X98" i="24"/>
  <c r="Q98" i="24"/>
  <c r="P56" i="24"/>
  <c r="P55" i="24"/>
  <c r="Q56" i="24"/>
  <c r="O95" i="24" s="1"/>
  <c r="Q55" i="24"/>
  <c r="O86" i="24" s="1"/>
  <c r="J4" i="5"/>
  <c r="U53" i="24"/>
  <c r="R56" i="24"/>
  <c r="O96" i="24" s="1"/>
  <c r="R55" i="24"/>
  <c r="O87" i="24" s="1"/>
  <c r="S55" i="24"/>
  <c r="O88" i="24" s="1"/>
  <c r="S56" i="24"/>
  <c r="O97" i="24" s="1"/>
  <c r="AB35" i="18"/>
  <c r="AB33" i="18"/>
  <c r="AE35" i="18"/>
  <c r="AE33" i="18"/>
  <c r="AD35" i="18"/>
  <c r="AD33" i="18"/>
  <c r="AC32" i="18" l="1"/>
  <c r="AA32" i="18"/>
  <c r="T86" i="24"/>
  <c r="U86" i="24"/>
  <c r="V86" i="24"/>
  <c r="W86" i="24"/>
  <c r="X86" i="24"/>
  <c r="P86" i="24"/>
  <c r="S86" i="24"/>
  <c r="Q86" i="24"/>
  <c r="R86" i="24"/>
  <c r="U95" i="24"/>
  <c r="V95" i="24"/>
  <c r="W95" i="24"/>
  <c r="T95" i="24"/>
  <c r="X95" i="24"/>
  <c r="P95" i="24"/>
  <c r="Q95" i="24"/>
  <c r="S95" i="24"/>
  <c r="R95" i="24"/>
  <c r="P97" i="24"/>
  <c r="R97" i="24"/>
  <c r="S97" i="24"/>
  <c r="T97" i="24"/>
  <c r="U97" i="24"/>
  <c r="Q97" i="24"/>
  <c r="X97" i="24"/>
  <c r="V97" i="24"/>
  <c r="W97" i="24"/>
  <c r="U56" i="24"/>
  <c r="O94" i="24"/>
  <c r="O85" i="24"/>
  <c r="U55" i="24"/>
  <c r="W87" i="24"/>
  <c r="P87" i="24"/>
  <c r="X87" i="24"/>
  <c r="Q87" i="24"/>
  <c r="V87" i="24"/>
  <c r="R87" i="24"/>
  <c r="S87" i="24"/>
  <c r="T87" i="24"/>
  <c r="U87" i="24"/>
  <c r="P88" i="24"/>
  <c r="X88" i="24"/>
  <c r="Q88" i="24"/>
  <c r="R88" i="24"/>
  <c r="S88" i="24"/>
  <c r="T88" i="24"/>
  <c r="V88" i="24"/>
  <c r="U88" i="24"/>
  <c r="W88" i="24"/>
  <c r="V96" i="24"/>
  <c r="W96" i="24"/>
  <c r="Q96" i="24"/>
  <c r="P96" i="24"/>
  <c r="X96" i="24"/>
  <c r="R96" i="24"/>
  <c r="S96" i="24"/>
  <c r="U96" i="24"/>
  <c r="T96" i="24"/>
  <c r="AD32" i="18"/>
  <c r="AE32" i="18"/>
  <c r="AB32" i="18"/>
  <c r="Q85" i="24" l="1"/>
  <c r="Q82" i="24" s="1"/>
  <c r="X85" i="24"/>
  <c r="X82" i="24" s="1"/>
  <c r="R85" i="24"/>
  <c r="R82" i="24" s="1"/>
  <c r="S85" i="24"/>
  <c r="S82" i="24" s="1"/>
  <c r="P85" i="24"/>
  <c r="P82" i="24" s="1"/>
  <c r="T85" i="24"/>
  <c r="T82" i="24" s="1"/>
  <c r="U85" i="24"/>
  <c r="U82" i="24" s="1"/>
  <c r="V85" i="24"/>
  <c r="V82" i="24" s="1"/>
  <c r="O82" i="24"/>
  <c r="W85" i="24"/>
  <c r="W82" i="24" s="1"/>
  <c r="S94" i="24"/>
  <c r="S91" i="24" s="1"/>
  <c r="T94" i="24"/>
  <c r="T91" i="24" s="1"/>
  <c r="R94" i="24"/>
  <c r="R91" i="24" s="1"/>
  <c r="U94" i="24"/>
  <c r="U91" i="24" s="1"/>
  <c r="V94" i="24"/>
  <c r="V91" i="24" s="1"/>
  <c r="Q94" i="24"/>
  <c r="Q91" i="24" s="1"/>
  <c r="W94" i="24"/>
  <c r="W91" i="24" s="1"/>
  <c r="P94" i="24"/>
  <c r="P91" i="24" s="1"/>
  <c r="X94" i="24"/>
  <c r="X91" i="24" s="1"/>
  <c r="O91" i="24"/>
  <c r="AK5" i="15"/>
  <c r="AL5" i="15"/>
  <c r="AM5" i="15" s="1"/>
  <c r="AK6" i="15"/>
  <c r="AL6" i="15"/>
  <c r="AM6" i="15" s="1"/>
  <c r="AJ6" i="15"/>
  <c r="AJ5" i="15"/>
  <c r="AG5" i="15"/>
  <c r="AH5" i="15"/>
  <c r="AI5" i="15" s="1"/>
  <c r="AG6" i="15"/>
  <c r="AH6" i="15"/>
  <c r="AI6" i="15" s="1"/>
  <c r="AF6" i="15"/>
  <c r="AF5" i="15"/>
  <c r="AC5" i="15"/>
  <c r="AD5" i="15"/>
  <c r="AE5" i="15" s="1"/>
  <c r="AC6" i="15"/>
  <c r="AD6" i="15"/>
  <c r="AE6" i="15" s="1"/>
  <c r="AB6" i="15"/>
  <c r="AB5" i="15"/>
  <c r="Y5" i="15"/>
  <c r="AW5" i="15" s="1"/>
  <c r="Z5" i="15"/>
  <c r="AA5" i="15" s="1"/>
  <c r="Y6" i="15"/>
  <c r="AW6" i="15" s="1"/>
  <c r="Z6" i="15"/>
  <c r="AA6" i="15" s="1"/>
  <c r="X6" i="15"/>
  <c r="AV6" i="15" s="1"/>
  <c r="X5" i="15"/>
  <c r="AV5" i="15" s="1"/>
  <c r="U5" i="15"/>
  <c r="AS5" i="15" s="1"/>
  <c r="V5" i="15"/>
  <c r="W5" i="15" s="1"/>
  <c r="U6" i="15"/>
  <c r="AS6" i="15" s="1"/>
  <c r="V6" i="15"/>
  <c r="W6" i="15" s="1"/>
  <c r="T6" i="15"/>
  <c r="AR6" i="15" s="1"/>
  <c r="T5" i="15"/>
  <c r="AR5" i="15" s="1"/>
  <c r="R5" i="15"/>
  <c r="S5" i="15" s="1"/>
  <c r="R6" i="15"/>
  <c r="S6" i="15" s="1"/>
  <c r="Q5" i="15"/>
  <c r="AO5" i="15" s="1"/>
  <c r="Q6" i="15"/>
  <c r="DU6" i="15" s="1"/>
  <c r="P6" i="15"/>
  <c r="AN6" i="15" s="1"/>
  <c r="P5" i="15"/>
  <c r="DT5" i="15" s="1"/>
  <c r="O6" i="15"/>
  <c r="O5" i="15"/>
  <c r="N5" i="15"/>
  <c r="N6" i="15"/>
  <c r="M5" i="15"/>
  <c r="M6" i="15"/>
  <c r="L5" i="15"/>
  <c r="L6" i="15"/>
  <c r="K6" i="15"/>
  <c r="K5" i="15"/>
  <c r="BO14" i="10"/>
  <c r="AN14" i="10" s="1"/>
  <c r="BN14" i="10"/>
  <c r="AM14" i="10" s="1"/>
  <c r="BM14" i="10"/>
  <c r="AL14" i="10" s="1"/>
  <c r="BL14" i="10"/>
  <c r="AK14" i="10" s="1"/>
  <c r="BK14" i="10"/>
  <c r="AJ14" i="10" s="1"/>
  <c r="BJ14" i="10"/>
  <c r="AI14" i="10" s="1"/>
  <c r="BI14" i="10"/>
  <c r="AH14" i="10" s="1"/>
  <c r="BH14" i="10"/>
  <c r="AG14" i="10" s="1"/>
  <c r="BO13" i="10"/>
  <c r="AN13" i="10" s="1"/>
  <c r="BN13" i="10"/>
  <c r="AM13" i="10" s="1"/>
  <c r="BM13" i="10"/>
  <c r="AL13" i="10" s="1"/>
  <c r="BL13" i="10"/>
  <c r="AK13" i="10" s="1"/>
  <c r="BK13" i="10"/>
  <c r="AJ13" i="10" s="1"/>
  <c r="BJ13" i="10"/>
  <c r="AI13" i="10" s="1"/>
  <c r="BI13" i="10"/>
  <c r="AH13" i="10" s="1"/>
  <c r="BH13" i="10"/>
  <c r="AG13" i="10" s="1"/>
  <c r="BO12" i="10"/>
  <c r="AN12" i="10" s="1"/>
  <c r="BN12" i="10"/>
  <c r="AM12" i="10" s="1"/>
  <c r="BM12" i="10"/>
  <c r="AL12" i="10" s="1"/>
  <c r="BL12" i="10"/>
  <c r="AK12" i="10" s="1"/>
  <c r="BK12" i="10"/>
  <c r="AJ12" i="10" s="1"/>
  <c r="BJ12" i="10"/>
  <c r="AI12" i="10" s="1"/>
  <c r="BI12" i="10"/>
  <c r="AH12" i="10" s="1"/>
  <c r="BH12" i="10"/>
  <c r="AG12" i="10" s="1"/>
  <c r="BG22" i="10"/>
  <c r="BG21" i="10"/>
  <c r="BG20" i="10"/>
  <c r="BG19" i="10"/>
  <c r="BG18" i="10"/>
  <c r="BG17" i="10"/>
  <c r="BG16" i="10"/>
  <c r="BG15" i="10"/>
  <c r="BG14" i="10"/>
  <c r="AF14" i="10" s="1"/>
  <c r="BG13" i="10"/>
  <c r="AF13" i="10" s="1"/>
  <c r="BG12" i="10"/>
  <c r="AF12" i="10" s="1"/>
  <c r="BG11" i="10"/>
  <c r="BC22" i="10"/>
  <c r="BB22" i="10"/>
  <c r="BA22" i="10"/>
  <c r="AZ22" i="10"/>
  <c r="AY22" i="10"/>
  <c r="BC21" i="10"/>
  <c r="BB21" i="10"/>
  <c r="BA21" i="10"/>
  <c r="AZ21" i="10"/>
  <c r="AY21" i="10"/>
  <c r="AX20" i="10"/>
  <c r="AW20" i="10"/>
  <c r="AV20" i="10"/>
  <c r="AU20" i="10"/>
  <c r="AT20" i="10"/>
  <c r="AS20" i="10"/>
  <c r="AR20" i="10"/>
  <c r="AQ20" i="10"/>
  <c r="AP20" i="10"/>
  <c r="AO20" i="10"/>
  <c r="BC19" i="10"/>
  <c r="BB19" i="10"/>
  <c r="BA19" i="10"/>
  <c r="AZ19" i="10"/>
  <c r="AY19" i="10"/>
  <c r="BC18" i="10"/>
  <c r="BB18" i="10"/>
  <c r="BA18" i="10"/>
  <c r="AZ18" i="10"/>
  <c r="AY18" i="10"/>
  <c r="BC17" i="10"/>
  <c r="BB17" i="10"/>
  <c r="BA17" i="10"/>
  <c r="AZ17" i="10"/>
  <c r="AY17" i="10"/>
  <c r="BC16" i="10"/>
  <c r="BB16" i="10"/>
  <c r="BA16" i="10"/>
  <c r="AZ16" i="10"/>
  <c r="AY16" i="10"/>
  <c r="BC15" i="10"/>
  <c r="BB15" i="10"/>
  <c r="BA15" i="10"/>
  <c r="AZ15" i="10"/>
  <c r="AY15" i="10"/>
  <c r="BC14" i="10"/>
  <c r="BB14" i="10"/>
  <c r="BA14" i="10"/>
  <c r="AZ14" i="10"/>
  <c r="AY14" i="10"/>
  <c r="BC13" i="10"/>
  <c r="BB13" i="10"/>
  <c r="BA13" i="10"/>
  <c r="AZ13" i="10"/>
  <c r="AY13" i="10"/>
  <c r="BC12" i="10"/>
  <c r="BB12" i="10"/>
  <c r="BA12" i="10"/>
  <c r="AZ12" i="10"/>
  <c r="AY12" i="10"/>
  <c r="BC11" i="10"/>
  <c r="BB11" i="10"/>
  <c r="BA11" i="10"/>
  <c r="AZ11" i="10"/>
  <c r="AY11" i="10"/>
  <c r="AN15" i="10"/>
  <c r="AE14" i="10"/>
  <c r="AE13" i="10"/>
  <c r="AE12" i="10"/>
  <c r="DU5" i="15" l="1"/>
  <c r="AY20" i="10"/>
  <c r="AZ20" i="10"/>
  <c r="BA20" i="10"/>
  <c r="BB20" i="10"/>
  <c r="BC20" i="10"/>
  <c r="DT6" i="15"/>
  <c r="AP6" i="15"/>
  <c r="AQ6" i="15" s="1"/>
  <c r="AT6" i="15"/>
  <c r="AU6" i="15" s="1"/>
  <c r="AX6" i="15"/>
  <c r="AY6" i="15" s="1"/>
  <c r="DV6" i="15"/>
  <c r="DW6" i="15" s="1"/>
  <c r="AO6" i="15"/>
  <c r="AP5" i="15"/>
  <c r="AQ5" i="15" s="1"/>
  <c r="AT5" i="15"/>
  <c r="AU5" i="15" s="1"/>
  <c r="AX5" i="15"/>
  <c r="AY5" i="15" s="1"/>
  <c r="DV5" i="15"/>
  <c r="DW5" i="15" s="1"/>
  <c r="AN5" i="15"/>
  <c r="D44" i="5"/>
  <c r="E44" i="5" s="1"/>
  <c r="F44" i="5" s="1"/>
  <c r="G44" i="5" s="1"/>
  <c r="H44" i="5" s="1"/>
  <c r="I44" i="5" s="1"/>
  <c r="J44" i="5" s="1"/>
  <c r="K44" i="5" s="1"/>
  <c r="L44" i="5" s="1"/>
  <c r="M44" i="5" s="1"/>
  <c r="M22" i="5"/>
  <c r="L22" i="5"/>
  <c r="K22" i="5"/>
  <c r="J22" i="5"/>
  <c r="I22" i="5"/>
  <c r="H22" i="5"/>
  <c r="G22" i="5"/>
  <c r="F22" i="5"/>
  <c r="E22" i="5"/>
  <c r="D22" i="5"/>
  <c r="M21" i="5"/>
  <c r="L21" i="5"/>
  <c r="K21" i="5"/>
  <c r="J21" i="5"/>
  <c r="I21" i="5"/>
  <c r="H21" i="5"/>
  <c r="G21" i="5"/>
  <c r="F21" i="5"/>
  <c r="E21" i="5"/>
  <c r="D21" i="5"/>
  <c r="M20" i="5"/>
  <c r="L20" i="5"/>
  <c r="K20" i="5"/>
  <c r="J20" i="5"/>
  <c r="I20" i="5"/>
  <c r="H20" i="5"/>
  <c r="G20" i="5"/>
  <c r="F20" i="5"/>
  <c r="E20" i="5"/>
  <c r="D20" i="5"/>
  <c r="M19" i="5"/>
  <c r="L19" i="5"/>
  <c r="K19" i="5"/>
  <c r="J19" i="5"/>
  <c r="I19" i="5"/>
  <c r="H19" i="5"/>
  <c r="G19" i="5"/>
  <c r="F19" i="5"/>
  <c r="E19" i="5"/>
  <c r="D19" i="5"/>
  <c r="M18" i="5"/>
  <c r="L18" i="5"/>
  <c r="K18" i="5"/>
  <c r="J18" i="5"/>
  <c r="I18" i="5"/>
  <c r="H18" i="5"/>
  <c r="G18" i="5"/>
  <c r="F18" i="5"/>
  <c r="E18" i="5"/>
  <c r="AB14" i="10" l="1"/>
  <c r="AB13" i="10"/>
  <c r="AA14" i="10"/>
  <c r="AA13" i="10"/>
  <c r="Z13" i="10"/>
  <c r="Z14" i="10"/>
  <c r="Y14" i="10"/>
  <c r="Y13" i="10"/>
  <c r="X13" i="10"/>
  <c r="X14" i="10"/>
  <c r="H6" i="5"/>
  <c r="D39" i="5" s="1"/>
  <c r="D35" i="5"/>
  <c r="E35" i="5" s="1"/>
  <c r="F35" i="5" s="1"/>
  <c r="G35" i="5" s="1"/>
  <c r="H35" i="5" s="1"/>
  <c r="I35" i="5" s="1"/>
  <c r="J35" i="5" s="1"/>
  <c r="K35" i="5" s="1"/>
  <c r="L35" i="5" s="1"/>
  <c r="M35" i="5" s="1"/>
  <c r="E6" i="5"/>
  <c r="D36" i="5" s="1"/>
  <c r="F6" i="5"/>
  <c r="D37" i="5" s="1"/>
  <c r="G6" i="5"/>
  <c r="D38" i="5" s="1"/>
  <c r="I6" i="5"/>
  <c r="D40" i="5" s="1"/>
  <c r="E7" i="5"/>
  <c r="D45" i="5" s="1"/>
  <c r="F7" i="5"/>
  <c r="D46" i="5" s="1"/>
  <c r="G7" i="5"/>
  <c r="D47" i="5" s="1"/>
  <c r="H7" i="5"/>
  <c r="D48" i="5" s="1"/>
  <c r="I7" i="5"/>
  <c r="D49" i="5" s="1"/>
  <c r="Z12" i="10" l="1"/>
  <c r="X12" i="10"/>
  <c r="AB12" i="10"/>
  <c r="AA12" i="10"/>
  <c r="Y12" i="10"/>
  <c r="F45" i="5"/>
  <c r="E45" i="5"/>
  <c r="F46" i="5"/>
  <c r="E46" i="5"/>
  <c r="D42" i="5"/>
  <c r="D33" i="5"/>
  <c r="G49" i="5"/>
  <c r="F49" i="5"/>
  <c r="E49" i="5"/>
  <c r="F48" i="5"/>
  <c r="G48" i="5"/>
  <c r="E48" i="5"/>
  <c r="E40" i="5"/>
  <c r="G47" i="5"/>
  <c r="F47" i="5"/>
  <c r="E47" i="5"/>
  <c r="E38" i="5"/>
  <c r="J7" i="5"/>
  <c r="E36" i="5"/>
  <c r="J6" i="5"/>
  <c r="F42" i="5" l="1"/>
  <c r="G46" i="5"/>
  <c r="E42" i="5"/>
  <c r="E37" i="5"/>
  <c r="G45" i="5"/>
  <c r="E39" i="5"/>
  <c r="G42" i="5" l="1"/>
  <c r="H48" i="5"/>
  <c r="H47" i="5"/>
  <c r="H46" i="5"/>
  <c r="H45" i="5"/>
  <c r="H49" i="5"/>
  <c r="E33" i="5"/>
  <c r="F39" i="5"/>
  <c r="F37" i="5"/>
  <c r="F38" i="5"/>
  <c r="F40" i="5"/>
  <c r="F36" i="5"/>
  <c r="H42" i="5" l="1"/>
  <c r="I48" i="5"/>
  <c r="I47" i="5"/>
  <c r="I46" i="5"/>
  <c r="I45" i="5"/>
  <c r="I49" i="5"/>
  <c r="F33" i="5"/>
  <c r="G37" i="5"/>
  <c r="G38" i="5"/>
  <c r="G40" i="5"/>
  <c r="G36" i="5"/>
  <c r="G39" i="5"/>
  <c r="I42" i="5" l="1"/>
  <c r="H37" i="5"/>
  <c r="H39" i="5"/>
  <c r="H40" i="5"/>
  <c r="H38" i="5"/>
  <c r="H36" i="5"/>
  <c r="J48" i="5"/>
  <c r="J47" i="5"/>
  <c r="J46" i="5"/>
  <c r="J45" i="5"/>
  <c r="J49" i="5"/>
  <c r="G33" i="5"/>
  <c r="H33" i="5" l="1"/>
  <c r="J42" i="5"/>
  <c r="I37" i="5"/>
  <c r="I39" i="5"/>
  <c r="I38" i="5"/>
  <c r="I40" i="5"/>
  <c r="I36" i="5"/>
  <c r="K47" i="5"/>
  <c r="K46" i="5"/>
  <c r="K48" i="5"/>
  <c r="K45" i="5"/>
  <c r="K49" i="5"/>
  <c r="K42" i="5" l="1"/>
  <c r="I33" i="5"/>
  <c r="J37" i="5"/>
  <c r="J40" i="5"/>
  <c r="J36" i="5"/>
  <c r="J38" i="5"/>
  <c r="J39" i="5"/>
  <c r="L45" i="5"/>
  <c r="L48" i="5"/>
  <c r="L49" i="5"/>
  <c r="L46" i="5"/>
  <c r="L47" i="5"/>
  <c r="L42" i="5" l="1"/>
  <c r="M48" i="5"/>
  <c r="M45" i="5"/>
  <c r="M46" i="5"/>
  <c r="M47" i="5"/>
  <c r="M49" i="5"/>
  <c r="J33" i="5"/>
  <c r="K37" i="5"/>
  <c r="K40" i="5"/>
  <c r="K38" i="5"/>
  <c r="K36" i="5"/>
  <c r="K39" i="5"/>
  <c r="M42" i="5" l="1"/>
  <c r="L37" i="5"/>
  <c r="L39" i="5"/>
  <c r="L40" i="5"/>
  <c r="L36" i="5"/>
  <c r="L38" i="5"/>
  <c r="K33" i="5"/>
  <c r="L33" i="5" l="1"/>
  <c r="M39" i="5"/>
  <c r="M40" i="5"/>
  <c r="M36" i="5"/>
  <c r="M38" i="5"/>
  <c r="M37" i="5"/>
  <c r="M33" i="5" l="1"/>
  <c r="E64" i="7"/>
  <c r="D64" i="7"/>
  <c r="F64" i="7" l="1"/>
  <c r="G64" i="7"/>
  <c r="G5" i="5"/>
  <c r="D29" i="5" s="1"/>
  <c r="P54" i="24"/>
  <c r="T54" i="24" l="1"/>
  <c r="O80" i="24" s="1"/>
  <c r="O53" i="24"/>
  <c r="O75" i="24"/>
  <c r="P75" i="24" s="1"/>
  <c r="Q75" i="24" s="1"/>
  <c r="R54" i="24"/>
  <c r="O78" i="24" s="1"/>
  <c r="O104" i="24" s="1"/>
  <c r="O76" i="24"/>
  <c r="D55" i="5"/>
  <c r="E5" i="5"/>
  <c r="Q54" i="24"/>
  <c r="O77" i="24" s="1"/>
  <c r="H5" i="5"/>
  <c r="D30" i="5" s="1"/>
  <c r="I5" i="5"/>
  <c r="D31" i="5" s="1"/>
  <c r="S54" i="24"/>
  <c r="O79" i="24" s="1"/>
  <c r="D26" i="5"/>
  <c r="E26" i="5" s="1"/>
  <c r="F26" i="5" s="1"/>
  <c r="G26" i="5" s="1"/>
  <c r="H26" i="5" s="1"/>
  <c r="I26" i="5" s="1"/>
  <c r="J26" i="5" s="1"/>
  <c r="K26" i="5" s="1"/>
  <c r="L26" i="5" s="1"/>
  <c r="M26" i="5" s="1"/>
  <c r="F5" i="5"/>
  <c r="D28" i="5" s="1"/>
  <c r="P80" i="24" l="1"/>
  <c r="P106" i="24" s="1"/>
  <c r="O106" i="24"/>
  <c r="P78" i="24"/>
  <c r="P104" i="24" s="1"/>
  <c r="R75" i="24"/>
  <c r="R76" i="24" s="1"/>
  <c r="R102" i="24" s="1"/>
  <c r="Q76" i="24"/>
  <c r="Q102" i="24" s="1"/>
  <c r="P76" i="24"/>
  <c r="O102" i="24"/>
  <c r="P77" i="24"/>
  <c r="P103" i="24" s="1"/>
  <c r="O103" i="24"/>
  <c r="Q77" i="24"/>
  <c r="Q103" i="24" s="1"/>
  <c r="D54" i="5"/>
  <c r="Q80" i="24"/>
  <c r="Q106" i="24" s="1"/>
  <c r="U54" i="24"/>
  <c r="D56" i="5"/>
  <c r="E28" i="5"/>
  <c r="E54" i="5" s="1"/>
  <c r="P79" i="24"/>
  <c r="P105" i="24" s="1"/>
  <c r="Q79" i="24"/>
  <c r="Q105" i="24" s="1"/>
  <c r="O105" i="24"/>
  <c r="D27" i="5"/>
  <c r="J5" i="5"/>
  <c r="Q78" i="24"/>
  <c r="Q104" i="24" s="1"/>
  <c r="D57" i="5"/>
  <c r="F7" i="4"/>
  <c r="S46" i="18" s="1"/>
  <c r="P15" i="10"/>
  <c r="O73" i="24"/>
  <c r="R77" i="24" l="1"/>
  <c r="R103" i="24" s="1"/>
  <c r="D24" i="5"/>
  <c r="D53" i="5"/>
  <c r="D52" i="5" s="1"/>
  <c r="P14" i="10"/>
  <c r="P13" i="10"/>
  <c r="R79" i="24"/>
  <c r="R105" i="24" s="1"/>
  <c r="E30" i="5"/>
  <c r="E56" i="5" s="1"/>
  <c r="G8" i="4" s="1"/>
  <c r="Y46" i="18" s="1"/>
  <c r="T15" i="10"/>
  <c r="T14" i="10" s="1"/>
  <c r="G6" i="4"/>
  <c r="W46" i="18" s="1"/>
  <c r="Q101" i="24"/>
  <c r="S35" i="18"/>
  <c r="S33" i="18"/>
  <c r="E29" i="5"/>
  <c r="E55" i="5" s="1"/>
  <c r="F6" i="4"/>
  <c r="R46" i="18" s="1"/>
  <c r="O15" i="10"/>
  <c r="E31" i="5"/>
  <c r="E57" i="5" s="1"/>
  <c r="F8" i="4"/>
  <c r="T46" i="18" s="1"/>
  <c r="Q15" i="10"/>
  <c r="O101" i="24"/>
  <c r="Q73" i="24"/>
  <c r="R15" i="10"/>
  <c r="F9" i="4"/>
  <c r="U46" i="18" s="1"/>
  <c r="E27" i="5"/>
  <c r="E53" i="5" s="1"/>
  <c r="P102" i="24"/>
  <c r="P101" i="24" s="1"/>
  <c r="P73" i="24"/>
  <c r="R78" i="24"/>
  <c r="R104" i="24" s="1"/>
  <c r="S75" i="24"/>
  <c r="R80" i="24"/>
  <c r="R106" i="24" s="1"/>
  <c r="Q14" i="10" l="1"/>
  <c r="Q13" i="10"/>
  <c r="O13" i="10"/>
  <c r="O14" i="10"/>
  <c r="R14" i="10"/>
  <c r="R13" i="10"/>
  <c r="V15" i="10"/>
  <c r="V14" i="10" s="1"/>
  <c r="P12" i="10"/>
  <c r="S32" i="18"/>
  <c r="R101" i="24"/>
  <c r="G7" i="4"/>
  <c r="X46" i="18" s="1"/>
  <c r="U15" i="10"/>
  <c r="S78" i="24"/>
  <c r="S104" i="24" s="1"/>
  <c r="T75" i="24"/>
  <c r="S80" i="24"/>
  <c r="S106" i="24" s="1"/>
  <c r="S79" i="24"/>
  <c r="S105" i="24" s="1"/>
  <c r="S76" i="24"/>
  <c r="S102" i="24" s="1"/>
  <c r="S77" i="24"/>
  <c r="S103" i="24" s="1"/>
  <c r="S15" i="10"/>
  <c r="G5" i="4"/>
  <c r="V46" i="18" s="1"/>
  <c r="E52" i="5"/>
  <c r="E24" i="5"/>
  <c r="F29" i="5"/>
  <c r="F55" i="5" s="1"/>
  <c r="H7" i="4" s="1"/>
  <c r="F31" i="5"/>
  <c r="F57" i="5" s="1"/>
  <c r="H9" i="4" s="1"/>
  <c r="F30" i="5"/>
  <c r="F56" i="5" s="1"/>
  <c r="H8" i="4" s="1"/>
  <c r="F28" i="5"/>
  <c r="F54" i="5" s="1"/>
  <c r="H6" i="4" s="1"/>
  <c r="Y35" i="18"/>
  <c r="Y33" i="18"/>
  <c r="U35" i="18"/>
  <c r="U33" i="18"/>
  <c r="R73" i="24"/>
  <c r="G9" i="4"/>
  <c r="Z46" i="18" s="1"/>
  <c r="W15" i="10"/>
  <c r="W35" i="18"/>
  <c r="W33" i="18"/>
  <c r="R33" i="18"/>
  <c r="R35" i="18"/>
  <c r="T33" i="18"/>
  <c r="T35" i="18"/>
  <c r="F27" i="5"/>
  <c r="F53" i="5" s="1"/>
  <c r="N15" i="10"/>
  <c r="F5" i="4"/>
  <c r="Q46" i="18" s="1"/>
  <c r="T13" i="10"/>
  <c r="N13" i="10" l="1"/>
  <c r="N14" i="10"/>
  <c r="V13" i="10"/>
  <c r="V12" i="10" s="1"/>
  <c r="O12" i="10"/>
  <c r="Q12" i="10"/>
  <c r="T32" i="18"/>
  <c r="R32" i="18"/>
  <c r="T12" i="10"/>
  <c r="W32" i="18"/>
  <c r="Y32" i="18"/>
  <c r="R12" i="10"/>
  <c r="U32" i="18"/>
  <c r="F24" i="5"/>
  <c r="S13" i="10"/>
  <c r="S14" i="10"/>
  <c r="S101" i="24"/>
  <c r="T78" i="24"/>
  <c r="T104" i="24" s="1"/>
  <c r="U75" i="24"/>
  <c r="T80" i="24"/>
  <c r="T106" i="24" s="1"/>
  <c r="T76" i="24"/>
  <c r="T102" i="24" s="1"/>
  <c r="T79" i="24"/>
  <c r="T105" i="24" s="1"/>
  <c r="T77" i="24"/>
  <c r="T103" i="24" s="1"/>
  <c r="G29" i="5"/>
  <c r="G55" i="5" s="1"/>
  <c r="I7" i="4" s="1"/>
  <c r="G28" i="5"/>
  <c r="G54" i="5" s="1"/>
  <c r="I6" i="4" s="1"/>
  <c r="G30" i="5"/>
  <c r="G56" i="5" s="1"/>
  <c r="I8" i="4" s="1"/>
  <c r="G31" i="5"/>
  <c r="G57" i="5" s="1"/>
  <c r="I9" i="4" s="1"/>
  <c r="G27" i="5"/>
  <c r="G53" i="5" s="1"/>
  <c r="H5" i="4"/>
  <c r="F52" i="5"/>
  <c r="S73" i="24"/>
  <c r="U13" i="10"/>
  <c r="U14" i="10"/>
  <c r="W14" i="10"/>
  <c r="W13" i="10"/>
  <c r="Q33" i="18"/>
  <c r="Q35" i="18"/>
  <c r="Z33" i="18"/>
  <c r="Z35" i="18"/>
  <c r="V33" i="18"/>
  <c r="V35" i="18"/>
  <c r="X33" i="18"/>
  <c r="X35" i="18"/>
  <c r="U12" i="10" l="1"/>
  <c r="W12" i="10"/>
  <c r="N12" i="10"/>
  <c r="V32" i="18"/>
  <c r="X32" i="18"/>
  <c r="Z32" i="18"/>
  <c r="G24" i="5"/>
  <c r="Q32" i="18"/>
  <c r="S12" i="10"/>
  <c r="H29" i="5"/>
  <c r="H55" i="5" s="1"/>
  <c r="J7" i="4" s="1"/>
  <c r="H30" i="5"/>
  <c r="H56" i="5" s="1"/>
  <c r="J8" i="4" s="1"/>
  <c r="H31" i="5"/>
  <c r="H57" i="5" s="1"/>
  <c r="J9" i="4" s="1"/>
  <c r="H28" i="5"/>
  <c r="H54" i="5" s="1"/>
  <c r="J6" i="4" s="1"/>
  <c r="H27" i="5"/>
  <c r="H53" i="5" s="1"/>
  <c r="G52" i="5"/>
  <c r="I5" i="4"/>
  <c r="V75" i="24"/>
  <c r="U78" i="24"/>
  <c r="U104" i="24" s="1"/>
  <c r="U80" i="24"/>
  <c r="U106" i="24" s="1"/>
  <c r="U76" i="24"/>
  <c r="U102" i="24" s="1"/>
  <c r="U77" i="24"/>
  <c r="U103" i="24" s="1"/>
  <c r="U79" i="24"/>
  <c r="U105" i="24" s="1"/>
  <c r="T101" i="24"/>
  <c r="T73" i="24"/>
  <c r="H52" i="5" l="1"/>
  <c r="J5" i="4"/>
  <c r="U73" i="24"/>
  <c r="H24" i="5"/>
  <c r="U101" i="24"/>
  <c r="W75" i="24"/>
  <c r="V78" i="24"/>
  <c r="V104" i="24" s="1"/>
  <c r="V80" i="24"/>
  <c r="V106" i="24" s="1"/>
  <c r="V76" i="24"/>
  <c r="V102" i="24" s="1"/>
  <c r="V77" i="24"/>
  <c r="V103" i="24" s="1"/>
  <c r="V79" i="24"/>
  <c r="V105" i="24" s="1"/>
  <c r="I29" i="5"/>
  <c r="I55" i="5" s="1"/>
  <c r="K7" i="4" s="1"/>
  <c r="I28" i="5"/>
  <c r="I54" i="5" s="1"/>
  <c r="K6" i="4" s="1"/>
  <c r="I30" i="5"/>
  <c r="I56" i="5" s="1"/>
  <c r="K8" i="4" s="1"/>
  <c r="I31" i="5"/>
  <c r="I57" i="5" s="1"/>
  <c r="K9" i="4" s="1"/>
  <c r="I27" i="5"/>
  <c r="I53" i="5" s="1"/>
  <c r="J29" i="5" l="1"/>
  <c r="J55" i="5" s="1"/>
  <c r="L7" i="4" s="1"/>
  <c r="J28" i="5"/>
  <c r="J54" i="5" s="1"/>
  <c r="L6" i="4" s="1"/>
  <c r="J31" i="5"/>
  <c r="J57" i="5" s="1"/>
  <c r="L9" i="4" s="1"/>
  <c r="J30" i="5"/>
  <c r="J56" i="5" s="1"/>
  <c r="L8" i="4" s="1"/>
  <c r="J27" i="5"/>
  <c r="J53" i="5" s="1"/>
  <c r="V73" i="24"/>
  <c r="I52" i="5"/>
  <c r="K5" i="4"/>
  <c r="X75" i="24"/>
  <c r="W80" i="24"/>
  <c r="W106" i="24" s="1"/>
  <c r="W78" i="24"/>
  <c r="W104" i="24" s="1"/>
  <c r="W76" i="24"/>
  <c r="W102" i="24" s="1"/>
  <c r="W77" i="24"/>
  <c r="W103" i="24" s="1"/>
  <c r="W79" i="24"/>
  <c r="W105" i="24" s="1"/>
  <c r="V101" i="24"/>
  <c r="I24" i="5"/>
  <c r="L5" i="4" l="1"/>
  <c r="J52" i="5"/>
  <c r="W73" i="24"/>
  <c r="J24" i="5"/>
  <c r="W101" i="24"/>
  <c r="X78" i="24"/>
  <c r="X104" i="24" s="1"/>
  <c r="X80" i="24"/>
  <c r="X106" i="24" s="1"/>
  <c r="X79" i="24"/>
  <c r="X105" i="24" s="1"/>
  <c r="X77" i="24"/>
  <c r="X103" i="24" s="1"/>
  <c r="X76" i="24"/>
  <c r="X102" i="24" s="1"/>
  <c r="K29" i="5"/>
  <c r="K55" i="5" s="1"/>
  <c r="M7" i="4" s="1"/>
  <c r="K30" i="5"/>
  <c r="K56" i="5" s="1"/>
  <c r="M8" i="4" s="1"/>
  <c r="K31" i="5"/>
  <c r="K57" i="5" s="1"/>
  <c r="M9" i="4" s="1"/>
  <c r="K28" i="5"/>
  <c r="K54" i="5" s="1"/>
  <c r="M6" i="4" s="1"/>
  <c r="K27" i="5"/>
  <c r="K53" i="5" s="1"/>
  <c r="X101" i="24" l="1"/>
  <c r="K24" i="5"/>
  <c r="X73" i="24"/>
  <c r="L29" i="5"/>
  <c r="L55" i="5" s="1"/>
  <c r="N7" i="4" s="1"/>
  <c r="L31" i="5"/>
  <c r="L57" i="5" s="1"/>
  <c r="N9" i="4" s="1"/>
  <c r="L30" i="5"/>
  <c r="L56" i="5" s="1"/>
  <c r="N8" i="4" s="1"/>
  <c r="L28" i="5"/>
  <c r="L54" i="5" s="1"/>
  <c r="N6" i="4" s="1"/>
  <c r="L27" i="5"/>
  <c r="L53" i="5" s="1"/>
  <c r="K52" i="5"/>
  <c r="M5" i="4"/>
  <c r="M29" i="5" l="1"/>
  <c r="M55" i="5" s="1"/>
  <c r="O7" i="4" s="1"/>
  <c r="M28" i="5"/>
  <c r="M54" i="5" s="1"/>
  <c r="O6" i="4" s="1"/>
  <c r="M31" i="5"/>
  <c r="M57" i="5" s="1"/>
  <c r="O9" i="4" s="1"/>
  <c r="M30" i="5"/>
  <c r="M56" i="5" s="1"/>
  <c r="O8" i="4" s="1"/>
  <c r="M27" i="5"/>
  <c r="M53" i="5" s="1"/>
  <c r="L24" i="5"/>
  <c r="L52" i="5"/>
  <c r="N5" i="4"/>
  <c r="M52" i="5" l="1"/>
  <c r="O5" i="4"/>
  <c r="M2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tc={4DC4F5CD-9392-45BD-AE96-DF7916A986D3}</author>
  </authors>
  <commentList>
    <comment ref="J14" authorId="0" shapeId="0" xr:uid="{4DC4F5CD-9392-45BD-AE96-DF7916A986D3}">
      <text>
        <t>[Threaded comment]
Your version of Excel allows you to read this threaded comment; however, any edits to it will get removed if the file is opened in a newer version of Excel. Learn more: https://go.microsoft.com/fwlink/?linkid=870924
Comment:
    Was originally under vintage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tc={D65C3EAD-8427-4978-9F59-B82996FCFA4F}</author>
  </authors>
  <commentList>
    <comment ref="J44" authorId="0" shapeId="0" xr:uid="{D65C3EAD-8427-4978-9F59-B82996FCFA4F}">
      <text>
        <t>[Threaded comment]
Your version of Excel allows you to read this threaded comment; however, any edits to it will get removed if the file is opened in a newer version of Excel. Learn more: https://go.microsoft.com/fwlink/?linkid=870924
Comment:
    Was originally under vintage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tc={AA8FD501-DA88-4FF2-8F07-5B9CB27932B3}</author>
    <author>tc={189FD2C1-34B5-4A44-83E5-9F325ECF3B4A}</author>
    <author>tc={2C4FC2D6-8DF3-41B6-94E4-751D3B313D1B}</author>
    <author>tc={DA295B21-9562-4B16-AADE-4A8DD6C23906}</author>
    <author>tc={049EA6F4-1A01-49BD-AFF8-25A282EF4930}</author>
  </authors>
  <commentList>
    <comment ref="H4" authorId="0" shapeId="0" xr:uid="{AA8FD501-DA88-4FF2-8F07-5B9CB27932B3}">
      <text>
        <t>[Threaded comment]
Your version of Excel allows you to read this threaded comment; however, any edits to it will get removed if the file is opened in a newer version of Excel. Learn more: https://go.microsoft.com/fwlink/?linkid=870924
Comment:
    Originally NAP_START</t>
      </text>
    </comment>
    <comment ref="J4" authorId="1" shapeId="0" xr:uid="{189FD2C1-34B5-4A44-83E5-9F325ECF3B4A}">
      <text>
        <t>[Threaded comment]
Your version of Excel allows you to read this threaded comment; however, any edits to it will get removed if the file is opened in a newer version of Excel. Learn more: https://go.microsoft.com/fwlink/?linkid=870924
Comment:
    Same as AFA?</t>
      </text>
    </comment>
    <comment ref="H9" authorId="2" shapeId="0" xr:uid="{2C4FC2D6-8DF3-41B6-94E4-751D3B313D1B}">
      <text>
        <t>[Threaded comment]
Your version of Excel allows you to read this threaded comment; however, any edits to it will get removed if the file is opened in a newer version of Excel. Learn more: https://go.microsoft.com/fwlink/?linkid=870924
Comment:
    NAP, NACP, or NCAP
Reply:
    Originally NAP_START</t>
      </text>
    </comment>
    <comment ref="K9" authorId="3" shapeId="0" xr:uid="{DA295B21-9562-4B16-AADE-4A8DD6C23906}">
      <text>
        <t>[Threaded comment]
Your version of Excel allows you to read this threaded comment; however, any edits to it will get removed if the file is opened in a newer version of Excel. Learn more: https://go.microsoft.com/fwlink/?linkid=870924
Comment:
    Originally NACP_DRATE</t>
      </text>
    </comment>
    <comment ref="AG9" authorId="4" shapeId="0" xr:uid="{049EA6F4-1A01-49BD-AFF8-25A282EF4930}">
      <text>
        <t>[Threaded comment]
Your version of Excel allows you to read this threaded comment; however, any edits to it will get removed if the file is opened in a newer version of Excel. Learn more: https://go.microsoft.com/fwlink/?linkid=870924
Comment:
    Why are there two of the same column?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tc={5AA6965A-EC61-4776-97FA-277095D392DB}</author>
  </authors>
  <commentList>
    <comment ref="L4" authorId="0" shapeId="0" xr:uid="{5AA6965A-EC61-4776-97FA-277095D392DB}">
      <text>
        <t>[Threaded comment]
Your version of Excel allows you to read this threaded comment; however, any edits to it will get removed if the file is opened in a newer version of Excel. Learn more: https://go.microsoft.com/fwlink/?linkid=870924
Comment:
    Same as AFA?</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tc={5C981F17-25BB-41B1-AA7C-A81BCD9AF3AF}</author>
    <author>tc={BEB3ADD4-9D3E-4BEB-9A1F-31B7D1758AAF}</author>
    <author>tc={9C942AF8-D30D-4A5C-952E-8B7BC83F8102}</author>
    <author>tc={6396C0E0-3BAB-4C68-BE38-83917A37BC11}</author>
    <author>tc={9F868929-EC40-49CB-B81A-8194C09E8214}</author>
    <author>tc={60672724-B54C-4CD1-A438-5FD7BB9C002A}</author>
    <author>tc={ACA524EC-ABB9-4F59-806B-3C572BF7AECE}</author>
    <author>tc={A6D5150A-6160-497C-99F3-91620102520F}</author>
  </authors>
  <commentList>
    <comment ref="H4" authorId="0" shapeId="0" xr:uid="{5C981F17-25BB-41B1-AA7C-A81BCD9AF3AF}">
      <text>
        <t>[Threaded comment]
Your version of Excel allows you to read this threaded comment; however, any edits to it will get removed if the file is opened in a newer version of Excel. Learn more: https://go.microsoft.com/fwlink/?linkid=870924
Comment:
    Originally NAP_START</t>
      </text>
    </comment>
    <comment ref="J4" authorId="1" shapeId="0" xr:uid="{BEB3ADD4-9D3E-4BEB-9A1F-31B7D1758AAF}">
      <text>
        <t>[Threaded comment]
Your version of Excel allows you to read this threaded comment; however, any edits to it will get removed if the file is opened in a newer version of Excel. Learn more: https://go.microsoft.com/fwlink/?linkid=870924
Comment:
    Same as AFA?
Reply:
    Definition is in Veda - "Availability factor relating a unit of production to the installed capacity according to the year initial installed."</t>
      </text>
    </comment>
    <comment ref="H10" authorId="2" shapeId="0" xr:uid="{9C942AF8-D30D-4A5C-952E-8B7BC83F8102}">
      <text>
        <t>[Threaded comment]
Your version of Excel allows you to read this threaded comment; however, any edits to it will get removed if the file is opened in a newer version of Excel. Learn more: https://go.microsoft.com/fwlink/?linkid=870924
Comment:
    NAP, NACP, or NCAP
Reply:
    Originally NAP_START</t>
      </text>
    </comment>
    <comment ref="K10" authorId="3" shapeId="0" xr:uid="{6396C0E0-3BAB-4C68-BE38-83917A37BC11}">
      <text>
        <t>[Threaded comment]
Your version of Excel allows you to read this threaded comment; however, any edits to it will get removed if the file is opened in a newer version of Excel. Learn more: https://go.microsoft.com/fwlink/?linkid=870924
Comment:
    Originally NACP_DRATE</t>
      </text>
    </comment>
    <comment ref="AD10" authorId="4" shapeId="0" xr:uid="{9F868929-EC40-49CB-B81A-8194C09E8214}">
      <text>
        <t>[Threaded comment]
Your version of Excel allows you to read this threaded comment; however, any edits to it will get removed if the file is opened in a newer version of Excel. Learn more: https://go.microsoft.com/fwlink/?linkid=870924
Comment:
    Why are there two of the same column?</t>
      </text>
    </comment>
    <comment ref="L12" authorId="5" shapeId="0" xr:uid="{60672724-B54C-4CD1-A438-5FD7BB9C002A}">
      <text>
        <t>[Threaded comment]
Your version of Excel allows you to read this threaded comment; however, any edits to it will get removed if the file is opened in a newer version of Excel. Learn more: https://go.microsoft.com/fwlink/?linkid=870924
Comment:
    These 100s were hardcoded in, no source</t>
      </text>
    </comment>
    <comment ref="M12" authorId="6" shapeId="0" xr:uid="{ACA524EC-ABB9-4F59-806B-3C572BF7AECE}">
      <text>
        <t>[Threaded comment]
Your version of Excel allows you to read this threaded comment; however, any edits to it will get removed if the file is opened in a newer version of Excel. Learn more: https://go.microsoft.com/fwlink/?linkid=870924
Comment:
    These 1s were hardcoded in, no source</t>
      </text>
    </comment>
    <comment ref="L27" authorId="7" shapeId="0" xr:uid="{A6D5150A-6160-497C-99F3-91620102520F}">
      <text>
        <t>[Threaded comment]
Your version of Excel allows you to read this threaded comment; however, any edits to it will get removed if the file is opened in a newer version of Excel. Learn more: https://go.microsoft.com/fwlink/?linkid=870924
Comment:
    Same as AFA?</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tc={0C82B71F-D05A-47C7-863D-F373C95DA950}</author>
  </authors>
  <commentList>
    <comment ref="I5" authorId="0" shapeId="0" xr:uid="{0C82B71F-D05A-47C7-863D-F373C95DA950}">
      <text>
        <t>[Threaded comment]
Your version of Excel allows you to read this threaded comment; however, any edits to it will get removed if the file is opened in a newer version of Excel. Learn more: https://go.microsoft.com/fwlink/?linkid=870924
Comment:
    Matched to com file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Jonathan Witt</author>
  </authors>
  <commentList>
    <comment ref="J39" authorId="0" shapeId="0" xr:uid="{A42A326F-54E6-484A-95E0-41CB6120733A}">
      <text>
        <r>
          <rPr>
            <b/>
            <sz val="9"/>
            <color indexed="81"/>
            <rFont val="Tahoma"/>
            <family val="2"/>
          </rPr>
          <t>Jonathan Witt:</t>
        </r>
        <r>
          <rPr>
            <sz val="9"/>
            <color indexed="81"/>
            <rFont val="Tahoma"/>
            <family val="2"/>
          </rPr>
          <t xml:space="preserve">
See RTI 4b sheet</t>
        </r>
      </text>
    </comment>
    <comment ref="J40" authorId="0" shapeId="0" xr:uid="{0BBC40CE-A6BE-4C06-9DD0-ABAA82040712}">
      <text>
        <r>
          <rPr>
            <b/>
            <sz val="9"/>
            <color indexed="81"/>
            <rFont val="Tahoma"/>
            <family val="2"/>
          </rPr>
          <t>Jonathan Witt:</t>
        </r>
        <r>
          <rPr>
            <sz val="9"/>
            <color indexed="81"/>
            <rFont val="Tahoma"/>
            <family val="2"/>
          </rPr>
          <t xml:space="preserve">
See RTI 4b sheet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tc={10DF318C-737F-4B90-8C50-AA0DC8A491B0}</author>
    <author>tc={EF335149-A834-46D5-A0B1-1E2CE6D888C3}</author>
    <author>tc={08B84BAC-18FB-49AC-86A4-5D8D61BD12F7}</author>
    <author>tc={D6614F3A-8BFA-4EF5-91CB-00A5803118D3}</author>
    <author>tc={3887A8EA-B156-4056-9710-70010C6EA91A}</author>
  </authors>
  <commentList>
    <comment ref="CM16" authorId="0" shapeId="0" xr:uid="{10DF318C-737F-4B90-8C50-AA0DC8A491B0}">
      <text>
        <t>[Threaded comment]
Your version of Excel allows you to read this threaded comment; however, any edits to it will get removed if the file is opened in a newer version of Excel. Learn more: https://go.microsoft.com/fwlink/?linkid=870924
Comment:
    138.114359 in res &amp; com</t>
      </text>
    </comment>
    <comment ref="CM17" authorId="1" shapeId="0" xr:uid="{EF335149-A834-46D5-A0B1-1E2CE6D888C3}">
      <text>
        <t>[Threaded comment]
Your version of Excel allows you to read this threaded comment; however, any edits to it will get removed if the file is opened in a newer version of Excel. Learn more: https://go.microsoft.com/fwlink/?linkid=870924
Comment:
    178.090456 in res and com</t>
      </text>
    </comment>
    <comment ref="CM18" authorId="2" shapeId="0" xr:uid="{08B84BAC-18FB-49AC-86A4-5D8D61BD12F7}">
      <text>
        <t>[Threaded comment]
Your version of Excel allows you to read this threaded comment; however, any edits to it will get removed if the file is opened in a newer version of Excel. Learn more: https://go.microsoft.com/fwlink/?linkid=870924
Comment:
    271.992112 in res and com</t>
      </text>
    </comment>
    <comment ref="CM19" authorId="3" shapeId="0" xr:uid="{D6614F3A-8BFA-4EF5-91CB-00A5803118D3}">
      <text>
        <t>[Threaded comment]
Your version of Excel allows you to read this threaded comment; however, any edits to it will get removed if the file is opened in a newer version of Excel. Learn more: https://go.microsoft.com/fwlink/?linkid=870924
Comment:
    26.017955 in res and com</t>
      </text>
    </comment>
    <comment ref="CS19" authorId="4" shapeId="0" xr:uid="{3887A8EA-B156-4056-9710-70010C6EA91A}">
      <text>
        <t>[Threaded comment]
Your version of Excel allows you to read this threaded comment; however, any edits to it will get removed if the file is opened in a newer version of Excel. Learn more: https://go.microsoft.com/fwlink/?linkid=870924
Comment:
    Originally, had zero steam</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tc={DCCAFF79-3DD6-45AA-A5CD-4037FE62C47F}</author>
  </authors>
  <commentList>
    <comment ref="B9" authorId="0" shapeId="0" xr:uid="{DCCAFF79-3DD6-45AA-A5CD-4037FE62C47F}">
      <text>
        <t>[Threaded comment]
Your version of Excel allows you to read this threaded comment; however, any edits to it will get removed if the file is opened in a newer version of Excel. Learn more: https://go.microsoft.com/fwlink/?linkid=870924
Comment:
    Table 25. Food Industry Energy Consumption</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tc={E989199A-A005-48AA-85B6-BDD7C392E66A}</author>
  </authors>
  <commentList>
    <comment ref="B9" authorId="0" shapeId="0" xr:uid="{E989199A-A005-48AA-85B6-BDD7C392E66A}">
      <text>
        <t>[Threaded comment]
Your version of Excel allows you to read this threaded comment; however, any edits to it will get removed if the file is opened in a newer version of Excel. Learn more: https://go.microsoft.com/fwlink/?linkid=870924
Comment:
    Table 25. Food Industry Energy Consumption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<sst xmlns="http://schemas.openxmlformats.org/spreadsheetml/2006/main" count="7130" uniqueCount="1651">
  <si>
    <t>~FI_Comm</t>
  </si>
  <si>
    <t>Region</t>
  </si>
  <si>
    <t>Csets</t>
  </si>
  <si>
    <t>CommName</t>
  </si>
  <si>
    <t>CommDesc</t>
  </si>
  <si>
    <t>Unit</t>
  </si>
  <si>
    <t>LimType</t>
  </si>
  <si>
    <t>CTSLvl</t>
  </si>
  <si>
    <t>PeakTS</t>
  </si>
  <si>
    <t>Ctype</t>
  </si>
  <si>
    <t>*End Use demand</t>
  </si>
  <si>
    <t>R2,R3,R4,R5,R6</t>
  </si>
  <si>
    <t>DEM</t>
  </si>
  <si>
    <t>ISH</t>
  </si>
  <si>
    <t>Industrial Heating</t>
  </si>
  <si>
    <t>PJ</t>
  </si>
  <si>
    <t>ISC</t>
  </si>
  <si>
    <t>Industrial Cooling</t>
  </si>
  <si>
    <t>IWH</t>
  </si>
  <si>
    <t>Industrial Water Heating</t>
  </si>
  <si>
    <t>ILT</t>
  </si>
  <si>
    <t>Industrial Lighting</t>
  </si>
  <si>
    <t>IOTE</t>
  </si>
  <si>
    <t>Industrial Process Loads + Other, Electric</t>
  </si>
  <si>
    <t>IOTF</t>
  </si>
  <si>
    <t>Industrial Process Loads + Other, Fossil</t>
  </si>
  <si>
    <t>* Energy Carriers</t>
  </si>
  <si>
    <t>NRG</t>
  </si>
  <si>
    <t>INDELC</t>
  </si>
  <si>
    <t>Electricity to Industrial Sector</t>
  </si>
  <si>
    <t>DAYNITE</t>
  </si>
  <si>
    <t>ANNUAL</t>
  </si>
  <si>
    <t>ELC</t>
  </si>
  <si>
    <t>INDNGA</t>
  </si>
  <si>
    <t>Natural Gas to Industrial Sector</t>
  </si>
  <si>
    <t>INDDSL</t>
  </si>
  <si>
    <t>Diesel to Industrial Sector</t>
  </si>
  <si>
    <t>*CHP Energy Carriers</t>
  </si>
  <si>
    <t>R1,R2,R3,R4,R5,R6</t>
  </si>
  <si>
    <t>INDSTNUC</t>
  </si>
  <si>
    <t>STM from Industrial NGA Utility-scale CHP</t>
  </si>
  <si>
    <t>INDSTBUC</t>
  </si>
  <si>
    <t>STM from Industrial DST Utility-scale CHP</t>
  </si>
  <si>
    <t>INDSTNB</t>
  </si>
  <si>
    <t>STM from Industrial NGA Boilers</t>
  </si>
  <si>
    <t>INDSTNOC</t>
  </si>
  <si>
    <t>STM from Industrial NGA other CHP</t>
  </si>
  <si>
    <t>*Industrial sector energy carriers after emissions accounting</t>
  </si>
  <si>
    <t>INDNGAEA</t>
  </si>
  <si>
    <t>Natural Gas to Industrial Sector after Emissions Accounting</t>
  </si>
  <si>
    <t>INDDSLEA</t>
  </si>
  <si>
    <t>Diesel to Industrial Sector after Emissions Accounting</t>
  </si>
  <si>
    <t>*Emissions Commodities</t>
  </si>
  <si>
    <t>ENV</t>
  </si>
  <si>
    <t>CO2</t>
  </si>
  <si>
    <t>Carbon dioxide</t>
  </si>
  <si>
    <t>Mt</t>
  </si>
  <si>
    <t>NOX</t>
  </si>
  <si>
    <t>Nitrogen oxide</t>
  </si>
  <si>
    <t>kt</t>
  </si>
  <si>
    <t>PM10</t>
  </si>
  <si>
    <t>Particulate matter</t>
  </si>
  <si>
    <t>PM25</t>
  </si>
  <si>
    <t>Fine particulate matter</t>
  </si>
  <si>
    <t>VOC</t>
  </si>
  <si>
    <t>Volatile organic compounds</t>
  </si>
  <si>
    <t>CO</t>
  </si>
  <si>
    <t>Carbon monoxide</t>
  </si>
  <si>
    <t>CH4</t>
  </si>
  <si>
    <t>Methane</t>
  </si>
  <si>
    <t>N2O</t>
  </si>
  <si>
    <t>BC</t>
  </si>
  <si>
    <t>Black carbon</t>
  </si>
  <si>
    <t>OC</t>
  </si>
  <si>
    <t>Organic carbon</t>
  </si>
  <si>
    <t>SO2</t>
  </si>
  <si>
    <t>Sulfur dioxide</t>
  </si>
  <si>
    <t>*IND_DEM_FI_Comm</t>
  </si>
  <si>
    <t>*IND_DEM_FI_Process</t>
  </si>
  <si>
    <t>~FI_Process</t>
  </si>
  <si>
    <t>Sets</t>
  </si>
  <si>
    <t>TechName</t>
  </si>
  <si>
    <t>*TechDesc</t>
  </si>
  <si>
    <t>Tact</t>
  </si>
  <si>
    <t>Tcap</t>
  </si>
  <si>
    <t>PrimaryCG</t>
  </si>
  <si>
    <t>Vintage</t>
  </si>
  <si>
    <t>Tslvl</t>
  </si>
  <si>
    <t>*Emissions Accounting Collectors</t>
  </si>
  <si>
    <t>PRE</t>
  </si>
  <si>
    <t>SEINDNGA</t>
  </si>
  <si>
    <t>Emissions: NGA to IND</t>
  </si>
  <si>
    <t>Pja</t>
  </si>
  <si>
    <t>SEINDDSL</t>
  </si>
  <si>
    <t>Emissions: DSL to IND</t>
  </si>
  <si>
    <t>SCINDELC</t>
  </si>
  <si>
    <t>Collector: ELC to IND</t>
  </si>
  <si>
    <t>*Energy Transfer</t>
  </si>
  <si>
    <t>DMD</t>
  </si>
  <si>
    <t>ETINDNGA</t>
  </si>
  <si>
    <t>Energy Transfer: NGA to INDNGA</t>
  </si>
  <si>
    <t>ETINDDSL</t>
  </si>
  <si>
    <t>Energy Transfer: DSL to INDDSL</t>
  </si>
  <si>
    <t>ETINDELC</t>
  </si>
  <si>
    <t>Energy Transfer: ELC to INDELC</t>
  </si>
  <si>
    <t>*Dummy Backstops</t>
  </si>
  <si>
    <t>ZZDMYISH</t>
  </si>
  <si>
    <t>Industrial Heating - ZZ dummy backstop</t>
  </si>
  <si>
    <t>ZZDMYISC</t>
  </si>
  <si>
    <t>Industrial Cooling - ZZ dummy backstop</t>
  </si>
  <si>
    <t>ZZDMYIWH</t>
  </si>
  <si>
    <t>Industrial Water Heating - ZZ dummy backstop</t>
  </si>
  <si>
    <t>ZZDMYILT</t>
  </si>
  <si>
    <t>Industrial Lighting - ZZ dummy backstop</t>
  </si>
  <si>
    <t>ZZDMYIOT</t>
  </si>
  <si>
    <t>Industrial Process Loads + Other - ZZ dummy backstop</t>
  </si>
  <si>
    <t>*SPACE HEATING</t>
  </si>
  <si>
    <t>*Commercial Rooftop Air-source Heat Pumps</t>
  </si>
  <si>
    <t>ISHAHPST10</t>
  </si>
  <si>
    <t>ISH.ELC.AHP.Ver1.10</t>
  </si>
  <si>
    <t>*Commercial Ground Source Heat Pumps</t>
  </si>
  <si>
    <t>ISHGHPST10</t>
  </si>
  <si>
    <t>ISH.ELC.GHP.Ver1.10</t>
  </si>
  <si>
    <t>* Natural Gas Heat Pump</t>
  </si>
  <si>
    <t>ISHNHPST10</t>
  </si>
  <si>
    <t>ISH.NG.HEATPUMP.ST.10</t>
  </si>
  <si>
    <t>* Space Heating Commercial Electric Resistance Unit Heaters</t>
  </si>
  <si>
    <t>ISHERUST10</t>
  </si>
  <si>
    <t>ISH.ELC.RSU.STANDARD.SMALL.12</t>
  </si>
  <si>
    <t>ISHERUSTL10</t>
  </si>
  <si>
    <t>ISH.ELC.RSU.STANDARD.LARGE.12</t>
  </si>
  <si>
    <t>*Commercial Gas-Fired Furnaces</t>
  </si>
  <si>
    <t>ISHNGFST10</t>
  </si>
  <si>
    <t>ISH.NG.FURNACE.Ver1.10</t>
  </si>
  <si>
    <t>*Commercial Gas-fired Boilers</t>
  </si>
  <si>
    <t>ISHNGBST10</t>
  </si>
  <si>
    <t>ISH.NG.BOILER</t>
  </si>
  <si>
    <t>*Commercial Oil-fired Furnaces</t>
  </si>
  <si>
    <t>ISHDSFST10</t>
  </si>
  <si>
    <t>ISH.DSL.FURNACE.ST.10</t>
  </si>
  <si>
    <t>*Commercial Oil-fired Boilers</t>
  </si>
  <si>
    <t>ISHDSBST10</t>
  </si>
  <si>
    <t>ISH.DSL.BOILER.BS.10</t>
  </si>
  <si>
    <t>*UTILITY SCALE CHP - SH</t>
  </si>
  <si>
    <t>R4</t>
  </si>
  <si>
    <t>ISHNUTIBOI10</t>
  </si>
  <si>
    <t>ISH.NG.UTILITY.BOILER</t>
  </si>
  <si>
    <t>ISHNUTICHP10</t>
  </si>
  <si>
    <t>ISH.NG.UTILITY.CHP</t>
  </si>
  <si>
    <t>ISHBUTICHP10</t>
  </si>
  <si>
    <t>ISH.DSL.UTILITY.CHP</t>
  </si>
  <si>
    <t>* Space Cooling</t>
  </si>
  <si>
    <t>*Electric</t>
  </si>
  <si>
    <t>ISCAHPST10</t>
  </si>
  <si>
    <t>ISC.ELC.AHP.ST.10</t>
  </si>
  <si>
    <t>ISCGHPST10</t>
  </si>
  <si>
    <t>ISC.ELC.GHP.ST.10</t>
  </si>
  <si>
    <t>ISCCRCST10</t>
  </si>
  <si>
    <t>ISC.ELC.CRC.ST.10</t>
  </si>
  <si>
    <t>*R2,R3,R4,R5,R6</t>
  </si>
  <si>
    <t>ISCCCCST10</t>
  </si>
  <si>
    <t>ISC.ELC.CCC.ST.10</t>
  </si>
  <si>
    <t>ISCRACST10</t>
  </si>
  <si>
    <t>ISC.ELC.RAC.ST.10</t>
  </si>
  <si>
    <t>ISCWACST10</t>
  </si>
  <si>
    <t>ISC.ELC.WAC.ST.10</t>
  </si>
  <si>
    <t>ISCCACST10</t>
  </si>
  <si>
    <t>ISC.ELC.CAC.ST.10</t>
  </si>
  <si>
    <t>*NG</t>
  </si>
  <si>
    <t>ISCNHPST10</t>
  </si>
  <si>
    <t>ISC.NG.HEATPUMP.ST.10</t>
  </si>
  <si>
    <t>ISCCHAST10</t>
  </si>
  <si>
    <t>ISC.NG.CHA.ST.10</t>
  </si>
  <si>
    <t>* Water Heating</t>
  </si>
  <si>
    <t>*heatpump</t>
  </si>
  <si>
    <t>IWHEHPST10</t>
  </si>
  <si>
    <t>IWH.ELC.HEATPUMP.ST.10</t>
  </si>
  <si>
    <t>*ewh</t>
  </si>
  <si>
    <t>IWHEWHBS10</t>
  </si>
  <si>
    <t>IWH.ELC.EWH.BS.10</t>
  </si>
  <si>
    <t>*nwh</t>
  </si>
  <si>
    <t>IWHNGIBS10</t>
  </si>
  <si>
    <t>IWH.NG.INSTANT.BS.10</t>
  </si>
  <si>
    <t>*dwh</t>
  </si>
  <si>
    <t>IWHDWHBS10</t>
  </si>
  <si>
    <t>IWH.DSL.DWH.BS.10</t>
  </si>
  <si>
    <t>*chp-wh</t>
  </si>
  <si>
    <t>IWHNOTRCHP</t>
  </si>
  <si>
    <t>IWH.NG.OTHERCHP</t>
  </si>
  <si>
    <t>*UTILITY SCALE CHP - WH</t>
  </si>
  <si>
    <t>IWHNUTIBOI10</t>
  </si>
  <si>
    <t>IWH.NG.UTILITY.BOILER</t>
  </si>
  <si>
    <t>IWHNUTICHP10</t>
  </si>
  <si>
    <t>IWH.NG.UTILITY.CHP</t>
  </si>
  <si>
    <t>IWHBUTICHP10</t>
  </si>
  <si>
    <t>IWH.DSL.UTILITY.CHP</t>
  </si>
  <si>
    <t>* Lighting</t>
  </si>
  <si>
    <t>ILTINCBS</t>
  </si>
  <si>
    <t>ILT_INC_100W_BS</t>
  </si>
  <si>
    <t>ILTCFLBS</t>
  </si>
  <si>
    <t>ILT_CFL_26W_BS</t>
  </si>
  <si>
    <t>ILTHAL9010</t>
  </si>
  <si>
    <t>ILT_HAL_90W_10</t>
  </si>
  <si>
    <t>ILTT8MAGBS</t>
  </si>
  <si>
    <t>ILT_LFL_T8_F32_MAG_BS</t>
  </si>
  <si>
    <t>ILTT810</t>
  </si>
  <si>
    <t>ILT_LFL_T8_F32_10</t>
  </si>
  <si>
    <t>ILTT8HE10</t>
  </si>
  <si>
    <t>ILT_LFL_T8_F32_HE_10</t>
  </si>
  <si>
    <t>ILTT8LBS</t>
  </si>
  <si>
    <t>ILT_LFL_T8_F96_BS</t>
  </si>
  <si>
    <t>ILTT8LHEBS</t>
  </si>
  <si>
    <t>ILT_LFL_T8_F96_HE_BS</t>
  </si>
  <si>
    <t>ILTT5BS</t>
  </si>
  <si>
    <t>ILT_LFL_T5_BS</t>
  </si>
  <si>
    <t>ILTHIDLBBS</t>
  </si>
  <si>
    <t>ILT_HID_LB_BS</t>
  </si>
  <si>
    <t>ILTHIDHBBS</t>
  </si>
  <si>
    <t>ILT_HID_HB_BS</t>
  </si>
  <si>
    <t>* Other</t>
  </si>
  <si>
    <t>IOTELC10</t>
  </si>
  <si>
    <t>Miscellaneous.ELC.BS.00</t>
  </si>
  <si>
    <t>IOTELC110</t>
  </si>
  <si>
    <t>Miscellaneous.ELC.BS1.00</t>
  </si>
  <si>
    <t>IOTNGA10</t>
  </si>
  <si>
    <t>Miscellaneous.NG.BS.00</t>
  </si>
  <si>
    <t>IOTDSL10</t>
  </si>
  <si>
    <t>Miscellaneous.DSL.BS.00</t>
  </si>
  <si>
    <t>*IND_DEM_COM</t>
  </si>
  <si>
    <t>*Year Match</t>
  </si>
  <si>
    <t>*Source: DemandCalc</t>
  </si>
  <si>
    <t>Source: Time Slice File from EPA</t>
  </si>
  <si>
    <t>~FI_T</t>
  </si>
  <si>
    <t>*Comm Match</t>
  </si>
  <si>
    <t>*CommDesc</t>
  </si>
  <si>
    <t>*Units</t>
  </si>
  <si>
    <t>COM_PROJ~2010</t>
  </si>
  <si>
    <t>COM_PROJ~2015</t>
  </si>
  <si>
    <t>COM_PROJ~2020</t>
  </si>
  <si>
    <t>COM_PROJ~2023</t>
  </si>
  <si>
    <t>COM_PROJ~2025</t>
  </si>
  <si>
    <t>COM_PROJ~2030</t>
  </si>
  <si>
    <t>COM_PROJ~2035</t>
  </si>
  <si>
    <t>COM_PROJ~2040</t>
  </si>
  <si>
    <t>COM_PROJ~2045</t>
  </si>
  <si>
    <t>COM_PROJ~2050</t>
  </si>
  <si>
    <t>COM_PROJ~2055</t>
  </si>
  <si>
    <t>*TIME SLICES</t>
  </si>
  <si>
    <t>COM_FR~IDAM</t>
  </si>
  <si>
    <t>COM_FR~IDPM</t>
  </si>
  <si>
    <t>COM_FR~IN</t>
  </si>
  <si>
    <t>COM_FR~IP</t>
  </si>
  <si>
    <t>COM_FR~SDAM</t>
  </si>
  <si>
    <t>COM_FR~SDPM</t>
  </si>
  <si>
    <t>COM_FR~SN</t>
  </si>
  <si>
    <t>COM_FR~SP</t>
  </si>
  <si>
    <t>COM_FR~WDAM</t>
  </si>
  <si>
    <t>COM_FR~WDPM</t>
  </si>
  <si>
    <t>COM_FR~WN</t>
  </si>
  <si>
    <t>COM_FR~WP</t>
  </si>
  <si>
    <t>Space Heating</t>
  </si>
  <si>
    <t>INDSHXXX</t>
  </si>
  <si>
    <t>Space Cooling</t>
  </si>
  <si>
    <t>COMSCN01</t>
  </si>
  <si>
    <t>DHW</t>
  </si>
  <si>
    <t>COMWHXXX</t>
  </si>
  <si>
    <t>Lighting</t>
  </si>
  <si>
    <t>COMLTXXX</t>
  </si>
  <si>
    <t>IVTE</t>
  </si>
  <si>
    <t>Ventilation</t>
  </si>
  <si>
    <t>Industrial Ventilation, E</t>
  </si>
  <si>
    <t>COMVTXXX</t>
  </si>
  <si>
    <t>IVTF</t>
  </si>
  <si>
    <t>Industrial Ventilation, F</t>
  </si>
  <si>
    <t>ICOE</t>
  </si>
  <si>
    <t>Conveyance</t>
  </si>
  <si>
    <t>Industrial Conveyance, E</t>
  </si>
  <si>
    <t>COMCOXXX</t>
  </si>
  <si>
    <t>Industrial Conveyance, F</t>
  </si>
  <si>
    <t>IPLE</t>
  </si>
  <si>
    <t>Process Loads</t>
  </si>
  <si>
    <t>Industrial Process Loads, E</t>
  </si>
  <si>
    <t>INDMSXXX</t>
  </si>
  <si>
    <t>IPLF</t>
  </si>
  <si>
    <t>Industrial Process Loads, F</t>
  </si>
  <si>
    <t>IPME</t>
  </si>
  <si>
    <t>Plug Loads/Misc</t>
  </si>
  <si>
    <t>Industrial Plug Loads / Misc, E</t>
  </si>
  <si>
    <t>INDPMXXX</t>
  </si>
  <si>
    <t>IPMF</t>
  </si>
  <si>
    <t>Industrial Plug Loads / Misc, F</t>
  </si>
  <si>
    <t>Plug Loads/Misc + Other</t>
  </si>
  <si>
    <t>Industrial Process Loads + Other</t>
  </si>
  <si>
    <t>*Other</t>
  </si>
  <si>
    <t>R2</t>
  </si>
  <si>
    <t>IOT</t>
  </si>
  <si>
    <t>Other Industry End Demand</t>
  </si>
  <si>
    <t>R3</t>
  </si>
  <si>
    <t>R5</t>
  </si>
  <si>
    <t>R6</t>
  </si>
  <si>
    <t>*~FI_Process</t>
  </si>
  <si>
    <t>TechDesc</t>
  </si>
  <si>
    <t>*Collector</t>
  </si>
  <si>
    <t>IOTELC00</t>
  </si>
  <si>
    <t>Other Industry Electricity collector</t>
  </si>
  <si>
    <t>SEINDRFL</t>
  </si>
  <si>
    <t>Emissions: RFL to IND</t>
  </si>
  <si>
    <t>*</t>
  </si>
  <si>
    <t>SEINDDST</t>
  </si>
  <si>
    <t>Emissions: DST to IND</t>
  </si>
  <si>
    <t>SEINDBIO</t>
  </si>
  <si>
    <t>Emissions: Biomass combustion</t>
  </si>
  <si>
    <t>SEINDCOA</t>
  </si>
  <si>
    <t>Emissions: COA to IND</t>
  </si>
  <si>
    <t>SEINDLPG</t>
  </si>
  <si>
    <t>Emissions: LPG to IND</t>
  </si>
  <si>
    <t>SEINDMET</t>
  </si>
  <si>
    <t>Emissions: MET to IND</t>
  </si>
  <si>
    <t>*~FI_T</t>
  </si>
  <si>
    <t>CommIN</t>
  </si>
  <si>
    <t>CommOUT</t>
  </si>
  <si>
    <t>NCAP_START</t>
  </si>
  <si>
    <t>PRC_CAPACT</t>
  </si>
  <si>
    <t>NCAP_AF</t>
  </si>
  <si>
    <t>EFF</t>
  </si>
  <si>
    <t>Input</t>
  </si>
  <si>
    <t>Output</t>
  </si>
  <si>
    <t>INDELC000</t>
  </si>
  <si>
    <t>Electricity Going to the Industrial Sector</t>
  </si>
  <si>
    <t>PJ, PJ/a</t>
  </si>
  <si>
    <t>NCAP_TLIFE</t>
  </si>
  <si>
    <t>NCAP_DRATE</t>
  </si>
  <si>
    <t>NCAP_COST</t>
  </si>
  <si>
    <t>NCAP_FOM</t>
  </si>
  <si>
    <t>*NCAP_BND~FX~2010</t>
  </si>
  <si>
    <t>*NCAP_BND~FX~2015</t>
  </si>
  <si>
    <t>*NCAP_BND~FX~2055</t>
  </si>
  <si>
    <t>PRC_RESID~R2~2010</t>
  </si>
  <si>
    <t>PRC_RESID~R3~2010</t>
  </si>
  <si>
    <t>PRC_RESID~R4~2010</t>
  </si>
  <si>
    <t>PRC_RESID~R5~2010</t>
  </si>
  <si>
    <t>PRC_RESID~R6~2010</t>
  </si>
  <si>
    <t>PRC_RESID~R2~2015</t>
  </si>
  <si>
    <t>PRC_RESID~R3~2015</t>
  </si>
  <si>
    <t>PRC_RESID~R4~2015</t>
  </si>
  <si>
    <t>PRC_RESID~R5~2015</t>
  </si>
  <si>
    <t>PRC_RESID~R6~2015</t>
  </si>
  <si>
    <t>PRC_RESID~R2~2055</t>
  </si>
  <si>
    <t>PRC_RESID~R3~2055</t>
  </si>
  <si>
    <t>PRC_RESID~R4~2055</t>
  </si>
  <si>
    <t>PRC_RESID~R5~2055</t>
  </si>
  <si>
    <t>PRC_RESID~R6~2055</t>
  </si>
  <si>
    <t>EFF~2010</t>
  </si>
  <si>
    <t>EFF~2015</t>
  </si>
  <si>
    <t>EFF~2020</t>
  </si>
  <si>
    <t>EFF~2025</t>
  </si>
  <si>
    <t>EFF~2030</t>
  </si>
  <si>
    <t>EFF~2035</t>
  </si>
  <si>
    <t>EFF~2040</t>
  </si>
  <si>
    <t>EFF~2045</t>
  </si>
  <si>
    <t>EFF~2050</t>
  </si>
  <si>
    <t>EFF~2055</t>
  </si>
  <si>
    <t>Share~UP~R2~2010</t>
  </si>
  <si>
    <t>Share~UP~R3~2010</t>
  </si>
  <si>
    <t>Share~UP~R4~2010</t>
  </si>
  <si>
    <t>Share~UP~R5~2010</t>
  </si>
  <si>
    <t>Share~UP~R6~2010</t>
  </si>
  <si>
    <t>Share~UP~R2~2015</t>
  </si>
  <si>
    <t>Share~UP~R3~2015</t>
  </si>
  <si>
    <t>Share~UP~R4~2015</t>
  </si>
  <si>
    <t>Share~UP~R5~2015</t>
  </si>
  <si>
    <t>Share~UP~R6~2015</t>
  </si>
  <si>
    <t>Share~UP~R2~2055</t>
  </si>
  <si>
    <t>Share~UP~R3~2055</t>
  </si>
  <si>
    <t>Share~UP~R4~2055</t>
  </si>
  <si>
    <t>Share~UP~R5~2055</t>
  </si>
  <si>
    <t>Share~UP~R6~2055</t>
  </si>
  <si>
    <t>Peak</t>
  </si>
  <si>
    <t>Input~2010</t>
  </si>
  <si>
    <t>Input~2015</t>
  </si>
  <si>
    <t>Input~2020</t>
  </si>
  <si>
    <t>Input~2025</t>
  </si>
  <si>
    <t>Input~2030</t>
  </si>
  <si>
    <t>Input~2035</t>
  </si>
  <si>
    <t>Input~2040</t>
  </si>
  <si>
    <t>Input~2045</t>
  </si>
  <si>
    <t>Input~2050</t>
  </si>
  <si>
    <t>Input~2055</t>
  </si>
  <si>
    <t>IOTEMETCOK</t>
  </si>
  <si>
    <t>Other Industry Metallurgical Coal Plant</t>
  </si>
  <si>
    <t>INDMETEA</t>
  </si>
  <si>
    <t>COKE</t>
  </si>
  <si>
    <t>IOTEFEDRFL</t>
  </si>
  <si>
    <t>Other Industry Residual Oil Feedstock</t>
  </si>
  <si>
    <t>INDRFLEA</t>
  </si>
  <si>
    <t>IOTFEED</t>
  </si>
  <si>
    <t>IOTEFEDDST</t>
  </si>
  <si>
    <t>Other Industry Distillate Oil Feedstock</t>
  </si>
  <si>
    <t>INDDSTEA</t>
  </si>
  <si>
    <t>IOTEFEDNGA</t>
  </si>
  <si>
    <t>Other Industry Natural Gas Feedstock</t>
  </si>
  <si>
    <t>IOTEFEDLPG</t>
  </si>
  <si>
    <t>Other Industry LPG Feedstock</t>
  </si>
  <si>
    <t>INDLPGEA</t>
  </si>
  <si>
    <t>IOTEFEDCOK</t>
  </si>
  <si>
    <t>Other Industry Coke Feedstock</t>
  </si>
  <si>
    <t>INDCOK</t>
  </si>
  <si>
    <t>IOTEFEDBIO</t>
  </si>
  <si>
    <t>Other Industry Renewables Feedstock</t>
  </si>
  <si>
    <t>INDBIOEA</t>
  </si>
  <si>
    <t>IOTEFEDPTC</t>
  </si>
  <si>
    <t>Other Industry Petroleum Coke Feedstock</t>
  </si>
  <si>
    <t>INDPTC</t>
  </si>
  <si>
    <t>IOTEFEDOTP</t>
  </si>
  <si>
    <t>Other Industry Other Petroleum Feedstock</t>
  </si>
  <si>
    <t>INDOTH</t>
  </si>
  <si>
    <t>IOTEETCELC</t>
  </si>
  <si>
    <t>Other Industry Electrochemical</t>
  </si>
  <si>
    <t>INDELCOT</t>
  </si>
  <si>
    <t>IOTETC</t>
  </si>
  <si>
    <t>IOTEPRHELC</t>
  </si>
  <si>
    <t>Other Industry Electricity Process Heat</t>
  </si>
  <si>
    <t>IOTPRH</t>
  </si>
  <si>
    <t>IOTEPRHRFL</t>
  </si>
  <si>
    <t>Other Industry Residual Oil Process Heat</t>
  </si>
  <si>
    <t>IOTEPRHDST</t>
  </si>
  <si>
    <t>Other Industry Distillate Oil Process Heat</t>
  </si>
  <si>
    <t>IOTEPRHNGA</t>
  </si>
  <si>
    <t>Other Industry Natural Gas Process Heat</t>
  </si>
  <si>
    <t>IOTEPRHLPG</t>
  </si>
  <si>
    <t>Other Industry LPG Process Heat</t>
  </si>
  <si>
    <t>IOTEPRHCOA</t>
  </si>
  <si>
    <t>Other Industry Coal Process Heat</t>
  </si>
  <si>
    <t>INDCOAEA</t>
  </si>
  <si>
    <t>IOTEMDRELC</t>
  </si>
  <si>
    <t>Other Industry Electricity Machine Drive</t>
  </si>
  <si>
    <t>IOTMDR</t>
  </si>
  <si>
    <t>IOTEMDRDST</t>
  </si>
  <si>
    <t>Other Industry Distillate Oil Machine Drive</t>
  </si>
  <si>
    <t>IOTEMDRNGA</t>
  </si>
  <si>
    <t>Other Industry Natural Gas Machine Drive</t>
  </si>
  <si>
    <t>IOTEMDRLPG</t>
  </si>
  <si>
    <t>Other Industry LPG Machine Drive</t>
  </si>
  <si>
    <t>IOTEMDRCOA</t>
  </si>
  <si>
    <t>Other Industry Coal Machine Drive</t>
  </si>
  <si>
    <t>IOTEFACELC</t>
  </si>
  <si>
    <t>Other Industry Electricity Facilities</t>
  </si>
  <si>
    <t>IOTFAC</t>
  </si>
  <si>
    <t>IOTEFACRFL</t>
  </si>
  <si>
    <t>Other Industry Residual Oil Facilities</t>
  </si>
  <si>
    <t>IOTEFACDST</t>
  </si>
  <si>
    <t>Other Industry Distillate Oil Facilities</t>
  </si>
  <si>
    <t>IOTEFACNGA</t>
  </si>
  <si>
    <t>Other Industry Natural Gas Facilities</t>
  </si>
  <si>
    <t>IOTEFACLPG</t>
  </si>
  <si>
    <t>Other Industry LPG Facilities</t>
  </si>
  <si>
    <t>IOTEFACCOA</t>
  </si>
  <si>
    <t>Other Industry Coal Facilities</t>
  </si>
  <si>
    <t>IOTEOHTELC</t>
  </si>
  <si>
    <t>Other Industry Electricity Other Heat</t>
  </si>
  <si>
    <t>IOTOHT</t>
  </si>
  <si>
    <t>IOTEOHTRFL</t>
  </si>
  <si>
    <t>Other Industry Residual Oil Other Heat</t>
  </si>
  <si>
    <t>IOTEOHTDST</t>
  </si>
  <si>
    <t>Other Industry Distillate Oil Other Heat</t>
  </si>
  <si>
    <t>IOTEOHTNGA</t>
  </si>
  <si>
    <t>Other Industry Natural Gas Other Heat</t>
  </si>
  <si>
    <t>IOTEOHTLPG</t>
  </si>
  <si>
    <t>Other Industry LPG Other Heat</t>
  </si>
  <si>
    <t>IOTEOHTBIO</t>
  </si>
  <si>
    <t>Other Industry Renewables Other Heat</t>
  </si>
  <si>
    <t>IOTEOHTPTC</t>
  </si>
  <si>
    <t>Other Industry Petroleum Coke Other Heat</t>
  </si>
  <si>
    <t>IOTEOHTOTP</t>
  </si>
  <si>
    <t>Other Industry Other Petroleum Other Heat</t>
  </si>
  <si>
    <t>IOTTECHEXT</t>
  </si>
  <si>
    <t>Existing Other Industry Technologies</t>
  </si>
  <si>
    <t>IOTSTM</t>
  </si>
  <si>
    <t>Share~UP</t>
  </si>
  <si>
    <t>ACT_COST</t>
  </si>
  <si>
    <t>COST</t>
  </si>
  <si>
    <t>INDRFL</t>
  </si>
  <si>
    <t>INDDST</t>
  </si>
  <si>
    <t>INDBIO</t>
  </si>
  <si>
    <t>INDCOA</t>
  </si>
  <si>
    <t>INDLPG</t>
  </si>
  <si>
    <t>METCOA</t>
  </si>
  <si>
    <t>ZZDMYIOTFC</t>
  </si>
  <si>
    <t>Dummy backstop for Other Industry Facilities</t>
  </si>
  <si>
    <t>ZZDMY</t>
  </si>
  <si>
    <t>Dummy backstop for Other Industry DMDand</t>
  </si>
  <si>
    <t>ZZINDELC</t>
  </si>
  <si>
    <t>Dummy backstop for INDELC</t>
  </si>
  <si>
    <t>ZZINDNGAEA</t>
  </si>
  <si>
    <t>Dummy backstop for INDNGAEA</t>
  </si>
  <si>
    <t>ZZINDRFLEA</t>
  </si>
  <si>
    <t>Dummy backstop for INDRFLEA</t>
  </si>
  <si>
    <t>TechData</t>
  </si>
  <si>
    <t>*CommIN</t>
  </si>
  <si>
    <t>*CommOUT</t>
  </si>
  <si>
    <t>*NCAP_START</t>
  </si>
  <si>
    <t>*NCAP_TLIFE</t>
  </si>
  <si>
    <t>ENV_ACT~CO2</t>
  </si>
  <si>
    <t>ENV_ACT~CH4</t>
  </si>
  <si>
    <t>ENV_ACT~N2O</t>
  </si>
  <si>
    <t>ENV_ACT~BC</t>
  </si>
  <si>
    <t>ENV_ACT~OC</t>
  </si>
  <si>
    <t>ENV_ACT~CO2I</t>
  </si>
  <si>
    <t>ENV_ACT~NOX~2010</t>
  </si>
  <si>
    <t>ENV_ACT~NOX~2015</t>
  </si>
  <si>
    <t>ENV_ACT~NOX~2020</t>
  </si>
  <si>
    <t>ENV_ACT~NOX~2055</t>
  </si>
  <si>
    <t>ENV_ACT~SO2~2010</t>
  </si>
  <si>
    <t>ENV_ACT~SO2~2015</t>
  </si>
  <si>
    <t>ENV_ACT~SO2~2020</t>
  </si>
  <si>
    <t>ENV_ACT~SO2~2055</t>
  </si>
  <si>
    <t>ENV_ACT~PM10~2010</t>
  </si>
  <si>
    <t>ENV_ACT~PM10~2015</t>
  </si>
  <si>
    <t>ENV_ACT~PM10~2020</t>
  </si>
  <si>
    <t>ENV_ACT~PM10~2055</t>
  </si>
  <si>
    <t>ENV_ACT~PM25~2010</t>
  </si>
  <si>
    <t>ENV_ACT~PM25~2015</t>
  </si>
  <si>
    <t>ENV_ACT~PM25~2020</t>
  </si>
  <si>
    <t>ENV_ACT~PM25~2055</t>
  </si>
  <si>
    <t>ENV_ACT~VOC~2010</t>
  </si>
  <si>
    <t>ENV_ACT~VOC~2015</t>
  </si>
  <si>
    <t>ENV_ACT~VOC~2020</t>
  </si>
  <si>
    <t>ENV_ACT~VOC~2055</t>
  </si>
  <si>
    <t>ENV_ACT~CO~2010</t>
  </si>
  <si>
    <t>ENV_ACT~CO~2015</t>
  </si>
  <si>
    <t>ENV_ACT~CO~2020</t>
  </si>
  <si>
    <t>ENV_ACT~CO~2055</t>
  </si>
  <si>
    <t>ENV_ACT~NOXI~2010</t>
  </si>
  <si>
    <t>ENV_ACT~NOXI~2015</t>
  </si>
  <si>
    <t>ENV_ACT~NOXI~2020</t>
  </si>
  <si>
    <t>ENV_ACT~NOXI~2055</t>
  </si>
  <si>
    <t>ENV_ACT~SO2I~2010</t>
  </si>
  <si>
    <t>ENV_ACT~SO2I~2015</t>
  </si>
  <si>
    <t>ENV_ACT~SO2I~2020</t>
  </si>
  <si>
    <t>ENV_ACT~SO2I~2055</t>
  </si>
  <si>
    <t>ENV_ACT~PM10I~2010</t>
  </si>
  <si>
    <t>ENV_ACT~PM10I~2015</t>
  </si>
  <si>
    <t>ENV_ACT~PM10I~2020</t>
  </si>
  <si>
    <t>ENV_ACT~PM10I~2055</t>
  </si>
  <si>
    <t>ENV_ACT~NOXDICB~2010</t>
  </si>
  <si>
    <t>ENV_ACT~NOXDICB~2015</t>
  </si>
  <si>
    <t>ENV_ACT~NOXDICB~2020</t>
  </si>
  <si>
    <t>ENV_ACT~NOXDICB~2055</t>
  </si>
  <si>
    <t>ENV_ACT~NOXDIGB~2010</t>
  </si>
  <si>
    <t>ENV_ACT~NOXDIGB~2015</t>
  </si>
  <si>
    <t>ENV_ACT~NOXDIGB~2020</t>
  </si>
  <si>
    <t>ENV_ACT~NOXDIGB~2055</t>
  </si>
  <si>
    <t>ENV_ACT~NOXDIDB~2010</t>
  </si>
  <si>
    <t>ENV_ACT~NOXDIDB~2015</t>
  </si>
  <si>
    <t>ENV_ACT~NOXDIDB~2020</t>
  </si>
  <si>
    <t>ENV_ACT~NOXDIDB~2055</t>
  </si>
  <si>
    <t>ENV_ACT~NOXDIRB~2010</t>
  </si>
  <si>
    <t>ENV_ACT~NOXDIRB~2015</t>
  </si>
  <si>
    <t>ENV_ACT~NOXDIRB~2020</t>
  </si>
  <si>
    <t>ENV_ACT~NOXDIRB~2055</t>
  </si>
  <si>
    <t>ENV_ACT~NOXDILB~2010</t>
  </si>
  <si>
    <t>ENV_ACT~NOXDILB~2015</t>
  </si>
  <si>
    <t>ENV_ACT~NOXDILB~2020</t>
  </si>
  <si>
    <t>ENV_ACT~NOXDILB~2055</t>
  </si>
  <si>
    <t>ENV_ACT~NOXDIOB~2010</t>
  </si>
  <si>
    <t>ENV_ACT~NOXDIOB~2015</t>
  </si>
  <si>
    <t>ENV_ACT~NOXDIOB~2020</t>
  </si>
  <si>
    <t>ENV_ACT~NOXDIOB~2055</t>
  </si>
  <si>
    <t>ENV_ACT~NOXDIGT~2010</t>
  </si>
  <si>
    <t>ENV_ACT~NOXDIGT~2015</t>
  </si>
  <si>
    <t>ENV_ACT~NOXDIGT~2020</t>
  </si>
  <si>
    <t>ENV_ACT~NOXDIGT~2055</t>
  </si>
  <si>
    <t>ENV_ACT~NOXDIDT~2010</t>
  </si>
  <si>
    <t>ENV_ACT~NOXDIDT~2015</t>
  </si>
  <si>
    <t>ENV_ACT~NOXDIDT~2020</t>
  </si>
  <si>
    <t>ENV_ACT~NOXDIDT~2055</t>
  </si>
  <si>
    <t>ENV_ACT~NOXDIOT~2010</t>
  </si>
  <si>
    <t>ENV_ACT~NOXDIOT~2015</t>
  </si>
  <si>
    <t>ENV_ACT~NOXDIOT~2020</t>
  </si>
  <si>
    <t>ENV_ACT~NOXDIOT~2055</t>
  </si>
  <si>
    <t>ENV_ACT~NOXDIGE~2010</t>
  </si>
  <si>
    <t>ENV_ACT~NOXDIGE~2015</t>
  </si>
  <si>
    <t>ENV_ACT~NOXDIGE~2020</t>
  </si>
  <si>
    <t>ENV_ACT~NOXDIGE~2055</t>
  </si>
  <si>
    <t>ENV_ACT~NOXDIDE~2010</t>
  </si>
  <si>
    <t>ENV_ACT~NOXDIDE~2015</t>
  </si>
  <si>
    <t>ENV_ACT~NOXDIDE~2020</t>
  </si>
  <si>
    <t>ENV_ACT~NOXDIDE~2055</t>
  </si>
  <si>
    <t>ENV_ACT~NOXDICE~2010</t>
  </si>
  <si>
    <t>ENV_ACT~NOXDICE~2015</t>
  </si>
  <si>
    <t>ENV_ACT~NOXDICE~2020</t>
  </si>
  <si>
    <t>ENV_ACT~NOXDICE~2055</t>
  </si>
  <si>
    <t>ENV_ACT~NOXDIOE~2010</t>
  </si>
  <si>
    <t>ENV_ACT~NOXDIOE~2015</t>
  </si>
  <si>
    <t>ENV_ACT~NOXDIOE~2020</t>
  </si>
  <si>
    <t>ENV_ACT~NOXDIOE~2055</t>
  </si>
  <si>
    <t>ENV_ACT~NOXDICPH~2010</t>
  </si>
  <si>
    <t>ENV_ACT~NOXDICPH~2015</t>
  </si>
  <si>
    <t>ENV_ACT~NOXDICPH~2020</t>
  </si>
  <si>
    <t>ENV_ACT~NOXDICPH~2055</t>
  </si>
  <si>
    <t>ENV_ACT~NOXDIGPH~2010</t>
  </si>
  <si>
    <t>ENV_ACT~NOXDIGPH~2015</t>
  </si>
  <si>
    <t>ENV_ACT~NOXDIGPH~2020</t>
  </si>
  <si>
    <t>ENV_ACT~NOXDIGPH~2055</t>
  </si>
  <si>
    <t>ENV_ACT~NOXDIDPH~2010</t>
  </si>
  <si>
    <t>ENV_ACT~NOXDIDPH~2015</t>
  </si>
  <si>
    <t>ENV_ACT~NOXDIDPH~2020</t>
  </si>
  <si>
    <t>ENV_ACT~NOXDIDPH~2055</t>
  </si>
  <si>
    <t>ENV_ACT~NOXDIRPH~2010</t>
  </si>
  <si>
    <t>ENV_ACT~NOXDIRPH~2015</t>
  </si>
  <si>
    <t>ENV_ACT~NOXDIRPH~2020</t>
  </si>
  <si>
    <t>ENV_ACT~NOXDIRPH~2055</t>
  </si>
  <si>
    <t>ENV_ACT~NOXDIOPH~2010</t>
  </si>
  <si>
    <t>ENV_ACT~NOXDIOPH~2015</t>
  </si>
  <si>
    <t>ENV_ACT~NOXDIOPH~2020</t>
  </si>
  <si>
    <t>ENV_ACT~NOXDIOPH~2055</t>
  </si>
  <si>
    <t>ENV_ACT~NOXDIFAC~2010</t>
  </si>
  <si>
    <t>ENV_ACT~NOXDIFAC~2015</t>
  </si>
  <si>
    <t>ENV_ACT~NOXDIFAC~2020</t>
  </si>
  <si>
    <t>ENV_ACT~NOXDIFAC~2055</t>
  </si>
  <si>
    <t>ENV_ACT~NOXDIOH~2010</t>
  </si>
  <si>
    <t>ENV_ACT~NOXDIOH~2015</t>
  </si>
  <si>
    <t>ENV_ACT~NOXDIOH~2020</t>
  </si>
  <si>
    <t>ENV_ACT~NOXDIOH~2055</t>
  </si>
  <si>
    <t>ENV_ACT~NOXDICOK~2010</t>
  </si>
  <si>
    <t>ENV_ACT~NOXDICOK~2015</t>
  </si>
  <si>
    <t>ENV_ACT~NOXDICOK~2020</t>
  </si>
  <si>
    <t>ENV_ACT~NOXDICOK~2055</t>
  </si>
  <si>
    <t/>
  </si>
  <si>
    <t>1 to 4</t>
  </si>
  <si>
    <t>Multifamily</t>
  </si>
  <si>
    <t>Commercial</t>
  </si>
  <si>
    <t>Institutional</t>
  </si>
  <si>
    <t>Industrial</t>
  </si>
  <si>
    <t>TOTAL</t>
  </si>
  <si>
    <t>Fuel Oil</t>
  </si>
  <si>
    <t>Electricity</t>
  </si>
  <si>
    <t>Natural gas</t>
  </si>
  <si>
    <t>STM</t>
  </si>
  <si>
    <t xml:space="preserve">TOTAL BLDGAREA </t>
  </si>
  <si>
    <t>BK</t>
  </si>
  <si>
    <t>BX</t>
  </si>
  <si>
    <t>MN</t>
  </si>
  <si>
    <t>QN</t>
  </si>
  <si>
    <t>SI</t>
  </si>
  <si>
    <t>NYC</t>
  </si>
  <si>
    <t>Fuel consumption</t>
  </si>
  <si>
    <t>Fuel Shares</t>
  </si>
  <si>
    <t xml:space="preserve">1 to 4 </t>
  </si>
  <si>
    <t>2010 Fuel Cons</t>
  </si>
  <si>
    <t>Control</t>
  </si>
  <si>
    <t>NGA</t>
  </si>
  <si>
    <t>DSL</t>
  </si>
  <si>
    <t>Units</t>
  </si>
  <si>
    <t>*ENV_ACT~PM10~2010</t>
  </si>
  <si>
    <t>*ENV_ACT~PM10~2015</t>
  </si>
  <si>
    <t>*ENV_ACT~PM10~2020</t>
  </si>
  <si>
    <t>*ENV_ACT~PM10~2055</t>
  </si>
  <si>
    <t>*Dummy technologies previously used for emissions (kept to keep RES aligned properly)</t>
  </si>
  <si>
    <t>SEIPBIO</t>
  </si>
  <si>
    <t>Emissions: IPBIO Combustion</t>
  </si>
  <si>
    <t>IPBIO</t>
  </si>
  <si>
    <t>IPBIOEA</t>
  </si>
  <si>
    <t>SEINDAGR</t>
  </si>
  <si>
    <t>Emissions: INDAGR to IND</t>
  </si>
  <si>
    <t>INDAGR</t>
  </si>
  <si>
    <t>INDAGREA</t>
  </si>
  <si>
    <t>SEINDRFH</t>
  </si>
  <si>
    <t>Emissions: RFH to IND</t>
  </si>
  <si>
    <t>INDRFH</t>
  </si>
  <si>
    <t>INDRFHEA</t>
  </si>
  <si>
    <t>SEINDKER</t>
  </si>
  <si>
    <t>Emissions: KER to IND</t>
  </si>
  <si>
    <t>INDKER</t>
  </si>
  <si>
    <t>INDKEREA</t>
  </si>
  <si>
    <t>SEINDPFS</t>
  </si>
  <si>
    <t>Emissions: PFS to IND</t>
  </si>
  <si>
    <t>INDPFS</t>
  </si>
  <si>
    <t>INDPFSEA</t>
  </si>
  <si>
    <t>SEINDASP</t>
  </si>
  <si>
    <t>Emissions: ASP to IND</t>
  </si>
  <si>
    <t>INDASP</t>
  </si>
  <si>
    <t>INDASPEA</t>
  </si>
  <si>
    <t>These coefficients are chosent o force the COMET output to match the inventory</t>
  </si>
  <si>
    <t>Derate for Calibration</t>
  </si>
  <si>
    <t>Inflate for Calibration</t>
  </si>
  <si>
    <t>IND_DEM_TECH</t>
  </si>
  <si>
    <t>CAP2ACT</t>
  </si>
  <si>
    <t>*NCAP_AF</t>
  </si>
  <si>
    <t>ACT_BND~FX~2010</t>
  </si>
  <si>
    <t>ACT_BND~FX~2015</t>
  </si>
  <si>
    <t>ACT_BND~FX~2020</t>
  </si>
  <si>
    <t>ACT_BND~FX~2023</t>
  </si>
  <si>
    <t>*CF</t>
  </si>
  <si>
    <t>*PRC_RESID~UP~2010</t>
  </si>
  <si>
    <t>*PRC_RESID~UP~2015</t>
  </si>
  <si>
    <t>*PRC_RESID~UP~2020</t>
  </si>
  <si>
    <t>*PRC_RESID~UP~2023</t>
  </si>
  <si>
    <t>*PRC_RESID~UP~2025</t>
  </si>
  <si>
    <t>R2,R3,R5,R6</t>
  </si>
  <si>
    <t>*R4</t>
  </si>
  <si>
    <t>* SPACE COOLING</t>
  </si>
  <si>
    <t>*Electric techs</t>
  </si>
  <si>
    <t>*NG techs</t>
  </si>
  <si>
    <t>* WATER HEATING</t>
  </si>
  <si>
    <t>R4*</t>
  </si>
  <si>
    <t>INDSTB</t>
  </si>
  <si>
    <t>* LIGHTING</t>
  </si>
  <si>
    <t>* OTHER</t>
  </si>
  <si>
    <t>*IND_DEM_FI_T_01</t>
  </si>
  <si>
    <t>*Source: ?</t>
  </si>
  <si>
    <t>*IND_DEM_FI_T_02</t>
  </si>
  <si>
    <t>IND_COST</t>
  </si>
  <si>
    <t>*IND_DEM_FI_T_03</t>
  </si>
  <si>
    <t>--&gt;</t>
  </si>
  <si>
    <t>not read into veda</t>
  </si>
  <si>
    <t>*IND_DEM_FI_T_04</t>
  </si>
  <si>
    <t>EmissionsSummary</t>
  </si>
  <si>
    <t>DemandPJ_historic</t>
  </si>
  <si>
    <t>FuelDist_2010</t>
  </si>
  <si>
    <t>Source: Original, GHG_Inv</t>
  </si>
  <si>
    <t>Source: DemandPJ_historic</t>
  </si>
  <si>
    <t>Fuel</t>
  </si>
  <si>
    <t>Year</t>
  </si>
  <si>
    <t>FuelDist_2015</t>
  </si>
  <si>
    <t>FuelDist_2020</t>
  </si>
  <si>
    <t>DemandPJ_projection</t>
  </si>
  <si>
    <t>2025</t>
  </si>
  <si>
    <t>FuelDist_2023</t>
  </si>
  <si>
    <t>2030</t>
  </si>
  <si>
    <t>2035</t>
  </si>
  <si>
    <t>2040</t>
  </si>
  <si>
    <t>2045</t>
  </si>
  <si>
    <t>2050</t>
  </si>
  <si>
    <t>2055</t>
  </si>
  <si>
    <t>Manufacturing Energy and Carbon Footprint: Sector: Forest Products (NAICS 321, 322)</t>
  </si>
  <si>
    <t>Conventional Boilers</t>
  </si>
  <si>
    <t>Cogen</t>
  </si>
  <si>
    <t>HVAC (SC)</t>
  </si>
  <si>
    <t>Process</t>
  </si>
  <si>
    <t>Natural Gas</t>
  </si>
  <si>
    <t>Fuels</t>
  </si>
  <si>
    <t>Elec</t>
  </si>
  <si>
    <t>TBtu</t>
  </si>
  <si>
    <t>IND_DEM_EMIS</t>
  </si>
  <si>
    <t>Source: EH Pechan (EPA?)</t>
  </si>
  <si>
    <t>ENV_ACT~NOX</t>
  </si>
  <si>
    <t>ENV_ACT~SO2</t>
  </si>
  <si>
    <t>ENV_ACT~PM10</t>
  </si>
  <si>
    <t>ENV_ACT~PM25</t>
  </si>
  <si>
    <t>ENV_ACT~VOC</t>
  </si>
  <si>
    <t>ENV_ACT~CO</t>
  </si>
  <si>
    <t>IND_DEM_DUMMY</t>
  </si>
  <si>
    <t>ZZDMYIOTE</t>
  </si>
  <si>
    <t>ZZDMYIOTF</t>
  </si>
  <si>
    <t>Back to home page</t>
  </si>
  <si>
    <t>This sheet contains data on boiler efficiencies as provided by Jim Eddinger, who is listed as the contact for the major source boiler rule. This sheet also contains data on technology costs that were pulled from the previous version of this workbook.</t>
  </si>
  <si>
    <t>Table 4. Sample boiler efficiency data</t>
  </si>
  <si>
    <t>Table P1. Table 4 in pivot form</t>
  </si>
  <si>
    <t>Table 6. Industrial Technology Cost Data</t>
  </si>
  <si>
    <t>Facility Name</t>
  </si>
  <si>
    <t>City</t>
  </si>
  <si>
    <t>State</t>
  </si>
  <si>
    <t>CombustorID</t>
  </si>
  <si>
    <t>Fuel Type</t>
  </si>
  <si>
    <t>Combustor Design</t>
  </si>
  <si>
    <t>Efficiency (%)</t>
  </si>
  <si>
    <t>Row Labels</t>
  </si>
  <si>
    <t>Average of Efficiency (%)</t>
  </si>
  <si>
    <t>Source: Previous MARKAL Industrial Workbook - rearranged version of hidden table to the right</t>
  </si>
  <si>
    <t>Abbott LaboratoriesAbbott Park Facility</t>
  </si>
  <si>
    <t>Abbott Park</t>
  </si>
  <si>
    <t>IL</t>
  </si>
  <si>
    <t>Unit 5AP</t>
  </si>
  <si>
    <t>Coal</t>
  </si>
  <si>
    <t>Stoker/Sloped Grate/Other</t>
  </si>
  <si>
    <t>Biomass</t>
  </si>
  <si>
    <t>TECHNOLOGY - Other</t>
  </si>
  <si>
    <t>Source</t>
  </si>
  <si>
    <t>TECHNOLOGY</t>
  </si>
  <si>
    <t>Distillate Oil</t>
  </si>
  <si>
    <t>LPG</t>
  </si>
  <si>
    <t>Residual Oil</t>
  </si>
  <si>
    <t>ADM Corn DivisionMarshall Facility</t>
  </si>
  <si>
    <t>Marshall</t>
  </si>
  <si>
    <t>Coal Boiler #1 EU049</t>
  </si>
  <si>
    <t>Dutch Oven/Pile Burner</t>
  </si>
  <si>
    <r>
      <rPr>
        <i/>
        <sz val="11"/>
        <color theme="1"/>
        <rFont val="Arial"/>
        <family val="2"/>
        <scheme val="minor"/>
      </rPr>
      <t>Source</t>
    </r>
    <r>
      <rPr>
        <sz val="11"/>
        <color theme="1"/>
        <rFont val="Arial"/>
        <family val="2"/>
        <scheme val="minor"/>
      </rPr>
      <t>: Previous MARKAL Industrial Workbook</t>
    </r>
  </si>
  <si>
    <t>Chemicals</t>
  </si>
  <si>
    <t>ADM Corn Processing CR</t>
  </si>
  <si>
    <t>Cedar Rapids</t>
  </si>
  <si>
    <t>IA</t>
  </si>
  <si>
    <t>EU-530</t>
  </si>
  <si>
    <t>Fluidized Bed</t>
  </si>
  <si>
    <t>Boiler</t>
  </si>
  <si>
    <t>Alcoa Inc.Warrick Operations</t>
  </si>
  <si>
    <t>Newburgh</t>
  </si>
  <si>
    <t>IN</t>
  </si>
  <si>
    <t>Unit #3</t>
  </si>
  <si>
    <t>Pulverized Coal</t>
  </si>
  <si>
    <t>Fuel Cell</t>
  </si>
  <si>
    <t>Superboiler</t>
  </si>
  <si>
    <t>N/A</t>
  </si>
  <si>
    <t>Unit #2</t>
  </si>
  <si>
    <t>Hybrid Suspension Grate</t>
  </si>
  <si>
    <t>Electrochemical</t>
  </si>
  <si>
    <t>American Crystal Sugar CompanyCrookston</t>
  </si>
  <si>
    <t>Crookston</t>
  </si>
  <si>
    <t>Boiler 1</t>
  </si>
  <si>
    <t>Machine Drive</t>
  </si>
  <si>
    <t>Andersen Corporation</t>
  </si>
  <si>
    <t>Bayport</t>
  </si>
  <si>
    <t>Boiler 11 EU620</t>
  </si>
  <si>
    <t>Suspension Burner</t>
  </si>
  <si>
    <t>Process Heat</t>
  </si>
  <si>
    <t>Boiler 12 EU621</t>
  </si>
  <si>
    <t>Food</t>
  </si>
  <si>
    <t>Anthony Forest Products Company Urbana Sawmill</t>
  </si>
  <si>
    <t>Urbana</t>
  </si>
  <si>
    <t>AR</t>
  </si>
  <si>
    <t>SN-12</t>
  </si>
  <si>
    <t>Appleton</t>
  </si>
  <si>
    <t>West Carrollton</t>
  </si>
  <si>
    <t>OH</t>
  </si>
  <si>
    <t>Boiler 4 (B003)</t>
  </si>
  <si>
    <t>Archer Daniels Midland Co.Des Moines</t>
  </si>
  <si>
    <t>Des Moines</t>
  </si>
  <si>
    <t>Asea Boiler #1</t>
  </si>
  <si>
    <t>BOEING CO. IDS ROTORCRAFT</t>
  </si>
  <si>
    <t>RIDLEY PARK</t>
  </si>
  <si>
    <t>PA</t>
  </si>
  <si>
    <t>033</t>
  </si>
  <si>
    <t>Heavy Liquid</t>
  </si>
  <si>
    <t>Cargill Inc. Corn Milling Memphis, TN</t>
  </si>
  <si>
    <t>Memphis</t>
  </si>
  <si>
    <t>TN</t>
  </si>
  <si>
    <t>Stoker Boiler 8001</t>
  </si>
  <si>
    <t>Primary Metals</t>
  </si>
  <si>
    <t>Cargill, Inc. Oilseeds Processing</t>
  </si>
  <si>
    <t>West Fargo</t>
  </si>
  <si>
    <t>ND</t>
  </si>
  <si>
    <t>Foster Wheeler Boiler (EU43)</t>
  </si>
  <si>
    <t>Light Liquid</t>
  </si>
  <si>
    <t>Catalyst Paper (Snowflake) Inc.</t>
  </si>
  <si>
    <t>Snowflake</t>
  </si>
  <si>
    <t>AZ</t>
  </si>
  <si>
    <t>Power Boiler #2 Coal</t>
  </si>
  <si>
    <t>City of Escanaba Generating Station</t>
  </si>
  <si>
    <t>Escanaba</t>
  </si>
  <si>
    <t>MI</t>
  </si>
  <si>
    <t>EUBOILER#1</t>
  </si>
  <si>
    <t>Grand Total</t>
  </si>
  <si>
    <t>Cogen South L.L.C.</t>
  </si>
  <si>
    <t>North Charleston</t>
  </si>
  <si>
    <t>SC</t>
  </si>
  <si>
    <t>B001Main Boiler</t>
  </si>
  <si>
    <t>Consolidated Grain and Barge Company, Inc.</t>
  </si>
  <si>
    <t>Mount Vernon</t>
  </si>
  <si>
    <t>P17B</t>
  </si>
  <si>
    <t>Table 5. All Boiler Efficiencies</t>
  </si>
  <si>
    <t>District Energy, St. Paul</t>
  </si>
  <si>
    <t>St. Paul</t>
  </si>
  <si>
    <t>EU007</t>
  </si>
  <si>
    <t>Fuel Type/Combustor Design</t>
  </si>
  <si>
    <t>Efficiency</t>
  </si>
  <si>
    <t>INP(ENT)p</t>
  </si>
  <si>
    <t>Met Coal Plant</t>
  </si>
  <si>
    <t>DomtarJohnsonburg Mill</t>
  </si>
  <si>
    <t>Johnsonburg</t>
  </si>
  <si>
    <t>#81 Coal Boiler</t>
  </si>
  <si>
    <t>Non-Metals</t>
  </si>
  <si>
    <t>#82 Coal Boiler</t>
  </si>
  <si>
    <t>Duke Energy Generation Services of Narrows, LLC</t>
  </si>
  <si>
    <t>Narrows</t>
  </si>
  <si>
    <t>VA</t>
  </si>
  <si>
    <t>Boiler #2</t>
  </si>
  <si>
    <t>Boiler #3</t>
  </si>
  <si>
    <t>Unknown</t>
  </si>
  <si>
    <t>Boiler #1</t>
  </si>
  <si>
    <t>DuPont Washington Works</t>
  </si>
  <si>
    <t>Washington</t>
  </si>
  <si>
    <t>WV</t>
  </si>
  <si>
    <t>P05</t>
  </si>
  <si>
    <t>Paper</t>
  </si>
  <si>
    <t>Georgia PacificBig Island</t>
  </si>
  <si>
    <t>Big Island</t>
  </si>
  <si>
    <t>PWR04No. 4 Power Boiler</t>
  </si>
  <si>
    <t>Georgia PacificLeaf River Cellulose, LLC</t>
  </si>
  <si>
    <t>New Augusta</t>
  </si>
  <si>
    <t>MS</t>
  </si>
  <si>
    <t>AA-015 Power Boiler</t>
  </si>
  <si>
    <t>Dutch Oven/Susp. Burner</t>
  </si>
  <si>
    <t>Georgia PacificMadison Plywood Facility</t>
  </si>
  <si>
    <t>Madison</t>
  </si>
  <si>
    <t>GA</t>
  </si>
  <si>
    <t>800 Wood Waste Boiler</t>
  </si>
  <si>
    <t>Georgia-PacificBrewton Mill</t>
  </si>
  <si>
    <t>Brewton</t>
  </si>
  <si>
    <t>AL</t>
  </si>
  <si>
    <t>BR-PSG0-S026 No. 3 Power Boiler</t>
  </si>
  <si>
    <t>Georgia-PacificMuskogee Mill</t>
  </si>
  <si>
    <t>Muskogee</t>
  </si>
  <si>
    <t>OK</t>
  </si>
  <si>
    <t>B-3</t>
  </si>
  <si>
    <t>Residual Fuel Oil (Heavy Liquid)</t>
  </si>
  <si>
    <t>Georgia-Pacific Chemicals LLCRussellville, SC</t>
  </si>
  <si>
    <t>Russellville</t>
  </si>
  <si>
    <t>FO Boiler</t>
  </si>
  <si>
    <t>Distillate Fuel Oil (Light Liquid)</t>
  </si>
  <si>
    <t>Other</t>
  </si>
  <si>
    <t>Georgia-Pacific Duluth Hardboard</t>
  </si>
  <si>
    <t>Duluth</t>
  </si>
  <si>
    <t>EU33 Boiler #3</t>
  </si>
  <si>
    <t>Natural Gas/LPG</t>
  </si>
  <si>
    <t>Georgia-Pacific Port Hudson Mill</t>
  </si>
  <si>
    <t>Zachary</t>
  </si>
  <si>
    <t>LA</t>
  </si>
  <si>
    <t>EQT0109No. 6 CFB Boiler</t>
  </si>
  <si>
    <t>Georgia-Pacific; Wauna Mill</t>
  </si>
  <si>
    <t>Clatskanie</t>
  </si>
  <si>
    <t>OR</t>
  </si>
  <si>
    <t>EU35Fluidized Bed Boiler</t>
  </si>
  <si>
    <t>Grays Harbor Paper, L. P.</t>
  </si>
  <si>
    <t>Hoquiam</t>
  </si>
  <si>
    <t>WA</t>
  </si>
  <si>
    <t>No. 6 Boiler (EU2)</t>
  </si>
  <si>
    <t>Green Bay Packaging Inc.- Green Bay Mill Division</t>
  </si>
  <si>
    <t>Green Bay</t>
  </si>
  <si>
    <t>WI</t>
  </si>
  <si>
    <t>Boiler B26- Coal Fired Boiler</t>
  </si>
  <si>
    <t>Hood Industries, Inc. (Beaumont Plywood Plant)</t>
  </si>
  <si>
    <t>Beaumont</t>
  </si>
  <si>
    <t>AA-030 (Wood-Fired Boiler)</t>
  </si>
  <si>
    <t>Metallurgical Coal Plant</t>
  </si>
  <si>
    <t>International Paper Eastover Mill</t>
  </si>
  <si>
    <t>Eastover</t>
  </si>
  <si>
    <t>No. 1 Power Boiler</t>
  </si>
  <si>
    <t>*IND_INVCOST_FOMCOST</t>
  </si>
  <si>
    <t>Iowa State University Power Plant</t>
  </si>
  <si>
    <t>Ames</t>
  </si>
  <si>
    <t>B2</t>
  </si>
  <si>
    <t>Source: ?</t>
  </si>
  <si>
    <t>Marlboro Paper Mill</t>
  </si>
  <si>
    <t>Bennettsville</t>
  </si>
  <si>
    <t>Hogged Fuel Boiler</t>
  </si>
  <si>
    <t>Monsanto CompanyMuscatine</t>
  </si>
  <si>
    <t>Muscatine</t>
  </si>
  <si>
    <t>Boiler #8 (EP-195)</t>
  </si>
  <si>
    <t>Neenah Paper Michigan, Inc.</t>
  </si>
  <si>
    <t>Munising</t>
  </si>
  <si>
    <t>Nissan North America, Inc.</t>
  </si>
  <si>
    <t>Smyrna</t>
  </si>
  <si>
    <t>Boiler 3</t>
  </si>
  <si>
    <t>PolyOne Corporation</t>
  </si>
  <si>
    <t>Henry</t>
  </si>
  <si>
    <t>B1</t>
  </si>
  <si>
    <t>Potlatch Forest Products Corporation</t>
  </si>
  <si>
    <t>St. Maries</t>
  </si>
  <si>
    <t>ID</t>
  </si>
  <si>
    <t>PB-1 CE (Boiler No. 2)</t>
  </si>
  <si>
    <t>Potlatch Forest Products Corporation-Warren</t>
  </si>
  <si>
    <t>Warren</t>
  </si>
  <si>
    <t>Wellons Boiler</t>
  </si>
  <si>
    <t>PPG Industries, Inc., Natrium Plant</t>
  </si>
  <si>
    <t>New Martinsville</t>
  </si>
  <si>
    <t>R011-Boiler 3</t>
  </si>
  <si>
    <t>Purdue University</t>
  </si>
  <si>
    <t>West Lafayette</t>
  </si>
  <si>
    <t>Boiler 5</t>
  </si>
  <si>
    <t>Riley Creek Lumber Company</t>
  </si>
  <si>
    <t>Laclede</t>
  </si>
  <si>
    <t>HFB1</t>
  </si>
  <si>
    <t>Rock Island Arsenal</t>
  </si>
  <si>
    <t>NBN 12602 (Boiler #1)</t>
  </si>
  <si>
    <t>Roquette America, INC</t>
  </si>
  <si>
    <t>Keokuk</t>
  </si>
  <si>
    <t>Circulating Fluidized Bed Boiler (121)</t>
  </si>
  <si>
    <t>SABIC Innovative Plastics Mt. Vernon, LLC</t>
  </si>
  <si>
    <t>Mt. Vernon</t>
  </si>
  <si>
    <t>01-001 BW1 Boiler</t>
  </si>
  <si>
    <t>01-001 BW2 Boiler</t>
  </si>
  <si>
    <t>Smart Papers Holdings LLC</t>
  </si>
  <si>
    <t>Hamilton</t>
  </si>
  <si>
    <t>B010</t>
  </si>
  <si>
    <t>B020</t>
  </si>
  <si>
    <t>Smurfit Stone Container Enterprises, Fernandina Beach Mill</t>
  </si>
  <si>
    <t>Fernandina Beach</t>
  </si>
  <si>
    <t>FL</t>
  </si>
  <si>
    <t>7PB</t>
  </si>
  <si>
    <t>SP Newsprint Co.</t>
  </si>
  <si>
    <t>Dublin</t>
  </si>
  <si>
    <t>PB2</t>
  </si>
  <si>
    <t>T. B. Simon Power Plant</t>
  </si>
  <si>
    <t>East Lansing</t>
  </si>
  <si>
    <t>Unit 1</t>
  </si>
  <si>
    <t>Tate &amp; Lyle, Sagamore</t>
  </si>
  <si>
    <t>Lafayette</t>
  </si>
  <si>
    <t>31B1</t>
  </si>
  <si>
    <t>Temple-Inland</t>
  </si>
  <si>
    <t>Diboll</t>
  </si>
  <si>
    <t>TX</t>
  </si>
  <si>
    <t>PB-44</t>
  </si>
  <si>
    <t>Thomson</t>
  </si>
  <si>
    <t>BW-B001</t>
  </si>
  <si>
    <t>Tennessee Operations, Eastman Chemical Company</t>
  </si>
  <si>
    <t>Kingsport</t>
  </si>
  <si>
    <t>Boiler 30</t>
  </si>
  <si>
    <t>Boiler 31</t>
  </si>
  <si>
    <t>Boiler 27</t>
  </si>
  <si>
    <t>Boiler 25</t>
  </si>
  <si>
    <t>The Amalgamated Sugar Company LLC</t>
  </si>
  <si>
    <t>Nampa</t>
  </si>
  <si>
    <t>Babcock and Wilcox (B&amp;W)  #1</t>
  </si>
  <si>
    <t>Paul</t>
  </si>
  <si>
    <t>Erie City Boiler</t>
  </si>
  <si>
    <t>Riley Boiler</t>
  </si>
  <si>
    <t>Twin Falls</t>
  </si>
  <si>
    <t>S-B1</t>
  </si>
  <si>
    <t>Babcock and Wilcox (B&amp;W) Boiler</t>
  </si>
  <si>
    <t>The University of Iowa</t>
  </si>
  <si>
    <t>Iowa City</t>
  </si>
  <si>
    <t>EP7 Boiler 11</t>
  </si>
  <si>
    <t>Thilmany Papers Nicolet Mill</t>
  </si>
  <si>
    <t>De Pere</t>
  </si>
  <si>
    <t>B23</t>
  </si>
  <si>
    <t>Tyson Foods, Inc.</t>
  </si>
  <si>
    <t>Harmony</t>
  </si>
  <si>
    <t>NC</t>
  </si>
  <si>
    <t>TYS-ES-21</t>
  </si>
  <si>
    <t>United States Sugar Corporation Clewiston Mill</t>
  </si>
  <si>
    <t>Clewistion</t>
  </si>
  <si>
    <t>Boiler No. 7</t>
  </si>
  <si>
    <t>Boiler No. 8</t>
  </si>
  <si>
    <t>Boiler No. 4</t>
  </si>
  <si>
    <t>University  of Cincinnati</t>
  </si>
  <si>
    <t>Cincinnati</t>
  </si>
  <si>
    <t>B108</t>
  </si>
  <si>
    <t>University of Northern Iowa</t>
  </si>
  <si>
    <t>Cedar Falls</t>
  </si>
  <si>
    <t>University of Notre Dame</t>
  </si>
  <si>
    <t>Notre Dame</t>
  </si>
  <si>
    <t>B-4</t>
  </si>
  <si>
    <t>University of Virginia</t>
  </si>
  <si>
    <t>Charlottesville</t>
  </si>
  <si>
    <t>7103-1-01R</t>
  </si>
  <si>
    <t>7103-1-02R</t>
  </si>
  <si>
    <t>7103-1-05</t>
  </si>
  <si>
    <t>Wausau Paper Corp.</t>
  </si>
  <si>
    <t>Mosinee</t>
  </si>
  <si>
    <t># 5 Power Boiler (B24)</t>
  </si>
  <si>
    <t>West Fraser, Inc.Huttig Mill</t>
  </si>
  <si>
    <t>Huttig</t>
  </si>
  <si>
    <t>SN-24</t>
  </si>
  <si>
    <t>Weyerhaeuser Company</t>
  </si>
  <si>
    <t>Bruce</t>
  </si>
  <si>
    <t>AA-002 No.2 Boiler</t>
  </si>
  <si>
    <t>Weyerhaeuser CompanyDierks Mill</t>
  </si>
  <si>
    <t>Dierks</t>
  </si>
  <si>
    <t>SN-45</t>
  </si>
  <si>
    <t>SN-32</t>
  </si>
  <si>
    <t>Weyerhaeuser, Raymond</t>
  </si>
  <si>
    <t>Raymond</t>
  </si>
  <si>
    <t>Hog Fuel Boiler EU1</t>
  </si>
  <si>
    <t>Wisconsin Rapids Mill</t>
  </si>
  <si>
    <t>Wisconsin Rapids</t>
  </si>
  <si>
    <t>Power Boiler 1B21</t>
  </si>
  <si>
    <t>Power Boiler 2B20</t>
  </si>
  <si>
    <r>
      <rPr>
        <i/>
        <sz val="11"/>
        <color theme="1"/>
        <rFont val="Arial"/>
        <family val="2"/>
        <scheme val="minor"/>
      </rPr>
      <t>Source</t>
    </r>
    <r>
      <rPr>
        <sz val="11"/>
        <color theme="1"/>
        <rFont val="Arial"/>
        <family val="2"/>
        <scheme val="minor"/>
      </rPr>
      <t>: Jim Eddinger</t>
    </r>
  </si>
  <si>
    <t>eddinger.jim@epa.gov</t>
  </si>
  <si>
    <t>BldgArea 2010</t>
  </si>
  <si>
    <t>BldgArea 2015</t>
  </si>
  <si>
    <t>BldgArea 2020</t>
  </si>
  <si>
    <t>1 to 4 Family, Freestanding, Wood Frame</t>
  </si>
  <si>
    <t>1 to 4 Family, No Data</t>
  </si>
  <si>
    <t>1 to 4 Family, Row House, Masonry</t>
  </si>
  <si>
    <t>1 to 4 Family, with one or more stores</t>
  </si>
  <si>
    <t>Commercial, Post-1980 &gt;7 stories</t>
  </si>
  <si>
    <t>Commercial, Post-1980 up to 7 stories</t>
  </si>
  <si>
    <t>Commercial, Post-war &gt;7 stories</t>
  </si>
  <si>
    <t>Commercial, Post-war up to 7 stories</t>
  </si>
  <si>
    <t>Commercial, Pre-war &gt;7 stories</t>
  </si>
  <si>
    <t>Commercial, Pre-war up to 7 stories</t>
  </si>
  <si>
    <t>Commercial, VeryLarge</t>
  </si>
  <si>
    <t>Industrial, 3 stories or less warehouse/factory building</t>
  </si>
  <si>
    <t>Industrial, &gt; 3 stories of warehouse/factory building</t>
  </si>
  <si>
    <t>Industrial, Transportation, Garages, and Utilities</t>
  </si>
  <si>
    <t>Institutional, Hospital and Health Facilities</t>
  </si>
  <si>
    <t>Institutional, Institutional General</t>
  </si>
  <si>
    <t>Institutional, K-12 Schools</t>
  </si>
  <si>
    <t>Institutional, Religious</t>
  </si>
  <si>
    <t>Institutional, University</t>
  </si>
  <si>
    <t>Multifamily, Post-1980 &gt;7 stories</t>
  </si>
  <si>
    <t>Multifamily, Post-1980 up to 7 stories</t>
  </si>
  <si>
    <t>Multifamily, Post-war &gt;7 stories</t>
  </si>
  <si>
    <t>Multifamily, Post-war up to 7 stories</t>
  </si>
  <si>
    <t>Multifamily, Pre-war &gt;7 stories</t>
  </si>
  <si>
    <t>Multifamily, Pre-war up to 7 stories</t>
  </si>
  <si>
    <t>Multifamily, VeryLarge</t>
  </si>
  <si>
    <t>No Data</t>
  </si>
  <si>
    <t>Outdoor Space and Recreation</t>
  </si>
  <si>
    <t>Vacant Land</t>
  </si>
  <si>
    <t>No Data + N/A percentage</t>
  </si>
  <si>
    <t>TOTAL BLDGAREA Nodata and N/A excluded)</t>
  </si>
  <si>
    <t>*PLUTO_raw-2010</t>
  </si>
  <si>
    <t>*PLUTO_raw-2015</t>
  </si>
  <si>
    <t>*PLUTO_raw-2020</t>
  </si>
  <si>
    <t>*Source: PLUTO 2010</t>
  </si>
  <si>
    <t>*Source: PLUTO 2015</t>
  </si>
  <si>
    <t>*Source: PLUTO 2020</t>
  </si>
  <si>
    <t>*PLUTO_area_2010</t>
  </si>
  <si>
    <t>*PLUTO_area_2015</t>
  </si>
  <si>
    <t>*PLUTO_area_2020</t>
  </si>
  <si>
    <t>*Source: Calculated</t>
  </si>
  <si>
    <t>TOTAL BLDGAREA (%)</t>
  </si>
  <si>
    <t>*PLUTO_prct_area_typology_2010</t>
  </si>
  <si>
    <t>*PLUTO_prct_area_typology_2015</t>
  </si>
  <si>
    <t>*PLUTO_prct_area_typology_2020</t>
  </si>
  <si>
    <t>*PLUTO_prct_area_borough_2010</t>
  </si>
  <si>
    <t>*PLUTO_prct_area_borough_2015</t>
  </si>
  <si>
    <t>*PLUTO_prct_area_borough_2020</t>
  </si>
  <si>
    <t>TWG_DEM2015</t>
  </si>
  <si>
    <t>Source: TWG Study</t>
  </si>
  <si>
    <t>2015 NYC GHG Inventory (CY 2014)</t>
  </si>
  <si>
    <t>Citywide Site MMBtu, by Fuel Type, per 2015 NYC GHG Inventory (CY2014)</t>
  </si>
  <si>
    <t>Steam</t>
  </si>
  <si>
    <t>MMBtu by End Use</t>
  </si>
  <si>
    <t>Description of Typical Building</t>
  </si>
  <si>
    <t>2010 PLUTO SF</t>
  </si>
  <si>
    <t>CY2014 Site MMBtu</t>
  </si>
  <si>
    <t>CY2014 Site MMBtu % of Total</t>
  </si>
  <si>
    <t>CY2014 Site kBtu/SF</t>
  </si>
  <si>
    <t>#2 fuel oil</t>
  </si>
  <si>
    <t>#4 fuel oil</t>
  </si>
  <si>
    <t>#6 fuel oil</t>
  </si>
  <si>
    <t>Biofuel</t>
  </si>
  <si>
    <t>% Fuel Oil, Space Heating</t>
  </si>
  <si>
    <t>% Fuel Oil, DHW</t>
  </si>
  <si>
    <t>% Fuel Oil, Space Cooling</t>
  </si>
  <si>
    <t>% Fuel Oil, Ventilation</t>
  </si>
  <si>
    <t>% Fuel Oil, Lighting</t>
  </si>
  <si>
    <t>% Fuel Oil, Conveyance</t>
  </si>
  <si>
    <t>% Fuel Oil, Process Loads</t>
  </si>
  <si>
    <t>% Fuel Oil, Plug Loads/Misc</t>
  </si>
  <si>
    <t>% Electricity, Space Heating</t>
  </si>
  <si>
    <t>% Electricity, DHW</t>
  </si>
  <si>
    <t>% Electricity, Space Cooling</t>
  </si>
  <si>
    <t>% Electricity, Ventilation</t>
  </si>
  <si>
    <t>% Electricity, Lighting</t>
  </si>
  <si>
    <t>% Electricity, Conveyance</t>
  </si>
  <si>
    <t>% Electricity, Process Loads</t>
  </si>
  <si>
    <t>% Electricity, Plug Loads/Misc</t>
  </si>
  <si>
    <t>% Natural Gas, Space Heating</t>
  </si>
  <si>
    <t>% Natural Gas, DHW</t>
  </si>
  <si>
    <t>% Natural Gas, Space Cooling</t>
  </si>
  <si>
    <t>% Natural Gas, Ventilation</t>
  </si>
  <si>
    <t>% Natural Gas, Lighting</t>
  </si>
  <si>
    <t>% Natural Gas, Conveyance</t>
  </si>
  <si>
    <t>% Natural Gas, Process Loads</t>
  </si>
  <si>
    <t>% Natural Gas, Plug Loads/Misc</t>
  </si>
  <si>
    <t>% Steam, Space Heating</t>
  </si>
  <si>
    <t>% Steam, DHW</t>
  </si>
  <si>
    <t>% Steam, Space Cooling</t>
  </si>
  <si>
    <t>% Steam, Ventilation</t>
  </si>
  <si>
    <t>% Steam, Lighting</t>
  </si>
  <si>
    <t>% Steam, Conveyance</t>
  </si>
  <si>
    <t>% Steam, Process Loads</t>
  </si>
  <si>
    <t>% Steam, Plug Loads/Misc</t>
  </si>
  <si>
    <t xml:space="preserve"> Lighting</t>
  </si>
  <si>
    <t xml:space="preserve"> Process Loads</t>
  </si>
  <si>
    <t>Totals</t>
  </si>
  <si>
    <t>Multifamily, NYCHA</t>
  </si>
  <si>
    <t>Commercial, Mixed use</t>
  </si>
  <si>
    <t>Industrial, 3 stories of more warehouse/factory building</t>
  </si>
  <si>
    <t>NoData</t>
  </si>
  <si>
    <t>Typology</t>
  </si>
  <si>
    <t>Sub-Typology</t>
  </si>
  <si>
    <t>Fuel Oil 2</t>
  </si>
  <si>
    <t>Fuel Oil 4</t>
  </si>
  <si>
    <t>Fuel Oil 6</t>
  </si>
  <si>
    <t xml:space="preserve"> </t>
  </si>
  <si>
    <t>Total</t>
  </si>
  <si>
    <t>TWG_DEM2015_FuelSum</t>
  </si>
  <si>
    <t>Source: TWG_DEM2015_Fuel</t>
  </si>
  <si>
    <t>MMBtu</t>
  </si>
  <si>
    <t>TWG_DEM2015_FuelPct</t>
  </si>
  <si>
    <t>Source: TWG_DEM2015_FuelSum</t>
  </si>
  <si>
    <t>FUEL_TOTALS</t>
  </si>
  <si>
    <t xml:space="preserve">Industrial, 3 stories of more warehouse/factory building </t>
  </si>
  <si>
    <t>Fuel Consumption Totals</t>
  </si>
  <si>
    <t>Other ELC</t>
  </si>
  <si>
    <t>Other DSL</t>
  </si>
  <si>
    <t>Other NGA</t>
  </si>
  <si>
    <t>Other STM</t>
  </si>
  <si>
    <t xml:space="preserve">Industrial, 3 stories or less warehouse/factory building </t>
  </si>
  <si>
    <t>Residential</t>
  </si>
  <si>
    <t xml:space="preserve">Industrial, Transportation, Garages, and Utilities </t>
  </si>
  <si>
    <t xml:space="preserve">Institutional, Hospital and Health Facilities </t>
  </si>
  <si>
    <t xml:space="preserve">Institutional, Institutional General </t>
  </si>
  <si>
    <t xml:space="preserve">Institutional, K-12 Schools </t>
  </si>
  <si>
    <t xml:space="preserve">Institutional, Religious </t>
  </si>
  <si>
    <t xml:space="preserve">Institutional, University </t>
  </si>
  <si>
    <t>TWG_DEM2015_Fuel</t>
  </si>
  <si>
    <t>Source: TWG_DEM2015</t>
  </si>
  <si>
    <t>FUEL_PCT</t>
  </si>
  <si>
    <t>FUEL_PCT_DETAIL</t>
  </si>
  <si>
    <t>TWG_DEM2015_Enduse</t>
  </si>
  <si>
    <t>Citywide Site MMBtu, by End Use, per 2015 NYC GHG Inventory (CY2014)</t>
  </si>
  <si>
    <t>GHG_Inv</t>
  </si>
  <si>
    <t>Source: MOCEJ</t>
  </si>
  <si>
    <t>Sector</t>
  </si>
  <si>
    <t>Category</t>
  </si>
  <si>
    <t>Source Units</t>
  </si>
  <si>
    <t>CY 2005 Consumed</t>
  </si>
  <si>
    <t>CY 2005 Source MMBtu</t>
  </si>
  <si>
    <t>CY 2010 Consumed</t>
  </si>
  <si>
    <t>CY 2010 Source MMBtu</t>
  </si>
  <si>
    <t>CY 2015 Consumed</t>
  </si>
  <si>
    <t>CY 2015 Source MMBtu</t>
  </si>
  <si>
    <t>CY 2020 Consumed</t>
  </si>
  <si>
    <t>CY 2020 Source MMBtu</t>
  </si>
  <si>
    <t>CY 2023 Consumed</t>
  </si>
  <si>
    <t>Stationary Energy</t>
  </si>
  <si>
    <t>gallon</t>
  </si>
  <si>
    <t>kWh</t>
  </si>
  <si>
    <t>SCF</t>
  </si>
  <si>
    <t>kg</t>
  </si>
  <si>
    <t>Commercial and Institutional</t>
  </si>
  <si>
    <t>Manufacturing and Construction</t>
  </si>
  <si>
    <t>Fugitive</t>
  </si>
  <si>
    <t>CH4 - natural gas distribution</t>
  </si>
  <si>
    <t>GJ</t>
  </si>
  <si>
    <t>Transportation</t>
  </si>
  <si>
    <t>Passenger cars</t>
  </si>
  <si>
    <t>CNG</t>
  </si>
  <si>
    <t>VMT</t>
  </si>
  <si>
    <t>Diesel</t>
  </si>
  <si>
    <t>Gasoline</t>
  </si>
  <si>
    <t>Medium duty trucks</t>
  </si>
  <si>
    <t>Heavy duty trucks</t>
  </si>
  <si>
    <t>Refuse trucks</t>
  </si>
  <si>
    <t>For hire vehicles</t>
  </si>
  <si>
    <t>School buses</t>
  </si>
  <si>
    <t>Buses</t>
  </si>
  <si>
    <t>Railways</t>
  </si>
  <si>
    <t>Diesel - commuter rail</t>
  </si>
  <si>
    <t>Electricity - subway and commuter rail</t>
  </si>
  <si>
    <t>Marine Navigation</t>
  </si>
  <si>
    <t>Diesel - marine navigation</t>
  </si>
  <si>
    <t>Aviation</t>
  </si>
  <si>
    <t>Jet fuel - aviation</t>
  </si>
  <si>
    <t>Waste</t>
  </si>
  <si>
    <t>Landfills</t>
  </si>
  <si>
    <t>Exported solid waste - landfills</t>
  </si>
  <si>
    <t>MT</t>
  </si>
  <si>
    <t>Biological treatment</t>
  </si>
  <si>
    <t>CH4 and N2O - composting</t>
  </si>
  <si>
    <t>Wastewater treatment</t>
  </si>
  <si>
    <t>CH4 - wastewater treatment plants</t>
  </si>
  <si>
    <t>N2O - wastewater treatment plants</t>
  </si>
  <si>
    <t>FuelBySector_2010</t>
  </si>
  <si>
    <t>FuelTypeRatio</t>
  </si>
  <si>
    <t>Match</t>
  </si>
  <si>
    <t>Res_Consumed (PJ)</t>
  </si>
  <si>
    <t>Com_Consumed (PJ)</t>
  </si>
  <si>
    <t>Ind_Consumed (PJ)</t>
  </si>
  <si>
    <t>Total Consumed (PJ)</t>
  </si>
  <si>
    <t>2010</t>
  </si>
  <si>
    <t>2015</t>
  </si>
  <si>
    <t>2020</t>
  </si>
  <si>
    <t>FuelBySector_2015</t>
  </si>
  <si>
    <t>FuelBySector</t>
  </si>
  <si>
    <t>Fuel Match</t>
  </si>
  <si>
    <t>Year Match</t>
  </si>
  <si>
    <t>Energy Consumption (trillion Btu)</t>
  </si>
  <si>
    <t>units</t>
  </si>
  <si>
    <t>Construction</t>
  </si>
  <si>
    <t>Distillate Fuel Oil</t>
  </si>
  <si>
    <t>Nonmanufacturing: Energy Use: Construction: Distillate Fuel Oil: Reference case</t>
  </si>
  <si>
    <t>trillion Btu</t>
  </si>
  <si>
    <t>Propane</t>
  </si>
  <si>
    <t>Nonmanufacturing: Energy Use: Construction: Propane: Reference case</t>
  </si>
  <si>
    <t>Motor Gasoline</t>
  </si>
  <si>
    <t>Nonmanufacturing: Energy Use: Construction: Motor Gasoline: Reference case</t>
  </si>
  <si>
    <t>Asphalt and Road Oil</t>
  </si>
  <si>
    <t>Nonmanufacturing: Energy Use: Construction: Asphalt and Road Oil: Reference case</t>
  </si>
  <si>
    <t>Other Petroleum</t>
  </si>
  <si>
    <t>Nonmanufacturing: Energy Use: Construction: Other Petroleum: Reference case</t>
  </si>
  <si>
    <t>Petroleum and Other Liquids Subtotal</t>
  </si>
  <si>
    <t>Nonmanufacturing: Energy Use: Construction: Petroleum Subtotal: Reference case</t>
  </si>
  <si>
    <t>Nonmanufacturing: Energy Use: Construction: Natural Gas: Reference case</t>
  </si>
  <si>
    <t>Purchased Electricity</t>
  </si>
  <si>
    <t>Nonmanufacturing: Energy Use: Construction: Purchased Electricity: Reference case</t>
  </si>
  <si>
    <t>Nonmanufacturing: Energy Use: Construction: Total: Reference case</t>
  </si>
  <si>
    <t>Paper Manufacturing</t>
  </si>
  <si>
    <t>Residual Fuel Oil</t>
  </si>
  <si>
    <t>Paper Industry: Energy Use: Residual Fuel Oil: Reference case</t>
  </si>
  <si>
    <t>Paper Industry: Energy Use: Distillate Fuel Oil: Reference case</t>
  </si>
  <si>
    <t>Paper Industry: Energy Use: Propane: Reference case</t>
  </si>
  <si>
    <t>Petroleum Coke</t>
  </si>
  <si>
    <t>Paper Industry: Energy Use: Petroleum Coke: Reference case</t>
  </si>
  <si>
    <t>Paper Industry: Energy Use: Other Petroleum: Reference case</t>
  </si>
  <si>
    <t>Paper Industry: Energy Use: Petroleum Subtotal: Reference case</t>
  </si>
  <si>
    <t>Paper Industry: Energy Use: Natural Gas: Reference case</t>
  </si>
  <si>
    <t>Steam Coal</t>
  </si>
  <si>
    <t>Paper Industry: Energy Use: Steam Coal: Reference case</t>
  </si>
  <si>
    <t>Renewables</t>
  </si>
  <si>
    <t>Paper Industry: Energy Use: Renewables: Reference case</t>
  </si>
  <si>
    <t>Paper Industry: Energy Use: Purchased Electricity: Reference case</t>
  </si>
  <si>
    <t>Paper Industry: Energy Use: Total: Reference case</t>
  </si>
  <si>
    <t>Table 34.  Nonmanufacturing Sector Energy Consumption</t>
  </si>
  <si>
    <t>Table 26.  Paper Industry Energy Consumption</t>
  </si>
  <si>
    <t>https://www.eia.gov/outlooks/aeo/data/browser/#/?id=43-AEO2023&amp;region=0-0&amp;cases=ref2023&amp;start=2021&amp;end=2050&amp;f=A&amp;linechart=~~~~~~~~~~&amp;sourcekey=0</t>
  </si>
  <si>
    <t>Source: U.S. Energy Information Administration</t>
  </si>
  <si>
    <t>2022-on data from AEO 2023</t>
  </si>
  <si>
    <t>2021 data from AEO 2022</t>
  </si>
  <si>
    <t>2020 data from AEO 2021</t>
  </si>
  <si>
    <t>2015 data from AEO 2017</t>
  </si>
  <si>
    <t>2010 data from AEO 2013</t>
  </si>
  <si>
    <t>AEO_Consumption</t>
  </si>
  <si>
    <t>Fuel_GrowthRate_relativeTo2023</t>
  </si>
  <si>
    <t>2023</t>
  </si>
  <si>
    <t>Relevant emission factors were developed by EH Pechan. See the EmissionsUpdate page for details.</t>
  </si>
  <si>
    <t>Industrial Emission Factors (kTonnes/PJ of fuel input)</t>
  </si>
  <si>
    <t>Nox</t>
  </si>
  <si>
    <t>N20</t>
  </si>
  <si>
    <t>2020-2055</t>
  </si>
  <si>
    <t>Boilers</t>
  </si>
  <si>
    <t>Natural gas (large)</t>
  </si>
  <si>
    <t>Natural gas (small)</t>
  </si>
  <si>
    <t xml:space="preserve">Diesel  </t>
  </si>
  <si>
    <t>Residual fuel oil</t>
  </si>
  <si>
    <t xml:space="preserve">Biomass  </t>
  </si>
  <si>
    <t xml:space="preserve">LPG  </t>
  </si>
  <si>
    <t>Process heat</t>
  </si>
  <si>
    <t>Turbines</t>
  </si>
  <si>
    <t>Natural gas (combined cycle)</t>
  </si>
  <si>
    <t>Engines</t>
  </si>
  <si>
    <t xml:space="preserve">Natural gas </t>
  </si>
  <si>
    <t>Space heat</t>
  </si>
  <si>
    <t>Coke</t>
  </si>
  <si>
    <t>emission factor adjustments for 2010 and 2020, developed by EH Pechan. 2015 values are interpolated</t>
  </si>
  <si>
    <t>Demand</t>
  </si>
  <si>
    <t>Technology</t>
  </si>
  <si>
    <t>2010 NOx</t>
  </si>
  <si>
    <t>2015 NOx</t>
  </si>
  <si>
    <t>2020 NOx</t>
  </si>
  <si>
    <t>2010 SO2</t>
  </si>
  <si>
    <t>2015 SO2</t>
  </si>
  <si>
    <t>2020 SO2</t>
  </si>
  <si>
    <t>2010 PM10</t>
  </si>
  <si>
    <t>2015 PM10</t>
  </si>
  <si>
    <t>2020 PM10</t>
  </si>
  <si>
    <t>2010 PM25</t>
  </si>
  <si>
    <t>2015 PM25</t>
  </si>
  <si>
    <t>2020 PM25</t>
  </si>
  <si>
    <t>2010 VOC</t>
  </si>
  <si>
    <t>2015 VOC</t>
  </si>
  <si>
    <t>2020 VOC</t>
  </si>
  <si>
    <t>2010 CO</t>
  </si>
  <si>
    <t>2015 CO</t>
  </si>
  <si>
    <t>2020 CO</t>
  </si>
  <si>
    <t>Distillate oil</t>
  </si>
  <si>
    <t>Residual oil</t>
  </si>
  <si>
    <t>Wood/biomass</t>
  </si>
  <si>
    <t>CHP</t>
  </si>
  <si>
    <t>Microturbine</t>
  </si>
  <si>
    <t>Facility</t>
  </si>
  <si>
    <t>Space heater</t>
  </si>
  <si>
    <t>Machine drive</t>
  </si>
  <si>
    <t>Efs for new natural gas and diesel engines from 2010, accounting for NSPS</t>
  </si>
  <si>
    <t>Compression ignition</t>
  </si>
  <si>
    <t>Spark ignition</t>
  </si>
  <si>
    <t>This sheet contains data on technology costs that were pulled from the previous version of this workbook.</t>
  </si>
  <si>
    <t>*IND_COST</t>
  </si>
  <si>
    <t>Inventory Type</t>
  </si>
  <si>
    <t>Sectors Sector</t>
  </si>
  <si>
    <t>Category Full</t>
  </si>
  <si>
    <t>Category Label</t>
  </si>
  <si>
    <t>Source Full</t>
  </si>
  <si>
    <t>Source Label</t>
  </si>
  <si>
    <t>CY 2005 tCO2e (100 yr GWP)</t>
  </si>
  <si>
    <t>CY 2005 tCO2e (20 yr GWP)</t>
  </si>
  <si>
    <t>CY 2006 Consumed</t>
  </si>
  <si>
    <t>CY 2006 tCO2e (100 yr GWP)</t>
  </si>
  <si>
    <t>CY 2006 Source MMBtu</t>
  </si>
  <si>
    <t>CY 2006 tCO2e (20 yr GWP)</t>
  </si>
  <si>
    <t>CY 2007 Consumed</t>
  </si>
  <si>
    <t>CY 2007 tCO2e (100 yr GWP)</t>
  </si>
  <si>
    <t>CY 2007 Source MMBtu</t>
  </si>
  <si>
    <t>CY 2007 tCO2e (20 yr GWP)</t>
  </si>
  <si>
    <t>CY 2008 Consumed</t>
  </si>
  <si>
    <t>CY 2008 tCO2e (100 yr GWP)</t>
  </si>
  <si>
    <t>CY 2008 Source MMBtu</t>
  </si>
  <si>
    <t>CY 2008 tCO2e (20 yr GWP)</t>
  </si>
  <si>
    <t>CY 2009 Consumed</t>
  </si>
  <si>
    <t>CY 2009 tCO2e (100 yr GWP)</t>
  </si>
  <si>
    <t>CY 2009 Source MMBtu</t>
  </si>
  <si>
    <t>CY 2009 tCO2e (20 yr GWP)</t>
  </si>
  <si>
    <t>CY 2010 tCO2e (100 yr GWP)</t>
  </si>
  <si>
    <t>CY 2010 tCO2e (20 yr GWP)</t>
  </si>
  <si>
    <t>CY 2011 Consumed</t>
  </si>
  <si>
    <t>CY 2011 tCO2e (100 yr GWP)</t>
  </si>
  <si>
    <t>CY 2011 Source MMBtu</t>
  </si>
  <si>
    <t>CY 2011 tCO2e (20 yr GWP)</t>
  </si>
  <si>
    <t>CY 2012 Consumed</t>
  </si>
  <si>
    <t>CY 2012 tCO2e (100 yr GWP)</t>
  </si>
  <si>
    <t>CY 2012 Source MMBtu</t>
  </si>
  <si>
    <t>CY 2012 tCO2e (20 yr GWP)</t>
  </si>
  <si>
    <t>CY 2013 Consumed</t>
  </si>
  <si>
    <t>CY 2013 tCO2e (100 yr GWP)</t>
  </si>
  <si>
    <t>CY 2013 Source MMBtu</t>
  </si>
  <si>
    <t>CY 2013 tCO2e (20 yr GWP)</t>
  </si>
  <si>
    <t>CY 2014 Consumed</t>
  </si>
  <si>
    <t>CY 2014 tCO2e (100 yr GWP)</t>
  </si>
  <si>
    <t>CY 2014 Source MMBtu</t>
  </si>
  <si>
    <t>CY 2014 tCO2e (20 yr GWP)</t>
  </si>
  <si>
    <t>CY 2015 tCO2e (100 yr GWP)</t>
  </si>
  <si>
    <t>CY 2015 tCO2e (20 yr GWP)</t>
  </si>
  <si>
    <t>CY 2016 Consumed</t>
  </si>
  <si>
    <t>CY 2016 tCO2e (100 yr GWP)</t>
  </si>
  <si>
    <t>CY 2016 Source MMBtu</t>
  </si>
  <si>
    <t>CY 2016 tCO2e (20 yr GWP)</t>
  </si>
  <si>
    <t>CY 2017 Consumed</t>
  </si>
  <si>
    <t>CY 2017 tCO2e (100 yr GWP)</t>
  </si>
  <si>
    <t>CY 2017 Source MMBtu</t>
  </si>
  <si>
    <t>CY 2017 tCO2e (20 yr GWP)</t>
  </si>
  <si>
    <t>CY 2018 Consumed</t>
  </si>
  <si>
    <t>CY 2018 tCO2e (100 yr GWP)</t>
  </si>
  <si>
    <t>CY 2018 Source MMBtu</t>
  </si>
  <si>
    <t>CY 2018 tCO2e (20 yr GWP)</t>
  </si>
  <si>
    <t>CY 2019 Consumed</t>
  </si>
  <si>
    <t>CY 2019 tCO2e (100 yr GWP)</t>
  </si>
  <si>
    <t>CY 2019 Source MMBtu</t>
  </si>
  <si>
    <t>CY 2019 tCO2e (20 yr GWP)</t>
  </si>
  <si>
    <t>CY 2020 tCO2e (100 yr GWP)</t>
  </si>
  <si>
    <t>CY 2020 tCO2e (20 yr GWP)</t>
  </si>
  <si>
    <t>CY 2021 Consumed</t>
  </si>
  <si>
    <t>CY 2021 tCO2e (100 yr GWP)</t>
  </si>
  <si>
    <t>CY 2021 Source MMBtu</t>
  </si>
  <si>
    <t>CY 2021 tCO2e (20 yr GWP)</t>
  </si>
  <si>
    <t>CY 2022 Consumed</t>
  </si>
  <si>
    <t>CY 2022 tCO2e (100 yr GWP)</t>
  </si>
  <si>
    <t>CY 2022 Source MMBtu</t>
  </si>
  <si>
    <t>CY 2022 tCO2e (20 yr GWP)</t>
  </si>
  <si>
    <t>CY 2023 tCO2e (100 yr GWP)</t>
  </si>
  <si>
    <t>CY 2023 Source MMBtu</t>
  </si>
  <si>
    <t>CY 2023 tCO2e (20 yr GWP)</t>
  </si>
  <si>
    <t>2005 - 2022 % change Consumed</t>
  </si>
  <si>
    <t>2005 - 2022 % change tCO2e</t>
  </si>
  <si>
    <t>2005 - 2022 % change Source MMBtu</t>
  </si>
  <si>
    <t>2005 - 2022 % change tCO2e 20 yr GWP</t>
  </si>
  <si>
    <t>Sum</t>
  </si>
  <si>
    <t>COMET Input</t>
  </si>
  <si>
    <t>COMET Units</t>
  </si>
  <si>
    <t>Inventory in COMET Units</t>
  </si>
  <si>
    <t>Conversion factor to PJ</t>
  </si>
  <si>
    <t>Inventory in PJ</t>
  </si>
  <si>
    <t>GPC</t>
  </si>
  <si>
    <t>Residential (small and large residential)</t>
  </si>
  <si>
    <t>liters</t>
  </si>
  <si>
    <t>CLCPA Addition</t>
  </si>
  <si>
    <t>Upstream Electricity</t>
  </si>
  <si>
    <t>Upstream Steam</t>
  </si>
  <si>
    <t>Upstream Natural gas</t>
  </si>
  <si>
    <t>gal to liter</t>
  </si>
  <si>
    <t>Downstream Natural gas</t>
  </si>
  <si>
    <t>kwh to gj</t>
  </si>
  <si>
    <t>Commercial and Institutional (commercial, institutional, and streetlights)</t>
  </si>
  <si>
    <t>scf to gj</t>
  </si>
  <si>
    <t>Industrial %</t>
  </si>
  <si>
    <t>2010_Fuel</t>
  </si>
  <si>
    <t>Sources:</t>
  </si>
  <si>
    <t>2010 GHG Inventory</t>
  </si>
  <si>
    <t>Manufacturing and Construction (Industrial)</t>
  </si>
  <si>
    <t>Fugitive natural gas</t>
  </si>
  <si>
    <t>Fugitive CH4</t>
  </si>
  <si>
    <t>Passenger cars (public and private)</t>
  </si>
  <si>
    <t>Medium duty trucks (public and private)</t>
  </si>
  <si>
    <t>Heavy duty trucks (public and private)</t>
  </si>
  <si>
    <t>Refuse Truck (public and private)</t>
  </si>
  <si>
    <t>For Hire</t>
  </si>
  <si>
    <t>School Bus</t>
  </si>
  <si>
    <t>Upstream CNG</t>
  </si>
  <si>
    <t>Downstream CNG</t>
  </si>
  <si>
    <t>Marine diesel</t>
  </si>
  <si>
    <t>Jet fuel</t>
  </si>
  <si>
    <t>CH4 and N2O from composting</t>
  </si>
  <si>
    <t>This sheet determines projections for demand for each sub-sector up until 2055. The demand data is broken up into the MARKAL sub-sectors and then adjusted to account for boiler and CHP inefficiencies. In addition to demand, this sheet also projects increases in fuel efficiency.</t>
  </si>
  <si>
    <t>http://www.eia.gov/oiaf/aeo/tablebrowser/</t>
  </si>
  <si>
    <t>Table 96. 20052055 AEO Demand Data</t>
  </si>
  <si>
    <t>Available Data</t>
  </si>
  <si>
    <t>Projected data</t>
  </si>
  <si>
    <t>Industry/Sub-industry/End-use</t>
  </si>
  <si>
    <t>Descriptors</t>
  </si>
  <si>
    <t>Value of Shipments (billion 2005 dollars)</t>
  </si>
  <si>
    <t>Total Energy Consumption (trillion Btu)</t>
  </si>
  <si>
    <t>Total Energy Consumption per Unit of Output (thousand Btu per 2005 dollar shipments)</t>
  </si>
  <si>
    <t>MARKAL demand (PJ)</t>
  </si>
  <si>
    <t>MARKAL demand adjusted for inefficiencies (PJ)</t>
  </si>
  <si>
    <t>Total Energy Consumption (PJ)</t>
  </si>
  <si>
    <t>INP values based on growth</t>
  </si>
  <si>
    <t>Pulp and Paper</t>
  </si>
  <si>
    <t>Pulp</t>
  </si>
  <si>
    <t>Paperboard</t>
  </si>
  <si>
    <t>Other Pulp and Paper</t>
  </si>
  <si>
    <t>Organic Chemicals</t>
  </si>
  <si>
    <t>Inorganic Chemicals</t>
  </si>
  <si>
    <t>Plastics, Fibers, and Resins</t>
  </si>
  <si>
    <t>Agricultural Chemicals</t>
  </si>
  <si>
    <t>Fuels (Heat and Power)</t>
  </si>
  <si>
    <t>Total Heat and Power Energy Consumption (trillion Btu)</t>
  </si>
  <si>
    <t>Total Heat and Power Energy Consumption per Unit of Output (thousand Btu per 2005 dollar shipments)</t>
  </si>
  <si>
    <t>Partial MARKAL demand (PJ)</t>
  </si>
  <si>
    <t>Total Heat and Power Energy Consumption (PJ)</t>
  </si>
  <si>
    <t>Feedstock</t>
  </si>
  <si>
    <t>Total Feedstock Energy Consumption (trillion Btu)</t>
  </si>
  <si>
    <t>Total Feedstock Energy Consumption per Unit of Output (thousand Btu per 2005 dollar shipments)</t>
  </si>
  <si>
    <t>Total Feedstock Energy Consumption (PJ)</t>
  </si>
  <si>
    <t>Glass</t>
  </si>
  <si>
    <t>Cement and Lime</t>
  </si>
  <si>
    <t>Cement</t>
  </si>
  <si>
    <t>Other Non-Metals: Lime</t>
  </si>
  <si>
    <t>Iron and Steel</t>
  </si>
  <si>
    <t>Primary Steel</t>
  </si>
  <si>
    <t>Secondary Steel</t>
  </si>
  <si>
    <t>Other Metals: Other Iron and Steel</t>
  </si>
  <si>
    <t>MARKAL demand adjusting for inefficiencies (PJ)</t>
  </si>
  <si>
    <t>Aluminum</t>
  </si>
  <si>
    <t>Primary Aluminum</t>
  </si>
  <si>
    <t>Secondary Aluminum</t>
  </si>
  <si>
    <t>Other: Except Balance of Manufacturing</t>
  </si>
  <si>
    <t>Fabricated Metal Products</t>
  </si>
  <si>
    <t>Machinery</t>
  </si>
  <si>
    <t>Computers</t>
  </si>
  <si>
    <t>Transportation Equipment</t>
  </si>
  <si>
    <t>Electrical Equipment</t>
  </si>
  <si>
    <t>Wood Products</t>
  </si>
  <si>
    <t>Plastics</t>
  </si>
  <si>
    <t>Balance of Manufacturing</t>
  </si>
  <si>
    <t>Other: Balance of Manf. excluding Petroleum/Coal Prod.</t>
  </si>
  <si>
    <t>Other Chemicals</t>
  </si>
  <si>
    <t>Glass: Mineral Wool</t>
  </si>
  <si>
    <t>Other Non-Metals: Excluding Lime</t>
  </si>
  <si>
    <t>Other Metals: Other Primary Metals</t>
  </si>
  <si>
    <t>Other: Balance of Manufacturing</t>
  </si>
  <si>
    <t>Other Non-Metals</t>
  </si>
  <si>
    <t>Other Metals</t>
  </si>
  <si>
    <t>Total Energy Consumption (PJ)</t>
  </si>
  <si>
    <t>Non-Manufacturing</t>
  </si>
  <si>
    <t>Demand (PJ)</t>
  </si>
  <si>
    <t>Adjusted MARKAL demand (PJ)</t>
  </si>
  <si>
    <t>Agriculture</t>
  </si>
  <si>
    <t>Distillate Fuel Oil Energy Consumption (trillion Btu)</t>
  </si>
  <si>
    <t>Motor Gasoline Energy Consumption (trillion Btu)</t>
  </si>
  <si>
    <t>Energy Consumption less Transportation Fuels (trillion Btu)</t>
  </si>
  <si>
    <t>Energy Consumption per Unit of Output (thousand Btu per 2005 dollar shipments)</t>
  </si>
  <si>
    <t>Energy Consumption less Transportation Fuels (PJ)</t>
  </si>
  <si>
    <t>Total Nonmanufacturing Demand, excluding mining</t>
  </si>
  <si>
    <t>Nonmanufacturing: Energy Use: Agriculture: Residual Fuel Oil: Reference case</t>
  </si>
  <si>
    <t>Nonmanufacturing: Energy Use: Agriculture: Distillate Fuel Oil: Reference case</t>
  </si>
  <si>
    <t>Nonmanufacturing: Energy Use: Agriculture: Propane: Reference case</t>
  </si>
  <si>
    <t>Nonmanufacturing: Energy Use: Agriculture: Motor Gasoline: Reference case</t>
  </si>
  <si>
    <t>Nonmanufacturing: Energy Use: Agriculture: Other Petroleum: Reference case</t>
  </si>
  <si>
    <t>Nonmanufacturing: Energy Use: Agriculture: Petroleum Subtotal: Reference case</t>
  </si>
  <si>
    <t>Nonmanufacturing: Energy Use: Agriculture: Natural Gas: Reference case</t>
  </si>
  <si>
    <t>Nonmanufacturing: Energy Use: Agriculture: Steam Coal: Reference case</t>
  </si>
  <si>
    <t>Nonmanufacturing: Energy Use: Agriculture: Renewables: Reference case</t>
  </si>
  <si>
    <t>Nonmanufacturing: Energy Use: Agriculture: Purchased Electricity: Reference case</t>
  </si>
  <si>
    <t>Nonmanufacturing: Energy Use: Agriculture: Total: Reference case</t>
  </si>
  <si>
    <t>Mining</t>
  </si>
  <si>
    <t>Nonmanufacturing: Energy Use: Mining: Residual Fuel Oil: Reference case</t>
  </si>
  <si>
    <t>Nonmanufacturing: Energy Use: Mining: Distillate Fuel Oil: Reference case</t>
  </si>
  <si>
    <t>Nonmanufacturing: Energy Use: Mining: Motor Gasoline: Reference case</t>
  </si>
  <si>
    <t>Nonmanufacturing: Energy Use: Mining: Other Petroleum: Reference case</t>
  </si>
  <si>
    <t>Nonmanufacturing: Energy Use: Mining: Petroleum Subtotal: Reference case</t>
  </si>
  <si>
    <t>Nonmanufacturing: Energy Use: Mining: Natural Gas: Reference case</t>
  </si>
  <si>
    <t>Lease and Plant Fuel</t>
  </si>
  <si>
    <t>Nonmanufacturing: Energy Use: Mining: Lease and Plant Fuel: Reference case</t>
  </si>
  <si>
    <t>Nonmanufacturing: Energy Use: Mining: Steam Coal: Reference case</t>
  </si>
  <si>
    <t>Nonmanufacturing: Energy Use: Mining: Renewables: Reference case</t>
  </si>
  <si>
    <t>Purchased Electricity Excluding Oil Shale</t>
  </si>
  <si>
    <t>Nonmanufacturing: Energy Use: Mining: Purchased Electricity excluding Oil Shale: Reference case</t>
  </si>
  <si>
    <t>Purchased Electricity for Oil Shale</t>
  </si>
  <si>
    <t>Nonmanufacturing: Energy Use: Mining: Purchased Electricity for Oil Shale: Reference case</t>
  </si>
  <si>
    <t>Nonmanufacturing: Energy Use: Mining: Total: Reference case</t>
  </si>
  <si>
    <t>Thu Nov 21 2024 16:07:17 GMT-0500 (Eastern Standard Time)</t>
  </si>
  <si>
    <t>https://www.eia.gov/outlooks/aeo/data/browser/#/?id=37-AEO2023&amp;cases=ref2023&amp;sourcekey=0</t>
  </si>
  <si>
    <t>Wed Jan 15 2025 12:53:23 GMT-0500 (Eastern Standard Time)</t>
  </si>
  <si>
    <t>save in case need to split by region</t>
  </si>
  <si>
    <t>Column1</t>
  </si>
  <si>
    <t>TOTAL (PJ)</t>
  </si>
  <si>
    <t>RFL</t>
  </si>
  <si>
    <t>Bronx</t>
  </si>
  <si>
    <t>Brooklyn</t>
  </si>
  <si>
    <t>Manhattan</t>
  </si>
  <si>
    <t>Queens</t>
  </si>
  <si>
    <t>Staten Island</t>
  </si>
  <si>
    <t>(PJ)</t>
  </si>
  <si>
    <t>Source: MOCEJ 2015 GHG Inventory (CY 2014)</t>
  </si>
  <si>
    <t>DWH</t>
  </si>
  <si>
    <t>Fuel Oil (PJ)</t>
  </si>
  <si>
    <t>Electricity (PJ)</t>
  </si>
  <si>
    <t>Natural gas (PJ)</t>
  </si>
  <si>
    <t>Steam(PJ)</t>
  </si>
  <si>
    <t>Fuel consumption values wrt sectors</t>
  </si>
  <si>
    <t>Fuel Oil (%)</t>
  </si>
  <si>
    <t>Electricity (%)</t>
  </si>
  <si>
    <t>Natural gas (%)</t>
  </si>
  <si>
    <t>Steam(%)</t>
  </si>
  <si>
    <t>Oth-ELC</t>
  </si>
  <si>
    <t>Oth-NGA</t>
  </si>
  <si>
    <t>* these percentage values are not included into the model. The building area values are added</t>
  </si>
  <si>
    <t>For water</t>
  </si>
  <si>
    <t>Conversion Factors</t>
  </si>
  <si>
    <t>activity to PJ</t>
  </si>
  <si>
    <t>Hours per day</t>
  </si>
  <si>
    <t>Activity Unit</t>
  </si>
  <si>
    <t>Factor</t>
  </si>
  <si>
    <t>Days per year</t>
  </si>
  <si>
    <t>gal</t>
  </si>
  <si>
    <t>j per btu</t>
  </si>
  <si>
    <t>btu per watthr</t>
  </si>
  <si>
    <t>j per pj</t>
  </si>
  <si>
    <t>dollar($) per $m</t>
  </si>
  <si>
    <t>cfm hrs per trillion cfm hrs</t>
  </si>
  <si>
    <t>lumens per billion lumens</t>
  </si>
  <si>
    <t>kwhr per j</t>
  </si>
  <si>
    <t>units per m units</t>
  </si>
  <si>
    <t>btu per mmbtu</t>
  </si>
  <si>
    <t>MMBtu to PJ</t>
  </si>
  <si>
    <t>tBTU to PJ</t>
  </si>
  <si>
    <t>Lighting average operating hours per day</t>
  </si>
  <si>
    <t>Source: Table ES-3.  Average Operating Hours per Day by Light Source, 2001 from U.S. Lighting Market Characterization Report (Sept 2002).</t>
  </si>
  <si>
    <t>PJ per quad</t>
  </si>
  <si>
    <t>GJ_to_PJ</t>
  </si>
  <si>
    <t>PJ to BTU</t>
  </si>
  <si>
    <t>FO2_l_to gj</t>
  </si>
  <si>
    <t>FO4_l_to gj</t>
  </si>
  <si>
    <t>FO6_l_to gj</t>
  </si>
  <si>
    <t>kgs_to_gj</t>
  </si>
  <si>
    <t>quad_to_PJ</t>
  </si>
  <si>
    <t>trillion btu to pj</t>
  </si>
  <si>
    <t xml:space="preserve">NIPA Table 1.1.9. Implicit Price Deflators for Gross Domestic Product                                                                                                                                                                                          </t>
  </si>
  <si>
    <t xml:space="preserve">[Index numbers, 2009=100]                                                                                                                                                                                                                                 </t>
  </si>
  <si>
    <t>US Department of Commerce: Bureau of Economic Analysis</t>
  </si>
  <si>
    <t>http://www.bea.gov/national/nipaweb/SelectTable.asp?Selected=Y</t>
  </si>
  <si>
    <t>Downloaded on 1/09/2014    Last Revised 12/23/2013</t>
  </si>
  <si>
    <t>Deflator</t>
  </si>
  <si>
    <t>To bring to $2005</t>
  </si>
  <si>
    <t>Source: MOCEJ 2015 GHG Inventory (CY 2014) ?</t>
  </si>
  <si>
    <t>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</si>
</sst>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0_);_(* \(#,##0\);_(* &quot;-&quot;_);_(@_)"/>
    <numFmt numFmtId="44" formatCode="_(&quot;$&quot;* #,##0.00_);_(&quot;$&quot;* \(#,##0.00\);_(&quot;$&quot;* &quot;-&quot;??_);_(@_)"/>
    <numFmt numFmtId="43" formatCode="_(* #,##0.00_);_(* \(#,##0.00\);_(* &quot;-&quot;??_);_(@_)"/>
    <numFmt numFmtId="164" formatCode="\Te\x\t"/>
    <numFmt numFmtId="165" formatCode="0.0000"/>
    <numFmt numFmtId="166" formatCode="0.000"/>
    <numFmt numFmtId="167" formatCode="_-* #,##0_-;\-* #,##0_-;_-* &quot;-&quot;??_-;_-@_-"/>
    <numFmt numFmtId="168" formatCode="_(* #,##0_);_(* \(#,##0\);_(* &quot;-&quot;??_);_(@_)"/>
    <numFmt numFmtId="169" formatCode="_-* #,##0.00_-;\-* #,##0.00_-;_-* &quot;-&quot;??_-;_-@_-"/>
    <numFmt numFmtId="170" formatCode="m\o\n\th\ d\,\ yyyy"/>
    <numFmt numFmtId="171" formatCode="#.00"/>
    <numFmt numFmtId="172" formatCode="#."/>
    <numFmt numFmtId="173" formatCode="0.0%"/>
    <numFmt numFmtId="174" formatCode="_-&quot;$&quot;* #,##0.00_-;\-&quot;$&quot;* #,##0.00_-;_-&quot;$&quot;* &quot;-&quot;??_-;_-@_-"/>
    <numFmt numFmtId="175" formatCode="yyyy"/>
    <numFmt numFmtId="176" formatCode="0.0E+00"/>
    <numFmt numFmtId="177" formatCode="0.00000"/>
    <numFmt numFmtId="178" formatCode="_-* #,##0.00\ _€_-;\-* #,##0.00\ _€_-;_-* &quot;-&quot;??\ _€_-;_-@_-"/>
    <numFmt numFmtId="179" formatCode="_(* #,##0.0000_);_(* \(#,##0.0000\);_(* &quot;-&quot;??_);_(@_)"/>
    <numFmt numFmtId="180" formatCode="_(* #,##0.00000_);_(* \(#,##0.00000\);_(* &quot;-&quot;??_);_(@_)"/>
    <numFmt numFmtId="181" formatCode="_(* #,##0.000000_);_(* \(#,##0.000000\);_(* &quot;-&quot;??_);_(@_)"/>
  </numFmts>
  <fonts count="112">
    <font>
      <sz val="11"/>
      <color theme="1"/>
      <name val="Arial"/>
      <family val="2"/>
      <scheme val="minor"/>
    </font>
    <font>
      <sz val="11"/>
      <color theme="1"/>
      <name val="Arial"/>
      <family val="2"/>
      <scheme val="minor"/>
    </font>
    <font>
      <sz val="11"/>
      <color rgb="FFFF0000"/>
      <name val="Arial"/>
      <family val="2"/>
      <scheme val="minor"/>
    </font>
    <font>
      <b/>
      <sz val="11"/>
      <color theme="1"/>
      <name val="Arial"/>
      <family val="2"/>
      <scheme val="minor"/>
    </font>
    <font>
      <sz val="10"/>
      <name val="Arial"/>
      <family val="2"/>
    </font>
    <font>
      <b/>
      <sz val="10"/>
      <color indexed="12"/>
      <name val="Arial"/>
      <family val="2"/>
    </font>
    <font>
      <b/>
      <sz val="10"/>
      <name val="Arial"/>
      <family val="2"/>
    </font>
    <font>
      <sz val="10"/>
      <color theme="1"/>
      <name val="Arial"/>
      <family val="2"/>
    </font>
    <font>
      <b/>
      <sz val="10"/>
      <color theme="1"/>
      <name val="Arial"/>
      <family val="2"/>
    </font>
    <font>
      <i/>
      <sz val="10"/>
      <color theme="0" tint="-0.249977111117893"/>
      <name val="Arial"/>
      <family val="2"/>
    </font>
    <font>
      <sz val="10"/>
      <color theme="0" tint="-0.499984740745262"/>
      <name val="Arial"/>
      <family val="2"/>
    </font>
    <font>
      <i/>
      <sz val="10"/>
      <color theme="0" tint="-0.499984740745262"/>
      <name val="Arial"/>
      <family val="2"/>
    </font>
    <font>
      <sz val="10"/>
      <color theme="3"/>
      <name val="Arial"/>
      <family val="2"/>
    </font>
    <font>
      <sz val="10"/>
      <color rgb="FF000000"/>
      <name val="Arial"/>
      <family val="2"/>
    </font>
    <font>
      <b/>
      <sz val="10"/>
      <color rgb="FF000000"/>
      <name val="Arial"/>
      <family val="2"/>
    </font>
    <font>
      <i/>
      <sz val="10"/>
      <color rgb="FFEEECE1"/>
      <name val="Arial"/>
      <family val="2"/>
    </font>
    <font>
      <i/>
      <sz val="10"/>
      <color rgb="FFA6A6A6"/>
      <name val="Arial"/>
      <family val="2"/>
    </font>
    <font>
      <u/>
      <sz val="11"/>
      <color theme="10"/>
      <name val="Calibri"/>
      <family val="2"/>
    </font>
    <font>
      <i/>
      <sz val="11"/>
      <color theme="1"/>
      <name val="Arial"/>
      <family val="2"/>
      <scheme val="minor"/>
    </font>
    <font>
      <b/>
      <sz val="11"/>
      <name val="Arial"/>
      <family val="2"/>
      <scheme val="minor"/>
    </font>
    <font>
      <sz val="11"/>
      <name val="Arial"/>
      <family val="2"/>
      <scheme val="minor"/>
    </font>
    <font>
      <b/>
      <i/>
      <sz val="11"/>
      <color theme="1"/>
      <name val="Arial"/>
      <family val="2"/>
      <scheme val="min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i/>
      <sz val="11"/>
      <color rgb="FF7F7F7F"/>
      <name val="Arial"/>
      <family val="2"/>
      <scheme val="minor"/>
    </font>
    <font>
      <sz val="11"/>
      <color theme="0"/>
      <name val="Arial"/>
      <family val="2"/>
      <scheme val="minor"/>
    </font>
    <font>
      <b/>
      <sz val="18"/>
      <color theme="3"/>
      <name val="Arial"/>
      <family val="2"/>
      <scheme val="major"/>
    </font>
    <font>
      <sz val="11"/>
      <color rgb="FF9C6500"/>
      <name val="Arial"/>
      <family val="2"/>
      <scheme val="minor"/>
    </font>
    <font>
      <sz val="1"/>
      <color indexed="8"/>
      <name val="Courier"/>
      <family val="3"/>
    </font>
    <font>
      <b/>
      <sz val="1"/>
      <color indexed="8"/>
      <name val="Courier"/>
      <family val="3"/>
    </font>
    <font>
      <u/>
      <sz val="8.8000000000000007"/>
      <color theme="10"/>
      <name val="Calibri"/>
      <family val="2"/>
    </font>
    <font>
      <u/>
      <sz val="10"/>
      <color indexed="12"/>
      <name val="Arial"/>
      <family val="2"/>
    </font>
    <font>
      <u/>
      <sz val="8.25"/>
      <color theme="10"/>
      <name val="Calibri"/>
      <family val="2"/>
    </font>
    <font>
      <sz val="12"/>
      <name val="Helv"/>
    </font>
    <font>
      <sz val="10"/>
      <name val="MS Sans Serif"/>
      <family val="2"/>
    </font>
    <font>
      <sz val="10"/>
      <name val="Courier"/>
      <family val="3"/>
    </font>
    <font>
      <sz val="11"/>
      <color theme="1"/>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Verdana"/>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1"/>
      <color theme="1"/>
      <name val="Arial Narrow"/>
      <family val="2"/>
    </font>
    <font>
      <b/>
      <sz val="11"/>
      <color indexed="63"/>
      <name val="Calibri"/>
      <family val="2"/>
    </font>
    <font>
      <b/>
      <sz val="18"/>
      <color indexed="56"/>
      <name val="Cambria"/>
      <family val="2"/>
    </font>
    <font>
      <sz val="11"/>
      <color indexed="10"/>
      <name val="Calibri"/>
      <family val="2"/>
    </font>
    <font>
      <u/>
      <sz val="11"/>
      <color indexed="12"/>
      <name val="Calibri"/>
      <family val="2"/>
    </font>
    <font>
      <u/>
      <sz val="10"/>
      <color theme="10"/>
      <name val="Arial"/>
      <family val="2"/>
    </font>
    <font>
      <b/>
      <sz val="12"/>
      <color theme="4"/>
      <name val="Arial"/>
      <family val="2"/>
      <scheme val="minor"/>
    </font>
    <font>
      <b/>
      <sz val="9"/>
      <color theme="1"/>
      <name val="Arial"/>
      <family val="2"/>
      <scheme val="minor"/>
    </font>
    <font>
      <sz val="9"/>
      <color theme="1"/>
      <name val="Arial"/>
      <family val="2"/>
      <scheme val="minor"/>
    </font>
    <font>
      <sz val="8"/>
      <name val="Arial"/>
      <family val="2"/>
      <scheme val="minor"/>
    </font>
    <font>
      <b/>
      <sz val="9"/>
      <color indexed="81"/>
      <name val="Tahoma"/>
      <family val="2"/>
    </font>
    <font>
      <sz val="9"/>
      <color indexed="81"/>
      <name val="Tahoma"/>
      <family val="2"/>
    </font>
    <font>
      <sz val="10"/>
      <color indexed="8"/>
      <name val="Arial"/>
      <family val="2"/>
    </font>
    <font>
      <sz val="10"/>
      <color indexed="10"/>
      <name val="Arial"/>
      <family val="2"/>
    </font>
    <font>
      <sz val="10"/>
      <name val="Arial"/>
      <family val="2"/>
    </font>
    <font>
      <u/>
      <sz val="11"/>
      <color theme="10"/>
      <name val="Arial"/>
      <family val="2"/>
      <scheme val="minor"/>
    </font>
    <font>
      <sz val="10"/>
      <color theme="1"/>
      <name val="Arial"/>
      <family val="2"/>
      <scheme val="minor"/>
    </font>
    <font>
      <sz val="10"/>
      <name val="Arial"/>
      <family val="2"/>
      <scheme val="minor"/>
    </font>
    <font>
      <b/>
      <sz val="10"/>
      <name val="Arial"/>
      <family val="2"/>
      <scheme val="minor"/>
    </font>
    <font>
      <i/>
      <sz val="11"/>
      <color theme="5" tint="-0.499984740745262"/>
      <name val="Arial"/>
      <family val="2"/>
      <scheme val="minor"/>
    </font>
    <font>
      <b/>
      <i/>
      <sz val="11"/>
      <color theme="5" tint="-0.499984740745262"/>
      <name val="Arial"/>
      <family val="2"/>
      <scheme val="minor"/>
    </font>
    <font>
      <b/>
      <sz val="11"/>
      <color indexed="12"/>
      <name val="Calibri"/>
      <family val="2"/>
    </font>
    <font>
      <sz val="11"/>
      <name val="Calibri"/>
      <family val="2"/>
    </font>
    <font>
      <b/>
      <sz val="11"/>
      <name val="Calibri"/>
      <family val="2"/>
    </font>
    <font>
      <b/>
      <sz val="11"/>
      <color theme="1"/>
      <name val="Calibri"/>
      <family val="2"/>
    </font>
    <font>
      <i/>
      <sz val="11"/>
      <color theme="5" tint="-0.499984740745262"/>
      <name val="Calibri"/>
      <family val="2"/>
    </font>
    <font>
      <i/>
      <sz val="10"/>
      <color rgb="FF000000"/>
      <name val="Arial"/>
      <family val="2"/>
    </font>
    <font>
      <i/>
      <sz val="11"/>
      <color theme="1"/>
      <name val="Calibri"/>
      <family val="2"/>
    </font>
    <font>
      <sz val="11"/>
      <color theme="5" tint="-0.499984740745262"/>
      <name val="Calibri"/>
      <family val="2"/>
    </font>
    <font>
      <b/>
      <i/>
      <sz val="11"/>
      <color theme="5" tint="-0.499984740745262"/>
      <name val="Calibri"/>
      <family val="2"/>
    </font>
    <font>
      <sz val="11"/>
      <color rgb="FFC00000"/>
      <name val="Calibri"/>
      <family val="2"/>
    </font>
    <font>
      <i/>
      <sz val="10"/>
      <color theme="1"/>
      <name val="Arial"/>
      <family val="2"/>
    </font>
    <font>
      <sz val="11"/>
      <color rgb="FFFF0000"/>
      <name val="Calibri"/>
      <family val="2"/>
    </font>
    <font>
      <b/>
      <sz val="14"/>
      <color rgb="FFFF0000"/>
      <name val="Calibri"/>
      <family val="2"/>
    </font>
    <font>
      <i/>
      <sz val="10"/>
      <color theme="5" tint="-0.499984740745262"/>
      <name val="Arial"/>
      <family val="2"/>
    </font>
    <font>
      <b/>
      <sz val="10"/>
      <color theme="1"/>
      <name val="Arial"/>
      <family val="2"/>
      <scheme val="minor"/>
    </font>
    <font>
      <b/>
      <sz val="11"/>
      <name val="Arial"/>
      <family val="2"/>
    </font>
    <font>
      <sz val="8"/>
      <name val="Arial"/>
      <family val="2"/>
    </font>
    <font>
      <sz val="9"/>
      <name val="Arial"/>
      <family val="2"/>
    </font>
    <font>
      <b/>
      <sz val="8"/>
      <name val="Arial"/>
      <family val="2"/>
    </font>
    <font>
      <sz val="10"/>
      <color theme="1"/>
      <name val="Calibri"/>
      <family val="2"/>
    </font>
    <font>
      <sz val="10"/>
      <color theme="1"/>
      <name val="Arial"/>
      <family val="2"/>
      <scheme val="major"/>
    </font>
    <font>
      <u/>
      <sz val="10"/>
      <color theme="10"/>
      <name val="Arial"/>
      <family val="2"/>
      <scheme val="major"/>
    </font>
    <font>
      <i/>
      <sz val="10"/>
      <color theme="1"/>
      <name val="Arial"/>
      <family val="2"/>
      <scheme val="major"/>
    </font>
    <font>
      <b/>
      <sz val="10"/>
      <color theme="1"/>
      <name val="Arial"/>
      <family val="2"/>
      <scheme val="major"/>
    </font>
    <font>
      <b/>
      <sz val="10"/>
      <name val="Arial"/>
      <family val="2"/>
      <scheme val="major"/>
    </font>
    <font>
      <sz val="10"/>
      <color rgb="FFFF0000"/>
      <name val="Arial"/>
      <family val="2"/>
      <scheme val="major"/>
    </font>
    <font>
      <b/>
      <sz val="10"/>
      <color rgb="FFFF0000"/>
      <name val="Arial"/>
      <family val="2"/>
      <scheme val="major"/>
    </font>
    <font>
      <sz val="10"/>
      <name val="Arial"/>
      <family val="2"/>
      <scheme val="major"/>
    </font>
    <font>
      <i/>
      <sz val="10"/>
      <color theme="5" tint="-0.499984740745262"/>
      <name val="Arial"/>
      <family val="2"/>
      <scheme val="major"/>
    </font>
    <font>
      <sz val="8"/>
      <color theme="1"/>
      <name val="Arial"/>
      <family val="2"/>
    </font>
    <font>
      <sz val="10"/>
      <color theme="1" tint="0.499984740745262"/>
      <name val="Calibri"/>
      <family val="2"/>
    </font>
    <font>
      <b/>
      <u/>
      <sz val="11"/>
      <color theme="10"/>
      <name val="Calibri"/>
      <family val="2"/>
    </font>
  </fonts>
  <fills count="93">
    <fill>
      <patternFill patternType="none"/>
    </fill>
    <fill>
      <patternFill patternType="gray125"/>
    </fill>
    <fill>
      <patternFill patternType="solid">
        <fgColor rgb="FFFFFF99"/>
        <bgColor indexed="64"/>
      </patternFill>
    </fill>
    <fill>
      <patternFill patternType="solid">
        <fgColor theme="0"/>
        <bgColor indexed="64"/>
      </patternFill>
    </fill>
    <fill>
      <patternFill patternType="solid">
        <fgColor theme="0"/>
        <bgColor theme="4" tint="0.79998168889431442"/>
      </patternFill>
    </fill>
    <fill>
      <patternFill patternType="solid">
        <fgColor rgb="FFFFC000"/>
        <bgColor indexed="64"/>
      </patternFill>
    </fill>
    <fill>
      <patternFill patternType="solid">
        <fgColor rgb="FFFFFF00"/>
        <bgColor indexed="64"/>
      </patternFill>
    </fill>
    <fill>
      <patternFill patternType="solid">
        <fgColor theme="5" tint="0.79998168889431442"/>
        <bgColor theme="4" tint="0.79998168889431442"/>
      </patternFill>
    </fill>
    <fill>
      <patternFill patternType="solid">
        <fgColor theme="6" tint="0.79998168889431442"/>
        <bgColor theme="4" tint="0.79998168889431442"/>
      </patternFill>
    </fill>
    <fill>
      <patternFill patternType="solid">
        <fgColor theme="7" tint="0.79998168889431442"/>
        <bgColor theme="4" tint="0.79998168889431442"/>
      </patternFill>
    </fill>
    <fill>
      <patternFill patternType="solid">
        <fgColor theme="8" tint="0.79998168889431442"/>
        <bgColor theme="4" tint="0.79998168889431442"/>
      </patternFill>
    </fill>
    <fill>
      <patternFill patternType="solid">
        <fgColor theme="9" tint="0.79998168889431442"/>
        <bgColor theme="4" tint="0.79998168889431442"/>
      </patternFill>
    </fill>
    <fill>
      <patternFill patternType="solid">
        <fgColor theme="5" tint="0.39997558519241921"/>
        <bgColor theme="4" tint="0.79998168889431442"/>
      </patternFill>
    </fill>
    <fill>
      <patternFill patternType="solid">
        <fgColor theme="6" tint="0.39997558519241921"/>
        <bgColor theme="4" tint="0.79998168889431442"/>
      </patternFill>
    </fill>
    <fill>
      <patternFill patternType="solid">
        <fgColor theme="7" tint="0.39997558519241921"/>
        <bgColor theme="4" tint="0.79998168889431442"/>
      </patternFill>
    </fill>
    <fill>
      <patternFill patternType="solid">
        <fgColor theme="6" tint="0.59999389629810485"/>
        <bgColor indexed="64"/>
      </patternFill>
    </fill>
    <fill>
      <patternFill patternType="solid">
        <fgColor rgb="FFFFFFFF"/>
        <bgColor rgb="FF000000"/>
      </patternFill>
    </fill>
    <fill>
      <patternFill patternType="solid">
        <fgColor theme="0"/>
        <bgColor rgb="FF000000"/>
      </patternFill>
    </fill>
    <fill>
      <patternFill patternType="solid">
        <fgColor rgb="FFFFC000"/>
        <bgColor rgb="FF000000"/>
      </patternFill>
    </fill>
    <fill>
      <patternFill patternType="solid">
        <fgColor rgb="FFFCD5B4"/>
        <bgColor rgb="FF000000"/>
      </patternFill>
    </fill>
    <fill>
      <patternFill patternType="solid">
        <fgColor theme="8" tint="0.79998168889431442"/>
        <bgColor indexed="64"/>
      </patternFill>
    </fill>
    <fill>
      <patternFill patternType="solid">
        <fgColor theme="4" tint="0.59999389629810485"/>
        <bgColor indexed="64"/>
      </patternFill>
    </fill>
    <fill>
      <patternFill patternType="solid">
        <fgColor theme="2"/>
        <bgColor indexed="64"/>
      </patternFill>
    </fill>
    <fill>
      <patternFill patternType="solid">
        <fgColor rgb="FFCCFFCC"/>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0"/>
      </patternFill>
    </fill>
    <fill>
      <patternFill patternType="solid">
        <fgColor indexed="29"/>
      </patternFill>
    </fill>
    <fill>
      <patternFill patternType="solid">
        <fgColor indexed="11"/>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47"/>
      </patternFill>
    </fill>
    <fill>
      <patternFill patternType="solid">
        <fgColor indexed="43"/>
      </patternFill>
    </fill>
    <fill>
      <patternFill patternType="solid">
        <fgColor theme="5" tint="0.59999389629810485"/>
        <bgColor indexed="64"/>
      </patternFill>
    </fill>
    <fill>
      <patternFill patternType="solid">
        <fgColor indexed="47"/>
        <bgColor indexed="64"/>
      </patternFill>
    </fill>
    <fill>
      <patternFill patternType="solid">
        <fgColor theme="7" tint="0.39997558519241921"/>
        <bgColor indexed="64"/>
      </patternFill>
    </fill>
    <fill>
      <patternFill patternType="solid">
        <fgColor rgb="FFFFFFE8"/>
        <bgColor indexed="64"/>
      </patternFill>
    </fill>
    <fill>
      <patternFill patternType="solid">
        <fgColor theme="7"/>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rgb="FF000000"/>
      </patternFill>
    </fill>
    <fill>
      <patternFill patternType="solid">
        <fgColor rgb="FF6CC9D6"/>
        <bgColor indexed="64"/>
      </patternFill>
    </fill>
    <fill>
      <patternFill patternType="solid">
        <fgColor rgb="FFDBF2F5"/>
        <bgColor indexed="64"/>
      </patternFill>
    </fill>
    <fill>
      <patternFill patternType="solid">
        <fgColor rgb="FF9CDBE4"/>
        <bgColor indexed="64"/>
      </patternFill>
    </fill>
    <fill>
      <patternFill patternType="solid">
        <fgColor rgb="FF6CC9D6"/>
        <bgColor theme="9"/>
      </patternFill>
    </fill>
    <fill>
      <patternFill patternType="solid">
        <fgColor rgb="FFDBF2F5"/>
        <bgColor theme="9" tint="0.79998168889431442"/>
      </patternFill>
    </fill>
    <fill>
      <patternFill patternType="solid">
        <fgColor theme="5" tint="0.79998168889431442"/>
        <bgColor theme="9" tint="0.79998168889431442"/>
      </patternFill>
    </fill>
    <fill>
      <patternFill patternType="solid">
        <fgColor rgb="FFFFF2CC"/>
        <bgColor indexed="64"/>
      </patternFill>
    </fill>
    <fill>
      <patternFill patternType="solid">
        <fgColor rgb="FFFFD85D"/>
        <bgColor indexed="64"/>
      </patternFill>
    </fill>
    <fill>
      <patternFill patternType="solid">
        <fgColor rgb="FFFED1CE"/>
        <bgColor indexed="64"/>
      </patternFill>
    </fill>
    <fill>
      <patternFill patternType="solid">
        <fgColor rgb="FFFFCCCC"/>
        <bgColor indexed="64"/>
      </patternFill>
    </fill>
  </fills>
  <borders count="93">
    <border>
      <left/>
      <right/>
      <top/>
      <bottom/>
      <diagonal/>
    </border>
    <border>
      <left/>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n">
        <color theme="4" tint="0.3999755851924192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thin">
        <color theme="0" tint="-0.249977111117893"/>
      </bottom>
      <diagonal/>
    </border>
    <border>
      <left/>
      <right/>
      <top/>
      <bottom style="dashed">
        <color theme="0" tint="-0.24994659260841701"/>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right style="thin">
        <color auto="1"/>
      </right>
      <top style="thin">
        <color auto="1"/>
      </top>
      <bottom/>
      <diagonal/>
    </border>
    <border>
      <left/>
      <right/>
      <top style="thin">
        <color indexed="64"/>
      </top>
      <bottom/>
      <diagonal/>
    </border>
    <border>
      <left/>
      <right style="medium">
        <color indexed="64"/>
      </right>
      <top style="thin">
        <color indexed="64"/>
      </top>
      <bottom/>
      <diagonal/>
    </border>
    <border>
      <left style="thin">
        <color auto="1"/>
      </left>
      <right/>
      <top style="thin">
        <color auto="1"/>
      </top>
      <bottom/>
      <diagonal/>
    </border>
    <border>
      <left style="thin">
        <color indexed="64"/>
      </left>
      <right style="thin">
        <color indexed="64"/>
      </right>
      <top style="thin">
        <color indexed="64"/>
      </top>
      <bottom/>
      <diagonal/>
    </border>
    <border>
      <left style="medium">
        <color indexed="64"/>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thin">
        <color indexed="64"/>
      </top>
      <bottom/>
      <diagonal/>
    </border>
    <border>
      <left/>
      <right/>
      <top style="thin">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style="thin">
        <color indexed="64"/>
      </left>
      <right/>
      <top style="thin">
        <color indexed="64"/>
      </top>
      <bottom style="thin">
        <color indexed="64"/>
      </bottom>
      <diagonal/>
    </border>
    <border>
      <left/>
      <right/>
      <top style="thin">
        <color auto="1"/>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thin">
        <color auto="1"/>
      </right>
      <top style="thin">
        <color auto="1"/>
      </top>
      <bottom style="thin">
        <color auto="1"/>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523">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xf numFmtId="0" fontId="4" fillId="0" borderId="0"/>
    <xf numFmtId="0" fontId="1" fillId="0" borderId="0"/>
    <xf numFmtId="43" fontId="4" fillId="0" borderId="0" applyFont="0" applyFill="0" applyBorder="0" applyAlignment="0" applyProtection="0"/>
    <xf numFmtId="9" fontId="4" fillId="0" borderId="0" applyFont="0" applyFill="0" applyBorder="0" applyAlignment="0" applyProtection="0"/>
    <xf numFmtId="0" fontId="17" fillId="0" borderId="0" applyNumberFormat="0" applyFill="0" applyBorder="0" applyAlignment="0" applyProtection="0">
      <alignment vertical="top"/>
      <protection locked="0"/>
    </xf>
    <xf numFmtId="0" fontId="22" fillId="0" borderId="41" applyNumberFormat="0" applyFill="0" applyAlignment="0" applyProtection="0"/>
    <xf numFmtId="0" fontId="23" fillId="0" borderId="42" applyNumberFormat="0" applyFill="0" applyAlignment="0" applyProtection="0"/>
    <xf numFmtId="0" fontId="24" fillId="0" borderId="43" applyNumberFormat="0" applyFill="0" applyAlignment="0" applyProtection="0"/>
    <xf numFmtId="0" fontId="24" fillId="0" borderId="0" applyNumberFormat="0" applyFill="0" applyBorder="0" applyAlignment="0" applyProtection="0"/>
    <xf numFmtId="0" fontId="25" fillId="28" borderId="0" applyNumberFormat="0" applyBorder="0" applyAlignment="0" applyProtection="0"/>
    <xf numFmtId="0" fontId="26" fillId="29" borderId="0" applyNumberFormat="0" applyBorder="0" applyAlignment="0" applyProtection="0"/>
    <xf numFmtId="0" fontId="27" fillId="31" borderId="44" applyNumberFormat="0" applyAlignment="0" applyProtection="0"/>
    <xf numFmtId="0" fontId="28" fillId="32" borderId="45" applyNumberFormat="0" applyAlignment="0" applyProtection="0"/>
    <xf numFmtId="0" fontId="29" fillId="32" borderId="44" applyNumberFormat="0" applyAlignment="0" applyProtection="0"/>
    <xf numFmtId="0" fontId="30" fillId="0" borderId="46" applyNumberFormat="0" applyFill="0" applyAlignment="0" applyProtection="0"/>
    <xf numFmtId="0" fontId="31" fillId="33" borderId="47" applyNumberFormat="0" applyAlignment="0" applyProtection="0"/>
    <xf numFmtId="0" fontId="2" fillId="0" borderId="0" applyNumberFormat="0" applyFill="0" applyBorder="0" applyAlignment="0" applyProtection="0"/>
    <xf numFmtId="0" fontId="1" fillId="34" borderId="48" applyNumberFormat="0" applyFont="0" applyAlignment="0" applyProtection="0"/>
    <xf numFmtId="0" fontId="32" fillId="0" borderId="0" applyNumberFormat="0" applyFill="0" applyBorder="0" applyAlignment="0" applyProtection="0"/>
    <xf numFmtId="0" fontId="3" fillId="0" borderId="49" applyNumberFormat="0" applyFill="0" applyAlignment="0" applyProtection="0"/>
    <xf numFmtId="0" fontId="33"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33"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33"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33"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33"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33"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34" fillId="0" borderId="0" applyNumberFormat="0" applyFill="0" applyBorder="0" applyAlignment="0" applyProtection="0"/>
    <xf numFmtId="0" fontId="35" fillId="30" borderId="0" applyNumberFormat="0" applyBorder="0" applyAlignment="0" applyProtection="0"/>
    <xf numFmtId="0" fontId="33" fillId="38" borderId="0" applyNumberFormat="0" applyBorder="0" applyAlignment="0" applyProtection="0"/>
    <xf numFmtId="0" fontId="33" fillId="42" borderId="0" applyNumberFormat="0" applyBorder="0" applyAlignment="0" applyProtection="0"/>
    <xf numFmtId="0" fontId="33" fillId="46" borderId="0" applyNumberFormat="0" applyBorder="0" applyAlignment="0" applyProtection="0"/>
    <xf numFmtId="0" fontId="33" fillId="50" borderId="0" applyNumberFormat="0" applyBorder="0" applyAlignment="0" applyProtection="0"/>
    <xf numFmtId="0" fontId="33" fillId="54" borderId="0" applyNumberFormat="0" applyBorder="0" applyAlignment="0" applyProtection="0"/>
    <xf numFmtId="0" fontId="33" fillId="58" borderId="0" applyNumberFormat="0" applyBorder="0" applyAlignment="0" applyProtection="0"/>
    <xf numFmtId="0" fontId="1" fillId="36" borderId="0" applyNumberFormat="0" applyBorder="0" applyAlignment="0" applyProtection="0"/>
    <xf numFmtId="0" fontId="1" fillId="40" borderId="0" applyNumberFormat="0" applyBorder="0" applyAlignment="0" applyProtection="0"/>
    <xf numFmtId="0" fontId="1" fillId="44"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6" borderId="0" applyNumberFormat="0" applyBorder="0" applyAlignment="0" applyProtection="0"/>
    <xf numFmtId="0" fontId="1" fillId="37" borderId="0" applyNumberFormat="0" applyBorder="0" applyAlignment="0" applyProtection="0"/>
    <xf numFmtId="0" fontId="1" fillId="41" borderId="0" applyNumberFormat="0" applyBorder="0" applyAlignment="0" applyProtection="0"/>
    <xf numFmtId="0" fontId="1" fillId="45" borderId="0" applyNumberFormat="0" applyBorder="0" applyAlignment="0" applyProtection="0"/>
    <xf numFmtId="0" fontId="1" fillId="49" borderId="0" applyNumberFormat="0" applyBorder="0" applyAlignment="0" applyProtection="0"/>
    <xf numFmtId="0" fontId="1" fillId="53" borderId="0" applyNumberFormat="0" applyBorder="0" applyAlignment="0" applyProtection="0"/>
    <xf numFmtId="0" fontId="1" fillId="57" borderId="0" applyNumberFormat="0" applyBorder="0" applyAlignment="0" applyProtection="0"/>
    <xf numFmtId="169" fontId="4" fillId="0" borderId="0" applyFont="0" applyFill="0" applyBorder="0" applyAlignment="0" applyProtection="0"/>
    <xf numFmtId="169" fontId="4" fillId="0" borderId="0" applyFont="0" applyFill="0" applyBorder="0" applyAlignment="0" applyProtection="0"/>
    <xf numFmtId="170" fontId="36" fillId="0" borderId="0">
      <protection locked="0"/>
    </xf>
    <xf numFmtId="171" fontId="36" fillId="0" borderId="0">
      <protection locked="0"/>
    </xf>
    <xf numFmtId="172" fontId="37" fillId="0" borderId="0">
      <protection locked="0"/>
    </xf>
    <xf numFmtId="172" fontId="37" fillId="0" borderId="0">
      <protection locked="0"/>
    </xf>
    <xf numFmtId="0"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41" fillId="0" borderId="0"/>
    <xf numFmtId="0" fontId="41" fillId="0" borderId="0"/>
    <xf numFmtId="0" fontId="41" fillId="0" borderId="0"/>
    <xf numFmtId="0" fontId="42" fillId="0" borderId="0"/>
    <xf numFmtId="0" fontId="4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1"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1" fillId="0" borderId="0"/>
    <xf numFmtId="0" fontId="4" fillId="0" borderId="0"/>
    <xf numFmtId="0" fontId="4" fillId="0" borderId="0"/>
    <xf numFmtId="0" fontId="42" fillId="0" borderId="0"/>
    <xf numFmtId="0" fontId="41" fillId="0" borderId="0"/>
    <xf numFmtId="0" fontId="41" fillId="0" borderId="0"/>
    <xf numFmtId="0" fontId="4" fillId="0" borderId="0"/>
    <xf numFmtId="0" fontId="4" fillId="0" borderId="0"/>
    <xf numFmtId="0" fontId="41" fillId="0" borderId="0"/>
    <xf numFmtId="0" fontId="4" fillId="0" borderId="0"/>
    <xf numFmtId="0" fontId="4" fillId="0" borderId="0"/>
    <xf numFmtId="0" fontId="4" fillId="0" borderId="0"/>
    <xf numFmtId="0" fontId="4" fillId="0" borderId="0"/>
    <xf numFmtId="0" fontId="4" fillId="0" borderId="0"/>
    <xf numFmtId="0" fontId="4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1" fillId="0" borderId="0"/>
    <xf numFmtId="0" fontId="4" fillId="0" borderId="0"/>
    <xf numFmtId="0" fontId="4" fillId="0" borderId="0"/>
    <xf numFmtId="0" fontId="4" fillId="0" borderId="0"/>
    <xf numFmtId="0" fontId="4" fillId="0" borderId="0"/>
    <xf numFmtId="0" fontId="4" fillId="0" borderId="0"/>
    <xf numFmtId="0" fontId="4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3" fillId="0" borderId="0"/>
    <xf numFmtId="0" fontId="43" fillId="0" borderId="0"/>
    <xf numFmtId="0" fontId="43" fillId="0" borderId="0"/>
    <xf numFmtId="0" fontId="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 fillId="0" borderId="0"/>
    <xf numFmtId="0" fontId="43" fillId="0" borderId="0"/>
    <xf numFmtId="0" fontId="43" fillId="0" borderId="0"/>
    <xf numFmtId="0" fontId="43" fillId="0" borderId="0" applyProtection="0"/>
    <xf numFmtId="0" fontId="43" fillId="0" borderId="0" applyProtection="0"/>
    <xf numFmtId="0" fontId="43" fillId="0" borderId="0" applyProtection="0"/>
    <xf numFmtId="0" fontId="43" fillId="0" borderId="0" applyProtection="0"/>
    <xf numFmtId="0" fontId="43" fillId="0" borderId="0" applyProtection="0"/>
    <xf numFmtId="0" fontId="43" fillId="0" borderId="0" applyProtection="0"/>
    <xf numFmtId="0" fontId="43" fillId="0" borderId="0" applyProtection="0"/>
    <xf numFmtId="0" fontId="43" fillId="0" borderId="0" applyProtection="0"/>
    <xf numFmtId="0" fontId="4" fillId="0" borderId="0"/>
    <xf numFmtId="0" fontId="43" fillId="0" borderId="0" applyProtection="0"/>
    <xf numFmtId="0" fontId="43" fillId="0" borderId="0" applyProtection="0"/>
    <xf numFmtId="0" fontId="43" fillId="0" borderId="0" applyProtection="0"/>
    <xf numFmtId="0" fontId="43" fillId="0" borderId="0" applyProtection="0"/>
    <xf numFmtId="0" fontId="41" fillId="0" borderId="0"/>
    <xf numFmtId="0" fontId="41" fillId="0" borderId="0"/>
    <xf numFmtId="0" fontId="41" fillId="0" borderId="0"/>
    <xf numFmtId="0" fontId="41" fillId="0" borderId="0"/>
    <xf numFmtId="0" fontId="41" fillId="0" borderId="0"/>
    <xf numFmtId="0" fontId="41" fillId="0" borderId="0"/>
    <xf numFmtId="0" fontId="1" fillId="34" borderId="48" applyNumberFormat="0" applyFont="0" applyAlignment="0" applyProtection="0"/>
    <xf numFmtId="0" fontId="1" fillId="34" borderId="48" applyNumberFormat="0" applyFont="0" applyAlignment="0" applyProtection="0"/>
    <xf numFmtId="0" fontId="1" fillId="34" borderId="4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3"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2" fontId="36" fillId="0" borderId="50">
      <protection locked="0"/>
    </xf>
    <xf numFmtId="0" fontId="42" fillId="0" borderId="0"/>
    <xf numFmtId="0" fontId="1" fillId="0" borderId="0"/>
    <xf numFmtId="0" fontId="4" fillId="0" borderId="0"/>
    <xf numFmtId="0" fontId="4" fillId="0" borderId="0"/>
    <xf numFmtId="0" fontId="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46" fillId="59" borderId="0" applyNumberFormat="0" applyBorder="0" applyAlignment="0" applyProtection="0"/>
    <xf numFmtId="0" fontId="46" fillId="60" borderId="0" applyNumberFormat="0" applyBorder="0" applyAlignment="0" applyProtection="0"/>
    <xf numFmtId="0" fontId="46" fillId="61" borderId="0" applyNumberFormat="0" applyBorder="0" applyAlignment="0" applyProtection="0"/>
    <xf numFmtId="0" fontId="46" fillId="62" borderId="0" applyNumberFormat="0" applyBorder="0" applyAlignment="0" applyProtection="0"/>
    <xf numFmtId="0" fontId="46" fillId="63" borderId="0" applyNumberFormat="0" applyBorder="0" applyAlignment="0" applyProtection="0"/>
    <xf numFmtId="0" fontId="46" fillId="64" borderId="0" applyNumberFormat="0" applyBorder="0" applyAlignment="0" applyProtection="0"/>
    <xf numFmtId="0" fontId="46" fillId="65" borderId="0" applyNumberFormat="0" applyBorder="0" applyAlignment="0" applyProtection="0"/>
    <xf numFmtId="0" fontId="46" fillId="66" borderId="0" applyNumberFormat="0" applyBorder="0" applyAlignment="0" applyProtection="0"/>
    <xf numFmtId="0" fontId="46" fillId="67" borderId="0" applyNumberFormat="0" applyBorder="0" applyAlignment="0" applyProtection="0"/>
    <xf numFmtId="0" fontId="46" fillId="62" borderId="0" applyNumberFormat="0" applyBorder="0" applyAlignment="0" applyProtection="0"/>
    <xf numFmtId="0" fontId="46" fillId="63" borderId="0" applyNumberFormat="0" applyBorder="0" applyAlignment="0" applyProtection="0"/>
    <xf numFmtId="0" fontId="46" fillId="68" borderId="0" applyNumberFormat="0" applyBorder="0" applyAlignment="0" applyProtection="0"/>
    <xf numFmtId="0" fontId="47" fillId="69" borderId="0" applyNumberFormat="0" applyBorder="0" applyAlignment="0" applyProtection="0"/>
    <xf numFmtId="0" fontId="48" fillId="70" borderId="51" applyNumberFormat="0" applyAlignment="0" applyProtection="0"/>
    <xf numFmtId="0" fontId="49" fillId="71" borderId="52" applyNumberFormat="0" applyAlignment="0" applyProtection="0"/>
    <xf numFmtId="169"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43" fontId="5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0" fontId="36" fillId="0" borderId="0">
      <protection locked="0"/>
    </xf>
    <xf numFmtId="170" fontId="36" fillId="0" borderId="0">
      <protection locked="0"/>
    </xf>
    <xf numFmtId="170" fontId="36" fillId="0" borderId="0">
      <protection locked="0"/>
    </xf>
    <xf numFmtId="0" fontId="51" fillId="0" borderId="0" applyNumberFormat="0" applyFill="0" applyBorder="0" applyAlignment="0" applyProtection="0"/>
    <xf numFmtId="171" fontId="36" fillId="0" borderId="0">
      <protection locked="0"/>
    </xf>
    <xf numFmtId="171" fontId="36" fillId="0" borderId="0">
      <protection locked="0"/>
    </xf>
    <xf numFmtId="171" fontId="36" fillId="0" borderId="0">
      <protection locked="0"/>
    </xf>
    <xf numFmtId="0" fontId="52" fillId="72" borderId="0" applyNumberFormat="0" applyBorder="0" applyAlignment="0" applyProtection="0"/>
    <xf numFmtId="0" fontId="53" fillId="0" borderId="53" applyNumberFormat="0" applyFill="0" applyAlignment="0" applyProtection="0"/>
    <xf numFmtId="0" fontId="54" fillId="0" borderId="54" applyNumberFormat="0" applyFill="0" applyAlignment="0" applyProtection="0"/>
    <xf numFmtId="0" fontId="55" fillId="0" borderId="55" applyNumberFormat="0" applyFill="0" applyAlignment="0" applyProtection="0"/>
    <xf numFmtId="0" fontId="55" fillId="0" borderId="0" applyNumberFormat="0" applyFill="0" applyBorder="0" applyAlignment="0" applyProtection="0"/>
    <xf numFmtId="172" fontId="37" fillId="0" borderId="0">
      <protection locked="0"/>
    </xf>
    <xf numFmtId="172" fontId="37" fillId="0" borderId="0">
      <protection locked="0"/>
    </xf>
    <xf numFmtId="172" fontId="37" fillId="0" borderId="0">
      <protection locked="0"/>
    </xf>
    <xf numFmtId="172" fontId="37" fillId="0" borderId="0">
      <protection locked="0"/>
    </xf>
    <xf numFmtId="172" fontId="37" fillId="0" borderId="0">
      <protection locked="0"/>
    </xf>
    <xf numFmtId="172" fontId="37" fillId="0" borderId="0">
      <protection locked="0"/>
    </xf>
    <xf numFmtId="0" fontId="17"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56" fillId="73" borderId="51" applyNumberFormat="0" applyAlignment="0" applyProtection="0"/>
    <xf numFmtId="0" fontId="57" fillId="0" borderId="56" applyNumberFormat="0" applyFill="0" applyAlignment="0" applyProtection="0"/>
    <xf numFmtId="0" fontId="58" fillId="74" borderId="0" applyNumberFormat="0" applyBorder="0" applyAlignment="0" applyProtection="0"/>
    <xf numFmtId="0" fontId="4" fillId="0" borderId="0"/>
    <xf numFmtId="0" fontId="4" fillId="0" borderId="0"/>
    <xf numFmtId="0" fontId="59" fillId="0" borderId="0"/>
    <xf numFmtId="0" fontId="1" fillId="0" borderId="0"/>
    <xf numFmtId="0" fontId="1"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0" fillId="70" borderId="57"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61" fillId="0" borderId="0" applyNumberFormat="0" applyFill="0" applyBorder="0" applyAlignment="0" applyProtection="0"/>
    <xf numFmtId="172" fontId="36" fillId="0" borderId="50">
      <protection locked="0"/>
    </xf>
    <xf numFmtId="172" fontId="36" fillId="0" borderId="50">
      <protection locked="0"/>
    </xf>
    <xf numFmtId="0" fontId="62" fillId="0" borderId="0" applyNumberFormat="0" applyFill="0" applyBorder="0" applyAlignment="0" applyProtection="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3" fillId="0" borderId="0"/>
    <xf numFmtId="0" fontId="43" fillId="0" borderId="0"/>
    <xf numFmtId="0" fontId="43" fillId="0" borderId="0"/>
    <xf numFmtId="0" fontId="41" fillId="0" borderId="0"/>
    <xf numFmtId="0" fontId="41" fillId="0" borderId="0"/>
    <xf numFmtId="0" fontId="1" fillId="0" borderId="0"/>
    <xf numFmtId="0" fontId="33" fillId="65" borderId="0" applyNumberFormat="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9" fontId="4" fillId="0" borderId="0" applyFont="0" applyFill="0" applyBorder="0" applyAlignment="0" applyProtection="0"/>
    <xf numFmtId="43" fontId="1"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0" fontId="63" fillId="0" borderId="0" applyNumberFormat="0" applyFill="0" applyBorder="0" applyAlignment="0" applyProtection="0">
      <alignment vertical="top"/>
      <protection locked="0"/>
    </xf>
    <xf numFmtId="0" fontId="1" fillId="0" borderId="0"/>
    <xf numFmtId="0" fontId="1" fillId="0" borderId="0"/>
    <xf numFmtId="0" fontId="4" fillId="0" borderId="0"/>
    <xf numFmtId="0" fontId="4" fillId="0" borderId="0"/>
    <xf numFmtId="0" fontId="42" fillId="0" borderId="0"/>
    <xf numFmtId="0" fontId="42" fillId="0" borderId="0"/>
    <xf numFmtId="0" fontId="1" fillId="0" borderId="0"/>
    <xf numFmtId="0" fontId="41" fillId="0" borderId="0"/>
    <xf numFmtId="0" fontId="4" fillId="0" borderId="0"/>
    <xf numFmtId="0" fontId="4" fillId="0" borderId="0"/>
    <xf numFmtId="0" fontId="4" fillId="0" borderId="0"/>
    <xf numFmtId="0" fontId="59" fillId="0" borderId="0"/>
    <xf numFmtId="0" fontId="42" fillId="0" borderId="0"/>
    <xf numFmtId="0" fontId="4" fillId="0" borderId="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5" fontId="4" fillId="0" borderId="0" applyFill="0" applyBorder="0" applyAlignment="0" applyProtection="0">
      <alignment wrapText="1"/>
    </xf>
    <xf numFmtId="175" fontId="4" fillId="0" borderId="0" applyFill="0" applyBorder="0" applyAlignment="0" applyProtection="0">
      <alignment wrapText="1"/>
    </xf>
    <xf numFmtId="0" fontId="6" fillId="0" borderId="0" applyNumberFormat="0" applyFill="0" applyBorder="0">
      <alignment horizontal="center" wrapText="1"/>
    </xf>
    <xf numFmtId="0" fontId="6" fillId="0" borderId="0" applyNumberFormat="0" applyFill="0" applyBorder="0">
      <alignment horizontal="center" wrapText="1"/>
    </xf>
    <xf numFmtId="172" fontId="36" fillId="0" borderId="50">
      <protection locked="0"/>
    </xf>
    <xf numFmtId="172" fontId="36" fillId="0" borderId="50">
      <protection locked="0"/>
    </xf>
    <xf numFmtId="172" fontId="36" fillId="0" borderId="50">
      <protection locked="0"/>
    </xf>
    <xf numFmtId="172" fontId="36" fillId="0" borderId="50">
      <protection locked="0"/>
    </xf>
    <xf numFmtId="0" fontId="64" fillId="0" borderId="0" applyNumberFormat="0" applyFill="0" applyBorder="0" applyAlignment="0" applyProtection="0">
      <alignment vertical="top"/>
      <protection locked="0"/>
    </xf>
    <xf numFmtId="0" fontId="65" fillId="0" borderId="0" applyNumberFormat="0" applyProtection="0">
      <alignment horizontal="left"/>
    </xf>
    <xf numFmtId="0" fontId="66" fillId="0" borderId="41" applyNumberFormat="0" applyProtection="0">
      <alignment wrapText="1"/>
    </xf>
    <xf numFmtId="0" fontId="66" fillId="0" borderId="58" applyNumberFormat="0" applyProtection="0">
      <alignment wrapText="1"/>
    </xf>
    <xf numFmtId="0" fontId="67" fillId="0" borderId="59" applyNumberFormat="0" applyFont="0" applyProtection="0">
      <alignment wrapText="1"/>
    </xf>
    <xf numFmtId="0" fontId="71" fillId="0" borderId="0"/>
    <xf numFmtId="0" fontId="48" fillId="70" borderId="68" applyNumberFormat="0" applyAlignment="0" applyProtection="0"/>
    <xf numFmtId="0" fontId="56" fillId="73" borderId="68" applyNumberFormat="0" applyAlignment="0" applyProtection="0"/>
    <xf numFmtId="0" fontId="73" fillId="0" borderId="0"/>
    <xf numFmtId="43" fontId="4" fillId="0" borderId="0" applyFont="0" applyFill="0" applyBorder="0" applyAlignment="0" applyProtection="0"/>
    <xf numFmtId="0" fontId="43"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43" fontId="4" fillId="0" borderId="0" applyFont="0" applyFill="0" applyBorder="0" applyAlignment="0" applyProtection="0"/>
    <xf numFmtId="169" fontId="1" fillId="0" borderId="0" applyFont="0" applyFill="0" applyBorder="0" applyAlignment="0" applyProtection="0"/>
    <xf numFmtId="0" fontId="1" fillId="0" borderId="0"/>
    <xf numFmtId="169" fontId="1" fillId="0" borderId="0" applyFont="0" applyFill="0" applyBorder="0" applyAlignment="0" applyProtection="0"/>
    <xf numFmtId="0" fontId="74" fillId="0" borderId="0" applyNumberFormat="0" applyFill="0" applyBorder="0" applyAlignment="0" applyProtection="0"/>
    <xf numFmtId="0" fontId="7" fillId="0" borderId="0"/>
    <xf numFmtId="9" fontId="1" fillId="0" borderId="0" applyFont="0" applyFill="0" applyBorder="0" applyAlignment="0" applyProtection="0"/>
    <xf numFmtId="169" fontId="1"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0" fontId="1" fillId="0" borderId="0"/>
    <xf numFmtId="169" fontId="1" fillId="0" borderId="0" applyFont="0" applyFill="0" applyBorder="0" applyAlignment="0" applyProtection="0"/>
    <xf numFmtId="169" fontId="4"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169" fontId="1" fillId="0" borderId="0" applyFont="0" applyFill="0" applyBorder="0" applyAlignment="0" applyProtection="0"/>
    <xf numFmtId="169" fontId="1" fillId="0" borderId="0" applyFont="0" applyFill="0" applyBorder="0" applyAlignment="0" applyProtection="0"/>
    <xf numFmtId="0" fontId="1" fillId="52" borderId="0" applyNumberFormat="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1" fillId="0" borderId="0" applyFont="0" applyFill="0" applyBorder="0" applyAlignment="0" applyProtection="0"/>
    <xf numFmtId="169" fontId="4"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169" fontId="1" fillId="0" borderId="0" applyFont="0" applyFill="0" applyBorder="0" applyAlignment="0" applyProtection="0"/>
    <xf numFmtId="0" fontId="4" fillId="0" borderId="0"/>
  </cellStyleXfs>
  <cellXfs count="1534">
    <xf numFmtId="0" fontId="0" fillId="0" borderId="0" xfId="0"/>
    <xf numFmtId="0" fontId="4" fillId="0" borderId="0" xfId="3"/>
    <xf numFmtId="0" fontId="5" fillId="0" borderId="0" xfId="5" applyFont="1" applyAlignment="1">
      <alignment horizontal="left"/>
    </xf>
    <xf numFmtId="0" fontId="7" fillId="3" borderId="0" xfId="0" applyFont="1" applyFill="1" applyAlignment="1">
      <alignment vertical="center" textRotation="90"/>
    </xf>
    <xf numFmtId="0" fontId="7" fillId="3" borderId="0" xfId="0" applyFont="1" applyFill="1"/>
    <xf numFmtId="0" fontId="7" fillId="3" borderId="5" xfId="0" applyFont="1" applyFill="1" applyBorder="1"/>
    <xf numFmtId="2" fontId="7" fillId="3" borderId="5" xfId="0" applyNumberFormat="1" applyFont="1" applyFill="1" applyBorder="1"/>
    <xf numFmtId="2" fontId="7" fillId="3" borderId="6" xfId="0" applyNumberFormat="1" applyFont="1" applyFill="1" applyBorder="1"/>
    <xf numFmtId="10" fontId="7" fillId="3" borderId="0" xfId="0" applyNumberFormat="1" applyFont="1" applyFill="1"/>
    <xf numFmtId="0" fontId="7" fillId="3" borderId="0" xfId="0" applyFont="1" applyFill="1" applyAlignment="1">
      <alignment horizontal="center" textRotation="90"/>
    </xf>
    <xf numFmtId="0" fontId="4" fillId="3" borderId="0" xfId="0" applyFont="1" applyFill="1"/>
    <xf numFmtId="2" fontId="7" fillId="3" borderId="0" xfId="0" applyNumberFormat="1" applyFont="1" applyFill="1"/>
    <xf numFmtId="2" fontId="9" fillId="3" borderId="0" xfId="0" applyNumberFormat="1" applyFont="1" applyFill="1"/>
    <xf numFmtId="0" fontId="7" fillId="3" borderId="0" xfId="0" applyFont="1" applyFill="1" applyAlignment="1">
      <alignment horizontal="right"/>
    </xf>
    <xf numFmtId="0" fontId="4" fillId="0" borderId="0" xfId="0" applyFont="1"/>
    <xf numFmtId="0" fontId="8" fillId="0" borderId="9" xfId="0" applyFont="1" applyBorder="1"/>
    <xf numFmtId="0" fontId="8" fillId="0" borderId="11" xfId="0" applyFont="1" applyBorder="1" applyAlignment="1">
      <alignment horizontal="left" wrapText="1"/>
    </xf>
    <xf numFmtId="0" fontId="8" fillId="0" borderId="0" xfId="0" applyFont="1" applyAlignment="1">
      <alignment wrapText="1" readingOrder="1"/>
    </xf>
    <xf numFmtId="0" fontId="8" fillId="0" borderId="13" xfId="0" applyFont="1" applyBorder="1" applyAlignment="1">
      <alignment wrapText="1" readingOrder="1"/>
    </xf>
    <xf numFmtId="3" fontId="8" fillId="0" borderId="9" xfId="0" applyNumberFormat="1" applyFont="1" applyBorder="1"/>
    <xf numFmtId="3" fontId="8" fillId="0" borderId="0" xfId="0" applyNumberFormat="1" applyFont="1"/>
    <xf numFmtId="0" fontId="8" fillId="7" borderId="11" xfId="0" applyFont="1" applyFill="1" applyBorder="1" applyAlignment="1">
      <alignment wrapText="1"/>
    </xf>
    <xf numFmtId="0" fontId="8" fillId="8" borderId="12" xfId="0" applyFont="1" applyFill="1" applyBorder="1" applyAlignment="1">
      <alignment wrapText="1"/>
    </xf>
    <xf numFmtId="0" fontId="8" fillId="9" borderId="12" xfId="0" applyFont="1" applyFill="1" applyBorder="1" applyAlignment="1">
      <alignment wrapText="1"/>
    </xf>
    <xf numFmtId="0" fontId="8" fillId="10" borderId="12" xfId="0" applyFont="1" applyFill="1" applyBorder="1" applyAlignment="1">
      <alignment wrapText="1"/>
    </xf>
    <xf numFmtId="0" fontId="8" fillId="11" borderId="12" xfId="0" applyFont="1" applyFill="1" applyBorder="1" applyAlignment="1">
      <alignment wrapText="1"/>
    </xf>
    <xf numFmtId="0" fontId="8" fillId="12" borderId="12" xfId="0" applyFont="1" applyFill="1" applyBorder="1" applyAlignment="1">
      <alignment wrapText="1"/>
    </xf>
    <xf numFmtId="0" fontId="8" fillId="13" borderId="12" xfId="0" applyFont="1" applyFill="1" applyBorder="1" applyAlignment="1">
      <alignment wrapText="1"/>
    </xf>
    <xf numFmtId="0" fontId="8" fillId="14" borderId="13" xfId="0" applyFont="1" applyFill="1" applyBorder="1" applyAlignment="1">
      <alignment wrapText="1"/>
    </xf>
    <xf numFmtId="0" fontId="8" fillId="7" borderId="14" xfId="0" applyFont="1" applyFill="1" applyBorder="1" applyAlignment="1">
      <alignment wrapText="1"/>
    </xf>
    <xf numFmtId="0" fontId="8" fillId="8" borderId="14" xfId="0" applyFont="1" applyFill="1" applyBorder="1" applyAlignment="1">
      <alignment wrapText="1"/>
    </xf>
    <xf numFmtId="0" fontId="8" fillId="9" borderId="14" xfId="0" applyFont="1" applyFill="1" applyBorder="1" applyAlignment="1">
      <alignment wrapText="1"/>
    </xf>
    <xf numFmtId="0" fontId="8" fillId="10" borderId="14" xfId="0" applyFont="1" applyFill="1" applyBorder="1" applyAlignment="1">
      <alignment wrapText="1"/>
    </xf>
    <xf numFmtId="0" fontId="8" fillId="11" borderId="14" xfId="0" applyFont="1" applyFill="1" applyBorder="1" applyAlignment="1">
      <alignment wrapText="1"/>
    </xf>
    <xf numFmtId="0" fontId="8" fillId="12" borderId="14" xfId="0" applyFont="1" applyFill="1" applyBorder="1" applyAlignment="1">
      <alignment wrapText="1"/>
    </xf>
    <xf numFmtId="0" fontId="8" fillId="13" borderId="14" xfId="0" applyFont="1" applyFill="1" applyBorder="1" applyAlignment="1">
      <alignment wrapText="1"/>
    </xf>
    <xf numFmtId="0" fontId="8" fillId="14" borderId="14" xfId="0" applyFont="1" applyFill="1" applyBorder="1" applyAlignment="1">
      <alignment wrapText="1"/>
    </xf>
    <xf numFmtId="10" fontId="4" fillId="0" borderId="0" xfId="7" applyNumberFormat="1" applyFont="1" applyFill="1" applyBorder="1" applyAlignment="1">
      <alignment horizontal="right" vertical="center" readingOrder="1"/>
    </xf>
    <xf numFmtId="168" fontId="4" fillId="0" borderId="9" xfId="0" applyNumberFormat="1" applyFont="1" applyBorder="1"/>
    <xf numFmtId="168" fontId="4" fillId="0" borderId="0" xfId="0" applyNumberFormat="1" applyFont="1"/>
    <xf numFmtId="43" fontId="4" fillId="5" borderId="9" xfId="0" applyNumberFormat="1" applyFont="1" applyFill="1" applyBorder="1"/>
    <xf numFmtId="0" fontId="4" fillId="0" borderId="9" xfId="0" applyFont="1" applyBorder="1" applyAlignment="1">
      <alignment vertical="center"/>
    </xf>
    <xf numFmtId="167" fontId="4" fillId="0" borderId="9" xfId="0" applyNumberFormat="1" applyFont="1" applyBorder="1" applyAlignment="1">
      <alignment vertical="center"/>
    </xf>
    <xf numFmtId="2" fontId="4" fillId="0" borderId="0" xfId="0" applyNumberFormat="1" applyFont="1" applyAlignment="1">
      <alignment horizontal="right" vertical="center" readingOrder="1"/>
    </xf>
    <xf numFmtId="41" fontId="7" fillId="0" borderId="9" xfId="0" applyNumberFormat="1" applyFont="1" applyBorder="1"/>
    <xf numFmtId="41" fontId="7" fillId="0" borderId="0" xfId="0" applyNumberFormat="1" applyFont="1"/>
    <xf numFmtId="41" fontId="7" fillId="0" borderId="10" xfId="0" applyNumberFormat="1" applyFont="1" applyBorder="1"/>
    <xf numFmtId="0" fontId="4" fillId="0" borderId="15" xfId="0" applyFont="1" applyBorder="1" applyAlignment="1">
      <alignment vertical="center"/>
    </xf>
    <xf numFmtId="168" fontId="4" fillId="0" borderId="16" xfId="1" applyNumberFormat="1" applyFont="1" applyFill="1" applyBorder="1" applyAlignment="1">
      <alignment horizontal="right" vertical="center" readingOrder="1"/>
    </xf>
    <xf numFmtId="10" fontId="4" fillId="0" borderId="16" xfId="7" applyNumberFormat="1" applyFont="1" applyFill="1" applyBorder="1" applyAlignment="1">
      <alignment horizontal="right" vertical="center" readingOrder="1"/>
    </xf>
    <xf numFmtId="2" fontId="4" fillId="0" borderId="16" xfId="0" applyNumberFormat="1" applyFont="1" applyBorder="1" applyAlignment="1">
      <alignment horizontal="right" vertical="center" readingOrder="1"/>
    </xf>
    <xf numFmtId="168" fontId="4" fillId="0" borderId="15" xfId="0" applyNumberFormat="1" applyFont="1" applyBorder="1"/>
    <xf numFmtId="168" fontId="4" fillId="0" borderId="16" xfId="0" applyNumberFormat="1" applyFont="1" applyBorder="1"/>
    <xf numFmtId="41" fontId="7" fillId="0" borderId="15" xfId="0" applyNumberFormat="1" applyFont="1" applyBorder="1"/>
    <xf numFmtId="41" fontId="7" fillId="0" borderId="16" xfId="0" applyNumberFormat="1" applyFont="1" applyBorder="1"/>
    <xf numFmtId="41" fontId="7" fillId="0" borderId="17" xfId="0" applyNumberFormat="1" applyFont="1" applyBorder="1"/>
    <xf numFmtId="43" fontId="7" fillId="0" borderId="17" xfId="0" applyNumberFormat="1" applyFont="1" applyBorder="1"/>
    <xf numFmtId="43" fontId="4" fillId="5" borderId="15" xfId="0" applyNumberFormat="1" applyFont="1" applyFill="1" applyBorder="1"/>
    <xf numFmtId="0" fontId="4" fillId="0" borderId="16" xfId="0" applyFont="1" applyBorder="1"/>
    <xf numFmtId="168" fontId="4" fillId="0" borderId="0" xfId="1" applyNumberFormat="1" applyFont="1" applyFill="1" applyBorder="1" applyAlignment="1">
      <alignment horizontal="right" vertical="center" readingOrder="1"/>
    </xf>
    <xf numFmtId="41" fontId="4" fillId="0" borderId="9" xfId="0" applyNumberFormat="1" applyFont="1" applyBorder="1"/>
    <xf numFmtId="41" fontId="4" fillId="0" borderId="0" xfId="0" applyNumberFormat="1" applyFont="1"/>
    <xf numFmtId="43" fontId="7" fillId="0" borderId="10" xfId="0" applyNumberFormat="1" applyFont="1" applyBorder="1"/>
    <xf numFmtId="0" fontId="4" fillId="0" borderId="18" xfId="0" applyFont="1" applyBorder="1" applyAlignment="1">
      <alignment vertical="center"/>
    </xf>
    <xf numFmtId="168" fontId="4" fillId="0" borderId="19" xfId="1" applyNumberFormat="1" applyFont="1" applyFill="1" applyBorder="1" applyAlignment="1">
      <alignment horizontal="right" vertical="center" readingOrder="1"/>
    </xf>
    <xf numFmtId="10" fontId="4" fillId="0" borderId="19" xfId="7" applyNumberFormat="1" applyFont="1" applyFill="1" applyBorder="1" applyAlignment="1">
      <alignment horizontal="right" vertical="center" readingOrder="1"/>
    </xf>
    <xf numFmtId="2" fontId="4" fillId="0" borderId="19" xfId="0" applyNumberFormat="1" applyFont="1" applyBorder="1" applyAlignment="1">
      <alignment horizontal="right" vertical="center" readingOrder="1"/>
    </xf>
    <xf numFmtId="168" fontId="4" fillId="0" borderId="18" xfId="0" applyNumberFormat="1" applyFont="1" applyBorder="1"/>
    <xf numFmtId="168" fontId="4" fillId="0" borderId="19" xfId="0" applyNumberFormat="1" applyFont="1" applyBorder="1"/>
    <xf numFmtId="41" fontId="7" fillId="0" borderId="18" xfId="0" applyNumberFormat="1" applyFont="1" applyBorder="1"/>
    <xf numFmtId="41" fontId="7" fillId="0" borderId="19" xfId="0" applyNumberFormat="1" applyFont="1" applyBorder="1"/>
    <xf numFmtId="41" fontId="7" fillId="0" borderId="20" xfId="0" applyNumberFormat="1" applyFont="1" applyBorder="1"/>
    <xf numFmtId="43" fontId="4" fillId="5" borderId="18" xfId="0" applyNumberFormat="1" applyFont="1" applyFill="1" applyBorder="1"/>
    <xf numFmtId="0" fontId="4" fillId="0" borderId="19" xfId="0" applyFont="1" applyBorder="1"/>
    <xf numFmtId="0" fontId="4" fillId="0" borderId="10" xfId="0" applyFont="1" applyBorder="1" applyAlignment="1">
      <alignment vertical="center"/>
    </xf>
    <xf numFmtId="168" fontId="4" fillId="0" borderId="10" xfId="0" applyNumberFormat="1" applyFont="1" applyBorder="1"/>
    <xf numFmtId="0" fontId="4" fillId="6" borderId="21" xfId="0" applyFont="1" applyFill="1" applyBorder="1" applyAlignment="1">
      <alignment vertical="center"/>
    </xf>
    <xf numFmtId="167" fontId="4" fillId="6" borderId="22" xfId="0" applyNumberFormat="1" applyFont="1" applyFill="1" applyBorder="1" applyAlignment="1">
      <alignment vertical="center"/>
    </xf>
    <xf numFmtId="10" fontId="4" fillId="6" borderId="21" xfId="7" applyNumberFormat="1" applyFont="1" applyFill="1" applyBorder="1" applyAlignment="1">
      <alignment horizontal="right" vertical="center" readingOrder="1"/>
    </xf>
    <xf numFmtId="2" fontId="4" fillId="6" borderId="21" xfId="0" applyNumberFormat="1" applyFont="1" applyFill="1" applyBorder="1" applyAlignment="1">
      <alignment horizontal="right" vertical="center" readingOrder="1"/>
    </xf>
    <xf numFmtId="168" fontId="4" fillId="15" borderId="22" xfId="0" applyNumberFormat="1" applyFont="1" applyFill="1" applyBorder="1"/>
    <xf numFmtId="168" fontId="4" fillId="15" borderId="21" xfId="0" applyNumberFormat="1" applyFont="1" applyFill="1" applyBorder="1"/>
    <xf numFmtId="168" fontId="4" fillId="6" borderId="21" xfId="0" applyNumberFormat="1" applyFont="1" applyFill="1" applyBorder="1"/>
    <xf numFmtId="41" fontId="7" fillId="6" borderId="22" xfId="0" applyNumberFormat="1" applyFont="1" applyFill="1" applyBorder="1"/>
    <xf numFmtId="2" fontId="7" fillId="6" borderId="21" xfId="0" applyNumberFormat="1" applyFont="1" applyFill="1" applyBorder="1"/>
    <xf numFmtId="41" fontId="7" fillId="6" borderId="21" xfId="0" applyNumberFormat="1" applyFont="1" applyFill="1" applyBorder="1"/>
    <xf numFmtId="41" fontId="7" fillId="6" borderId="23" xfId="0" applyNumberFormat="1" applyFont="1" applyFill="1" applyBorder="1"/>
    <xf numFmtId="43" fontId="7" fillId="6" borderId="23" xfId="0" applyNumberFormat="1" applyFont="1" applyFill="1" applyBorder="1"/>
    <xf numFmtId="43" fontId="4" fillId="6" borderId="22" xfId="0" applyNumberFormat="1" applyFont="1" applyFill="1" applyBorder="1"/>
    <xf numFmtId="0" fontId="4" fillId="6" borderId="21" xfId="0" applyFont="1" applyFill="1" applyBorder="1"/>
    <xf numFmtId="0" fontId="4" fillId="6" borderId="0" xfId="0" applyFont="1" applyFill="1" applyAlignment="1">
      <alignment vertical="center"/>
    </xf>
    <xf numFmtId="167" fontId="4" fillId="6" borderId="9" xfId="0" applyNumberFormat="1" applyFont="1" applyFill="1" applyBorder="1" applyAlignment="1">
      <alignment vertical="center"/>
    </xf>
    <xf numFmtId="10" fontId="4" fillId="6" borderId="0" xfId="7" applyNumberFormat="1" applyFont="1" applyFill="1" applyBorder="1" applyAlignment="1">
      <alignment horizontal="right" vertical="center" readingOrder="1"/>
    </xf>
    <xf numFmtId="2" fontId="4" fillId="6" borderId="0" xfId="0" applyNumberFormat="1" applyFont="1" applyFill="1" applyAlignment="1">
      <alignment horizontal="right" vertical="center" readingOrder="1"/>
    </xf>
    <xf numFmtId="168" fontId="4" fillId="15" borderId="9" xfId="0" applyNumberFormat="1" applyFont="1" applyFill="1" applyBorder="1"/>
    <xf numFmtId="168" fontId="4" fillId="15" borderId="0" xfId="0" applyNumberFormat="1" applyFont="1" applyFill="1"/>
    <xf numFmtId="168" fontId="4" fillId="6" borderId="0" xfId="0" applyNumberFormat="1" applyFont="1" applyFill="1"/>
    <xf numFmtId="41" fontId="7" fillId="6" borderId="9" xfId="0" applyNumberFormat="1" applyFont="1" applyFill="1" applyBorder="1"/>
    <xf numFmtId="41" fontId="7" fillId="6" borderId="0" xfId="0" applyNumberFormat="1" applyFont="1" applyFill="1"/>
    <xf numFmtId="41" fontId="7" fillId="6" borderId="10" xfId="0" applyNumberFormat="1" applyFont="1" applyFill="1" applyBorder="1"/>
    <xf numFmtId="43" fontId="4" fillId="6" borderId="9" xfId="0" applyNumberFormat="1" applyFont="1" applyFill="1" applyBorder="1"/>
    <xf numFmtId="0" fontId="4" fillId="6" borderId="0" xfId="0" applyFont="1" applyFill="1"/>
    <xf numFmtId="0" fontId="4" fillId="6" borderId="19" xfId="0" applyFont="1" applyFill="1" applyBorder="1" applyAlignment="1">
      <alignment vertical="center"/>
    </xf>
    <xf numFmtId="167" fontId="4" fillId="6" borderId="18" xfId="0" applyNumberFormat="1" applyFont="1" applyFill="1" applyBorder="1" applyAlignment="1">
      <alignment vertical="center"/>
    </xf>
    <xf numFmtId="10" fontId="4" fillId="6" borderId="19" xfId="7" applyNumberFormat="1" applyFont="1" applyFill="1" applyBorder="1" applyAlignment="1">
      <alignment horizontal="right" vertical="center" readingOrder="1"/>
    </xf>
    <xf numFmtId="2" fontId="4" fillId="6" borderId="19" xfId="0" applyNumberFormat="1" applyFont="1" applyFill="1" applyBorder="1" applyAlignment="1">
      <alignment horizontal="right" vertical="center" readingOrder="1"/>
    </xf>
    <xf numFmtId="168" fontId="4" fillId="15" borderId="18" xfId="0" applyNumberFormat="1" applyFont="1" applyFill="1" applyBorder="1"/>
    <xf numFmtId="168" fontId="4" fillId="15" borderId="19" xfId="0" applyNumberFormat="1" applyFont="1" applyFill="1" applyBorder="1"/>
    <xf numFmtId="168" fontId="4" fillId="6" borderId="19" xfId="0" applyNumberFormat="1" applyFont="1" applyFill="1" applyBorder="1"/>
    <xf numFmtId="41" fontId="7" fillId="6" borderId="18" xfId="0" applyNumberFormat="1" applyFont="1" applyFill="1" applyBorder="1"/>
    <xf numFmtId="41" fontId="7" fillId="6" borderId="19" xfId="0" applyNumberFormat="1" applyFont="1" applyFill="1" applyBorder="1"/>
    <xf numFmtId="41" fontId="7" fillId="6" borderId="20" xfId="0" applyNumberFormat="1" applyFont="1" applyFill="1" applyBorder="1"/>
    <xf numFmtId="43" fontId="4" fillId="6" borderId="18" xfId="0" applyNumberFormat="1" applyFont="1" applyFill="1" applyBorder="1"/>
    <xf numFmtId="0" fontId="4" fillId="6" borderId="19" xfId="0" applyFont="1" applyFill="1" applyBorder="1"/>
    <xf numFmtId="0" fontId="4" fillId="0" borderId="0" xfId="0" applyFont="1" applyAlignment="1">
      <alignment vertical="center"/>
    </xf>
    <xf numFmtId="0" fontId="4" fillId="0" borderId="1" xfId="0" applyFont="1" applyBorder="1"/>
    <xf numFmtId="168" fontId="4" fillId="0" borderId="9" xfId="1" applyNumberFormat="1" applyFont="1" applyBorder="1"/>
    <xf numFmtId="9" fontId="4" fillId="0" borderId="0" xfId="7" applyFont="1" applyFill="1" applyBorder="1" applyAlignment="1">
      <alignment vertical="center" readingOrder="1"/>
    </xf>
    <xf numFmtId="0" fontId="4" fillId="0" borderId="0" xfId="0" applyFont="1" applyAlignment="1">
      <alignment horizontal="center" vertical="center" readingOrder="1"/>
    </xf>
    <xf numFmtId="168" fontId="10" fillId="0" borderId="0" xfId="1" applyNumberFormat="1" applyFont="1"/>
    <xf numFmtId="2" fontId="10" fillId="0" borderId="0" xfId="1" applyNumberFormat="1" applyFont="1"/>
    <xf numFmtId="43" fontId="4" fillId="0" borderId="9" xfId="0" applyNumberFormat="1" applyFont="1" applyBorder="1"/>
    <xf numFmtId="0" fontId="11" fillId="0" borderId="0" xfId="0" applyFont="1"/>
    <xf numFmtId="168" fontId="7" fillId="0" borderId="0" xfId="0" applyNumberFormat="1" applyFont="1"/>
    <xf numFmtId="168" fontId="4" fillId="0" borderId="0" xfId="1" applyNumberFormat="1" applyFont="1"/>
    <xf numFmtId="9" fontId="4" fillId="0" borderId="0" xfId="7" applyFont="1"/>
    <xf numFmtId="9" fontId="12" fillId="0" borderId="0" xfId="7" applyFont="1"/>
    <xf numFmtId="168" fontId="4" fillId="0" borderId="0" xfId="7" applyNumberFormat="1" applyFont="1"/>
    <xf numFmtId="2" fontId="4" fillId="6" borderId="0" xfId="2" applyNumberFormat="1" applyFont="1" applyFill="1"/>
    <xf numFmtId="3" fontId="4" fillId="0" borderId="0" xfId="0" applyNumberFormat="1" applyFont="1"/>
    <xf numFmtId="9" fontId="4" fillId="0" borderId="0" xfId="7" applyFont="1" applyFill="1"/>
    <xf numFmtId="0" fontId="13" fillId="16" borderId="0" xfId="0" applyFont="1" applyFill="1" applyAlignment="1">
      <alignment horizontal="right"/>
    </xf>
    <xf numFmtId="0" fontId="4" fillId="16" borderId="0" xfId="0" applyFont="1" applyFill="1" applyAlignment="1">
      <alignment horizontal="right"/>
    </xf>
    <xf numFmtId="0" fontId="13" fillId="17" borderId="0" xfId="0" applyFont="1" applyFill="1" applyAlignment="1">
      <alignment horizontal="right"/>
    </xf>
    <xf numFmtId="0" fontId="0" fillId="3" borderId="0" xfId="0" applyFill="1"/>
    <xf numFmtId="41" fontId="13" fillId="16" borderId="0" xfId="0" applyNumberFormat="1" applyFont="1" applyFill="1" applyAlignment="1">
      <alignment horizontal="right" vertical="top"/>
    </xf>
    <xf numFmtId="41" fontId="13" fillId="16" borderId="0" xfId="0" applyNumberFormat="1" applyFont="1" applyFill="1" applyAlignment="1">
      <alignment horizontal="right"/>
    </xf>
    <xf numFmtId="0" fontId="14" fillId="18" borderId="0" xfId="0" applyFont="1" applyFill="1" applyAlignment="1">
      <alignment horizontal="right"/>
    </xf>
    <xf numFmtId="0" fontId="13" fillId="18" borderId="0" xfId="0" applyFont="1" applyFill="1" applyAlignment="1">
      <alignment horizontal="right"/>
    </xf>
    <xf numFmtId="1" fontId="13" fillId="16" borderId="0" xfId="0" applyNumberFormat="1" applyFont="1" applyFill="1" applyAlignment="1">
      <alignment horizontal="right"/>
    </xf>
    <xf numFmtId="2" fontId="13" fillId="16" borderId="0" xfId="0" applyNumberFormat="1" applyFont="1" applyFill="1" applyAlignment="1">
      <alignment horizontal="right"/>
    </xf>
    <xf numFmtId="0" fontId="13" fillId="19" borderId="0" xfId="0" applyFont="1" applyFill="1" applyAlignment="1">
      <alignment horizontal="right"/>
    </xf>
    <xf numFmtId="2" fontId="13" fillId="19" borderId="0" xfId="0" applyNumberFormat="1" applyFont="1" applyFill="1" applyAlignment="1">
      <alignment horizontal="right"/>
    </xf>
    <xf numFmtId="0" fontId="15" fillId="16" borderId="0" xfId="0" applyFont="1" applyFill="1" applyAlignment="1">
      <alignment horizontal="right"/>
    </xf>
    <xf numFmtId="0" fontId="16" fillId="16" borderId="0" xfId="0" applyFont="1" applyFill="1" applyAlignment="1">
      <alignment horizontal="right"/>
    </xf>
    <xf numFmtId="10" fontId="13" fillId="16" borderId="0" xfId="0" applyNumberFormat="1" applyFont="1" applyFill="1" applyAlignment="1">
      <alignment horizontal="right"/>
    </xf>
    <xf numFmtId="2" fontId="15" fillId="16" borderId="0" xfId="0" applyNumberFormat="1" applyFont="1" applyFill="1" applyAlignment="1">
      <alignment horizontal="right"/>
    </xf>
    <xf numFmtId="2" fontId="16" fillId="16" borderId="0" xfId="0" applyNumberFormat="1" applyFont="1" applyFill="1" applyAlignment="1">
      <alignment horizontal="right"/>
    </xf>
    <xf numFmtId="0" fontId="0" fillId="0" borderId="9" xfId="0" applyBorder="1"/>
    <xf numFmtId="0" fontId="18" fillId="0" borderId="0" xfId="0" applyFont="1"/>
    <xf numFmtId="0" fontId="4" fillId="0" borderId="0" xfId="3" applyAlignment="1">
      <alignment vertical="center"/>
    </xf>
    <xf numFmtId="0" fontId="4" fillId="0" borderId="0" xfId="3" applyAlignment="1">
      <alignment vertical="center" wrapText="1"/>
    </xf>
    <xf numFmtId="43" fontId="4" fillId="0" borderId="0" xfId="1" applyFont="1" applyFill="1" applyAlignment="1">
      <alignment vertical="center"/>
    </xf>
    <xf numFmtId="0" fontId="4" fillId="0" borderId="0" xfId="3" applyAlignment="1">
      <alignment horizontal="left" vertical="center"/>
    </xf>
    <xf numFmtId="0" fontId="6" fillId="0" borderId="0" xfId="3" applyFont="1" applyAlignment="1">
      <alignment horizontal="center" vertical="center"/>
    </xf>
    <xf numFmtId="43" fontId="4" fillId="0" borderId="0" xfId="1" applyFont="1" applyFill="1" applyAlignment="1">
      <alignment horizontal="left" vertical="center"/>
    </xf>
    <xf numFmtId="0" fontId="3" fillId="22" borderId="5" xfId="0" applyFont="1" applyFill="1" applyBorder="1" applyAlignment="1">
      <alignment horizontal="center" vertical="center" wrapText="1"/>
    </xf>
    <xf numFmtId="0" fontId="0" fillId="0" borderId="0" xfId="0" applyAlignment="1">
      <alignment horizontal="center" vertical="center" wrapText="1"/>
    </xf>
    <xf numFmtId="0" fontId="0" fillId="22" borderId="6" xfId="0" applyFill="1" applyBorder="1"/>
    <xf numFmtId="0" fontId="0" fillId="0" borderId="33" xfId="0" applyBorder="1"/>
    <xf numFmtId="0" fontId="0" fillId="0" borderId="3" xfId="0" applyBorder="1"/>
    <xf numFmtId="0" fontId="0" fillId="0" borderId="35" xfId="0" applyBorder="1"/>
    <xf numFmtId="0" fontId="0" fillId="0" borderId="37" xfId="0" applyBorder="1" applyAlignment="1">
      <alignment horizontal="left"/>
    </xf>
    <xf numFmtId="2" fontId="0" fillId="0" borderId="38" xfId="0" applyNumberFormat="1" applyBorder="1"/>
    <xf numFmtId="0" fontId="0" fillId="22" borderId="37" xfId="0" applyFill="1" applyBorder="1" applyAlignment="1">
      <alignment horizontal="center" vertical="center" wrapText="1"/>
    </xf>
    <xf numFmtId="0" fontId="0" fillId="22" borderId="12" xfId="0" applyFill="1" applyBorder="1" applyAlignment="1">
      <alignment horizontal="center"/>
    </xf>
    <xf numFmtId="0" fontId="0" fillId="22" borderId="12" xfId="0" applyFill="1" applyBorder="1" applyAlignment="1">
      <alignment horizontal="center" vertical="center"/>
    </xf>
    <xf numFmtId="0" fontId="0" fillId="22" borderId="39" xfId="0" applyFill="1" applyBorder="1" applyAlignment="1">
      <alignment horizontal="center" vertical="center"/>
    </xf>
    <xf numFmtId="0" fontId="0" fillId="0" borderId="33" xfId="0" applyBorder="1" applyAlignment="1">
      <alignment horizontal="left" indent="1"/>
    </xf>
    <xf numFmtId="2" fontId="0" fillId="0" borderId="34" xfId="0" applyNumberFormat="1" applyBorder="1"/>
    <xf numFmtId="0" fontId="3" fillId="0" borderId="60" xfId="0" applyFont="1" applyBorder="1" applyAlignment="1">
      <alignment horizontal="left" vertical="center"/>
    </xf>
    <xf numFmtId="0" fontId="0" fillId="0" borderId="33" xfId="0" applyBorder="1" applyAlignment="1">
      <alignment horizontal="center" vertical="center" wrapText="1"/>
    </xf>
    <xf numFmtId="0" fontId="0" fillId="0" borderId="3" xfId="0" applyBorder="1" applyAlignment="1">
      <alignment horizontal="left" vertical="center"/>
    </xf>
    <xf numFmtId="0" fontId="0" fillId="0" borderId="0" xfId="0" applyAlignment="1">
      <alignment horizontal="left" vertical="center"/>
    </xf>
    <xf numFmtId="0" fontId="0" fillId="0" borderId="33" xfId="0" applyBorder="1" applyAlignment="1">
      <alignment horizontal="left" vertical="center"/>
    </xf>
    <xf numFmtId="0" fontId="0" fillId="0" borderId="35" xfId="0" applyBorder="1" applyAlignment="1">
      <alignment horizontal="left" vertical="center"/>
    </xf>
    <xf numFmtId="0" fontId="0" fillId="0" borderId="60" xfId="0" applyBorder="1" applyAlignment="1">
      <alignment horizontal="left" vertical="center"/>
    </xf>
    <xf numFmtId="2" fontId="0" fillId="0" borderId="33" xfId="0" applyNumberFormat="1" applyBorder="1"/>
    <xf numFmtId="2" fontId="0" fillId="0" borderId="3" xfId="0" applyNumberFormat="1" applyBorder="1"/>
    <xf numFmtId="2" fontId="0" fillId="0" borderId="0" xfId="0" applyNumberFormat="1"/>
    <xf numFmtId="2" fontId="0" fillId="0" borderId="3" xfId="0" applyNumberFormat="1" applyBorder="1" applyAlignment="1">
      <alignment horizontal="right" vertical="center" wrapText="1"/>
    </xf>
    <xf numFmtId="2" fontId="0" fillId="0" borderId="33" xfId="0" applyNumberFormat="1" applyBorder="1" applyAlignment="1">
      <alignment horizontal="right"/>
    </xf>
    <xf numFmtId="2" fontId="0" fillId="0" borderId="3" xfId="0" applyNumberFormat="1" applyBorder="1" applyAlignment="1">
      <alignment horizontal="right"/>
    </xf>
    <xf numFmtId="2" fontId="0" fillId="0" borderId="0" xfId="0" applyNumberFormat="1" applyAlignment="1">
      <alignment horizontal="right"/>
    </xf>
    <xf numFmtId="2" fontId="0" fillId="0" borderId="35" xfId="0" applyNumberFormat="1" applyBorder="1" applyAlignment="1">
      <alignment horizontal="right"/>
    </xf>
    <xf numFmtId="0" fontId="0" fillId="0" borderId="60" xfId="0" applyBorder="1"/>
    <xf numFmtId="0" fontId="0" fillId="0" borderId="33"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0" borderId="35" xfId="0" applyBorder="1" applyAlignment="1">
      <alignment horizontal="center"/>
    </xf>
    <xf numFmtId="0" fontId="0" fillId="0" borderId="61" xfId="0" applyBorder="1" applyAlignment="1">
      <alignment horizontal="left" vertical="center"/>
    </xf>
    <xf numFmtId="2" fontId="0" fillId="0" borderId="37" xfId="0" applyNumberFormat="1" applyBorder="1"/>
    <xf numFmtId="2" fontId="0" fillId="0" borderId="2" xfId="0" applyNumberFormat="1" applyBorder="1"/>
    <xf numFmtId="2" fontId="0" fillId="0" borderId="12" xfId="0" applyNumberFormat="1" applyBorder="1"/>
    <xf numFmtId="2" fontId="0" fillId="0" borderId="39" xfId="0" applyNumberFormat="1" applyBorder="1"/>
    <xf numFmtId="2" fontId="0" fillId="0" borderId="35" xfId="0" applyNumberFormat="1" applyBorder="1"/>
    <xf numFmtId="0" fontId="0" fillId="0" borderId="37" xfId="0" applyBorder="1" applyAlignment="1">
      <alignment horizontal="left" indent="1"/>
    </xf>
    <xf numFmtId="0" fontId="0" fillId="22" borderId="37" xfId="0" applyFill="1" applyBorder="1" applyAlignment="1">
      <alignment horizontal="left"/>
    </xf>
    <xf numFmtId="2" fontId="0" fillId="22" borderId="38" xfId="0" applyNumberFormat="1" applyFill="1" applyBorder="1"/>
    <xf numFmtId="0" fontId="18" fillId="0" borderId="12" xfId="0" applyFont="1" applyBorder="1"/>
    <xf numFmtId="0" fontId="0" fillId="0" borderId="12" xfId="0" applyBorder="1"/>
    <xf numFmtId="0" fontId="0" fillId="0" borderId="2" xfId="0" applyBorder="1" applyAlignment="1">
      <alignment horizontal="center"/>
    </xf>
    <xf numFmtId="0" fontId="0" fillId="0" borderId="12" xfId="0" applyBorder="1" applyAlignment="1">
      <alignment horizontal="center"/>
    </xf>
    <xf numFmtId="0" fontId="0" fillId="0" borderId="39" xfId="0" applyBorder="1" applyAlignment="1">
      <alignment horizontal="center"/>
    </xf>
    <xf numFmtId="0" fontId="3" fillId="0" borderId="60" xfId="0" applyFont="1" applyBorder="1"/>
    <xf numFmtId="10" fontId="3" fillId="0" borderId="33" xfId="0" applyNumberFormat="1" applyFont="1" applyBorder="1"/>
    <xf numFmtId="2" fontId="3" fillId="0" borderId="34" xfId="0" applyNumberFormat="1" applyFont="1" applyBorder="1"/>
    <xf numFmtId="10" fontId="0" fillId="0" borderId="33" xfId="0" applyNumberFormat="1" applyBorder="1"/>
    <xf numFmtId="0" fontId="0" fillId="0" borderId="61" xfId="0" applyBorder="1"/>
    <xf numFmtId="10" fontId="0" fillId="0" borderId="37" xfId="0" applyNumberFormat="1" applyBorder="1"/>
    <xf numFmtId="0" fontId="3" fillId="0" borderId="61" xfId="0" applyFont="1" applyBorder="1"/>
    <xf numFmtId="10" fontId="3" fillId="0" borderId="37" xfId="0" applyNumberFormat="1" applyFont="1" applyBorder="1"/>
    <xf numFmtId="2" fontId="3" fillId="0" borderId="38" xfId="0" applyNumberFormat="1" applyFont="1" applyBorder="1"/>
    <xf numFmtId="173" fontId="3" fillId="0" borderId="33" xfId="0" applyNumberFormat="1" applyFont="1" applyBorder="1"/>
    <xf numFmtId="173" fontId="0" fillId="0" borderId="33" xfId="0" applyNumberFormat="1" applyBorder="1"/>
    <xf numFmtId="2" fontId="0" fillId="0" borderId="3" xfId="0" applyNumberFormat="1" applyBorder="1" applyAlignment="1">
      <alignment horizontal="left" vertical="center"/>
    </xf>
    <xf numFmtId="173" fontId="0" fillId="0" borderId="37" xfId="0" applyNumberFormat="1" applyBorder="1"/>
    <xf numFmtId="0" fontId="0" fillId="0" borderId="26" xfId="0" applyBorder="1"/>
    <xf numFmtId="0" fontId="0" fillId="0" borderId="28" xfId="0" applyBorder="1"/>
    <xf numFmtId="0" fontId="0" fillId="0" borderId="36" xfId="0" applyBorder="1"/>
    <xf numFmtId="0" fontId="0" fillId="0" borderId="19" xfId="0" applyBorder="1"/>
    <xf numFmtId="0" fontId="17" fillId="0" borderId="33" xfId="8" applyFill="1" applyBorder="1" applyAlignment="1" applyProtection="1"/>
    <xf numFmtId="0" fontId="6" fillId="0" borderId="0" xfId="3" applyFont="1" applyAlignment="1">
      <alignment vertical="center"/>
    </xf>
    <xf numFmtId="2" fontId="4" fillId="0" borderId="0" xfId="3" applyNumberFormat="1"/>
    <xf numFmtId="0" fontId="20" fillId="0" borderId="0" xfId="0" applyFont="1"/>
    <xf numFmtId="0" fontId="6" fillId="0" borderId="0" xfId="3" applyFont="1"/>
    <xf numFmtId="0" fontId="4" fillId="76" borderId="62" xfId="3" applyFill="1" applyBorder="1"/>
    <xf numFmtId="0" fontId="4" fillId="76" borderId="29" xfId="3" applyFill="1" applyBorder="1"/>
    <xf numFmtId="0" fontId="4" fillId="76" borderId="21" xfId="3" applyFill="1" applyBorder="1"/>
    <xf numFmtId="0" fontId="4" fillId="76" borderId="32" xfId="3" applyFill="1" applyBorder="1"/>
    <xf numFmtId="0" fontId="4" fillId="0" borderId="62" xfId="3" applyBorder="1"/>
    <xf numFmtId="0" fontId="4" fillId="0" borderId="29" xfId="3" applyBorder="1"/>
    <xf numFmtId="0" fontId="4" fillId="0" borderId="21" xfId="3" applyBorder="1"/>
    <xf numFmtId="0" fontId="4" fillId="0" borderId="32" xfId="3" applyBorder="1"/>
    <xf numFmtId="0" fontId="4" fillId="76" borderId="60" xfId="3" applyFill="1" applyBorder="1"/>
    <xf numFmtId="0" fontId="4" fillId="76" borderId="33" xfId="3" applyFill="1" applyBorder="1"/>
    <xf numFmtId="0" fontId="4" fillId="76" borderId="0" xfId="3" applyFill="1"/>
    <xf numFmtId="0" fontId="4" fillId="76" borderId="35" xfId="3" quotePrefix="1" applyFill="1" applyBorder="1"/>
    <xf numFmtId="0" fontId="4" fillId="0" borderId="60" xfId="3" applyBorder="1"/>
    <xf numFmtId="0" fontId="4" fillId="0" borderId="33" xfId="3" applyBorder="1"/>
    <xf numFmtId="0" fontId="4" fillId="0" borderId="35" xfId="3" quotePrefix="1" applyBorder="1"/>
    <xf numFmtId="177" fontId="4" fillId="0" borderId="62" xfId="3" applyNumberFormat="1" applyBorder="1"/>
    <xf numFmtId="177" fontId="4" fillId="0" borderId="29" xfId="3" applyNumberFormat="1" applyBorder="1"/>
    <xf numFmtId="177" fontId="4" fillId="0" borderId="21" xfId="3" applyNumberFormat="1" applyBorder="1"/>
    <xf numFmtId="177" fontId="4" fillId="0" borderId="32" xfId="3" applyNumberFormat="1" applyBorder="1"/>
    <xf numFmtId="177" fontId="72" fillId="77" borderId="62" xfId="3" applyNumberFormat="1" applyFont="1" applyFill="1" applyBorder="1"/>
    <xf numFmtId="177" fontId="4" fillId="77" borderId="62" xfId="3" applyNumberFormat="1" applyFill="1" applyBorder="1"/>
    <xf numFmtId="177" fontId="4" fillId="0" borderId="60" xfId="3" applyNumberFormat="1" applyBorder="1"/>
    <xf numFmtId="177" fontId="4" fillId="0" borderId="33" xfId="3" applyNumberFormat="1" applyBorder="1"/>
    <xf numFmtId="177" fontId="4" fillId="0" borderId="0" xfId="3" applyNumberFormat="1"/>
    <xf numFmtId="177" fontId="4" fillId="0" borderId="35" xfId="3" applyNumberFormat="1" applyBorder="1"/>
    <xf numFmtId="177" fontId="72" fillId="0" borderId="60" xfId="3" applyNumberFormat="1" applyFont="1" applyBorder="1"/>
    <xf numFmtId="0" fontId="4" fillId="0" borderId="26" xfId="3" applyBorder="1"/>
    <xf numFmtId="0" fontId="4" fillId="0" borderId="19" xfId="3" applyBorder="1"/>
    <xf numFmtId="177" fontId="4" fillId="0" borderId="63" xfId="3" applyNumberFormat="1" applyBorder="1"/>
    <xf numFmtId="177" fontId="4" fillId="0" borderId="26" xfId="3" applyNumberFormat="1" applyBorder="1"/>
    <xf numFmtId="177" fontId="4" fillId="0" borderId="19" xfId="3" applyNumberFormat="1" applyBorder="1"/>
    <xf numFmtId="177" fontId="4" fillId="0" borderId="36" xfId="3" applyNumberFormat="1" applyBorder="1"/>
    <xf numFmtId="177" fontId="72" fillId="0" borderId="63" xfId="3" applyNumberFormat="1" applyFont="1" applyBorder="1"/>
    <xf numFmtId="0" fontId="4" fillId="0" borderId="35" xfId="3" applyBorder="1"/>
    <xf numFmtId="11" fontId="4" fillId="0" borderId="62" xfId="3" applyNumberFormat="1" applyBorder="1"/>
    <xf numFmtId="0" fontId="4" fillId="6" borderId="60" xfId="3" applyFill="1" applyBorder="1"/>
    <xf numFmtId="177" fontId="4" fillId="6" borderId="33" xfId="3" applyNumberFormat="1" applyFill="1" applyBorder="1"/>
    <xf numFmtId="177" fontId="4" fillId="6" borderId="0" xfId="3" applyNumberFormat="1" applyFill="1"/>
    <xf numFmtId="177" fontId="4" fillId="6" borderId="35" xfId="3" applyNumberFormat="1" applyFill="1" applyBorder="1"/>
    <xf numFmtId="11" fontId="4" fillId="0" borderId="60" xfId="3" applyNumberFormat="1" applyBorder="1"/>
    <xf numFmtId="0" fontId="4" fillId="0" borderId="63" xfId="3" applyBorder="1"/>
    <xf numFmtId="11" fontId="4" fillId="0" borderId="63" xfId="3" applyNumberFormat="1" applyBorder="1"/>
    <xf numFmtId="177" fontId="72" fillId="0" borderId="62" xfId="3" applyNumberFormat="1" applyFont="1" applyBorder="1"/>
    <xf numFmtId="177" fontId="4" fillId="6" borderId="60" xfId="3" applyNumberFormat="1" applyFill="1" applyBorder="1"/>
    <xf numFmtId="0" fontId="4" fillId="0" borderId="64" xfId="3" applyBorder="1"/>
    <xf numFmtId="0" fontId="4" fillId="0" borderId="65" xfId="3" applyBorder="1"/>
    <xf numFmtId="0" fontId="4" fillId="0" borderId="66" xfId="3" applyBorder="1"/>
    <xf numFmtId="177" fontId="4" fillId="0" borderId="64" xfId="3" applyNumberFormat="1" applyBorder="1"/>
    <xf numFmtId="177" fontId="4" fillId="0" borderId="65" xfId="3" applyNumberFormat="1" applyBorder="1"/>
    <xf numFmtId="177" fontId="4" fillId="0" borderId="67" xfId="3" applyNumberFormat="1" applyBorder="1"/>
    <xf numFmtId="11" fontId="4" fillId="0" borderId="66" xfId="3" applyNumberFormat="1" applyBorder="1"/>
    <xf numFmtId="177" fontId="4" fillId="0" borderId="66" xfId="3" applyNumberFormat="1" applyBorder="1"/>
    <xf numFmtId="166" fontId="0" fillId="0" borderId="0" xfId="0" applyNumberFormat="1"/>
    <xf numFmtId="0" fontId="4" fillId="0" borderId="0" xfId="4"/>
    <xf numFmtId="0" fontId="75" fillId="0" borderId="0" xfId="0" applyFont="1"/>
    <xf numFmtId="0" fontId="4" fillId="25" borderId="0" xfId="3" applyFill="1"/>
    <xf numFmtId="2" fontId="4" fillId="25" borderId="0" xfId="3" applyNumberFormat="1" applyFill="1"/>
    <xf numFmtId="0" fontId="6" fillId="75" borderId="12" xfId="3" applyFont="1" applyFill="1" applyBorder="1"/>
    <xf numFmtId="0" fontId="4" fillId="75" borderId="12" xfId="3" applyFill="1" applyBorder="1"/>
    <xf numFmtId="165" fontId="4" fillId="75" borderId="12" xfId="3" applyNumberFormat="1" applyFill="1" applyBorder="1"/>
    <xf numFmtId="0" fontId="4" fillId="25" borderId="0" xfId="3" applyFill="1" applyAlignment="1">
      <alignment vertical="center"/>
    </xf>
    <xf numFmtId="0" fontId="4" fillId="78" borderId="0" xfId="3" applyFill="1" applyAlignment="1">
      <alignment vertical="center"/>
    </xf>
    <xf numFmtId="1" fontId="4" fillId="25" borderId="0" xfId="3" applyNumberFormat="1" applyFill="1" applyAlignment="1">
      <alignment horizontal="center" vertical="center"/>
    </xf>
    <xf numFmtId="165" fontId="4" fillId="25" borderId="0" xfId="3" applyNumberFormat="1" applyFill="1" applyAlignment="1">
      <alignment vertical="center"/>
    </xf>
    <xf numFmtId="2" fontId="4" fillId="25" borderId="0" xfId="3" applyNumberFormat="1" applyFill="1" applyAlignment="1">
      <alignment vertical="center"/>
    </xf>
    <xf numFmtId="2" fontId="4" fillId="25" borderId="19" xfId="3" applyNumberFormat="1" applyFill="1" applyBorder="1" applyAlignment="1">
      <alignment vertical="center"/>
    </xf>
    <xf numFmtId="165" fontId="4" fillId="25" borderId="19" xfId="3" applyNumberFormat="1" applyFill="1" applyBorder="1" applyAlignment="1">
      <alignment vertical="center"/>
    </xf>
    <xf numFmtId="0" fontId="4" fillId="25" borderId="19" xfId="3" applyFill="1" applyBorder="1" applyAlignment="1">
      <alignment vertical="center"/>
    </xf>
    <xf numFmtId="0" fontId="76" fillId="0" borderId="0" xfId="3" applyFont="1"/>
    <xf numFmtId="0" fontId="76" fillId="0" borderId="0" xfId="3" applyFont="1" applyAlignment="1">
      <alignment horizontal="center"/>
    </xf>
    <xf numFmtId="0" fontId="76" fillId="0" borderId="0" xfId="476" applyFont="1" applyAlignment="1">
      <alignment wrapText="1"/>
    </xf>
    <xf numFmtId="0" fontId="77" fillId="0" borderId="0" xfId="476" applyFont="1" applyAlignment="1">
      <alignment wrapText="1"/>
    </xf>
    <xf numFmtId="165" fontId="76" fillId="0" borderId="0" xfId="3" applyNumberFormat="1" applyFont="1"/>
    <xf numFmtId="176" fontId="4" fillId="78" borderId="0" xfId="3" applyNumberFormat="1" applyFill="1" applyAlignment="1">
      <alignment vertical="center"/>
    </xf>
    <xf numFmtId="0" fontId="4" fillId="78" borderId="0" xfId="3" applyFill="1" applyAlignment="1">
      <alignment vertical="center" wrapText="1"/>
    </xf>
    <xf numFmtId="0" fontId="4" fillId="2" borderId="16" xfId="3" applyFill="1" applyBorder="1" applyAlignment="1">
      <alignment vertical="center"/>
    </xf>
    <xf numFmtId="0" fontId="4" fillId="2" borderId="16" xfId="3" applyFill="1" applyBorder="1" applyAlignment="1">
      <alignment vertical="center" wrapText="1"/>
    </xf>
    <xf numFmtId="0" fontId="4" fillId="75" borderId="19" xfId="3" applyFill="1" applyBorder="1" applyAlignment="1">
      <alignment vertical="center"/>
    </xf>
    <xf numFmtId="0" fontId="5" fillId="0" borderId="0" xfId="4" applyFont="1"/>
    <xf numFmtId="0" fontId="8" fillId="3" borderId="0" xfId="0" applyFont="1" applyFill="1" applyAlignment="1">
      <alignment vertical="center"/>
    </xf>
    <xf numFmtId="0" fontId="3" fillId="0" borderId="12" xfId="0" applyFont="1" applyBorder="1" applyAlignment="1">
      <alignment horizontal="center" vertical="center" wrapText="1"/>
    </xf>
    <xf numFmtId="0" fontId="18" fillId="0" borderId="0" xfId="0" applyFont="1" applyAlignment="1">
      <alignment horizontal="left" vertical="center"/>
    </xf>
    <xf numFmtId="0" fontId="75" fillId="80" borderId="0" xfId="0" applyFont="1" applyFill="1"/>
    <xf numFmtId="0" fontId="75" fillId="79" borderId="16" xfId="0" applyFont="1" applyFill="1" applyBorder="1"/>
    <xf numFmtId="0" fontId="75" fillId="79" borderId="12" xfId="0" applyFont="1" applyFill="1" applyBorder="1"/>
    <xf numFmtId="0" fontId="4" fillId="80" borderId="0" xfId="4" applyFill="1"/>
    <xf numFmtId="0" fontId="6" fillId="79" borderId="16" xfId="3" applyFont="1" applyFill="1" applyBorder="1" applyAlignment="1">
      <alignment vertical="center"/>
    </xf>
    <xf numFmtId="0" fontId="4" fillId="79" borderId="16" xfId="3" applyFill="1" applyBorder="1" applyAlignment="1">
      <alignment vertical="center"/>
    </xf>
    <xf numFmtId="43" fontId="4" fillId="79" borderId="16" xfId="1" applyFont="1" applyFill="1" applyBorder="1" applyAlignment="1">
      <alignment vertical="center"/>
    </xf>
    <xf numFmtId="0" fontId="4" fillId="80" borderId="0" xfId="3" applyFill="1" applyAlignment="1">
      <alignment vertical="center"/>
    </xf>
    <xf numFmtId="1" fontId="4" fillId="80" borderId="0" xfId="3" applyNumberFormat="1" applyFill="1" applyAlignment="1">
      <alignment vertical="center"/>
    </xf>
    <xf numFmtId="2" fontId="4" fillId="80" borderId="0" xfId="3" applyNumberFormat="1" applyFill="1" applyAlignment="1">
      <alignment vertical="center"/>
    </xf>
    <xf numFmtId="43" fontId="4" fillId="80" borderId="0" xfId="1" applyFont="1" applyFill="1" applyBorder="1" applyAlignment="1">
      <alignment vertical="center"/>
    </xf>
    <xf numFmtId="165" fontId="4" fillId="80" borderId="0" xfId="3" applyNumberFormat="1" applyFill="1" applyAlignment="1">
      <alignment vertical="center"/>
    </xf>
    <xf numFmtId="0" fontId="4" fillId="80" borderId="19" xfId="3" applyFill="1" applyBorder="1" applyAlignment="1">
      <alignment vertical="center"/>
    </xf>
    <xf numFmtId="2" fontId="4" fillId="80" borderId="19" xfId="3" applyNumberFormat="1" applyFill="1" applyBorder="1" applyAlignment="1">
      <alignment vertical="center"/>
    </xf>
    <xf numFmtId="165" fontId="4" fillId="80" borderId="19" xfId="3" applyNumberFormat="1" applyFill="1" applyBorder="1" applyAlignment="1">
      <alignment vertical="center"/>
    </xf>
    <xf numFmtId="43" fontId="4" fillId="80" borderId="19" xfId="1" applyFont="1" applyFill="1" applyBorder="1" applyAlignment="1">
      <alignment vertical="center"/>
    </xf>
    <xf numFmtId="0" fontId="76" fillId="80" borderId="0" xfId="3" applyFont="1" applyFill="1"/>
    <xf numFmtId="0" fontId="76" fillId="80" borderId="0" xfId="3" applyFont="1" applyFill="1" applyAlignment="1">
      <alignment horizontal="left"/>
    </xf>
    <xf numFmtId="0" fontId="76" fillId="80" borderId="0" xfId="3" applyFont="1" applyFill="1" applyAlignment="1">
      <alignment horizontal="center"/>
    </xf>
    <xf numFmtId="1" fontId="76" fillId="80" borderId="0" xfId="3" applyNumberFormat="1" applyFont="1" applyFill="1"/>
    <xf numFmtId="0" fontId="0" fillId="25" borderId="0" xfId="0" applyFill="1" applyAlignment="1">
      <alignment horizontal="left"/>
    </xf>
    <xf numFmtId="168" fontId="0" fillId="25" borderId="0" xfId="1" applyNumberFormat="1" applyFont="1" applyFill="1" applyBorder="1"/>
    <xf numFmtId="43" fontId="0" fillId="3" borderId="0" xfId="1" applyFont="1" applyFill="1" applyBorder="1"/>
    <xf numFmtId="0" fontId="3" fillId="3" borderId="0" xfId="0" applyFont="1" applyFill="1"/>
    <xf numFmtId="0" fontId="21" fillId="3" borderId="0" xfId="0" applyFont="1" applyFill="1"/>
    <xf numFmtId="0" fontId="19" fillId="81" borderId="19" xfId="0" applyFont="1" applyFill="1" applyBorder="1"/>
    <xf numFmtId="0" fontId="0" fillId="25" borderId="19" xfId="0" applyFill="1" applyBorder="1" applyAlignment="1">
      <alignment horizontal="left"/>
    </xf>
    <xf numFmtId="168" fontId="0" fillId="25" borderId="19" xfId="1" applyNumberFormat="1" applyFont="1" applyFill="1" applyBorder="1"/>
    <xf numFmtId="0" fontId="0" fillId="25" borderId="0" xfId="0" applyFill="1"/>
    <xf numFmtId="0" fontId="3" fillId="0" borderId="0" xfId="0" applyFont="1"/>
    <xf numFmtId="0" fontId="3" fillId="81" borderId="0" xfId="0" applyFont="1" applyFill="1" applyAlignment="1">
      <alignment horizontal="center" vertical="center" wrapText="1"/>
    </xf>
    <xf numFmtId="0" fontId="33" fillId="81" borderId="33" xfId="0" applyFont="1" applyFill="1" applyBorder="1" applyAlignment="1">
      <alignment horizontal="center" vertical="center" wrapText="1"/>
    </xf>
    <xf numFmtId="0" fontId="33" fillId="81" borderId="3" xfId="0" applyFont="1" applyFill="1" applyBorder="1" applyAlignment="1">
      <alignment horizontal="center" vertical="center" wrapText="1"/>
    </xf>
    <xf numFmtId="0" fontId="0" fillId="81" borderId="12" xfId="0" applyFill="1" applyBorder="1" applyAlignment="1">
      <alignment horizontal="center" vertical="center"/>
    </xf>
    <xf numFmtId="0" fontId="0" fillId="25" borderId="0" xfId="0" applyFill="1" applyAlignment="1">
      <alignment horizontal="left" vertical="center"/>
    </xf>
    <xf numFmtId="2" fontId="0" fillId="25" borderId="0" xfId="0" applyNumberFormat="1" applyFill="1"/>
    <xf numFmtId="2" fontId="0" fillId="25" borderId="0" xfId="0" applyNumberFormat="1" applyFill="1" applyAlignment="1">
      <alignment horizontal="center"/>
    </xf>
    <xf numFmtId="0" fontId="0" fillId="25" borderId="0" xfId="0" applyFill="1" applyAlignment="1">
      <alignment horizontal="center"/>
    </xf>
    <xf numFmtId="2" fontId="0" fillId="25" borderId="0" xfId="0" applyNumberFormat="1" applyFill="1" applyAlignment="1">
      <alignment horizontal="left" vertical="center"/>
    </xf>
    <xf numFmtId="0" fontId="0" fillId="22" borderId="24" xfId="0" applyFill="1" applyBorder="1"/>
    <xf numFmtId="0" fontId="0" fillId="27" borderId="0" xfId="0" applyFill="1"/>
    <xf numFmtId="41" fontId="7" fillId="0" borderId="69" xfId="0" applyNumberFormat="1" applyFont="1" applyBorder="1"/>
    <xf numFmtId="43" fontId="7" fillId="0" borderId="69" xfId="0" applyNumberFormat="1" applyFont="1" applyBorder="1"/>
    <xf numFmtId="43" fontId="7" fillId="6" borderId="69" xfId="0" applyNumberFormat="1" applyFont="1" applyFill="1" applyBorder="1"/>
    <xf numFmtId="0" fontId="4" fillId="0" borderId="70" xfId="3" applyBorder="1" applyAlignment="1">
      <alignment vertical="center"/>
    </xf>
    <xf numFmtId="0" fontId="6" fillId="75" borderId="70" xfId="3" applyFont="1" applyFill="1" applyBorder="1" applyAlignment="1">
      <alignment horizontal="center" vertical="center"/>
    </xf>
    <xf numFmtId="0" fontId="0" fillId="0" borderId="70" xfId="0" applyBorder="1" applyAlignment="1">
      <alignment horizontal="left" vertical="center"/>
    </xf>
    <xf numFmtId="0" fontId="0" fillId="0" borderId="71" xfId="0" applyBorder="1" applyAlignment="1">
      <alignment horizontal="left" vertical="center"/>
    </xf>
    <xf numFmtId="0" fontId="4" fillId="0" borderId="72" xfId="0" applyFont="1" applyBorder="1" applyAlignment="1">
      <alignment vertical="center"/>
    </xf>
    <xf numFmtId="167" fontId="4" fillId="0" borderId="72" xfId="0" applyNumberFormat="1" applyFont="1" applyBorder="1" applyAlignment="1">
      <alignment vertical="center"/>
    </xf>
    <xf numFmtId="2" fontId="4" fillId="0" borderId="70" xfId="0" applyNumberFormat="1" applyFont="1" applyBorder="1" applyAlignment="1">
      <alignment horizontal="right" vertical="center" readingOrder="1"/>
    </xf>
    <xf numFmtId="41" fontId="7" fillId="0" borderId="72" xfId="0" applyNumberFormat="1" applyFont="1" applyBorder="1"/>
    <xf numFmtId="41" fontId="7" fillId="0" borderId="70" xfId="0" applyNumberFormat="1" applyFont="1" applyBorder="1"/>
    <xf numFmtId="164" fontId="80" fillId="0" borderId="0" xfId="4" applyNumberFormat="1" applyFont="1"/>
    <xf numFmtId="0" fontId="81" fillId="0" borderId="0" xfId="3" applyFont="1"/>
    <xf numFmtId="0" fontId="81" fillId="0" borderId="0" xfId="4" applyFont="1"/>
    <xf numFmtId="164" fontId="82" fillId="79" borderId="16" xfId="4" applyNumberFormat="1" applyFont="1" applyFill="1" applyBorder="1" applyAlignment="1">
      <alignment horizontal="left"/>
    </xf>
    <xf numFmtId="0" fontId="44" fillId="80" borderId="0" xfId="0" applyFont="1" applyFill="1"/>
    <xf numFmtId="0" fontId="44" fillId="0" borderId="0" xfId="0" applyFont="1"/>
    <xf numFmtId="164" fontId="82" fillId="79" borderId="12" xfId="4" applyNumberFormat="1" applyFont="1" applyFill="1" applyBorder="1" applyAlignment="1">
      <alignment horizontal="left"/>
    </xf>
    <xf numFmtId="164" fontId="81" fillId="80" borderId="0" xfId="4" applyNumberFormat="1" applyFont="1" applyFill="1"/>
    <xf numFmtId="0" fontId="81" fillId="80" borderId="0" xfId="3" applyFont="1" applyFill="1"/>
    <xf numFmtId="0" fontId="44" fillId="80" borderId="19" xfId="0" applyFont="1" applyFill="1" applyBorder="1"/>
    <xf numFmtId="0" fontId="82" fillId="0" borderId="0" xfId="4" applyFont="1"/>
    <xf numFmtId="0" fontId="83" fillId="0" borderId="0" xfId="0" applyFont="1"/>
    <xf numFmtId="0" fontId="80" fillId="0" borderId="0" xfId="4" applyFont="1"/>
    <xf numFmtId="0" fontId="81" fillId="80" borderId="0" xfId="4" applyFont="1" applyFill="1"/>
    <xf numFmtId="0" fontId="44" fillId="79" borderId="12" xfId="0" applyFont="1" applyFill="1" applyBorder="1"/>
    <xf numFmtId="0" fontId="81" fillId="0" borderId="0" xfId="3" applyFont="1" applyAlignment="1">
      <alignment vertical="center"/>
    </xf>
    <xf numFmtId="0" fontId="81" fillId="0" borderId="0" xfId="3" applyFont="1" applyAlignment="1">
      <alignment vertical="center" wrapText="1"/>
    </xf>
    <xf numFmtId="0" fontId="80" fillId="0" borderId="0" xfId="5" applyFont="1" applyAlignment="1">
      <alignment horizontal="left"/>
    </xf>
    <xf numFmtId="43" fontId="81" fillId="0" borderId="0" xfId="1" applyFont="1" applyFill="1" applyAlignment="1">
      <alignment vertical="center"/>
    </xf>
    <xf numFmtId="0" fontId="81" fillId="0" borderId="0" xfId="3" applyFont="1" applyAlignment="1">
      <alignment horizontal="left" vertical="center"/>
    </xf>
    <xf numFmtId="43" fontId="81" fillId="0" borderId="0" xfId="1" applyFont="1" applyFill="1" applyAlignment="1">
      <alignment horizontal="left" vertical="center"/>
    </xf>
    <xf numFmtId="0" fontId="84" fillId="80" borderId="65" xfId="3" applyFont="1" applyFill="1" applyBorder="1" applyAlignment="1">
      <alignment vertical="center"/>
    </xf>
    <xf numFmtId="0" fontId="81" fillId="80" borderId="65" xfId="3" applyFont="1" applyFill="1" applyBorder="1" applyAlignment="1">
      <alignment vertical="center"/>
    </xf>
    <xf numFmtId="1" fontId="81" fillId="80" borderId="65" xfId="3" applyNumberFormat="1" applyFont="1" applyFill="1" applyBorder="1" applyAlignment="1">
      <alignment vertical="center"/>
    </xf>
    <xf numFmtId="0" fontId="82" fillId="0" borderId="0" xfId="3" applyFont="1" applyAlignment="1">
      <alignment vertical="center"/>
    </xf>
    <xf numFmtId="0" fontId="82" fillId="79" borderId="16" xfId="3" applyFont="1" applyFill="1" applyBorder="1" applyAlignment="1">
      <alignment vertical="center"/>
    </xf>
    <xf numFmtId="0" fontId="81" fillId="79" borderId="16" xfId="3" applyFont="1" applyFill="1" applyBorder="1" applyAlignment="1">
      <alignment vertical="center"/>
    </xf>
    <xf numFmtId="43" fontId="81" fillId="79" borderId="16" xfId="1" applyFont="1" applyFill="1" applyBorder="1" applyAlignment="1">
      <alignment vertical="center"/>
    </xf>
    <xf numFmtId="43" fontId="84" fillId="79" borderId="16" xfId="1" applyFont="1" applyFill="1" applyBorder="1" applyAlignment="1">
      <alignment vertical="center"/>
    </xf>
    <xf numFmtId="0" fontId="81" fillId="25" borderId="0" xfId="3" applyFont="1" applyFill="1" applyAlignment="1">
      <alignment vertical="center"/>
    </xf>
    <xf numFmtId="0" fontId="84" fillId="25" borderId="0" xfId="3" applyFont="1" applyFill="1" applyAlignment="1">
      <alignment vertical="center"/>
    </xf>
    <xf numFmtId="0" fontId="84" fillId="80" borderId="0" xfId="3" applyFont="1" applyFill="1" applyAlignment="1">
      <alignment vertical="center"/>
    </xf>
    <xf numFmtId="0" fontId="81" fillId="80" borderId="0" xfId="3" applyFont="1" applyFill="1" applyAlignment="1">
      <alignment vertical="center"/>
    </xf>
    <xf numFmtId="2" fontId="84" fillId="80" borderId="0" xfId="3" applyNumberFormat="1" applyFont="1" applyFill="1" applyAlignment="1">
      <alignment vertical="center"/>
    </xf>
    <xf numFmtId="43" fontId="84" fillId="80" borderId="0" xfId="1" applyFont="1" applyFill="1" applyBorder="1" applyAlignment="1">
      <alignment vertical="center"/>
    </xf>
    <xf numFmtId="43" fontId="81" fillId="80" borderId="0" xfId="1" applyFont="1" applyFill="1" applyBorder="1" applyAlignment="1">
      <alignment vertical="center"/>
    </xf>
    <xf numFmtId="2" fontId="84" fillId="25" borderId="0" xfId="3" applyNumberFormat="1" applyFont="1" applyFill="1" applyAlignment="1">
      <alignment vertical="center"/>
    </xf>
    <xf numFmtId="165" fontId="81" fillId="25" borderId="0" xfId="3" applyNumberFormat="1" applyFont="1" applyFill="1" applyAlignment="1">
      <alignment vertical="center"/>
    </xf>
    <xf numFmtId="0" fontId="81" fillId="80" borderId="19" xfId="3" applyFont="1" applyFill="1" applyBorder="1" applyAlignment="1">
      <alignment vertical="center"/>
    </xf>
    <xf numFmtId="2" fontId="84" fillId="80" borderId="19" xfId="3" applyNumberFormat="1" applyFont="1" applyFill="1" applyBorder="1" applyAlignment="1">
      <alignment vertical="center"/>
    </xf>
    <xf numFmtId="2" fontId="81" fillId="80" borderId="19" xfId="3" applyNumberFormat="1" applyFont="1" applyFill="1" applyBorder="1" applyAlignment="1">
      <alignment vertical="center"/>
    </xf>
    <xf numFmtId="165" fontId="81" fillId="80" borderId="19" xfId="3" applyNumberFormat="1" applyFont="1" applyFill="1" applyBorder="1" applyAlignment="1">
      <alignment vertical="center"/>
    </xf>
    <xf numFmtId="43" fontId="81" fillId="80" borderId="19" xfId="1" applyFont="1" applyFill="1" applyBorder="1" applyAlignment="1">
      <alignment vertical="center"/>
    </xf>
    <xf numFmtId="43" fontId="84" fillId="80" borderId="19" xfId="1" applyFont="1" applyFill="1" applyBorder="1" applyAlignment="1">
      <alignment vertical="center"/>
    </xf>
    <xf numFmtId="2" fontId="81" fillId="25" borderId="19" xfId="3" applyNumberFormat="1" applyFont="1" applyFill="1" applyBorder="1" applyAlignment="1">
      <alignment vertical="center"/>
    </xf>
    <xf numFmtId="2" fontId="84" fillId="25" borderId="19" xfId="3" applyNumberFormat="1" applyFont="1" applyFill="1" applyBorder="1" applyAlignment="1">
      <alignment vertical="center"/>
    </xf>
    <xf numFmtId="165" fontId="81" fillId="25" borderId="19" xfId="3" applyNumberFormat="1" applyFont="1" applyFill="1" applyBorder="1" applyAlignment="1">
      <alignment vertical="center"/>
    </xf>
    <xf numFmtId="0" fontId="81" fillId="25" borderId="19" xfId="3" applyFont="1" applyFill="1" applyBorder="1" applyAlignment="1">
      <alignment vertical="center"/>
    </xf>
    <xf numFmtId="0" fontId="81" fillId="0" borderId="0" xfId="3" applyFont="1" applyAlignment="1">
      <alignment horizontal="center"/>
    </xf>
    <xf numFmtId="0" fontId="84" fillId="80" borderId="0" xfId="3" applyFont="1" applyFill="1"/>
    <xf numFmtId="0" fontId="81" fillId="80" borderId="0" xfId="3" applyFont="1" applyFill="1" applyAlignment="1">
      <alignment horizontal="left"/>
    </xf>
    <xf numFmtId="0" fontId="81" fillId="80" borderId="0" xfId="3" applyFont="1" applyFill="1" applyAlignment="1">
      <alignment horizontal="center"/>
    </xf>
    <xf numFmtId="1" fontId="81" fillId="80" borderId="0" xfId="3" applyNumberFormat="1" applyFont="1" applyFill="1"/>
    <xf numFmtId="0" fontId="82" fillId="0" borderId="0" xfId="3" applyFont="1" applyAlignment="1">
      <alignment horizontal="center" vertical="center"/>
    </xf>
    <xf numFmtId="176" fontId="81" fillId="80" borderId="0" xfId="3" applyNumberFormat="1" applyFont="1" applyFill="1" applyAlignment="1">
      <alignment vertical="center"/>
    </xf>
    <xf numFmtId="0" fontId="84" fillId="80" borderId="0" xfId="3" applyFont="1" applyFill="1" applyAlignment="1">
      <alignment vertical="center" wrapText="1"/>
    </xf>
    <xf numFmtId="0" fontId="84" fillId="80" borderId="12" xfId="3" applyFont="1" applyFill="1" applyBorder="1" applyAlignment="1">
      <alignment vertical="center"/>
    </xf>
    <xf numFmtId="0" fontId="84" fillId="80" borderId="12" xfId="3" applyFont="1" applyFill="1" applyBorder="1" applyAlignment="1">
      <alignment vertical="center" wrapText="1"/>
    </xf>
    <xf numFmtId="0" fontId="81" fillId="80" borderId="12" xfId="3" applyFont="1" applyFill="1" applyBorder="1" applyAlignment="1">
      <alignment vertical="center"/>
    </xf>
    <xf numFmtId="0" fontId="81" fillId="80" borderId="12" xfId="3" applyFont="1" applyFill="1" applyBorder="1"/>
    <xf numFmtId="0" fontId="81" fillId="80" borderId="12" xfId="3" applyFont="1" applyFill="1" applyBorder="1" applyAlignment="1">
      <alignment horizontal="left"/>
    </xf>
    <xf numFmtId="0" fontId="81" fillId="80" borderId="12" xfId="3" applyFont="1" applyFill="1" applyBorder="1" applyAlignment="1">
      <alignment horizontal="center"/>
    </xf>
    <xf numFmtId="0" fontId="83" fillId="0" borderId="0" xfId="0" applyFont="1" applyAlignment="1">
      <alignment horizontal="left" indent="1"/>
    </xf>
    <xf numFmtId="0" fontId="3" fillId="25" borderId="0" xfId="0" applyFont="1" applyFill="1" applyAlignment="1">
      <alignment horizontal="left" vertical="center"/>
    </xf>
    <xf numFmtId="10" fontId="85" fillId="16" borderId="0" xfId="0" applyNumberFormat="1" applyFont="1" applyFill="1" applyAlignment="1">
      <alignment horizontal="right"/>
    </xf>
    <xf numFmtId="0" fontId="4" fillId="0" borderId="0" xfId="0" applyFont="1" applyAlignment="1">
      <alignment horizontal="right"/>
    </xf>
    <xf numFmtId="0" fontId="81" fillId="0" borderId="0" xfId="0" applyFont="1"/>
    <xf numFmtId="41" fontId="44" fillId="0" borderId="70" xfId="0" applyNumberFormat="1" applyFont="1" applyBorder="1"/>
    <xf numFmtId="0" fontId="44" fillId="25" borderId="21" xfId="0" applyFont="1" applyFill="1" applyBorder="1"/>
    <xf numFmtId="0" fontId="44" fillId="25" borderId="0" xfId="0" applyFont="1" applyFill="1"/>
    <xf numFmtId="0" fontId="44" fillId="25" borderId="12" xfId="0" applyFont="1" applyFill="1" applyBorder="1"/>
    <xf numFmtId="43" fontId="81" fillId="0" borderId="0" xfId="1" applyFont="1"/>
    <xf numFmtId="43" fontId="44" fillId="0" borderId="0" xfId="1" applyFont="1"/>
    <xf numFmtId="43" fontId="44" fillId="25" borderId="21" xfId="1" applyFont="1" applyFill="1" applyBorder="1"/>
    <xf numFmtId="43" fontId="44" fillId="25" borderId="0" xfId="1" applyFont="1" applyFill="1" applyBorder="1"/>
    <xf numFmtId="43" fontId="44" fillId="25" borderId="12" xfId="1" applyFont="1" applyFill="1" applyBorder="1"/>
    <xf numFmtId="41" fontId="44" fillId="0" borderId="0" xfId="0" applyNumberFormat="1" applyFont="1"/>
    <xf numFmtId="0" fontId="81" fillId="0" borderId="0" xfId="0" applyFont="1" applyAlignment="1">
      <alignment horizontal="center" vertical="center"/>
    </xf>
    <xf numFmtId="0" fontId="83" fillId="0" borderId="74" xfId="0" applyFont="1" applyBorder="1" applyAlignment="1">
      <alignment horizontal="center" vertical="center" textRotation="90"/>
    </xf>
    <xf numFmtId="0" fontId="81" fillId="0" borderId="60" xfId="0" applyFont="1" applyBorder="1" applyAlignment="1">
      <alignment vertical="center"/>
    </xf>
    <xf numFmtId="0" fontId="81" fillId="0" borderId="76" xfId="0" applyFont="1" applyBorder="1" applyAlignment="1">
      <alignment vertical="center"/>
    </xf>
    <xf numFmtId="43" fontId="81" fillId="0" borderId="0" xfId="1" applyFont="1" applyBorder="1"/>
    <xf numFmtId="43" fontId="81" fillId="0" borderId="0" xfId="1" applyFont="1" applyFill="1" applyBorder="1"/>
    <xf numFmtId="43" fontId="83" fillId="75" borderId="74" xfId="1" applyFont="1" applyFill="1" applyBorder="1" applyAlignment="1">
      <alignment horizontal="center" vertical="center" wrapText="1"/>
    </xf>
    <xf numFmtId="43" fontId="83" fillId="75" borderId="75" xfId="1" applyFont="1" applyFill="1" applyBorder="1" applyAlignment="1">
      <alignment horizontal="center" vertical="center" wrapText="1" readingOrder="1"/>
    </xf>
    <xf numFmtId="43" fontId="81" fillId="0" borderId="33" xfId="1" applyFont="1" applyBorder="1" applyAlignment="1">
      <alignment vertical="center"/>
    </xf>
    <xf numFmtId="43" fontId="81" fillId="0" borderId="33" xfId="1" applyFont="1" applyFill="1" applyBorder="1" applyAlignment="1">
      <alignment horizontal="right" vertical="center" readingOrder="1"/>
    </xf>
    <xf numFmtId="43" fontId="81" fillId="0" borderId="33" xfId="1" applyFont="1" applyFill="1" applyBorder="1" applyAlignment="1">
      <alignment vertical="center"/>
    </xf>
    <xf numFmtId="43" fontId="81" fillId="0" borderId="74" xfId="1" applyFont="1" applyBorder="1" applyAlignment="1">
      <alignment vertical="center"/>
    </xf>
    <xf numFmtId="43" fontId="81" fillId="0" borderId="75" xfId="1" applyFont="1" applyBorder="1" applyAlignment="1">
      <alignment horizontal="right" vertical="center" readingOrder="1"/>
    </xf>
    <xf numFmtId="43" fontId="83" fillId="75" borderId="74" xfId="1" applyFont="1" applyFill="1" applyBorder="1" applyAlignment="1">
      <alignment horizontal="center" vertical="center"/>
    </xf>
    <xf numFmtId="3" fontId="83" fillId="75" borderId="75" xfId="0" applyNumberFormat="1" applyFont="1" applyFill="1" applyBorder="1" applyAlignment="1">
      <alignment horizontal="center" vertical="center"/>
    </xf>
    <xf numFmtId="43" fontId="81" fillId="0" borderId="33" xfId="1" applyFont="1" applyBorder="1"/>
    <xf numFmtId="168" fontId="81" fillId="0" borderId="0" xfId="0" applyNumberFormat="1" applyFont="1"/>
    <xf numFmtId="168" fontId="81" fillId="0" borderId="35" xfId="0" applyNumberFormat="1" applyFont="1" applyBorder="1"/>
    <xf numFmtId="41" fontId="81" fillId="0" borderId="0" xfId="0" applyNumberFormat="1" applyFont="1"/>
    <xf numFmtId="41" fontId="81" fillId="0" borderId="35" xfId="0" applyNumberFormat="1" applyFont="1" applyBorder="1"/>
    <xf numFmtId="43" fontId="81" fillId="0" borderId="33" xfId="1" applyFont="1" applyFill="1" applyBorder="1"/>
    <xf numFmtId="43" fontId="81" fillId="0" borderId="74" xfId="1" applyFont="1" applyBorder="1"/>
    <xf numFmtId="10" fontId="81" fillId="0" borderId="75" xfId="0" applyNumberFormat="1" applyFont="1" applyBorder="1"/>
    <xf numFmtId="0" fontId="83" fillId="7" borderId="74" xfId="0" applyFont="1" applyFill="1" applyBorder="1" applyAlignment="1">
      <alignment horizontal="center" vertical="center" wrapText="1"/>
    </xf>
    <xf numFmtId="0" fontId="83" fillId="14" borderId="75" xfId="0" applyFont="1" applyFill="1" applyBorder="1" applyAlignment="1">
      <alignment horizontal="center" vertical="center" wrapText="1"/>
    </xf>
    <xf numFmtId="41" fontId="44" fillId="0" borderId="33" xfId="0" applyNumberFormat="1" applyFont="1" applyBorder="1"/>
    <xf numFmtId="41" fontId="44" fillId="0" borderId="35" xfId="0" applyNumberFormat="1" applyFont="1" applyBorder="1"/>
    <xf numFmtId="0" fontId="44" fillId="0" borderId="74" xfId="0" applyFont="1" applyBorder="1"/>
    <xf numFmtId="0" fontId="44" fillId="0" borderId="75" xfId="0" applyFont="1" applyBorder="1"/>
    <xf numFmtId="0" fontId="83" fillId="75" borderId="76" xfId="0" applyFont="1" applyFill="1" applyBorder="1" applyAlignment="1">
      <alignment horizontal="center" vertical="center"/>
    </xf>
    <xf numFmtId="43" fontId="81" fillId="0" borderId="37" xfId="1" applyFont="1" applyFill="1" applyBorder="1" applyAlignment="1">
      <alignment horizontal="right" vertical="center" readingOrder="1"/>
    </xf>
    <xf numFmtId="43" fontId="81" fillId="0" borderId="37" xfId="1" applyFont="1" applyBorder="1"/>
    <xf numFmtId="43" fontId="81" fillId="0" borderId="12" xfId="1" applyFont="1" applyBorder="1"/>
    <xf numFmtId="168" fontId="81" fillId="0" borderId="12" xfId="0" applyNumberFormat="1" applyFont="1" applyBorder="1"/>
    <xf numFmtId="41" fontId="44" fillId="0" borderId="37" xfId="0" applyNumberFormat="1" applyFont="1" applyBorder="1"/>
    <xf numFmtId="41" fontId="44" fillId="0" borderId="12" xfId="0" applyNumberFormat="1" applyFont="1" applyBorder="1"/>
    <xf numFmtId="41" fontId="44" fillId="0" borderId="39" xfId="0" applyNumberFormat="1" applyFont="1" applyBorder="1"/>
    <xf numFmtId="43" fontId="81" fillId="0" borderId="37" xfId="1" applyFont="1" applyBorder="1" applyAlignment="1">
      <alignment vertical="center"/>
    </xf>
    <xf numFmtId="43" fontId="81" fillId="0" borderId="70" xfId="1" applyFont="1" applyBorder="1"/>
    <xf numFmtId="168" fontId="81" fillId="0" borderId="70" xfId="0" applyNumberFormat="1" applyFont="1" applyBorder="1"/>
    <xf numFmtId="0" fontId="81" fillId="0" borderId="62" xfId="0" applyFont="1" applyBorder="1" applyAlignment="1">
      <alignment vertical="center"/>
    </xf>
    <xf numFmtId="0" fontId="81" fillId="0" borderId="77" xfId="0" applyFont="1" applyBorder="1" applyAlignment="1">
      <alignment vertical="center"/>
    </xf>
    <xf numFmtId="0" fontId="81" fillId="0" borderId="61" xfId="0" applyFont="1" applyBorder="1" applyAlignment="1">
      <alignment vertical="center"/>
    </xf>
    <xf numFmtId="41" fontId="44" fillId="0" borderId="71" xfId="0" applyNumberFormat="1" applyFont="1" applyBorder="1"/>
    <xf numFmtId="43" fontId="81" fillId="0" borderId="70" xfId="1" applyFont="1" applyFill="1" applyBorder="1"/>
    <xf numFmtId="2" fontId="44" fillId="0" borderId="70" xfId="0" applyNumberFormat="1" applyFont="1" applyBorder="1"/>
    <xf numFmtId="43" fontId="81" fillId="0" borderId="37" xfId="1" applyFont="1" applyFill="1" applyBorder="1"/>
    <xf numFmtId="43" fontId="81" fillId="0" borderId="12" xfId="1" applyFont="1" applyFill="1" applyBorder="1"/>
    <xf numFmtId="168" fontId="81" fillId="0" borderId="71" xfId="0" applyNumberFormat="1" applyFont="1" applyBorder="1"/>
    <xf numFmtId="168" fontId="81" fillId="0" borderId="39" xfId="0" applyNumberFormat="1" applyFont="1" applyBorder="1"/>
    <xf numFmtId="9" fontId="84" fillId="0" borderId="0" xfId="2" applyFont="1"/>
    <xf numFmtId="168" fontId="87" fillId="0" borderId="0" xfId="1" applyNumberFormat="1" applyFont="1" applyBorder="1"/>
    <xf numFmtId="168" fontId="87" fillId="0" borderId="0" xfId="1" applyNumberFormat="1" applyFont="1"/>
    <xf numFmtId="168" fontId="84" fillId="0" borderId="0" xfId="1" applyNumberFormat="1" applyFont="1"/>
    <xf numFmtId="168" fontId="87" fillId="0" borderId="0" xfId="1" applyNumberFormat="1" applyFont="1" applyAlignment="1">
      <alignment horizontal="center" vertical="center" readingOrder="1"/>
    </xf>
    <xf numFmtId="3" fontId="88" fillId="0" borderId="26" xfId="0" applyNumberFormat="1" applyFont="1" applyBorder="1"/>
    <xf numFmtId="3" fontId="88" fillId="0" borderId="19" xfId="0" applyNumberFormat="1" applyFont="1" applyBorder="1"/>
    <xf numFmtId="3" fontId="88" fillId="0" borderId="36" xfId="0" applyNumberFormat="1" applyFont="1" applyBorder="1"/>
    <xf numFmtId="168" fontId="88" fillId="0" borderId="4" xfId="0" applyNumberFormat="1" applyFont="1" applyBorder="1"/>
    <xf numFmtId="168" fontId="88" fillId="0" borderId="40" xfId="0" applyNumberFormat="1" applyFont="1" applyBorder="1"/>
    <xf numFmtId="168" fontId="88" fillId="0" borderId="7" xfId="0" applyNumberFormat="1" applyFont="1" applyBorder="1"/>
    <xf numFmtId="168" fontId="88" fillId="0" borderId="8" xfId="0" applyNumberFormat="1" applyFont="1" applyBorder="1"/>
    <xf numFmtId="10" fontId="84" fillId="0" borderId="0" xfId="2" applyNumberFormat="1" applyFont="1" applyFill="1" applyBorder="1" applyAlignment="1">
      <alignment horizontal="right" vertical="center" readingOrder="1"/>
    </xf>
    <xf numFmtId="10" fontId="84" fillId="0" borderId="70" xfId="2" applyNumberFormat="1" applyFont="1" applyFill="1" applyBorder="1" applyAlignment="1">
      <alignment horizontal="right" vertical="center" readingOrder="1"/>
    </xf>
    <xf numFmtId="10" fontId="84" fillId="0" borderId="12" xfId="2" applyNumberFormat="1" applyFont="1" applyFill="1" applyBorder="1" applyAlignment="1">
      <alignment horizontal="right" vertical="center" readingOrder="1"/>
    </xf>
    <xf numFmtId="9" fontId="84" fillId="0" borderId="0" xfId="2" applyFont="1" applyFill="1" applyBorder="1" applyAlignment="1">
      <alignment vertical="center" readingOrder="1"/>
    </xf>
    <xf numFmtId="0" fontId="83" fillId="7" borderId="26" xfId="0" applyFont="1" applyFill="1" applyBorder="1" applyAlignment="1">
      <alignment horizontal="center" vertical="center" wrapText="1"/>
    </xf>
    <xf numFmtId="0" fontId="83" fillId="8" borderId="19" xfId="0" applyFont="1" applyFill="1" applyBorder="1" applyAlignment="1">
      <alignment horizontal="center" vertical="center" wrapText="1"/>
    </xf>
    <xf numFmtId="0" fontId="83" fillId="9" borderId="19" xfId="0" applyFont="1" applyFill="1" applyBorder="1" applyAlignment="1">
      <alignment horizontal="center" vertical="center" wrapText="1"/>
    </xf>
    <xf numFmtId="0" fontId="83" fillId="10" borderId="19" xfId="0" applyFont="1" applyFill="1" applyBorder="1" applyAlignment="1">
      <alignment horizontal="center" vertical="center" wrapText="1"/>
    </xf>
    <xf numFmtId="0" fontId="83" fillId="11" borderId="19" xfId="0" applyFont="1" applyFill="1" applyBorder="1" applyAlignment="1">
      <alignment horizontal="center" vertical="center" wrapText="1"/>
    </xf>
    <xf numFmtId="0" fontId="83" fillId="12" borderId="19" xfId="0" applyFont="1" applyFill="1" applyBorder="1" applyAlignment="1">
      <alignment horizontal="center" vertical="center" wrapText="1"/>
    </xf>
    <xf numFmtId="0" fontId="83" fillId="13" borderId="19" xfId="0" applyFont="1" applyFill="1" applyBorder="1" applyAlignment="1">
      <alignment horizontal="center" vertical="center" wrapText="1"/>
    </xf>
    <xf numFmtId="0" fontId="83" fillId="14" borderId="36" xfId="0" applyFont="1" applyFill="1" applyBorder="1" applyAlignment="1">
      <alignment horizontal="center" vertical="center" wrapText="1"/>
    </xf>
    <xf numFmtId="43" fontId="81" fillId="0" borderId="37" xfId="1" applyFont="1" applyFill="1" applyBorder="1" applyAlignment="1">
      <alignment vertical="center"/>
    </xf>
    <xf numFmtId="43" fontId="44" fillId="0" borderId="62" xfId="1" applyFont="1" applyBorder="1"/>
    <xf numFmtId="43" fontId="44" fillId="0" borderId="60" xfId="1" applyFont="1" applyBorder="1"/>
    <xf numFmtId="43" fontId="44" fillId="0" borderId="63" xfId="1" applyFont="1" applyBorder="1"/>
    <xf numFmtId="43" fontId="44" fillId="0" borderId="61" xfId="1" applyFont="1" applyBorder="1"/>
    <xf numFmtId="43" fontId="44" fillId="0" borderId="60" xfId="1" applyFont="1" applyFill="1" applyBorder="1"/>
    <xf numFmtId="43" fontId="44" fillId="0" borderId="61" xfId="1" applyFont="1" applyFill="1" applyBorder="1"/>
    <xf numFmtId="43" fontId="89" fillId="0" borderId="35" xfId="1" applyFont="1" applyBorder="1" applyAlignment="1">
      <alignment horizontal="right" vertical="center" readingOrder="1"/>
    </xf>
    <xf numFmtId="43" fontId="89" fillId="0" borderId="71" xfId="1" applyFont="1" applyBorder="1" applyAlignment="1">
      <alignment horizontal="right" vertical="center" readingOrder="1"/>
    </xf>
    <xf numFmtId="43" fontId="89" fillId="0" borderId="39" xfId="1" applyFont="1" applyBorder="1" applyAlignment="1">
      <alignment horizontal="right" vertical="center" readingOrder="1"/>
    </xf>
    <xf numFmtId="43" fontId="89" fillId="0" borderId="71" xfId="1" applyFont="1" applyFill="1" applyBorder="1" applyAlignment="1">
      <alignment horizontal="right" vertical="center" readingOrder="1"/>
    </xf>
    <xf numFmtId="43" fontId="89" fillId="0" borderId="35" xfId="1" applyFont="1" applyFill="1" applyBorder="1" applyAlignment="1">
      <alignment horizontal="right" vertical="center" readingOrder="1"/>
    </xf>
    <xf numFmtId="43" fontId="89" fillId="0" borderId="39" xfId="1" applyFont="1" applyFill="1" applyBorder="1" applyAlignment="1">
      <alignment horizontal="right" vertical="center" readingOrder="1"/>
    </xf>
    <xf numFmtId="43" fontId="84" fillId="0" borderId="33" xfId="0" applyNumberFormat="1" applyFont="1" applyBorder="1"/>
    <xf numFmtId="43" fontId="84" fillId="0" borderId="0" xfId="0" applyNumberFormat="1" applyFont="1"/>
    <xf numFmtId="43" fontId="84" fillId="0" borderId="35" xfId="0" applyNumberFormat="1" applyFont="1" applyBorder="1"/>
    <xf numFmtId="43" fontId="84" fillId="0" borderId="37" xfId="0" applyNumberFormat="1" applyFont="1" applyBorder="1"/>
    <xf numFmtId="43" fontId="84" fillId="0" borderId="12" xfId="0" applyNumberFormat="1" applyFont="1" applyBorder="1"/>
    <xf numFmtId="43" fontId="84" fillId="0" borderId="39" xfId="0" applyNumberFormat="1" applyFont="1" applyBorder="1"/>
    <xf numFmtId="168" fontId="82" fillId="0" borderId="0" xfId="1" applyNumberFormat="1" applyFont="1"/>
    <xf numFmtId="0" fontId="13" fillId="0" borderId="0" xfId="0" applyFont="1" applyAlignment="1">
      <alignment horizontal="right"/>
    </xf>
    <xf numFmtId="43" fontId="44" fillId="0" borderId="0" xfId="0" applyNumberFormat="1" applyFont="1"/>
    <xf numFmtId="0" fontId="7" fillId="3" borderId="69" xfId="0" applyFont="1" applyFill="1" applyBorder="1"/>
    <xf numFmtId="0" fontId="6" fillId="75" borderId="13" xfId="0" applyFont="1" applyFill="1" applyBorder="1" applyAlignment="1">
      <alignment horizontal="center" vertical="center"/>
    </xf>
    <xf numFmtId="0" fontId="6" fillId="75" borderId="2" xfId="0" applyFont="1" applyFill="1" applyBorder="1" applyAlignment="1">
      <alignment horizontal="center" vertical="center"/>
    </xf>
    <xf numFmtId="0" fontId="6" fillId="75" borderId="11" xfId="0" applyFont="1" applyFill="1" applyBorder="1" applyAlignment="1">
      <alignment horizontal="center" vertical="center"/>
    </xf>
    <xf numFmtId="0" fontId="83" fillId="75" borderId="19" xfId="0" applyFont="1" applyFill="1" applyBorder="1"/>
    <xf numFmtId="168" fontId="44" fillId="0" borderId="0" xfId="1" applyNumberFormat="1" applyFont="1"/>
    <xf numFmtId="2" fontId="90" fillId="3" borderId="73" xfId="0" applyNumberFormat="1" applyFont="1" applyFill="1" applyBorder="1"/>
    <xf numFmtId="2" fontId="90" fillId="3" borderId="72" xfId="0" applyNumberFormat="1" applyFont="1" applyFill="1" applyBorder="1"/>
    <xf numFmtId="0" fontId="44" fillId="0" borderId="9" xfId="0" applyFont="1" applyBorder="1"/>
    <xf numFmtId="0" fontId="44" fillId="0" borderId="0" xfId="0" applyFont="1" applyAlignment="1">
      <alignment wrapText="1"/>
    </xf>
    <xf numFmtId="0" fontId="17" fillId="0" borderId="0" xfId="8" applyFill="1" applyAlignment="1" applyProtection="1"/>
    <xf numFmtId="0" fontId="86" fillId="0" borderId="0" xfId="0" applyFont="1"/>
    <xf numFmtId="0" fontId="83" fillId="0" borderId="12" xfId="0" applyFont="1" applyBorder="1" applyAlignment="1">
      <alignment horizontal="left" vertical="center"/>
    </xf>
    <xf numFmtId="0" fontId="44" fillId="0" borderId="12" xfId="0" applyFont="1" applyBorder="1" applyAlignment="1">
      <alignment vertical="center" wrapText="1"/>
    </xf>
    <xf numFmtId="0" fontId="44" fillId="22" borderId="26" xfId="0" applyFont="1" applyFill="1" applyBorder="1" applyAlignment="1">
      <alignment horizontal="center" vertical="center" wrapText="1"/>
    </xf>
    <xf numFmtId="0" fontId="44" fillId="22" borderId="27" xfId="0" applyFont="1" applyFill="1" applyBorder="1" applyAlignment="1">
      <alignment horizontal="center" vertical="center" wrapText="1"/>
    </xf>
    <xf numFmtId="0" fontId="44" fillId="22" borderId="28" xfId="0" applyFont="1" applyFill="1" applyBorder="1" applyAlignment="1">
      <alignment horizontal="center" vertical="center" wrapText="1"/>
    </xf>
    <xf numFmtId="0" fontId="44" fillId="22" borderId="19" xfId="0" applyFont="1" applyFill="1" applyBorder="1" applyAlignment="1">
      <alignment horizontal="center" vertical="center" wrapText="1"/>
    </xf>
    <xf numFmtId="0" fontId="44" fillId="22" borderId="8" xfId="0" applyFont="1" applyFill="1" applyBorder="1" applyAlignment="1">
      <alignment horizontal="center" vertical="center" wrapText="1"/>
    </xf>
    <xf numFmtId="0" fontId="44" fillId="23" borderId="30" xfId="0" applyFont="1" applyFill="1" applyBorder="1" applyAlignment="1">
      <alignment vertical="center" wrapText="1"/>
    </xf>
    <xf numFmtId="2" fontId="91" fillId="23" borderId="23" xfId="0" applyNumberFormat="1" applyFont="1" applyFill="1" applyBorder="1" applyAlignment="1">
      <alignment vertical="center"/>
    </xf>
    <xf numFmtId="2" fontId="91" fillId="23" borderId="31" xfId="0" applyNumberFormat="1" applyFont="1" applyFill="1" applyBorder="1" applyAlignment="1">
      <alignment vertical="center"/>
    </xf>
    <xf numFmtId="2" fontId="44" fillId="23" borderId="31" xfId="0" applyNumberFormat="1" applyFont="1" applyFill="1" applyBorder="1" applyAlignment="1">
      <alignment vertical="center"/>
    </xf>
    <xf numFmtId="2" fontId="44" fillId="23" borderId="21" xfId="0" applyNumberFormat="1" applyFont="1" applyFill="1" applyBorder="1" applyAlignment="1">
      <alignment vertical="center"/>
    </xf>
    <xf numFmtId="2" fontId="91" fillId="23" borderId="4" xfId="0" applyNumberFormat="1" applyFont="1" applyFill="1" applyBorder="1" applyAlignment="1">
      <alignment vertical="center"/>
    </xf>
    <xf numFmtId="2" fontId="91" fillId="23" borderId="32" xfId="0" applyNumberFormat="1" applyFont="1" applyFill="1" applyBorder="1" applyAlignment="1">
      <alignment vertical="center"/>
    </xf>
    <xf numFmtId="0" fontId="44" fillId="23" borderId="34" xfId="0" applyFont="1" applyFill="1" applyBorder="1" applyAlignment="1">
      <alignment vertical="center" wrapText="1"/>
    </xf>
    <xf numFmtId="2" fontId="91" fillId="23" borderId="10" xfId="0" applyNumberFormat="1" applyFont="1" applyFill="1" applyBorder="1" applyAlignment="1">
      <alignment vertical="center"/>
    </xf>
    <xf numFmtId="2" fontId="91" fillId="23" borderId="3" xfId="0" applyNumberFormat="1" applyFont="1" applyFill="1" applyBorder="1" applyAlignment="1">
      <alignment vertical="center"/>
    </xf>
    <xf numFmtId="2" fontId="44" fillId="23" borderId="3" xfId="0" applyNumberFormat="1" applyFont="1" applyFill="1" applyBorder="1" applyAlignment="1">
      <alignment vertical="center"/>
    </xf>
    <xf numFmtId="2" fontId="44" fillId="23" borderId="0" xfId="0" applyNumberFormat="1" applyFont="1" applyFill="1" applyAlignment="1">
      <alignment vertical="center"/>
    </xf>
    <xf numFmtId="2" fontId="91" fillId="23" borderId="7" xfId="0" applyNumberFormat="1" applyFont="1" applyFill="1" applyBorder="1" applyAlignment="1">
      <alignment vertical="center"/>
    </xf>
    <xf numFmtId="2" fontId="91" fillId="23" borderId="35" xfId="0" applyNumberFormat="1" applyFont="1" applyFill="1" applyBorder="1" applyAlignment="1">
      <alignment vertical="center"/>
    </xf>
    <xf numFmtId="0" fontId="91" fillId="23" borderId="3" xfId="0" applyFont="1" applyFill="1" applyBorder="1" applyAlignment="1">
      <alignment vertical="center"/>
    </xf>
    <xf numFmtId="2" fontId="91" fillId="23" borderId="0" xfId="0" applyNumberFormat="1" applyFont="1" applyFill="1" applyAlignment="1">
      <alignment vertical="center"/>
    </xf>
    <xf numFmtId="2" fontId="91" fillId="23" borderId="34" xfId="0" applyNumberFormat="1" applyFont="1" applyFill="1" applyBorder="1" applyAlignment="1">
      <alignment vertical="center"/>
    </xf>
    <xf numFmtId="0" fontId="91" fillId="23" borderId="9" xfId="0" applyFont="1" applyFill="1" applyBorder="1" applyAlignment="1">
      <alignment vertical="center"/>
    </xf>
    <xf numFmtId="0" fontId="91" fillId="23" borderId="7" xfId="0" applyFont="1" applyFill="1" applyBorder="1" applyAlignment="1">
      <alignment vertical="center"/>
    </xf>
    <xf numFmtId="0" fontId="91" fillId="23" borderId="34" xfId="0" applyFont="1" applyFill="1" applyBorder="1" applyAlignment="1">
      <alignment vertical="center"/>
    </xf>
    <xf numFmtId="1" fontId="91" fillId="23" borderId="10" xfId="0" applyNumberFormat="1" applyFont="1" applyFill="1" applyBorder="1" applyAlignment="1">
      <alignment vertical="center"/>
    </xf>
    <xf numFmtId="1" fontId="91" fillId="23" borderId="3" xfId="0" applyNumberFormat="1" applyFont="1" applyFill="1" applyBorder="1" applyAlignment="1">
      <alignment vertical="center"/>
    </xf>
    <xf numFmtId="2" fontId="91" fillId="23" borderId="8" xfId="0" applyNumberFormat="1" applyFont="1" applyFill="1" applyBorder="1" applyAlignment="1">
      <alignment vertical="center"/>
    </xf>
    <xf numFmtId="2" fontId="91" fillId="23" borderId="19" xfId="0" applyNumberFormat="1" applyFont="1" applyFill="1" applyBorder="1" applyAlignment="1">
      <alignment vertical="center"/>
    </xf>
    <xf numFmtId="2" fontId="91" fillId="23" borderId="27" xfId="0" applyNumberFormat="1" applyFont="1" applyFill="1" applyBorder="1" applyAlignment="1">
      <alignment vertical="center"/>
    </xf>
    <xf numFmtId="0" fontId="44" fillId="24" borderId="30" xfId="0" applyFont="1" applyFill="1" applyBorder="1" applyAlignment="1">
      <alignment vertical="center" wrapText="1"/>
    </xf>
    <xf numFmtId="2" fontId="91" fillId="24" borderId="23" xfId="0" applyNumberFormat="1" applyFont="1" applyFill="1" applyBorder="1" applyAlignment="1">
      <alignment vertical="center"/>
    </xf>
    <xf numFmtId="2" fontId="91" fillId="24" borderId="31" xfId="0" applyNumberFormat="1" applyFont="1" applyFill="1" applyBorder="1" applyAlignment="1">
      <alignment vertical="center"/>
    </xf>
    <xf numFmtId="2" fontId="44" fillId="24" borderId="31" xfId="0" applyNumberFormat="1" applyFont="1" applyFill="1" applyBorder="1" applyAlignment="1">
      <alignment vertical="center"/>
    </xf>
    <xf numFmtId="2" fontId="44" fillId="24" borderId="21" xfId="0" applyNumberFormat="1" applyFont="1" applyFill="1" applyBorder="1" applyAlignment="1">
      <alignment vertical="center"/>
    </xf>
    <xf numFmtId="2" fontId="44" fillId="24" borderId="32" xfId="0" applyNumberFormat="1" applyFont="1" applyFill="1" applyBorder="1" applyAlignment="1">
      <alignment vertical="center"/>
    </xf>
    <xf numFmtId="2" fontId="91" fillId="24" borderId="4" xfId="0" applyNumberFormat="1" applyFont="1" applyFill="1" applyBorder="1" applyAlignment="1">
      <alignment vertical="center"/>
    </xf>
    <xf numFmtId="2" fontId="91" fillId="24" borderId="32" xfId="0" applyNumberFormat="1" applyFont="1" applyFill="1" applyBorder="1" applyAlignment="1">
      <alignment vertical="center"/>
    </xf>
    <xf numFmtId="0" fontId="44" fillId="24" borderId="34" xfId="0" applyFont="1" applyFill="1" applyBorder="1" applyAlignment="1">
      <alignment vertical="center" wrapText="1"/>
    </xf>
    <xf numFmtId="2" fontId="91" fillId="24" borderId="10" xfId="0" applyNumberFormat="1" applyFont="1" applyFill="1" applyBorder="1" applyAlignment="1">
      <alignment vertical="center"/>
    </xf>
    <xf numFmtId="2" fontId="91" fillId="24" borderId="3" xfId="0" applyNumberFormat="1" applyFont="1" applyFill="1" applyBorder="1" applyAlignment="1">
      <alignment vertical="center"/>
    </xf>
    <xf numFmtId="2" fontId="44" fillId="24" borderId="3" xfId="0" applyNumberFormat="1" applyFont="1" applyFill="1" applyBorder="1" applyAlignment="1">
      <alignment vertical="center"/>
    </xf>
    <xf numFmtId="2" fontId="44" fillId="24" borderId="0" xfId="0" applyNumberFormat="1" applyFont="1" applyFill="1" applyAlignment="1">
      <alignment vertical="center"/>
    </xf>
    <xf numFmtId="2" fontId="44" fillId="24" borderId="35" xfId="0" applyNumberFormat="1" applyFont="1" applyFill="1" applyBorder="1" applyAlignment="1">
      <alignment vertical="center"/>
    </xf>
    <xf numFmtId="2" fontId="91" fillId="24" borderId="7" xfId="0" applyNumberFormat="1" applyFont="1" applyFill="1" applyBorder="1" applyAlignment="1">
      <alignment vertical="center"/>
    </xf>
    <xf numFmtId="2" fontId="91" fillId="24" borderId="35" xfId="0" applyNumberFormat="1" applyFont="1" applyFill="1" applyBorder="1" applyAlignment="1">
      <alignment vertical="center"/>
    </xf>
    <xf numFmtId="2" fontId="91" fillId="24" borderId="34" xfId="0" applyNumberFormat="1" applyFont="1" applyFill="1" applyBorder="1" applyAlignment="1">
      <alignment vertical="center"/>
    </xf>
    <xf numFmtId="2" fontId="91" fillId="24" borderId="0" xfId="0" applyNumberFormat="1" applyFont="1" applyFill="1" applyAlignment="1">
      <alignment vertical="center"/>
    </xf>
    <xf numFmtId="1" fontId="91" fillId="24" borderId="20" xfId="0" applyNumberFormat="1" applyFont="1" applyFill="1" applyBorder="1" applyAlignment="1">
      <alignment vertical="center"/>
    </xf>
    <xf numFmtId="1" fontId="91" fillId="24" borderId="28" xfId="0" applyNumberFormat="1" applyFont="1" applyFill="1" applyBorder="1" applyAlignment="1">
      <alignment vertical="center"/>
    </xf>
    <xf numFmtId="2" fontId="91" fillId="24" borderId="19" xfId="0" applyNumberFormat="1" applyFont="1" applyFill="1" applyBorder="1" applyAlignment="1">
      <alignment vertical="center"/>
    </xf>
    <xf numFmtId="2" fontId="91" fillId="24" borderId="28" xfId="0" applyNumberFormat="1" applyFont="1" applyFill="1" applyBorder="1" applyAlignment="1">
      <alignment vertical="center"/>
    </xf>
    <xf numFmtId="2" fontId="91" fillId="24" borderId="36" xfId="0" applyNumberFormat="1" applyFont="1" applyFill="1" applyBorder="1" applyAlignment="1">
      <alignment vertical="center"/>
    </xf>
    <xf numFmtId="2" fontId="91" fillId="24" borderId="8" xfId="0" applyNumberFormat="1" applyFont="1" applyFill="1" applyBorder="1" applyAlignment="1">
      <alignment vertical="center"/>
    </xf>
    <xf numFmtId="2" fontId="91" fillId="24" borderId="27" xfId="0" applyNumberFormat="1" applyFont="1" applyFill="1" applyBorder="1" applyAlignment="1">
      <alignment vertical="center"/>
    </xf>
    <xf numFmtId="0" fontId="44" fillId="25" borderId="30" xfId="0" applyFont="1" applyFill="1" applyBorder="1" applyAlignment="1">
      <alignment vertical="center" wrapText="1"/>
    </xf>
    <xf numFmtId="2" fontId="91" fillId="25" borderId="23" xfId="0" applyNumberFormat="1" applyFont="1" applyFill="1" applyBorder="1" applyAlignment="1">
      <alignment vertical="center"/>
    </xf>
    <xf numFmtId="2" fontId="91" fillId="25" borderId="31" xfId="0" applyNumberFormat="1" applyFont="1" applyFill="1" applyBorder="1" applyAlignment="1">
      <alignment vertical="center"/>
    </xf>
    <xf numFmtId="2" fontId="44" fillId="25" borderId="31" xfId="0" applyNumberFormat="1" applyFont="1" applyFill="1" applyBorder="1" applyAlignment="1">
      <alignment vertical="center"/>
    </xf>
    <xf numFmtId="2" fontId="44" fillId="25" borderId="21" xfId="0" applyNumberFormat="1" applyFont="1" applyFill="1" applyBorder="1" applyAlignment="1">
      <alignment vertical="center"/>
    </xf>
    <xf numFmtId="2" fontId="44" fillId="25" borderId="32" xfId="0" applyNumberFormat="1" applyFont="1" applyFill="1" applyBorder="1" applyAlignment="1">
      <alignment vertical="center"/>
    </xf>
    <xf numFmtId="2" fontId="92" fillId="25" borderId="4" xfId="0" applyNumberFormat="1" applyFont="1" applyFill="1" applyBorder="1" applyAlignment="1">
      <alignment vertical="center"/>
    </xf>
    <xf numFmtId="0" fontId="44" fillId="25" borderId="34" xfId="0" applyFont="1" applyFill="1" applyBorder="1" applyAlignment="1">
      <alignment vertical="center" wrapText="1"/>
    </xf>
    <xf numFmtId="2" fontId="91" fillId="25" borderId="10" xfId="0" applyNumberFormat="1" applyFont="1" applyFill="1" applyBorder="1" applyAlignment="1">
      <alignment vertical="center"/>
    </xf>
    <xf numFmtId="2" fontId="91" fillId="25" borderId="3" xfId="0" applyNumberFormat="1" applyFont="1" applyFill="1" applyBorder="1" applyAlignment="1">
      <alignment vertical="center"/>
    </xf>
    <xf numFmtId="2" fontId="91" fillId="25" borderId="0" xfId="0" applyNumberFormat="1" applyFont="1" applyFill="1" applyAlignment="1">
      <alignment vertical="center"/>
    </xf>
    <xf numFmtId="2" fontId="91" fillId="25" borderId="35" xfId="0" applyNumberFormat="1" applyFont="1" applyFill="1" applyBorder="1" applyAlignment="1">
      <alignment vertical="center"/>
    </xf>
    <xf numFmtId="2" fontId="91" fillId="25" borderId="33" xfId="0" applyNumberFormat="1" applyFont="1" applyFill="1" applyBorder="1" applyAlignment="1">
      <alignment vertical="center"/>
    </xf>
    <xf numFmtId="1" fontId="91" fillId="25" borderId="10" xfId="0" applyNumberFormat="1" applyFont="1" applyFill="1" applyBorder="1" applyAlignment="1">
      <alignment vertical="center"/>
    </xf>
    <xf numFmtId="1" fontId="91" fillId="25" borderId="3" xfId="0" applyNumberFormat="1" applyFont="1" applyFill="1" applyBorder="1" applyAlignment="1">
      <alignment vertical="center"/>
    </xf>
    <xf numFmtId="2" fontId="91" fillId="25" borderId="69" xfId="0" applyNumberFormat="1" applyFont="1" applyFill="1" applyBorder="1" applyAlignment="1">
      <alignment vertical="center"/>
    </xf>
    <xf numFmtId="2" fontId="44" fillId="25" borderId="70" xfId="0" applyNumberFormat="1" applyFont="1" applyFill="1" applyBorder="1" applyAlignment="1">
      <alignment vertical="center"/>
    </xf>
    <xf numFmtId="2" fontId="44" fillId="25" borderId="71" xfId="0" applyNumberFormat="1" applyFont="1" applyFill="1" applyBorder="1" applyAlignment="1">
      <alignment vertical="center"/>
    </xf>
    <xf numFmtId="2" fontId="91" fillId="25" borderId="71" xfId="0" applyNumberFormat="1" applyFont="1" applyFill="1" applyBorder="1" applyAlignment="1">
      <alignment vertical="center"/>
    </xf>
    <xf numFmtId="2" fontId="44" fillId="25" borderId="3" xfId="0" applyNumberFormat="1" applyFont="1" applyFill="1" applyBorder="1" applyAlignment="1">
      <alignment vertical="center"/>
    </xf>
    <xf numFmtId="2" fontId="44" fillId="25" borderId="0" xfId="0" applyNumberFormat="1" applyFont="1" applyFill="1" applyAlignment="1">
      <alignment vertical="center"/>
    </xf>
    <xf numFmtId="2" fontId="44" fillId="25" borderId="35" xfId="0" applyNumberFormat="1" applyFont="1" applyFill="1" applyBorder="1" applyAlignment="1">
      <alignment vertical="center"/>
    </xf>
    <xf numFmtId="2" fontId="91" fillId="25" borderId="34" xfId="0" applyNumberFormat="1" applyFont="1" applyFill="1" applyBorder="1" applyAlignment="1">
      <alignment vertical="center"/>
    </xf>
    <xf numFmtId="0" fontId="44" fillId="25" borderId="38" xfId="0" applyFont="1" applyFill="1" applyBorder="1" applyAlignment="1">
      <alignment vertical="center" wrapText="1"/>
    </xf>
    <xf numFmtId="2" fontId="91" fillId="25" borderId="13" xfId="0" applyNumberFormat="1" applyFont="1" applyFill="1" applyBorder="1" applyAlignment="1">
      <alignment vertical="center"/>
    </xf>
    <xf numFmtId="2" fontId="91" fillId="25" borderId="2" xfId="0" applyNumberFormat="1" applyFont="1" applyFill="1" applyBorder="1" applyAlignment="1">
      <alignment vertical="center"/>
    </xf>
    <xf numFmtId="2" fontId="91" fillId="25" borderId="12" xfId="0" applyNumberFormat="1" applyFont="1" applyFill="1" applyBorder="1" applyAlignment="1">
      <alignment vertical="center"/>
    </xf>
    <xf numFmtId="2" fontId="91" fillId="25" borderId="39" xfId="0" applyNumberFormat="1" applyFont="1" applyFill="1" applyBorder="1" applyAlignment="1">
      <alignment vertical="center"/>
    </xf>
    <xf numFmtId="2" fontId="91" fillId="25" borderId="37" xfId="0" applyNumberFormat="1" applyFont="1" applyFill="1" applyBorder="1" applyAlignment="1">
      <alignment vertical="center"/>
    </xf>
    <xf numFmtId="2" fontId="91" fillId="25" borderId="7" xfId="0" applyNumberFormat="1" applyFont="1" applyFill="1" applyBorder="1" applyAlignment="1">
      <alignment vertical="center"/>
    </xf>
    <xf numFmtId="0" fontId="44" fillId="25" borderId="27" xfId="0" applyFont="1" applyFill="1" applyBorder="1" applyAlignment="1">
      <alignment vertical="center" wrapText="1"/>
    </xf>
    <xf numFmtId="2" fontId="91" fillId="25" borderId="20" xfId="0" applyNumberFormat="1" applyFont="1" applyFill="1" applyBorder="1" applyAlignment="1">
      <alignment vertical="center"/>
    </xf>
    <xf numFmtId="2" fontId="91" fillId="25" borderId="28" xfId="0" applyNumberFormat="1" applyFont="1" applyFill="1" applyBorder="1" applyAlignment="1">
      <alignment vertical="center"/>
    </xf>
    <xf numFmtId="2" fontId="91" fillId="25" borderId="19" xfId="0" applyNumberFormat="1" applyFont="1" applyFill="1" applyBorder="1" applyAlignment="1">
      <alignment vertical="center"/>
    </xf>
    <xf numFmtId="2" fontId="91" fillId="25" borderId="36" xfId="0" applyNumberFormat="1" applyFont="1" applyFill="1" applyBorder="1" applyAlignment="1">
      <alignment vertical="center"/>
    </xf>
    <xf numFmtId="2" fontId="91" fillId="25" borderId="26" xfId="0" applyNumberFormat="1" applyFont="1" applyFill="1" applyBorder="1" applyAlignment="1">
      <alignment vertical="center"/>
    </xf>
    <xf numFmtId="0" fontId="44" fillId="22" borderId="30" xfId="0" applyFont="1" applyFill="1" applyBorder="1" applyAlignment="1">
      <alignment vertical="center" wrapText="1"/>
    </xf>
    <xf numFmtId="2" fontId="91" fillId="22" borderId="23" xfId="0" applyNumberFormat="1" applyFont="1" applyFill="1" applyBorder="1" applyAlignment="1">
      <alignment vertical="center"/>
    </xf>
    <xf numFmtId="2" fontId="91" fillId="22" borderId="31" xfId="0" applyNumberFormat="1" applyFont="1" applyFill="1" applyBorder="1" applyAlignment="1">
      <alignment vertical="center"/>
    </xf>
    <xf numFmtId="2" fontId="44" fillId="22" borderId="31" xfId="0" applyNumberFormat="1" applyFont="1" applyFill="1" applyBorder="1" applyAlignment="1">
      <alignment vertical="center"/>
    </xf>
    <xf numFmtId="2" fontId="44" fillId="22" borderId="21" xfId="0" applyNumberFormat="1" applyFont="1" applyFill="1" applyBorder="1" applyAlignment="1">
      <alignment vertical="center"/>
    </xf>
    <xf numFmtId="2" fontId="44" fillId="22" borderId="32" xfId="0" applyNumberFormat="1" applyFont="1" applyFill="1" applyBorder="1" applyAlignment="1">
      <alignment vertical="center"/>
    </xf>
    <xf numFmtId="2" fontId="91" fillId="22" borderId="4" xfId="0" applyNumberFormat="1" applyFont="1" applyFill="1" applyBorder="1" applyAlignment="1">
      <alignment vertical="center"/>
    </xf>
    <xf numFmtId="2" fontId="91" fillId="22" borderId="32" xfId="0" applyNumberFormat="1" applyFont="1" applyFill="1" applyBorder="1" applyAlignment="1">
      <alignment vertical="center"/>
    </xf>
    <xf numFmtId="0" fontId="44" fillId="22" borderId="34" xfId="0" applyFont="1" applyFill="1" applyBorder="1" applyAlignment="1">
      <alignment vertical="center" wrapText="1"/>
    </xf>
    <xf numFmtId="2" fontId="91" fillId="22" borderId="10" xfId="0" applyNumberFormat="1" applyFont="1" applyFill="1" applyBorder="1" applyAlignment="1">
      <alignment vertical="center"/>
    </xf>
    <xf numFmtId="2" fontId="91" fillId="22" borderId="3" xfId="0" applyNumberFormat="1" applyFont="1" applyFill="1" applyBorder="1" applyAlignment="1">
      <alignment vertical="center"/>
    </xf>
    <xf numFmtId="2" fontId="44" fillId="22" borderId="3" xfId="0" applyNumberFormat="1" applyFont="1" applyFill="1" applyBorder="1" applyAlignment="1">
      <alignment vertical="center"/>
    </xf>
    <xf numFmtId="2" fontId="44" fillId="22" borderId="0" xfId="0" applyNumberFormat="1" applyFont="1" applyFill="1" applyAlignment="1">
      <alignment vertical="center"/>
    </xf>
    <xf numFmtId="2" fontId="44" fillId="22" borderId="35" xfId="0" applyNumberFormat="1" applyFont="1" applyFill="1" applyBorder="1" applyAlignment="1">
      <alignment vertical="center"/>
    </xf>
    <xf numFmtId="2" fontId="91" fillId="22" borderId="7" xfId="0" applyNumberFormat="1" applyFont="1" applyFill="1" applyBorder="1" applyAlignment="1">
      <alignment vertical="center"/>
    </xf>
    <xf numFmtId="2" fontId="91" fillId="22" borderId="35" xfId="0" applyNumberFormat="1" applyFont="1" applyFill="1" applyBorder="1" applyAlignment="1">
      <alignment vertical="center"/>
    </xf>
    <xf numFmtId="2" fontId="91" fillId="22" borderId="34" xfId="0" applyNumberFormat="1" applyFont="1" applyFill="1" applyBorder="1" applyAlignment="1">
      <alignment vertical="center"/>
    </xf>
    <xf numFmtId="2" fontId="91" fillId="22" borderId="33" xfId="0" applyNumberFormat="1" applyFont="1" applyFill="1" applyBorder="1" applyAlignment="1">
      <alignment vertical="center"/>
    </xf>
    <xf numFmtId="2" fontId="91" fillId="22" borderId="0" xfId="0" applyNumberFormat="1" applyFont="1" applyFill="1" applyAlignment="1">
      <alignment vertical="center"/>
    </xf>
    <xf numFmtId="0" fontId="44" fillId="22" borderId="38" xfId="0" applyFont="1" applyFill="1" applyBorder="1" applyAlignment="1">
      <alignment vertical="center" wrapText="1"/>
    </xf>
    <xf numFmtId="1" fontId="91" fillId="22" borderId="13" xfId="0" applyNumberFormat="1" applyFont="1" applyFill="1" applyBorder="1" applyAlignment="1">
      <alignment vertical="center"/>
    </xf>
    <xf numFmtId="1" fontId="91" fillId="22" borderId="2" xfId="0" applyNumberFormat="1" applyFont="1" applyFill="1" applyBorder="1" applyAlignment="1">
      <alignment vertical="center"/>
    </xf>
    <xf numFmtId="1" fontId="91" fillId="22" borderId="12" xfId="0" applyNumberFormat="1" applyFont="1" applyFill="1" applyBorder="1" applyAlignment="1">
      <alignment vertical="center"/>
    </xf>
    <xf numFmtId="2" fontId="91" fillId="22" borderId="2" xfId="0" applyNumberFormat="1" applyFont="1" applyFill="1" applyBorder="1" applyAlignment="1">
      <alignment vertical="center"/>
    </xf>
    <xf numFmtId="2" fontId="91" fillId="22" borderId="12" xfId="0" applyNumberFormat="1" applyFont="1" applyFill="1" applyBorder="1" applyAlignment="1">
      <alignment vertical="center"/>
    </xf>
    <xf numFmtId="2" fontId="91" fillId="22" borderId="39" xfId="0" applyNumberFormat="1" applyFont="1" applyFill="1" applyBorder="1" applyAlignment="1">
      <alignment vertical="center"/>
    </xf>
    <xf numFmtId="2" fontId="91" fillId="22" borderId="69" xfId="0" applyNumberFormat="1" applyFont="1" applyFill="1" applyBorder="1" applyAlignment="1">
      <alignment vertical="center"/>
    </xf>
    <xf numFmtId="2" fontId="91" fillId="22" borderId="71" xfId="0" applyNumberFormat="1" applyFont="1" applyFill="1" applyBorder="1" applyAlignment="1">
      <alignment vertical="center"/>
    </xf>
    <xf numFmtId="0" fontId="44" fillId="22" borderId="27" xfId="0" applyFont="1" applyFill="1" applyBorder="1" applyAlignment="1">
      <alignment vertical="center" wrapText="1"/>
    </xf>
    <xf numFmtId="1" fontId="91" fillId="22" borderId="20" xfId="0" applyNumberFormat="1" applyFont="1" applyFill="1" applyBorder="1" applyAlignment="1">
      <alignment vertical="center"/>
    </xf>
    <xf numFmtId="1" fontId="91" fillId="22" borderId="28" xfId="0" applyNumberFormat="1" applyFont="1" applyFill="1" applyBorder="1" applyAlignment="1">
      <alignment vertical="center"/>
    </xf>
    <xf numFmtId="2" fontId="91" fillId="22" borderId="28" xfId="0" applyNumberFormat="1" applyFont="1" applyFill="1" applyBorder="1" applyAlignment="1">
      <alignment vertical="center"/>
    </xf>
    <xf numFmtId="2" fontId="91" fillId="22" borderId="27" xfId="0" applyNumberFormat="1" applyFont="1" applyFill="1" applyBorder="1" applyAlignment="1">
      <alignment vertical="center"/>
    </xf>
    <xf numFmtId="2" fontId="91" fillId="22" borderId="8" xfId="0" applyNumberFormat="1" applyFont="1" applyFill="1" applyBorder="1" applyAlignment="1">
      <alignment vertical="center"/>
    </xf>
    <xf numFmtId="0" fontId="44" fillId="20" borderId="30" xfId="0" applyFont="1" applyFill="1" applyBorder="1" applyAlignment="1">
      <alignment vertical="center" wrapText="1"/>
    </xf>
    <xf numFmtId="2" fontId="91" fillId="20" borderId="23" xfId="0" applyNumberFormat="1" applyFont="1" applyFill="1" applyBorder="1" applyAlignment="1">
      <alignment vertical="center"/>
    </xf>
    <xf numFmtId="2" fontId="91" fillId="20" borderId="31" xfId="0" applyNumberFormat="1" applyFont="1" applyFill="1" applyBorder="1" applyAlignment="1">
      <alignment vertical="center"/>
    </xf>
    <xf numFmtId="2" fontId="44" fillId="20" borderId="31" xfId="0" applyNumberFormat="1" applyFont="1" applyFill="1" applyBorder="1" applyAlignment="1">
      <alignment vertical="center"/>
    </xf>
    <xf numFmtId="2" fontId="44" fillId="20" borderId="21" xfId="0" applyNumberFormat="1" applyFont="1" applyFill="1" applyBorder="1" applyAlignment="1">
      <alignment vertical="center"/>
    </xf>
    <xf numFmtId="2" fontId="44" fillId="20" borderId="32" xfId="0" applyNumberFormat="1" applyFont="1" applyFill="1" applyBorder="1" applyAlignment="1">
      <alignment vertical="center"/>
    </xf>
    <xf numFmtId="2" fontId="92" fillId="20" borderId="4" xfId="0" applyNumberFormat="1" applyFont="1" applyFill="1" applyBorder="1" applyAlignment="1">
      <alignment vertical="center"/>
    </xf>
    <xf numFmtId="0" fontId="44" fillId="20" borderId="34" xfId="0" applyFont="1" applyFill="1" applyBorder="1" applyAlignment="1">
      <alignment vertical="center" wrapText="1"/>
    </xf>
    <xf numFmtId="2" fontId="91" fillId="20" borderId="10" xfId="0" applyNumberFormat="1" applyFont="1" applyFill="1" applyBorder="1" applyAlignment="1">
      <alignment vertical="center"/>
    </xf>
    <xf numFmtId="2" fontId="91" fillId="20" borderId="3" xfId="0" applyNumberFormat="1" applyFont="1" applyFill="1" applyBorder="1" applyAlignment="1">
      <alignment vertical="center"/>
    </xf>
    <xf numFmtId="2" fontId="44" fillId="20" borderId="3" xfId="0" applyNumberFormat="1" applyFont="1" applyFill="1" applyBorder="1" applyAlignment="1">
      <alignment vertical="center"/>
    </xf>
    <xf numFmtId="2" fontId="44" fillId="20" borderId="0" xfId="0" applyNumberFormat="1" applyFont="1" applyFill="1" applyAlignment="1">
      <alignment vertical="center"/>
    </xf>
    <xf numFmtId="2" fontId="44" fillId="20" borderId="35" xfId="0" applyNumberFormat="1" applyFont="1" applyFill="1" applyBorder="1" applyAlignment="1">
      <alignment vertical="center"/>
    </xf>
    <xf numFmtId="2" fontId="91" fillId="20" borderId="7" xfId="0" applyNumberFormat="1" applyFont="1" applyFill="1" applyBorder="1" applyAlignment="1">
      <alignment vertical="center"/>
    </xf>
    <xf numFmtId="2" fontId="91" fillId="20" borderId="35" xfId="0" applyNumberFormat="1" applyFont="1" applyFill="1" applyBorder="1" applyAlignment="1">
      <alignment vertical="center"/>
    </xf>
    <xf numFmtId="2" fontId="91" fillId="20" borderId="34" xfId="0" applyNumberFormat="1" applyFont="1" applyFill="1" applyBorder="1" applyAlignment="1">
      <alignment vertical="center"/>
    </xf>
    <xf numFmtId="2" fontId="91" fillId="20" borderId="33" xfId="0" applyNumberFormat="1" applyFont="1" applyFill="1" applyBorder="1" applyAlignment="1">
      <alignment vertical="center"/>
    </xf>
    <xf numFmtId="2" fontId="91" fillId="20" borderId="0" xfId="0" applyNumberFormat="1" applyFont="1" applyFill="1" applyAlignment="1">
      <alignment vertical="center"/>
    </xf>
    <xf numFmtId="0" fontId="44" fillId="20" borderId="39" xfId="0" applyFont="1" applyFill="1" applyBorder="1" applyAlignment="1">
      <alignment vertical="center" wrapText="1"/>
    </xf>
    <xf numFmtId="1" fontId="91" fillId="20" borderId="13" xfId="0" applyNumberFormat="1" applyFont="1" applyFill="1" applyBorder="1" applyAlignment="1">
      <alignment vertical="center"/>
    </xf>
    <xf numFmtId="1" fontId="91" fillId="20" borderId="2" xfId="0" applyNumberFormat="1" applyFont="1" applyFill="1" applyBorder="1" applyAlignment="1">
      <alignment vertical="center"/>
    </xf>
    <xf numFmtId="2" fontId="91" fillId="20" borderId="2" xfId="0" applyNumberFormat="1" applyFont="1" applyFill="1" applyBorder="1" applyAlignment="1">
      <alignment vertical="center"/>
    </xf>
    <xf numFmtId="2" fontId="91" fillId="20" borderId="38" xfId="0" applyNumberFormat="1" applyFont="1" applyFill="1" applyBorder="1" applyAlignment="1">
      <alignment vertical="center"/>
    </xf>
    <xf numFmtId="2" fontId="91" fillId="20" borderId="40" xfId="0" applyNumberFormat="1" applyFont="1" applyFill="1" applyBorder="1" applyAlignment="1">
      <alignment vertical="center"/>
    </xf>
    <xf numFmtId="0" fontId="44" fillId="20" borderId="36" xfId="0" applyFont="1" applyFill="1" applyBorder="1" applyAlignment="1">
      <alignment vertical="center" wrapText="1"/>
    </xf>
    <xf numFmtId="1" fontId="91" fillId="20" borderId="20" xfId="0" applyNumberFormat="1" applyFont="1" applyFill="1" applyBorder="1" applyAlignment="1">
      <alignment vertical="center"/>
    </xf>
    <xf numFmtId="1" fontId="91" fillId="20" borderId="28" xfId="0" applyNumberFormat="1" applyFont="1" applyFill="1" applyBorder="1" applyAlignment="1">
      <alignment vertical="center"/>
    </xf>
    <xf numFmtId="2" fontId="91" fillId="20" borderId="28" xfId="0" applyNumberFormat="1" applyFont="1" applyFill="1" applyBorder="1" applyAlignment="1">
      <alignment vertical="center"/>
    </xf>
    <xf numFmtId="2" fontId="91" fillId="20" borderId="27" xfId="0" applyNumberFormat="1" applyFont="1" applyFill="1" applyBorder="1" applyAlignment="1">
      <alignment vertical="center"/>
    </xf>
    <xf numFmtId="2" fontId="91" fillId="20" borderId="8" xfId="0" applyNumberFormat="1" applyFont="1" applyFill="1" applyBorder="1" applyAlignment="1">
      <alignment vertical="center"/>
    </xf>
    <xf numFmtId="0" fontId="44" fillId="0" borderId="30" xfId="0" applyFont="1" applyBorder="1" applyAlignment="1">
      <alignment vertical="center" wrapText="1"/>
    </xf>
    <xf numFmtId="2" fontId="91" fillId="0" borderId="23" xfId="0" applyNumberFormat="1" applyFont="1" applyBorder="1" applyAlignment="1">
      <alignment vertical="center"/>
    </xf>
    <xf numFmtId="2" fontId="91" fillId="0" borderId="31" xfId="0" applyNumberFormat="1" applyFont="1" applyBorder="1" applyAlignment="1">
      <alignment vertical="center"/>
    </xf>
    <xf numFmtId="2" fontId="91" fillId="0" borderId="30" xfId="0" applyNumberFormat="1" applyFont="1" applyBorder="1" applyAlignment="1">
      <alignment vertical="center"/>
    </xf>
    <xf numFmtId="2" fontId="91" fillId="3" borderId="4" xfId="0" applyNumberFormat="1" applyFont="1" applyFill="1" applyBorder="1" applyAlignment="1">
      <alignment vertical="center"/>
    </xf>
    <xf numFmtId="2" fontId="91" fillId="3" borderId="23" xfId="0" applyNumberFormat="1" applyFont="1" applyFill="1" applyBorder="1" applyAlignment="1">
      <alignment vertical="center"/>
    </xf>
    <xf numFmtId="2" fontId="91" fillId="3" borderId="32" xfId="0" applyNumberFormat="1" applyFont="1" applyFill="1" applyBorder="1" applyAlignment="1">
      <alignment vertical="center"/>
    </xf>
    <xf numFmtId="0" fontId="44" fillId="0" borderId="34" xfId="0" applyFont="1" applyBorder="1" applyAlignment="1">
      <alignment vertical="center" wrapText="1"/>
    </xf>
    <xf numFmtId="2" fontId="91" fillId="0" borderId="10" xfId="0" applyNumberFormat="1" applyFont="1" applyBorder="1" applyAlignment="1">
      <alignment vertical="center"/>
    </xf>
    <xf numFmtId="2" fontId="91" fillId="0" borderId="3" xfId="0" applyNumberFormat="1" applyFont="1" applyBorder="1" applyAlignment="1">
      <alignment vertical="center"/>
    </xf>
    <xf numFmtId="2" fontId="91" fillId="0" borderId="34" xfId="0" applyNumberFormat="1" applyFont="1" applyBorder="1" applyAlignment="1">
      <alignment vertical="center"/>
    </xf>
    <xf numFmtId="2" fontId="91" fillId="3" borderId="7" xfId="0" applyNumberFormat="1" applyFont="1" applyFill="1" applyBorder="1" applyAlignment="1">
      <alignment vertical="center"/>
    </xf>
    <xf numFmtId="2" fontId="91" fillId="3" borderId="10" xfId="0" applyNumberFormat="1" applyFont="1" applyFill="1" applyBorder="1" applyAlignment="1">
      <alignment vertical="center"/>
    </xf>
    <xf numFmtId="2" fontId="91" fillId="3" borderId="35" xfId="0" applyNumberFormat="1" applyFont="1" applyFill="1" applyBorder="1" applyAlignment="1">
      <alignment vertical="center"/>
    </xf>
    <xf numFmtId="0" fontId="81" fillId="0" borderId="34" xfId="0" applyFont="1" applyBorder="1" applyAlignment="1">
      <alignment vertical="center" wrapText="1"/>
    </xf>
    <xf numFmtId="2" fontId="91" fillId="0" borderId="33" xfId="0" applyNumberFormat="1" applyFont="1" applyBorder="1" applyAlignment="1">
      <alignment vertical="center"/>
    </xf>
    <xf numFmtId="2" fontId="91" fillId="0" borderId="35" xfId="0" applyNumberFormat="1" applyFont="1" applyBorder="1" applyAlignment="1">
      <alignment vertical="center"/>
    </xf>
    <xf numFmtId="2" fontId="91" fillId="0" borderId="7" xfId="0" applyNumberFormat="1" applyFont="1" applyBorder="1" applyAlignment="1">
      <alignment vertical="center"/>
    </xf>
    <xf numFmtId="0" fontId="44" fillId="0" borderId="39" xfId="0" applyFont="1" applyBorder="1" applyAlignment="1">
      <alignment vertical="center" wrapText="1"/>
    </xf>
    <xf numFmtId="1" fontId="91" fillId="0" borderId="13" xfId="0" applyNumberFormat="1" applyFont="1" applyBorder="1" applyAlignment="1">
      <alignment vertical="center"/>
    </xf>
    <xf numFmtId="1" fontId="91" fillId="0" borderId="2" xfId="0" applyNumberFormat="1" applyFont="1" applyBorder="1" applyAlignment="1">
      <alignment vertical="center"/>
    </xf>
    <xf numFmtId="1" fontId="91" fillId="0" borderId="12" xfId="0" applyNumberFormat="1" applyFont="1" applyBorder="1" applyAlignment="1">
      <alignment vertical="center"/>
    </xf>
    <xf numFmtId="2" fontId="91" fillId="0" borderId="2" xfId="0" applyNumberFormat="1" applyFont="1" applyBorder="1" applyAlignment="1">
      <alignment vertical="center"/>
    </xf>
    <xf numFmtId="2" fontId="91" fillId="0" borderId="12" xfId="0" applyNumberFormat="1" applyFont="1" applyBorder="1" applyAlignment="1">
      <alignment vertical="center"/>
    </xf>
    <xf numFmtId="2" fontId="91" fillId="0" borderId="39" xfId="0" applyNumberFormat="1" applyFont="1" applyBorder="1" applyAlignment="1">
      <alignment vertical="center"/>
    </xf>
    <xf numFmtId="2" fontId="91" fillId="0" borderId="37" xfId="0" applyNumberFormat="1" applyFont="1" applyBorder="1" applyAlignment="1">
      <alignment vertical="center"/>
    </xf>
    <xf numFmtId="2" fontId="44" fillId="0" borderId="3" xfId="0" applyNumberFormat="1" applyFont="1" applyBorder="1" applyAlignment="1">
      <alignment vertical="center"/>
    </xf>
    <xf numFmtId="2" fontId="44" fillId="0" borderId="0" xfId="0" applyNumberFormat="1" applyFont="1" applyAlignment="1">
      <alignment vertical="center"/>
    </xf>
    <xf numFmtId="2" fontId="44" fillId="0" borderId="35" xfId="0" applyNumberFormat="1" applyFont="1" applyBorder="1" applyAlignment="1">
      <alignment vertical="center"/>
    </xf>
    <xf numFmtId="0" fontId="44" fillId="0" borderId="38" xfId="0" applyFont="1" applyBorder="1" applyAlignment="1">
      <alignment vertical="center" wrapText="1"/>
    </xf>
    <xf numFmtId="2" fontId="91" fillId="0" borderId="13" xfId="0" applyNumberFormat="1" applyFont="1" applyBorder="1" applyAlignment="1">
      <alignment vertical="center"/>
    </xf>
    <xf numFmtId="2" fontId="44" fillId="0" borderId="2" xfId="0" applyNumberFormat="1" applyFont="1" applyBorder="1" applyAlignment="1">
      <alignment vertical="center"/>
    </xf>
    <xf numFmtId="2" fontId="44" fillId="0" borderId="12" xfId="0" applyNumberFormat="1" applyFont="1" applyBorder="1" applyAlignment="1">
      <alignment vertical="center"/>
    </xf>
    <xf numFmtId="2" fontId="44" fillId="0" borderId="39" xfId="0" applyNumberFormat="1" applyFont="1" applyBorder="1" applyAlignment="1">
      <alignment vertical="center"/>
    </xf>
    <xf numFmtId="0" fontId="44" fillId="26" borderId="32" xfId="0" applyFont="1" applyFill="1" applyBorder="1" applyAlignment="1">
      <alignment vertical="center" wrapText="1"/>
    </xf>
    <xf numFmtId="2" fontId="91" fillId="26" borderId="29" xfId="0" applyNumberFormat="1" applyFont="1" applyFill="1" applyBorder="1" applyAlignment="1">
      <alignment vertical="center"/>
    </xf>
    <xf numFmtId="2" fontId="91" fillId="26" borderId="31" xfId="0" applyNumberFormat="1" applyFont="1" applyFill="1" applyBorder="1" applyAlignment="1">
      <alignment vertical="center"/>
    </xf>
    <xf numFmtId="2" fontId="44" fillId="26" borderId="21" xfId="0" applyNumberFormat="1" applyFont="1" applyFill="1" applyBorder="1" applyAlignment="1">
      <alignment vertical="center"/>
    </xf>
    <xf numFmtId="2" fontId="44" fillId="26" borderId="31" xfId="0" applyNumberFormat="1" applyFont="1" applyFill="1" applyBorder="1" applyAlignment="1">
      <alignment vertical="center"/>
    </xf>
    <xf numFmtId="2" fontId="44" fillId="26" borderId="32" xfId="0" applyNumberFormat="1" applyFont="1" applyFill="1" applyBorder="1" applyAlignment="1">
      <alignment vertical="center"/>
    </xf>
    <xf numFmtId="2" fontId="91" fillId="26" borderId="32" xfId="0" applyNumberFormat="1" applyFont="1" applyFill="1" applyBorder="1" applyAlignment="1">
      <alignment vertical="center"/>
    </xf>
    <xf numFmtId="0" fontId="44" fillId="26" borderId="35" xfId="0" applyFont="1" applyFill="1" applyBorder="1" applyAlignment="1">
      <alignment vertical="center" wrapText="1"/>
    </xf>
    <xf numFmtId="2" fontId="91" fillId="26" borderId="33" xfId="0" applyNumberFormat="1" applyFont="1" applyFill="1" applyBorder="1" applyAlignment="1">
      <alignment vertical="center"/>
    </xf>
    <xf numFmtId="2" fontId="91" fillId="26" borderId="3" xfId="0" applyNumberFormat="1" applyFont="1" applyFill="1" applyBorder="1" applyAlignment="1">
      <alignment vertical="center"/>
    </xf>
    <xf numFmtId="2" fontId="44" fillId="26" borderId="0" xfId="0" applyNumberFormat="1" applyFont="1" applyFill="1" applyAlignment="1">
      <alignment vertical="center"/>
    </xf>
    <xf numFmtId="2" fontId="44" fillId="26" borderId="3" xfId="0" applyNumberFormat="1" applyFont="1" applyFill="1" applyBorder="1" applyAlignment="1">
      <alignment vertical="center"/>
    </xf>
    <xf numFmtId="2" fontId="44" fillId="26" borderId="35" xfId="0" applyNumberFormat="1" applyFont="1" applyFill="1" applyBorder="1" applyAlignment="1">
      <alignment vertical="center"/>
    </xf>
    <xf numFmtId="2" fontId="91" fillId="26" borderId="35" xfId="0" applyNumberFormat="1" applyFont="1" applyFill="1" applyBorder="1" applyAlignment="1">
      <alignment vertical="center"/>
    </xf>
    <xf numFmtId="2" fontId="91" fillId="26" borderId="0" xfId="0" applyNumberFormat="1" applyFont="1" applyFill="1" applyAlignment="1">
      <alignment vertical="center"/>
    </xf>
    <xf numFmtId="0" fontId="91" fillId="26" borderId="33" xfId="0" applyFont="1" applyFill="1" applyBorder="1"/>
    <xf numFmtId="0" fontId="44" fillId="26" borderId="35" xfId="0" applyFont="1" applyFill="1" applyBorder="1" applyAlignment="1">
      <alignment wrapText="1"/>
    </xf>
    <xf numFmtId="1" fontId="91" fillId="26" borderId="7" xfId="0" applyNumberFormat="1" applyFont="1" applyFill="1" applyBorder="1"/>
    <xf numFmtId="1" fontId="91" fillId="26" borderId="3" xfId="0" applyNumberFormat="1" applyFont="1" applyFill="1" applyBorder="1"/>
    <xf numFmtId="1" fontId="91" fillId="26" borderId="0" xfId="0" applyNumberFormat="1" applyFont="1" applyFill="1"/>
    <xf numFmtId="2" fontId="91" fillId="26" borderId="3" xfId="0" applyNumberFormat="1" applyFont="1" applyFill="1" applyBorder="1"/>
    <xf numFmtId="2" fontId="91" fillId="26" borderId="0" xfId="0" applyNumberFormat="1" applyFont="1" applyFill="1"/>
    <xf numFmtId="2" fontId="91" fillId="26" borderId="35" xfId="0" applyNumberFormat="1" applyFont="1" applyFill="1" applyBorder="1"/>
    <xf numFmtId="2" fontId="91" fillId="26" borderId="33" xfId="0" applyNumberFormat="1" applyFont="1" applyFill="1" applyBorder="1"/>
    <xf numFmtId="0" fontId="44" fillId="26" borderId="36" xfId="0" applyFont="1" applyFill="1" applyBorder="1" applyAlignment="1">
      <alignment wrapText="1"/>
    </xf>
    <xf numFmtId="1" fontId="91" fillId="26" borderId="20" xfId="0" applyNumberFormat="1" applyFont="1" applyFill="1" applyBorder="1"/>
    <xf numFmtId="1" fontId="91" fillId="26" borderId="28" xfId="0" applyNumberFormat="1" applyFont="1" applyFill="1" applyBorder="1"/>
    <xf numFmtId="1" fontId="91" fillId="26" borderId="19" xfId="0" applyNumberFormat="1" applyFont="1" applyFill="1" applyBorder="1"/>
    <xf numFmtId="2" fontId="91" fillId="26" borderId="28" xfId="0" applyNumberFormat="1" applyFont="1" applyFill="1" applyBorder="1"/>
    <xf numFmtId="2" fontId="91" fillId="26" borderId="19" xfId="0" applyNumberFormat="1" applyFont="1" applyFill="1" applyBorder="1"/>
    <xf numFmtId="2" fontId="91" fillId="26" borderId="36" xfId="0" applyNumberFormat="1" applyFont="1" applyFill="1" applyBorder="1"/>
    <xf numFmtId="2" fontId="91" fillId="26" borderId="26" xfId="0" applyNumberFormat="1" applyFont="1" applyFill="1" applyBorder="1"/>
    <xf numFmtId="0" fontId="44" fillId="27" borderId="21" xfId="0" applyFont="1" applyFill="1" applyBorder="1" applyAlignment="1">
      <alignment wrapText="1"/>
    </xf>
    <xf numFmtId="0" fontId="91" fillId="27" borderId="7" xfId="0" applyFont="1" applyFill="1" applyBorder="1"/>
    <xf numFmtId="0" fontId="91" fillId="27" borderId="31" xfId="0" applyFont="1" applyFill="1" applyBorder="1"/>
    <xf numFmtId="0" fontId="91" fillId="27" borderId="21" xfId="0" applyFont="1" applyFill="1" applyBorder="1"/>
    <xf numFmtId="0" fontId="91" fillId="27" borderId="32" xfId="0" applyFont="1" applyFill="1" applyBorder="1"/>
    <xf numFmtId="0" fontId="44" fillId="27" borderId="0" xfId="0" applyFont="1" applyFill="1" applyAlignment="1">
      <alignment wrapText="1"/>
    </xf>
    <xf numFmtId="0" fontId="91" fillId="27" borderId="3" xfId="0" applyFont="1" applyFill="1" applyBorder="1"/>
    <xf numFmtId="0" fontId="91" fillId="27" borderId="0" xfId="0" applyFont="1" applyFill="1"/>
    <xf numFmtId="2" fontId="91" fillId="27" borderId="3" xfId="0" applyNumberFormat="1" applyFont="1" applyFill="1" applyBorder="1"/>
    <xf numFmtId="2" fontId="91" fillId="27" borderId="0" xfId="0" applyNumberFormat="1" applyFont="1" applyFill="1"/>
    <xf numFmtId="2" fontId="91" fillId="27" borderId="35" xfId="0" applyNumberFormat="1" applyFont="1" applyFill="1" applyBorder="1"/>
    <xf numFmtId="0" fontId="44" fillId="27" borderId="12" xfId="0" applyFont="1" applyFill="1" applyBorder="1" applyAlignment="1">
      <alignment wrapText="1"/>
    </xf>
    <xf numFmtId="0" fontId="91" fillId="27" borderId="40" xfId="0" applyFont="1" applyFill="1" applyBorder="1"/>
    <xf numFmtId="2" fontId="91" fillId="27" borderId="2" xfId="0" applyNumberFormat="1" applyFont="1" applyFill="1" applyBorder="1"/>
    <xf numFmtId="0" fontId="91" fillId="27" borderId="12" xfId="0" applyFont="1" applyFill="1" applyBorder="1"/>
    <xf numFmtId="2" fontId="91" fillId="27" borderId="12" xfId="0" applyNumberFormat="1" applyFont="1" applyFill="1" applyBorder="1"/>
    <xf numFmtId="2" fontId="91" fillId="27" borderId="39" xfId="0" applyNumberFormat="1" applyFont="1" applyFill="1" applyBorder="1"/>
    <xf numFmtId="0" fontId="44" fillId="27" borderId="70" xfId="0" applyFont="1" applyFill="1" applyBorder="1" applyAlignment="1">
      <alignment wrapText="1"/>
    </xf>
    <xf numFmtId="2" fontId="44" fillId="27" borderId="70" xfId="0" applyNumberFormat="1" applyFont="1" applyFill="1" applyBorder="1"/>
    <xf numFmtId="2" fontId="44" fillId="27" borderId="71" xfId="0" applyNumberFormat="1" applyFont="1" applyFill="1" applyBorder="1"/>
    <xf numFmtId="0" fontId="44" fillId="27" borderId="71" xfId="0" applyFont="1" applyFill="1" applyBorder="1"/>
    <xf numFmtId="2" fontId="91" fillId="27" borderId="33" xfId="0" applyNumberFormat="1" applyFont="1" applyFill="1" applyBorder="1"/>
    <xf numFmtId="2" fontId="44" fillId="27" borderId="0" xfId="0" applyNumberFormat="1" applyFont="1" applyFill="1"/>
    <xf numFmtId="2" fontId="44" fillId="27" borderId="3" xfId="0" applyNumberFormat="1" applyFont="1" applyFill="1" applyBorder="1"/>
    <xf numFmtId="2" fontId="44" fillId="27" borderId="35" xfId="0" applyNumberFormat="1" applyFont="1" applyFill="1" applyBorder="1"/>
    <xf numFmtId="0" fontId="44" fillId="27" borderId="33" xfId="0" applyFont="1" applyFill="1" applyBorder="1"/>
    <xf numFmtId="0" fontId="44" fillId="27" borderId="3" xfId="0" applyFont="1" applyFill="1" applyBorder="1"/>
    <xf numFmtId="0" fontId="44" fillId="27" borderId="35" xfId="0" applyFont="1" applyFill="1" applyBorder="1"/>
    <xf numFmtId="9" fontId="44" fillId="0" borderId="0" xfId="0" applyNumberFormat="1" applyFont="1"/>
    <xf numFmtId="2" fontId="91" fillId="27" borderId="7" xfId="0" applyNumberFormat="1" applyFont="1" applyFill="1" applyBorder="1" applyAlignment="1">
      <alignment vertical="center"/>
    </xf>
    <xf numFmtId="2" fontId="91" fillId="27" borderId="10" xfId="0" applyNumberFormat="1" applyFont="1" applyFill="1" applyBorder="1" applyAlignment="1">
      <alignment vertical="center"/>
    </xf>
    <xf numFmtId="2" fontId="91" fillId="27" borderId="35" xfId="0" applyNumberFormat="1" applyFont="1" applyFill="1" applyBorder="1" applyAlignment="1">
      <alignment vertical="center"/>
    </xf>
    <xf numFmtId="0" fontId="44" fillId="27" borderId="0" xfId="0" applyFont="1" applyFill="1" applyAlignment="1">
      <alignment vertical="center" wrapText="1"/>
    </xf>
    <xf numFmtId="2" fontId="91" fillId="27" borderId="3" xfId="0" applyNumberFormat="1" applyFont="1" applyFill="1" applyBorder="1" applyAlignment="1">
      <alignment vertical="center"/>
    </xf>
    <xf numFmtId="2" fontId="91" fillId="27" borderId="0" xfId="0" applyNumberFormat="1" applyFont="1" applyFill="1" applyAlignment="1">
      <alignment vertical="center"/>
    </xf>
    <xf numFmtId="0" fontId="44" fillId="0" borderId="0" xfId="0" applyFont="1" applyAlignment="1">
      <alignment vertical="center"/>
    </xf>
    <xf numFmtId="0" fontId="91" fillId="27" borderId="35" xfId="0" applyFont="1" applyFill="1" applyBorder="1"/>
    <xf numFmtId="0" fontId="91" fillId="27" borderId="2" xfId="0" applyFont="1" applyFill="1" applyBorder="1"/>
    <xf numFmtId="0" fontId="91" fillId="27" borderId="39" xfId="0" applyFont="1" applyFill="1" applyBorder="1"/>
    <xf numFmtId="2" fontId="91" fillId="27" borderId="40" xfId="0" applyNumberFormat="1" applyFont="1" applyFill="1" applyBorder="1" applyAlignment="1">
      <alignment vertical="center"/>
    </xf>
    <xf numFmtId="2" fontId="91" fillId="27" borderId="13" xfId="0" applyNumberFormat="1" applyFont="1" applyFill="1" applyBorder="1" applyAlignment="1">
      <alignment vertical="center"/>
    </xf>
    <xf numFmtId="2" fontId="91" fillId="27" borderId="39" xfId="0" applyNumberFormat="1" applyFont="1" applyFill="1" applyBorder="1" applyAlignment="1">
      <alignment vertical="center"/>
    </xf>
    <xf numFmtId="0" fontId="44" fillId="27" borderId="19" xfId="0" applyFont="1" applyFill="1" applyBorder="1" applyAlignment="1">
      <alignment wrapText="1"/>
    </xf>
    <xf numFmtId="0" fontId="91" fillId="27" borderId="8" xfId="0" applyFont="1" applyFill="1" applyBorder="1"/>
    <xf numFmtId="0" fontId="91" fillId="27" borderId="28" xfId="0" applyFont="1" applyFill="1" applyBorder="1"/>
    <xf numFmtId="0" fontId="91" fillId="27" borderId="19" xfId="0" applyFont="1" applyFill="1" applyBorder="1"/>
    <xf numFmtId="0" fontId="91" fillId="27" borderId="36" xfId="0" applyFont="1" applyFill="1" applyBorder="1"/>
    <xf numFmtId="2" fontId="91" fillId="27" borderId="8" xfId="0" applyNumberFormat="1" applyFont="1" applyFill="1" applyBorder="1" applyAlignment="1">
      <alignment vertical="center"/>
    </xf>
    <xf numFmtId="2" fontId="91" fillId="27" borderId="20" xfId="0" applyNumberFormat="1" applyFont="1" applyFill="1" applyBorder="1" applyAlignment="1">
      <alignment vertical="center"/>
    </xf>
    <xf numFmtId="2" fontId="91" fillId="27" borderId="36" xfId="0" applyNumberFormat="1" applyFont="1" applyFill="1" applyBorder="1" applyAlignment="1">
      <alignment vertical="center"/>
    </xf>
    <xf numFmtId="10" fontId="44" fillId="0" borderId="0" xfId="0" applyNumberFormat="1" applyFont="1"/>
    <xf numFmtId="43" fontId="84" fillId="25" borderId="0" xfId="1" applyFont="1" applyFill="1"/>
    <xf numFmtId="2" fontId="93" fillId="82" borderId="0" xfId="0" applyNumberFormat="1" applyFont="1" applyFill="1" applyAlignment="1">
      <alignment horizontal="right"/>
    </xf>
    <xf numFmtId="9" fontId="84" fillId="25" borderId="0" xfId="2" applyFont="1" applyFill="1"/>
    <xf numFmtId="0" fontId="84" fillId="0" borderId="0" xfId="0" applyFont="1"/>
    <xf numFmtId="0" fontId="44" fillId="0" borderId="0" xfId="0" quotePrefix="1" applyFont="1"/>
    <xf numFmtId="0" fontId="4" fillId="3" borderId="0" xfId="0" applyFont="1" applyFill="1" applyAlignment="1">
      <alignment horizontal="right"/>
    </xf>
    <xf numFmtId="3" fontId="6" fillId="3" borderId="0" xfId="0" applyNumberFormat="1" applyFont="1" applyFill="1"/>
    <xf numFmtId="0" fontId="6" fillId="83" borderId="0" xfId="0" applyFont="1" applyFill="1"/>
    <xf numFmtId="0" fontId="6" fillId="83" borderId="0" xfId="0" applyFont="1" applyFill="1" applyAlignment="1">
      <alignment horizontal="center"/>
    </xf>
    <xf numFmtId="0" fontId="4" fillId="84" borderId="0" xfId="0" applyFont="1" applyFill="1"/>
    <xf numFmtId="167" fontId="4" fillId="84" borderId="0" xfId="0" applyNumberFormat="1" applyFont="1" applyFill="1"/>
    <xf numFmtId="0" fontId="94" fillId="85" borderId="16" xfId="0" applyFont="1" applyFill="1" applyBorder="1"/>
    <xf numFmtId="169" fontId="4" fillId="84" borderId="0" xfId="0" applyNumberFormat="1" applyFont="1" applyFill="1"/>
    <xf numFmtId="0" fontId="83" fillId="75" borderId="20" xfId="0" applyFont="1" applyFill="1" applyBorder="1" applyAlignment="1">
      <alignment horizontal="center" vertical="center"/>
    </xf>
    <xf numFmtId="0" fontId="81" fillId="84" borderId="0" xfId="0" applyFont="1" applyFill="1" applyAlignment="1">
      <alignment horizontal="right"/>
    </xf>
    <xf numFmtId="43" fontId="44" fillId="84" borderId="0" xfId="1" applyFont="1" applyFill="1"/>
    <xf numFmtId="43" fontId="83" fillId="84" borderId="0" xfId="1" applyFont="1" applyFill="1"/>
    <xf numFmtId="0" fontId="44" fillId="84" borderId="0" xfId="0" applyFont="1" applyFill="1"/>
    <xf numFmtId="10" fontId="44" fillId="84" borderId="0" xfId="2" applyNumberFormat="1" applyFont="1" applyFill="1"/>
    <xf numFmtId="0" fontId="44" fillId="84" borderId="21" xfId="0" applyFont="1" applyFill="1" applyBorder="1"/>
    <xf numFmtId="43" fontId="44" fillId="84" borderId="21" xfId="1" applyFont="1" applyFill="1" applyBorder="1"/>
    <xf numFmtId="43" fontId="44" fillId="84" borderId="0" xfId="1" applyFont="1" applyFill="1" applyBorder="1"/>
    <xf numFmtId="0" fontId="44" fillId="84" borderId="12" xfId="0" applyFont="1" applyFill="1" applyBorder="1"/>
    <xf numFmtId="43" fontId="44" fillId="84" borderId="12" xfId="1" applyFont="1" applyFill="1" applyBorder="1"/>
    <xf numFmtId="43" fontId="84" fillId="84" borderId="0" xfId="1" applyFont="1" applyFill="1" applyBorder="1"/>
    <xf numFmtId="167" fontId="6" fillId="84" borderId="0" xfId="0" applyNumberFormat="1" applyFont="1" applyFill="1"/>
    <xf numFmtId="0" fontId="6" fillId="3" borderId="0" xfId="0" applyFont="1" applyFill="1"/>
    <xf numFmtId="0" fontId="0" fillId="84" borderId="0" xfId="0" applyFill="1" applyAlignment="1">
      <alignment horizontal="left"/>
    </xf>
    <xf numFmtId="9" fontId="78" fillId="84" borderId="0" xfId="2" applyFont="1" applyFill="1" applyBorder="1"/>
    <xf numFmtId="0" fontId="3" fillId="84" borderId="0" xfId="0" applyFont="1" applyFill="1"/>
    <xf numFmtId="168" fontId="79" fillId="84" borderId="0" xfId="0" applyNumberFormat="1" applyFont="1" applyFill="1"/>
    <xf numFmtId="168" fontId="78" fillId="84" borderId="0" xfId="1" applyNumberFormat="1" applyFont="1" applyFill="1" applyBorder="1"/>
    <xf numFmtId="0" fontId="0" fillId="84" borderId="19" xfId="0" applyFill="1" applyBorder="1" applyAlignment="1">
      <alignment horizontal="left"/>
    </xf>
    <xf numFmtId="168" fontId="78" fillId="84" borderId="19" xfId="1" applyNumberFormat="1" applyFont="1" applyFill="1" applyBorder="1"/>
    <xf numFmtId="173" fontId="78" fillId="84" borderId="0" xfId="2" applyNumberFormat="1" applyFont="1" applyFill="1" applyBorder="1"/>
    <xf numFmtId="173" fontId="78" fillId="84" borderId="19" xfId="2" applyNumberFormat="1" applyFont="1" applyFill="1" applyBorder="1"/>
    <xf numFmtId="0" fontId="3" fillId="84" borderId="0" xfId="0" applyFont="1" applyFill="1" applyAlignment="1">
      <alignment horizontal="left"/>
    </xf>
    <xf numFmtId="173" fontId="79" fillId="84" borderId="0" xfId="0" applyNumberFormat="1" applyFont="1" applyFill="1"/>
    <xf numFmtId="0" fontId="19" fillId="83" borderId="19" xfId="0" applyFont="1" applyFill="1" applyBorder="1" applyAlignment="1">
      <alignment horizontal="center" vertical="center"/>
    </xf>
    <xf numFmtId="0" fontId="95" fillId="3" borderId="0" xfId="0" applyFont="1" applyFill="1" applyAlignment="1">
      <alignment horizontal="right"/>
    </xf>
    <xf numFmtId="0" fontId="4" fillId="25" borderId="0" xfId="0" applyFont="1" applyFill="1"/>
    <xf numFmtId="0" fontId="96" fillId="3" borderId="0" xfId="0" applyFont="1" applyFill="1"/>
    <xf numFmtId="0" fontId="97" fillId="3" borderId="0" xfId="0" applyFont="1" applyFill="1"/>
    <xf numFmtId="0" fontId="4" fillId="3" borderId="0" xfId="0" applyFont="1" applyFill="1" applyAlignment="1">
      <alignment horizontal="left" wrapText="1"/>
    </xf>
    <xf numFmtId="0" fontId="98" fillId="3" borderId="0" xfId="522" applyFont="1" applyFill="1"/>
    <xf numFmtId="0" fontId="96" fillId="3" borderId="0" xfId="522" applyFont="1" applyFill="1"/>
    <xf numFmtId="0" fontId="64" fillId="3" borderId="0" xfId="471" applyFill="1" applyBorder="1" applyAlignment="1" applyProtection="1"/>
    <xf numFmtId="0" fontId="6" fillId="75" borderId="0" xfId="0" applyFont="1" applyFill="1"/>
    <xf numFmtId="0" fontId="96" fillId="75" borderId="0" xfId="0" applyFont="1" applyFill="1"/>
    <xf numFmtId="0" fontId="96" fillId="75" borderId="0" xfId="522" applyFont="1" applyFill="1"/>
    <xf numFmtId="11" fontId="0" fillId="25" borderId="0" xfId="0" applyNumberFormat="1" applyFill="1"/>
    <xf numFmtId="0" fontId="4" fillId="25" borderId="0" xfId="0" applyFont="1" applyFill="1" applyAlignment="1">
      <alignment horizontal="left" wrapText="1"/>
    </xf>
    <xf numFmtId="166" fontId="96" fillId="25" borderId="0" xfId="522" applyNumberFormat="1" applyFont="1" applyFill="1"/>
    <xf numFmtId="11" fontId="0" fillId="3" borderId="0" xfId="0" applyNumberFormat="1" applyFill="1"/>
    <xf numFmtId="0" fontId="100" fillId="0" borderId="9" xfId="0" applyFont="1" applyBorder="1"/>
    <xf numFmtId="0" fontId="100" fillId="0" borderId="0" xfId="0" applyFont="1"/>
    <xf numFmtId="0" fontId="100" fillId="0" borderId="0" xfId="0" applyFont="1" applyAlignment="1">
      <alignment wrapText="1"/>
    </xf>
    <xf numFmtId="0" fontId="101" fillId="0" borderId="0" xfId="8" applyFont="1" applyFill="1" applyAlignment="1" applyProtection="1"/>
    <xf numFmtId="0" fontId="102" fillId="0" borderId="0" xfId="0" applyFont="1"/>
    <xf numFmtId="0" fontId="103" fillId="0" borderId="12" xfId="0" applyFont="1" applyBorder="1" applyAlignment="1">
      <alignment horizontal="left" vertical="center"/>
    </xf>
    <xf numFmtId="0" fontId="100" fillId="0" borderId="12" xfId="0" applyFont="1" applyBorder="1" applyAlignment="1">
      <alignment vertical="center" wrapText="1"/>
    </xf>
    <xf numFmtId="0" fontId="100" fillId="22" borderId="26" xfId="0" applyFont="1" applyFill="1" applyBorder="1" applyAlignment="1">
      <alignment horizontal="center" vertical="center" wrapText="1"/>
    </xf>
    <xf numFmtId="0" fontId="100" fillId="22" borderId="27" xfId="0" applyFont="1" applyFill="1" applyBorder="1" applyAlignment="1">
      <alignment horizontal="center" vertical="center" wrapText="1"/>
    </xf>
    <xf numFmtId="0" fontId="100" fillId="22" borderId="28" xfId="0" applyFont="1" applyFill="1" applyBorder="1" applyAlignment="1">
      <alignment horizontal="center" vertical="center" wrapText="1"/>
    </xf>
    <xf numFmtId="0" fontId="100" fillId="22" borderId="19" xfId="0" applyFont="1" applyFill="1" applyBorder="1" applyAlignment="1">
      <alignment horizontal="center" vertical="center" wrapText="1"/>
    </xf>
    <xf numFmtId="0" fontId="100" fillId="22" borderId="8" xfId="0" applyFont="1" applyFill="1" applyBorder="1" applyAlignment="1">
      <alignment horizontal="center" vertical="center" wrapText="1"/>
    </xf>
    <xf numFmtId="0" fontId="100" fillId="23" borderId="30" xfId="0" applyFont="1" applyFill="1" applyBorder="1" applyAlignment="1">
      <alignment vertical="center" wrapText="1"/>
    </xf>
    <xf numFmtId="2" fontId="105" fillId="23" borderId="23" xfId="0" applyNumberFormat="1" applyFont="1" applyFill="1" applyBorder="1" applyAlignment="1">
      <alignment vertical="center"/>
    </xf>
    <xf numFmtId="2" fontId="105" fillId="23" borderId="31" xfId="0" applyNumberFormat="1" applyFont="1" applyFill="1" applyBorder="1" applyAlignment="1">
      <alignment vertical="center"/>
    </xf>
    <xf numFmtId="2" fontId="100" fillId="23" borderId="31" xfId="0" applyNumberFormat="1" applyFont="1" applyFill="1" applyBorder="1" applyAlignment="1">
      <alignment vertical="center"/>
    </xf>
    <xf numFmtId="2" fontId="100" fillId="23" borderId="21" xfId="0" applyNumberFormat="1" applyFont="1" applyFill="1" applyBorder="1" applyAlignment="1">
      <alignment vertical="center"/>
    </xf>
    <xf numFmtId="2" fontId="105" fillId="23" borderId="4" xfId="0" applyNumberFormat="1" applyFont="1" applyFill="1" applyBorder="1" applyAlignment="1">
      <alignment vertical="center"/>
    </xf>
    <xf numFmtId="2" fontId="105" fillId="23" borderId="32" xfId="0" applyNumberFormat="1" applyFont="1" applyFill="1" applyBorder="1" applyAlignment="1">
      <alignment vertical="center"/>
    </xf>
    <xf numFmtId="0" fontId="100" fillId="23" borderId="34" xfId="0" applyFont="1" applyFill="1" applyBorder="1" applyAlignment="1">
      <alignment vertical="center" wrapText="1"/>
    </xf>
    <xf numFmtId="2" fontId="105" fillId="23" borderId="10" xfId="0" applyNumberFormat="1" applyFont="1" applyFill="1" applyBorder="1" applyAlignment="1">
      <alignment vertical="center"/>
    </xf>
    <xf numFmtId="2" fontId="105" fillId="23" borderId="3" xfId="0" applyNumberFormat="1" applyFont="1" applyFill="1" applyBorder="1" applyAlignment="1">
      <alignment vertical="center"/>
    </xf>
    <xf numFmtId="2" fontId="100" fillId="23" borderId="3" xfId="0" applyNumberFormat="1" applyFont="1" applyFill="1" applyBorder="1" applyAlignment="1">
      <alignment vertical="center"/>
    </xf>
    <xf numFmtId="2" fontId="100" fillId="23" borderId="0" xfId="0" applyNumberFormat="1" applyFont="1" applyFill="1" applyAlignment="1">
      <alignment vertical="center"/>
    </xf>
    <xf numFmtId="2" fontId="105" fillId="23" borderId="7" xfId="0" applyNumberFormat="1" applyFont="1" applyFill="1" applyBorder="1" applyAlignment="1">
      <alignment vertical="center"/>
    </xf>
    <xf numFmtId="2" fontId="105" fillId="23" borderId="35" xfId="0" applyNumberFormat="1" applyFont="1" applyFill="1" applyBorder="1" applyAlignment="1">
      <alignment vertical="center"/>
    </xf>
    <xf numFmtId="0" fontId="105" fillId="23" borderId="3" xfId="0" applyFont="1" applyFill="1" applyBorder="1" applyAlignment="1">
      <alignment vertical="center"/>
    </xf>
    <xf numFmtId="2" fontId="105" fillId="23" borderId="0" xfId="0" applyNumberFormat="1" applyFont="1" applyFill="1" applyAlignment="1">
      <alignment vertical="center"/>
    </xf>
    <xf numFmtId="2" fontId="105" fillId="23" borderId="34" xfId="0" applyNumberFormat="1" applyFont="1" applyFill="1" applyBorder="1" applyAlignment="1">
      <alignment vertical="center"/>
    </xf>
    <xf numFmtId="0" fontId="105" fillId="23" borderId="9" xfId="0" applyFont="1" applyFill="1" applyBorder="1" applyAlignment="1">
      <alignment vertical="center"/>
    </xf>
    <xf numFmtId="0" fontId="105" fillId="23" borderId="7" xfId="0" applyFont="1" applyFill="1" applyBorder="1" applyAlignment="1">
      <alignment vertical="center"/>
    </xf>
    <xf numFmtId="0" fontId="105" fillId="23" borderId="34" xfId="0" applyFont="1" applyFill="1" applyBorder="1" applyAlignment="1">
      <alignment vertical="center"/>
    </xf>
    <xf numFmtId="1" fontId="105" fillId="23" borderId="10" xfId="0" applyNumberFormat="1" applyFont="1" applyFill="1" applyBorder="1" applyAlignment="1">
      <alignment vertical="center"/>
    </xf>
    <xf numFmtId="1" fontId="105" fillId="23" borderId="3" xfId="0" applyNumberFormat="1" applyFont="1" applyFill="1" applyBorder="1" applyAlignment="1">
      <alignment vertical="center"/>
    </xf>
    <xf numFmtId="2" fontId="105" fillId="23" borderId="8" xfId="0" applyNumberFormat="1" applyFont="1" applyFill="1" applyBorder="1" applyAlignment="1">
      <alignment vertical="center"/>
    </xf>
    <xf numFmtId="2" fontId="105" fillId="23" borderId="19" xfId="0" applyNumberFormat="1" applyFont="1" applyFill="1" applyBorder="1" applyAlignment="1">
      <alignment vertical="center"/>
    </xf>
    <xf numFmtId="2" fontId="105" fillId="23" borderId="27" xfId="0" applyNumberFormat="1" applyFont="1" applyFill="1" applyBorder="1" applyAlignment="1">
      <alignment vertical="center"/>
    </xf>
    <xf numFmtId="0" fontId="100" fillId="24" borderId="30" xfId="0" applyFont="1" applyFill="1" applyBorder="1" applyAlignment="1">
      <alignment vertical="center" wrapText="1"/>
    </xf>
    <xf numFmtId="2" fontId="105" fillId="24" borderId="23" xfId="0" applyNumberFormat="1" applyFont="1" applyFill="1" applyBorder="1" applyAlignment="1">
      <alignment vertical="center"/>
    </xf>
    <xf numFmtId="2" fontId="105" fillId="24" borderId="31" xfId="0" applyNumberFormat="1" applyFont="1" applyFill="1" applyBorder="1" applyAlignment="1">
      <alignment vertical="center"/>
    </xf>
    <xf numFmtId="2" fontId="100" fillId="24" borderId="31" xfId="0" applyNumberFormat="1" applyFont="1" applyFill="1" applyBorder="1" applyAlignment="1">
      <alignment vertical="center"/>
    </xf>
    <xf numFmtId="2" fontId="100" fillId="24" borderId="21" xfId="0" applyNumberFormat="1" applyFont="1" applyFill="1" applyBorder="1" applyAlignment="1">
      <alignment vertical="center"/>
    </xf>
    <xf numFmtId="2" fontId="100" fillId="24" borderId="32" xfId="0" applyNumberFormat="1" applyFont="1" applyFill="1" applyBorder="1" applyAlignment="1">
      <alignment vertical="center"/>
    </xf>
    <xf numFmtId="2" fontId="105" fillId="24" borderId="4" xfId="0" applyNumberFormat="1" applyFont="1" applyFill="1" applyBorder="1" applyAlignment="1">
      <alignment vertical="center"/>
    </xf>
    <xf numFmtId="2" fontId="105" fillId="24" borderId="32" xfId="0" applyNumberFormat="1" applyFont="1" applyFill="1" applyBorder="1" applyAlignment="1">
      <alignment vertical="center"/>
    </xf>
    <xf numFmtId="0" fontId="100" fillId="24" borderId="34" xfId="0" applyFont="1" applyFill="1" applyBorder="1" applyAlignment="1">
      <alignment vertical="center" wrapText="1"/>
    </xf>
    <xf numFmtId="2" fontId="105" fillId="24" borderId="10" xfId="0" applyNumberFormat="1" applyFont="1" applyFill="1" applyBorder="1" applyAlignment="1">
      <alignment vertical="center"/>
    </xf>
    <xf numFmtId="2" fontId="105" fillId="24" borderId="3" xfId="0" applyNumberFormat="1" applyFont="1" applyFill="1" applyBorder="1" applyAlignment="1">
      <alignment vertical="center"/>
    </xf>
    <xf numFmtId="2" fontId="100" fillId="24" borderId="3" xfId="0" applyNumberFormat="1" applyFont="1" applyFill="1" applyBorder="1" applyAlignment="1">
      <alignment vertical="center"/>
    </xf>
    <xf numFmtId="2" fontId="100" fillId="24" borderId="0" xfId="0" applyNumberFormat="1" applyFont="1" applyFill="1" applyAlignment="1">
      <alignment vertical="center"/>
    </xf>
    <xf numFmtId="2" fontId="100" fillId="24" borderId="35" xfId="0" applyNumberFormat="1" applyFont="1" applyFill="1" applyBorder="1" applyAlignment="1">
      <alignment vertical="center"/>
    </xf>
    <xf numFmtId="2" fontId="105" fillId="24" borderId="7" xfId="0" applyNumberFormat="1" applyFont="1" applyFill="1" applyBorder="1" applyAlignment="1">
      <alignment vertical="center"/>
    </xf>
    <xf numFmtId="2" fontId="105" fillId="24" borderId="35" xfId="0" applyNumberFormat="1" applyFont="1" applyFill="1" applyBorder="1" applyAlignment="1">
      <alignment vertical="center"/>
    </xf>
    <xf numFmtId="2" fontId="105" fillId="24" borderId="34" xfId="0" applyNumberFormat="1" applyFont="1" applyFill="1" applyBorder="1" applyAlignment="1">
      <alignment vertical="center"/>
    </xf>
    <xf numFmtId="2" fontId="105" fillId="24" borderId="0" xfId="0" applyNumberFormat="1" applyFont="1" applyFill="1" applyAlignment="1">
      <alignment vertical="center"/>
    </xf>
    <xf numFmtId="1" fontId="105" fillId="24" borderId="20" xfId="0" applyNumberFormat="1" applyFont="1" applyFill="1" applyBorder="1" applyAlignment="1">
      <alignment vertical="center"/>
    </xf>
    <xf numFmtId="1" fontId="105" fillId="24" borderId="28" xfId="0" applyNumberFormat="1" applyFont="1" applyFill="1" applyBorder="1" applyAlignment="1">
      <alignment vertical="center"/>
    </xf>
    <xf numFmtId="2" fontId="105" fillId="24" borderId="19" xfId="0" applyNumberFormat="1" applyFont="1" applyFill="1" applyBorder="1" applyAlignment="1">
      <alignment vertical="center"/>
    </xf>
    <xf numFmtId="2" fontId="105" fillId="24" borderId="28" xfId="0" applyNumberFormat="1" applyFont="1" applyFill="1" applyBorder="1" applyAlignment="1">
      <alignment vertical="center"/>
    </xf>
    <xf numFmtId="2" fontId="105" fillId="24" borderId="36" xfId="0" applyNumberFormat="1" applyFont="1" applyFill="1" applyBorder="1" applyAlignment="1">
      <alignment vertical="center"/>
    </xf>
    <xf numFmtId="2" fontId="105" fillId="24" borderId="8" xfId="0" applyNumberFormat="1" applyFont="1" applyFill="1" applyBorder="1" applyAlignment="1">
      <alignment vertical="center"/>
    </xf>
    <xf numFmtId="2" fontId="105" fillId="24" borderId="27" xfId="0" applyNumberFormat="1" applyFont="1" applyFill="1" applyBorder="1" applyAlignment="1">
      <alignment vertical="center"/>
    </xf>
    <xf numFmtId="0" fontId="100" fillId="25" borderId="30" xfId="0" applyFont="1" applyFill="1" applyBorder="1" applyAlignment="1">
      <alignment vertical="center" wrapText="1"/>
    </xf>
    <xf numFmtId="2" fontId="105" fillId="25" borderId="23" xfId="0" applyNumberFormat="1" applyFont="1" applyFill="1" applyBorder="1" applyAlignment="1">
      <alignment vertical="center"/>
    </xf>
    <xf numFmtId="2" fontId="105" fillId="25" borderId="31" xfId="0" applyNumberFormat="1" applyFont="1" applyFill="1" applyBorder="1" applyAlignment="1">
      <alignment vertical="center"/>
    </xf>
    <xf numFmtId="2" fontId="100" fillId="25" borderId="31" xfId="0" applyNumberFormat="1" applyFont="1" applyFill="1" applyBorder="1" applyAlignment="1">
      <alignment vertical="center"/>
    </xf>
    <xf numFmtId="2" fontId="100" fillId="25" borderId="21" xfId="0" applyNumberFormat="1" applyFont="1" applyFill="1" applyBorder="1" applyAlignment="1">
      <alignment vertical="center"/>
    </xf>
    <xf numFmtId="2" fontId="100" fillId="25" borderId="32" xfId="0" applyNumberFormat="1" applyFont="1" applyFill="1" applyBorder="1" applyAlignment="1">
      <alignment vertical="center"/>
    </xf>
    <xf numFmtId="2" fontId="106" fillId="25" borderId="4" xfId="0" applyNumberFormat="1" applyFont="1" applyFill="1" applyBorder="1" applyAlignment="1">
      <alignment vertical="center"/>
    </xf>
    <xf numFmtId="0" fontId="100" fillId="25" borderId="34" xfId="0" applyFont="1" applyFill="1" applyBorder="1" applyAlignment="1">
      <alignment vertical="center" wrapText="1"/>
    </xf>
    <xf numFmtId="2" fontId="105" fillId="25" borderId="10" xfId="0" applyNumberFormat="1" applyFont="1" applyFill="1" applyBorder="1" applyAlignment="1">
      <alignment vertical="center"/>
    </xf>
    <xf numFmtId="2" fontId="105" fillId="25" borderId="3" xfId="0" applyNumberFormat="1" applyFont="1" applyFill="1" applyBorder="1" applyAlignment="1">
      <alignment vertical="center"/>
    </xf>
    <xf numFmtId="2" fontId="105" fillId="25" borderId="0" xfId="0" applyNumberFormat="1" applyFont="1" applyFill="1" applyAlignment="1">
      <alignment vertical="center"/>
    </xf>
    <xf numFmtId="2" fontId="105" fillId="25" borderId="35" xfId="0" applyNumberFormat="1" applyFont="1" applyFill="1" applyBorder="1" applyAlignment="1">
      <alignment vertical="center"/>
    </xf>
    <xf numFmtId="2" fontId="105" fillId="25" borderId="33" xfId="0" applyNumberFormat="1" applyFont="1" applyFill="1" applyBorder="1" applyAlignment="1">
      <alignment vertical="center"/>
    </xf>
    <xf numFmtId="1" fontId="105" fillId="25" borderId="10" xfId="0" applyNumberFormat="1" applyFont="1" applyFill="1" applyBorder="1" applyAlignment="1">
      <alignment vertical="center"/>
    </xf>
    <xf numFmtId="1" fontId="105" fillId="25" borderId="3" xfId="0" applyNumberFormat="1" applyFont="1" applyFill="1" applyBorder="1" applyAlignment="1">
      <alignment vertical="center"/>
    </xf>
    <xf numFmtId="2" fontId="105" fillId="25" borderId="69" xfId="0" applyNumberFormat="1" applyFont="1" applyFill="1" applyBorder="1" applyAlignment="1">
      <alignment vertical="center"/>
    </xf>
    <xf numFmtId="2" fontId="100" fillId="25" borderId="70" xfId="0" applyNumberFormat="1" applyFont="1" applyFill="1" applyBorder="1" applyAlignment="1">
      <alignment vertical="center"/>
    </xf>
    <xf numFmtId="2" fontId="100" fillId="25" borderId="71" xfId="0" applyNumberFormat="1" applyFont="1" applyFill="1" applyBorder="1" applyAlignment="1">
      <alignment vertical="center"/>
    </xf>
    <xf numFmtId="2" fontId="105" fillId="25" borderId="71" xfId="0" applyNumberFormat="1" applyFont="1" applyFill="1" applyBorder="1" applyAlignment="1">
      <alignment vertical="center"/>
    </xf>
    <xf numFmtId="2" fontId="100" fillId="25" borderId="3" xfId="0" applyNumberFormat="1" applyFont="1" applyFill="1" applyBorder="1" applyAlignment="1">
      <alignment vertical="center"/>
    </xf>
    <xf numFmtId="2" fontId="100" fillId="25" borderId="0" xfId="0" applyNumberFormat="1" applyFont="1" applyFill="1" applyAlignment="1">
      <alignment vertical="center"/>
    </xf>
    <xf numFmtId="2" fontId="100" fillId="25" borderId="35" xfId="0" applyNumberFormat="1" applyFont="1" applyFill="1" applyBorder="1" applyAlignment="1">
      <alignment vertical="center"/>
    </xf>
    <xf numFmtId="2" fontId="105" fillId="25" borderId="34" xfId="0" applyNumberFormat="1" applyFont="1" applyFill="1" applyBorder="1" applyAlignment="1">
      <alignment vertical="center"/>
    </xf>
    <xf numFmtId="0" fontId="100" fillId="25" borderId="38" xfId="0" applyFont="1" applyFill="1" applyBorder="1" applyAlignment="1">
      <alignment vertical="center" wrapText="1"/>
    </xf>
    <xf numFmtId="2" fontId="105" fillId="25" borderId="13" xfId="0" applyNumberFormat="1" applyFont="1" applyFill="1" applyBorder="1" applyAlignment="1">
      <alignment vertical="center"/>
    </xf>
    <xf numFmtId="2" fontId="105" fillId="25" borderId="2" xfId="0" applyNumberFormat="1" applyFont="1" applyFill="1" applyBorder="1" applyAlignment="1">
      <alignment vertical="center"/>
    </xf>
    <xf numFmtId="2" fontId="105" fillId="25" borderId="12" xfId="0" applyNumberFormat="1" applyFont="1" applyFill="1" applyBorder="1" applyAlignment="1">
      <alignment vertical="center"/>
    </xf>
    <xf numFmtId="2" fontId="105" fillId="25" borderId="39" xfId="0" applyNumberFormat="1" applyFont="1" applyFill="1" applyBorder="1" applyAlignment="1">
      <alignment vertical="center"/>
    </xf>
    <xf numFmtId="2" fontId="105" fillId="25" borderId="37" xfId="0" applyNumberFormat="1" applyFont="1" applyFill="1" applyBorder="1" applyAlignment="1">
      <alignment vertical="center"/>
    </xf>
    <xf numFmtId="2" fontId="105" fillId="25" borderId="7" xfId="0" applyNumberFormat="1" applyFont="1" applyFill="1" applyBorder="1" applyAlignment="1">
      <alignment vertical="center"/>
    </xf>
    <xf numFmtId="0" fontId="100" fillId="25" borderId="27" xfId="0" applyFont="1" applyFill="1" applyBorder="1" applyAlignment="1">
      <alignment vertical="center" wrapText="1"/>
    </xf>
    <xf numFmtId="2" fontId="105" fillId="25" borderId="20" xfId="0" applyNumberFormat="1" applyFont="1" applyFill="1" applyBorder="1" applyAlignment="1">
      <alignment vertical="center"/>
    </xf>
    <xf numFmtId="2" fontId="105" fillId="25" borderId="28" xfId="0" applyNumberFormat="1" applyFont="1" applyFill="1" applyBorder="1" applyAlignment="1">
      <alignment vertical="center"/>
    </xf>
    <xf numFmtId="2" fontId="105" fillId="25" borderId="19" xfId="0" applyNumberFormat="1" applyFont="1" applyFill="1" applyBorder="1" applyAlignment="1">
      <alignment vertical="center"/>
    </xf>
    <xf numFmtId="2" fontId="105" fillId="25" borderId="36" xfId="0" applyNumberFormat="1" applyFont="1" applyFill="1" applyBorder="1" applyAlignment="1">
      <alignment vertical="center"/>
    </xf>
    <xf numFmtId="2" fontId="105" fillId="25" borderId="26" xfId="0" applyNumberFormat="1" applyFont="1" applyFill="1" applyBorder="1" applyAlignment="1">
      <alignment vertical="center"/>
    </xf>
    <xf numFmtId="0" fontId="100" fillId="22" borderId="30" xfId="0" applyFont="1" applyFill="1" applyBorder="1" applyAlignment="1">
      <alignment vertical="center" wrapText="1"/>
    </xf>
    <xf numFmtId="2" fontId="105" fillId="22" borderId="23" xfId="0" applyNumberFormat="1" applyFont="1" applyFill="1" applyBorder="1" applyAlignment="1">
      <alignment vertical="center"/>
    </xf>
    <xf numFmtId="2" fontId="105" fillId="22" borderId="31" xfId="0" applyNumberFormat="1" applyFont="1" applyFill="1" applyBorder="1" applyAlignment="1">
      <alignment vertical="center"/>
    </xf>
    <xf numFmtId="2" fontId="100" fillId="22" borderId="31" xfId="0" applyNumberFormat="1" applyFont="1" applyFill="1" applyBorder="1" applyAlignment="1">
      <alignment vertical="center"/>
    </xf>
    <xf numFmtId="2" fontId="100" fillId="22" borderId="21" xfId="0" applyNumberFormat="1" applyFont="1" applyFill="1" applyBorder="1" applyAlignment="1">
      <alignment vertical="center"/>
    </xf>
    <xf numFmtId="2" fontId="100" fillId="22" borderId="32" xfId="0" applyNumberFormat="1" applyFont="1" applyFill="1" applyBorder="1" applyAlignment="1">
      <alignment vertical="center"/>
    </xf>
    <xf numFmtId="2" fontId="105" fillId="22" borderId="4" xfId="0" applyNumberFormat="1" applyFont="1" applyFill="1" applyBorder="1" applyAlignment="1">
      <alignment vertical="center"/>
    </xf>
    <xf numFmtId="2" fontId="105" fillId="22" borderId="32" xfId="0" applyNumberFormat="1" applyFont="1" applyFill="1" applyBorder="1" applyAlignment="1">
      <alignment vertical="center"/>
    </xf>
    <xf numFmtId="0" fontId="100" fillId="22" borderId="34" xfId="0" applyFont="1" applyFill="1" applyBorder="1" applyAlignment="1">
      <alignment vertical="center" wrapText="1"/>
    </xf>
    <xf numFmtId="2" fontId="105" fillId="22" borderId="10" xfId="0" applyNumberFormat="1" applyFont="1" applyFill="1" applyBorder="1" applyAlignment="1">
      <alignment vertical="center"/>
    </xf>
    <xf numFmtId="2" fontId="105" fillId="22" borderId="3" xfId="0" applyNumberFormat="1" applyFont="1" applyFill="1" applyBorder="1" applyAlignment="1">
      <alignment vertical="center"/>
    </xf>
    <xf numFmtId="2" fontId="100" fillId="22" borderId="3" xfId="0" applyNumberFormat="1" applyFont="1" applyFill="1" applyBorder="1" applyAlignment="1">
      <alignment vertical="center"/>
    </xf>
    <xf numFmtId="2" fontId="100" fillId="22" borderId="0" xfId="0" applyNumberFormat="1" applyFont="1" applyFill="1" applyAlignment="1">
      <alignment vertical="center"/>
    </xf>
    <xf numFmtId="2" fontId="100" fillId="22" borderId="35" xfId="0" applyNumberFormat="1" applyFont="1" applyFill="1" applyBorder="1" applyAlignment="1">
      <alignment vertical="center"/>
    </xf>
    <xf numFmtId="2" fontId="105" fillId="22" borderId="7" xfId="0" applyNumberFormat="1" applyFont="1" applyFill="1" applyBorder="1" applyAlignment="1">
      <alignment vertical="center"/>
    </xf>
    <xf numFmtId="2" fontId="105" fillId="22" borderId="35" xfId="0" applyNumberFormat="1" applyFont="1" applyFill="1" applyBorder="1" applyAlignment="1">
      <alignment vertical="center"/>
    </xf>
    <xf numFmtId="2" fontId="105" fillId="22" borderId="34" xfId="0" applyNumberFormat="1" applyFont="1" applyFill="1" applyBorder="1" applyAlignment="1">
      <alignment vertical="center"/>
    </xf>
    <xf numFmtId="2" fontId="105" fillId="22" borderId="33" xfId="0" applyNumberFormat="1" applyFont="1" applyFill="1" applyBorder="1" applyAlignment="1">
      <alignment vertical="center"/>
    </xf>
    <xf numFmtId="2" fontId="105" fillId="22" borderId="0" xfId="0" applyNumberFormat="1" applyFont="1" applyFill="1" applyAlignment="1">
      <alignment vertical="center"/>
    </xf>
    <xf numFmtId="0" fontId="100" fillId="22" borderId="38" xfId="0" applyFont="1" applyFill="1" applyBorder="1" applyAlignment="1">
      <alignment vertical="center" wrapText="1"/>
    </xf>
    <xf numFmtId="1" fontId="105" fillId="22" borderId="13" xfId="0" applyNumberFormat="1" applyFont="1" applyFill="1" applyBorder="1" applyAlignment="1">
      <alignment vertical="center"/>
    </xf>
    <xf numFmtId="1" fontId="105" fillId="22" borderId="2" xfId="0" applyNumberFormat="1" applyFont="1" applyFill="1" applyBorder="1" applyAlignment="1">
      <alignment vertical="center"/>
    </xf>
    <xf numFmtId="1" fontId="105" fillId="22" borderId="12" xfId="0" applyNumberFormat="1" applyFont="1" applyFill="1" applyBorder="1" applyAlignment="1">
      <alignment vertical="center"/>
    </xf>
    <xf numFmtId="2" fontId="105" fillId="22" borderId="2" xfId="0" applyNumberFormat="1" applyFont="1" applyFill="1" applyBorder="1" applyAlignment="1">
      <alignment vertical="center"/>
    </xf>
    <xf numFmtId="2" fontId="105" fillId="22" borderId="12" xfId="0" applyNumberFormat="1" applyFont="1" applyFill="1" applyBorder="1" applyAlignment="1">
      <alignment vertical="center"/>
    </xf>
    <xf numFmtId="2" fontId="105" fillId="22" borderId="39" xfId="0" applyNumberFormat="1" applyFont="1" applyFill="1" applyBorder="1" applyAlignment="1">
      <alignment vertical="center"/>
    </xf>
    <xf numFmtId="2" fontId="105" fillId="22" borderId="69" xfId="0" applyNumberFormat="1" applyFont="1" applyFill="1" applyBorder="1" applyAlignment="1">
      <alignment vertical="center"/>
    </xf>
    <xf numFmtId="2" fontId="105" fillId="22" borderId="71" xfId="0" applyNumberFormat="1" applyFont="1" applyFill="1" applyBorder="1" applyAlignment="1">
      <alignment vertical="center"/>
    </xf>
    <xf numFmtId="0" fontId="100" fillId="22" borderId="27" xfId="0" applyFont="1" applyFill="1" applyBorder="1" applyAlignment="1">
      <alignment vertical="center" wrapText="1"/>
    </xf>
    <xf numFmtId="1" fontId="105" fillId="22" borderId="20" xfId="0" applyNumberFormat="1" applyFont="1" applyFill="1" applyBorder="1" applyAlignment="1">
      <alignment vertical="center"/>
    </xf>
    <xf numFmtId="1" fontId="105" fillId="22" borderId="28" xfId="0" applyNumberFormat="1" applyFont="1" applyFill="1" applyBorder="1" applyAlignment="1">
      <alignment vertical="center"/>
    </xf>
    <xf numFmtId="2" fontId="105" fillId="22" borderId="28" xfId="0" applyNumberFormat="1" applyFont="1" applyFill="1" applyBorder="1" applyAlignment="1">
      <alignment vertical="center"/>
    </xf>
    <xf numFmtId="2" fontId="105" fillId="22" borderId="27" xfId="0" applyNumberFormat="1" applyFont="1" applyFill="1" applyBorder="1" applyAlignment="1">
      <alignment vertical="center"/>
    </xf>
    <xf numFmtId="2" fontId="105" fillId="22" borderId="8" xfId="0" applyNumberFormat="1" applyFont="1" applyFill="1" applyBorder="1" applyAlignment="1">
      <alignment vertical="center"/>
    </xf>
    <xf numFmtId="0" fontId="100" fillId="20" borderId="30" xfId="0" applyFont="1" applyFill="1" applyBorder="1" applyAlignment="1">
      <alignment vertical="center" wrapText="1"/>
    </xf>
    <xf numFmtId="2" fontId="105" fillId="20" borderId="23" xfId="0" applyNumberFormat="1" applyFont="1" applyFill="1" applyBorder="1" applyAlignment="1">
      <alignment vertical="center"/>
    </xf>
    <xf numFmtId="2" fontId="105" fillId="20" borderId="31" xfId="0" applyNumberFormat="1" applyFont="1" applyFill="1" applyBorder="1" applyAlignment="1">
      <alignment vertical="center"/>
    </xf>
    <xf numFmtId="2" fontId="100" fillId="20" borderId="31" xfId="0" applyNumberFormat="1" applyFont="1" applyFill="1" applyBorder="1" applyAlignment="1">
      <alignment vertical="center"/>
    </xf>
    <xf numFmtId="2" fontId="100" fillId="20" borderId="21" xfId="0" applyNumberFormat="1" applyFont="1" applyFill="1" applyBorder="1" applyAlignment="1">
      <alignment vertical="center"/>
    </xf>
    <xf numFmtId="2" fontId="100" fillId="20" borderId="32" xfId="0" applyNumberFormat="1" applyFont="1" applyFill="1" applyBorder="1" applyAlignment="1">
      <alignment vertical="center"/>
    </xf>
    <xf numFmtId="2" fontId="106" fillId="20" borderId="4" xfId="0" applyNumberFormat="1" applyFont="1" applyFill="1" applyBorder="1" applyAlignment="1">
      <alignment vertical="center"/>
    </xf>
    <xf numFmtId="0" fontId="100" fillId="20" borderId="34" xfId="0" applyFont="1" applyFill="1" applyBorder="1" applyAlignment="1">
      <alignment vertical="center" wrapText="1"/>
    </xf>
    <xf numFmtId="2" fontId="105" fillId="20" borderId="10" xfId="0" applyNumberFormat="1" applyFont="1" applyFill="1" applyBorder="1" applyAlignment="1">
      <alignment vertical="center"/>
    </xf>
    <xf numFmtId="2" fontId="105" fillId="20" borderId="3" xfId="0" applyNumberFormat="1" applyFont="1" applyFill="1" applyBorder="1" applyAlignment="1">
      <alignment vertical="center"/>
    </xf>
    <xf numFmtId="2" fontId="100" fillId="20" borderId="3" xfId="0" applyNumberFormat="1" applyFont="1" applyFill="1" applyBorder="1" applyAlignment="1">
      <alignment vertical="center"/>
    </xf>
    <xf numFmtId="2" fontId="100" fillId="20" borderId="0" xfId="0" applyNumberFormat="1" applyFont="1" applyFill="1" applyAlignment="1">
      <alignment vertical="center"/>
    </xf>
    <xf numFmtId="2" fontId="100" fillId="20" borderId="35" xfId="0" applyNumberFormat="1" applyFont="1" applyFill="1" applyBorder="1" applyAlignment="1">
      <alignment vertical="center"/>
    </xf>
    <xf numFmtId="2" fontId="105" fillId="20" borderId="7" xfId="0" applyNumberFormat="1" applyFont="1" applyFill="1" applyBorder="1" applyAlignment="1">
      <alignment vertical="center"/>
    </xf>
    <xf numFmtId="2" fontId="105" fillId="20" borderId="35" xfId="0" applyNumberFormat="1" applyFont="1" applyFill="1" applyBorder="1" applyAlignment="1">
      <alignment vertical="center"/>
    </xf>
    <xf numFmtId="2" fontId="105" fillId="20" borderId="34" xfId="0" applyNumberFormat="1" applyFont="1" applyFill="1" applyBorder="1" applyAlignment="1">
      <alignment vertical="center"/>
    </xf>
    <xf numFmtId="2" fontId="105" fillId="20" borderId="33" xfId="0" applyNumberFormat="1" applyFont="1" applyFill="1" applyBorder="1" applyAlignment="1">
      <alignment vertical="center"/>
    </xf>
    <xf numFmtId="2" fontId="105" fillId="20" borderId="0" xfId="0" applyNumberFormat="1" applyFont="1" applyFill="1" applyAlignment="1">
      <alignment vertical="center"/>
    </xf>
    <xf numFmtId="0" fontId="100" fillId="20" borderId="39" xfId="0" applyFont="1" applyFill="1" applyBorder="1" applyAlignment="1">
      <alignment vertical="center" wrapText="1"/>
    </xf>
    <xf numFmtId="1" fontId="105" fillId="20" borderId="13" xfId="0" applyNumberFormat="1" applyFont="1" applyFill="1" applyBorder="1" applyAlignment="1">
      <alignment vertical="center"/>
    </xf>
    <xf numFmtId="1" fontId="105" fillId="20" borderId="2" xfId="0" applyNumberFormat="1" applyFont="1" applyFill="1" applyBorder="1" applyAlignment="1">
      <alignment vertical="center"/>
    </xf>
    <xf numFmtId="2" fontId="105" fillId="20" borderId="2" xfId="0" applyNumberFormat="1" applyFont="1" applyFill="1" applyBorder="1" applyAlignment="1">
      <alignment vertical="center"/>
    </xf>
    <xf numFmtId="2" fontId="105" fillId="20" borderId="38" xfId="0" applyNumberFormat="1" applyFont="1" applyFill="1" applyBorder="1" applyAlignment="1">
      <alignment vertical="center"/>
    </xf>
    <xf numFmtId="2" fontId="105" fillId="20" borderId="40" xfId="0" applyNumberFormat="1" applyFont="1" applyFill="1" applyBorder="1" applyAlignment="1">
      <alignment vertical="center"/>
    </xf>
    <xf numFmtId="0" fontId="100" fillId="20" borderId="36" xfId="0" applyFont="1" applyFill="1" applyBorder="1" applyAlignment="1">
      <alignment vertical="center" wrapText="1"/>
    </xf>
    <xf numFmtId="1" fontId="105" fillId="20" borderId="20" xfId="0" applyNumberFormat="1" applyFont="1" applyFill="1" applyBorder="1" applyAlignment="1">
      <alignment vertical="center"/>
    </xf>
    <xf numFmtId="1" fontId="105" fillId="20" borderId="28" xfId="0" applyNumberFormat="1" applyFont="1" applyFill="1" applyBorder="1" applyAlignment="1">
      <alignment vertical="center"/>
    </xf>
    <xf numFmtId="2" fontId="105" fillId="20" borderId="28" xfId="0" applyNumberFormat="1" applyFont="1" applyFill="1" applyBorder="1" applyAlignment="1">
      <alignment vertical="center"/>
    </xf>
    <xf numFmtId="2" fontId="105" fillId="20" borderId="27" xfId="0" applyNumberFormat="1" applyFont="1" applyFill="1" applyBorder="1" applyAlignment="1">
      <alignment vertical="center"/>
    </xf>
    <xf numFmtId="2" fontId="105" fillId="20" borderId="8" xfId="0" applyNumberFormat="1" applyFont="1" applyFill="1" applyBorder="1" applyAlignment="1">
      <alignment vertical="center"/>
    </xf>
    <xf numFmtId="0" fontId="100" fillId="0" borderId="30" xfId="0" applyFont="1" applyBorder="1" applyAlignment="1">
      <alignment vertical="center" wrapText="1"/>
    </xf>
    <xf numFmtId="2" fontId="105" fillId="0" borderId="23" xfId="0" applyNumberFormat="1" applyFont="1" applyBorder="1" applyAlignment="1">
      <alignment vertical="center"/>
    </xf>
    <xf numFmtId="2" fontId="105" fillId="0" borderId="31" xfId="0" applyNumberFormat="1" applyFont="1" applyBorder="1" applyAlignment="1">
      <alignment vertical="center"/>
    </xf>
    <xf numFmtId="2" fontId="105" fillId="0" borderId="30" xfId="0" applyNumberFormat="1" applyFont="1" applyBorder="1" applyAlignment="1">
      <alignment vertical="center"/>
    </xf>
    <xf numFmtId="2" fontId="105" fillId="3" borderId="4" xfId="0" applyNumberFormat="1" applyFont="1" applyFill="1" applyBorder="1" applyAlignment="1">
      <alignment vertical="center"/>
    </xf>
    <xf numFmtId="2" fontId="105" fillId="3" borderId="23" xfId="0" applyNumberFormat="1" applyFont="1" applyFill="1" applyBorder="1" applyAlignment="1">
      <alignment vertical="center"/>
    </xf>
    <xf numFmtId="2" fontId="105" fillId="3" borderId="32" xfId="0" applyNumberFormat="1" applyFont="1" applyFill="1" applyBorder="1" applyAlignment="1">
      <alignment vertical="center"/>
    </xf>
    <xf numFmtId="0" fontId="100" fillId="0" borderId="34" xfId="0" applyFont="1" applyBorder="1" applyAlignment="1">
      <alignment vertical="center" wrapText="1"/>
    </xf>
    <xf numFmtId="2" fontId="105" fillId="0" borderId="10" xfId="0" applyNumberFormat="1" applyFont="1" applyBorder="1" applyAlignment="1">
      <alignment vertical="center"/>
    </xf>
    <xf numFmtId="2" fontId="105" fillId="0" borderId="3" xfId="0" applyNumberFormat="1" applyFont="1" applyBorder="1" applyAlignment="1">
      <alignment vertical="center"/>
    </xf>
    <xf numFmtId="2" fontId="105" fillId="0" borderId="34" xfId="0" applyNumberFormat="1" applyFont="1" applyBorder="1" applyAlignment="1">
      <alignment vertical="center"/>
    </xf>
    <xf numFmtId="2" fontId="105" fillId="3" borderId="7" xfId="0" applyNumberFormat="1" applyFont="1" applyFill="1" applyBorder="1" applyAlignment="1">
      <alignment vertical="center"/>
    </xf>
    <xf numFmtId="2" fontId="105" fillId="3" borderId="10" xfId="0" applyNumberFormat="1" applyFont="1" applyFill="1" applyBorder="1" applyAlignment="1">
      <alignment vertical="center"/>
    </xf>
    <xf numFmtId="2" fontId="105" fillId="3" borderId="35" xfId="0" applyNumberFormat="1" applyFont="1" applyFill="1" applyBorder="1" applyAlignment="1">
      <alignment vertical="center"/>
    </xf>
    <xf numFmtId="0" fontId="107" fillId="0" borderId="34" xfId="0" applyFont="1" applyBorder="1" applyAlignment="1">
      <alignment vertical="center" wrapText="1"/>
    </xf>
    <xf numFmtId="2" fontId="105" fillId="0" borderId="33" xfId="0" applyNumberFormat="1" applyFont="1" applyBorder="1" applyAlignment="1">
      <alignment vertical="center"/>
    </xf>
    <xf numFmtId="2" fontId="105" fillId="0" borderId="35" xfId="0" applyNumberFormat="1" applyFont="1" applyBorder="1" applyAlignment="1">
      <alignment vertical="center"/>
    </xf>
    <xf numFmtId="2" fontId="105" fillId="0" borderId="7" xfId="0" applyNumberFormat="1" applyFont="1" applyBorder="1" applyAlignment="1">
      <alignment vertical="center"/>
    </xf>
    <xf numFmtId="0" fontId="100" fillId="0" borderId="39" xfId="0" applyFont="1" applyBorder="1" applyAlignment="1">
      <alignment vertical="center" wrapText="1"/>
    </xf>
    <xf numFmtId="1" fontId="105" fillId="0" borderId="13" xfId="0" applyNumberFormat="1" applyFont="1" applyBorder="1" applyAlignment="1">
      <alignment vertical="center"/>
    </xf>
    <xf numFmtId="1" fontId="105" fillId="0" borderId="2" xfId="0" applyNumberFormat="1" applyFont="1" applyBorder="1" applyAlignment="1">
      <alignment vertical="center"/>
    </xf>
    <xf numFmtId="1" fontId="105" fillId="0" borderId="12" xfId="0" applyNumberFormat="1" applyFont="1" applyBorder="1" applyAlignment="1">
      <alignment vertical="center"/>
    </xf>
    <xf numFmtId="2" fontId="105" fillId="0" borderId="2" xfId="0" applyNumberFormat="1" applyFont="1" applyBorder="1" applyAlignment="1">
      <alignment vertical="center"/>
    </xf>
    <xf numFmtId="2" fontId="105" fillId="0" borderId="12" xfId="0" applyNumberFormat="1" applyFont="1" applyBorder="1" applyAlignment="1">
      <alignment vertical="center"/>
    </xf>
    <xf numFmtId="2" fontId="105" fillId="0" borderId="39" xfId="0" applyNumberFormat="1" applyFont="1" applyBorder="1" applyAlignment="1">
      <alignment vertical="center"/>
    </xf>
    <xf numFmtId="2" fontId="105" fillId="0" borderId="37" xfId="0" applyNumberFormat="1" applyFont="1" applyBorder="1" applyAlignment="1">
      <alignment vertical="center"/>
    </xf>
    <xf numFmtId="2" fontId="100" fillId="0" borderId="3" xfId="0" applyNumberFormat="1" applyFont="1" applyBorder="1" applyAlignment="1">
      <alignment vertical="center"/>
    </xf>
    <xf numFmtId="2" fontId="100" fillId="0" borderId="0" xfId="0" applyNumberFormat="1" applyFont="1" applyAlignment="1">
      <alignment vertical="center"/>
    </xf>
    <xf numFmtId="2" fontId="100" fillId="0" borderId="35" xfId="0" applyNumberFormat="1" applyFont="1" applyBorder="1" applyAlignment="1">
      <alignment vertical="center"/>
    </xf>
    <xf numFmtId="0" fontId="100" fillId="0" borderId="38" xfId="0" applyFont="1" applyBorder="1" applyAlignment="1">
      <alignment vertical="center" wrapText="1"/>
    </xf>
    <xf numFmtId="2" fontId="105" fillId="0" borderId="13" xfId="0" applyNumberFormat="1" applyFont="1" applyBorder="1" applyAlignment="1">
      <alignment vertical="center"/>
    </xf>
    <xf numFmtId="2" fontId="100" fillId="0" borderId="2" xfId="0" applyNumberFormat="1" applyFont="1" applyBorder="1" applyAlignment="1">
      <alignment vertical="center"/>
    </xf>
    <xf numFmtId="2" fontId="100" fillId="0" borderId="12" xfId="0" applyNumberFormat="1" applyFont="1" applyBorder="1" applyAlignment="1">
      <alignment vertical="center"/>
    </xf>
    <xf numFmtId="2" fontId="100" fillId="0" borderId="39" xfId="0" applyNumberFormat="1" applyFont="1" applyBorder="1" applyAlignment="1">
      <alignment vertical="center"/>
    </xf>
    <xf numFmtId="0" fontId="100" fillId="26" borderId="32" xfId="0" applyFont="1" applyFill="1" applyBorder="1" applyAlignment="1">
      <alignment vertical="center" wrapText="1"/>
    </xf>
    <xf numFmtId="2" fontId="105" fillId="26" borderId="29" xfId="0" applyNumberFormat="1" applyFont="1" applyFill="1" applyBorder="1" applyAlignment="1">
      <alignment vertical="center"/>
    </xf>
    <xf numFmtId="2" fontId="105" fillId="26" borderId="31" xfId="0" applyNumberFormat="1" applyFont="1" applyFill="1" applyBorder="1" applyAlignment="1">
      <alignment vertical="center"/>
    </xf>
    <xf numFmtId="2" fontId="100" fillId="26" borderId="21" xfId="0" applyNumberFormat="1" applyFont="1" applyFill="1" applyBorder="1" applyAlignment="1">
      <alignment vertical="center"/>
    </xf>
    <xf numFmtId="2" fontId="100" fillId="26" borderId="31" xfId="0" applyNumberFormat="1" applyFont="1" applyFill="1" applyBorder="1" applyAlignment="1">
      <alignment vertical="center"/>
    </xf>
    <xf numFmtId="2" fontId="100" fillId="26" borderId="32" xfId="0" applyNumberFormat="1" applyFont="1" applyFill="1" applyBorder="1" applyAlignment="1">
      <alignment vertical="center"/>
    </xf>
    <xf numFmtId="2" fontId="105" fillId="26" borderId="32" xfId="0" applyNumberFormat="1" applyFont="1" applyFill="1" applyBorder="1" applyAlignment="1">
      <alignment vertical="center"/>
    </xf>
    <xf numFmtId="0" fontId="100" fillId="26" borderId="35" xfId="0" applyFont="1" applyFill="1" applyBorder="1" applyAlignment="1">
      <alignment vertical="center" wrapText="1"/>
    </xf>
    <xf numFmtId="2" fontId="105" fillId="26" borderId="33" xfId="0" applyNumberFormat="1" applyFont="1" applyFill="1" applyBorder="1" applyAlignment="1">
      <alignment vertical="center"/>
    </xf>
    <xf numFmtId="2" fontId="105" fillId="26" borderId="3" xfId="0" applyNumberFormat="1" applyFont="1" applyFill="1" applyBorder="1" applyAlignment="1">
      <alignment vertical="center"/>
    </xf>
    <xf numFmtId="2" fontId="100" fillId="26" borderId="0" xfId="0" applyNumberFormat="1" applyFont="1" applyFill="1" applyAlignment="1">
      <alignment vertical="center"/>
    </xf>
    <xf numFmtId="2" fontId="100" fillId="26" borderId="3" xfId="0" applyNumberFormat="1" applyFont="1" applyFill="1" applyBorder="1" applyAlignment="1">
      <alignment vertical="center"/>
    </xf>
    <xf numFmtId="2" fontId="100" fillId="26" borderId="35" xfId="0" applyNumberFormat="1" applyFont="1" applyFill="1" applyBorder="1" applyAlignment="1">
      <alignment vertical="center"/>
    </xf>
    <xf numFmtId="2" fontId="105" fillId="26" borderId="35" xfId="0" applyNumberFormat="1" applyFont="1" applyFill="1" applyBorder="1" applyAlignment="1">
      <alignment vertical="center"/>
    </xf>
    <xf numFmtId="2" fontId="105" fillId="26" borderId="0" xfId="0" applyNumberFormat="1" applyFont="1" applyFill="1" applyAlignment="1">
      <alignment vertical="center"/>
    </xf>
    <xf numFmtId="0" fontId="105" fillId="26" borderId="33" xfId="0" applyFont="1" applyFill="1" applyBorder="1"/>
    <xf numFmtId="0" fontId="100" fillId="26" borderId="35" xfId="0" applyFont="1" applyFill="1" applyBorder="1" applyAlignment="1">
      <alignment wrapText="1"/>
    </xf>
    <xf numFmtId="1" fontId="105" fillId="26" borderId="7" xfId="0" applyNumberFormat="1" applyFont="1" applyFill="1" applyBorder="1"/>
    <xf numFmtId="1" fontId="105" fillId="26" borderId="3" xfId="0" applyNumberFormat="1" applyFont="1" applyFill="1" applyBorder="1"/>
    <xf numFmtId="1" fontId="105" fillId="26" borderId="0" xfId="0" applyNumberFormat="1" applyFont="1" applyFill="1"/>
    <xf numFmtId="2" fontId="105" fillId="26" borderId="3" xfId="0" applyNumberFormat="1" applyFont="1" applyFill="1" applyBorder="1"/>
    <xf numFmtId="2" fontId="105" fillId="26" borderId="0" xfId="0" applyNumberFormat="1" applyFont="1" applyFill="1"/>
    <xf numFmtId="2" fontId="105" fillId="26" borderId="35" xfId="0" applyNumberFormat="1" applyFont="1" applyFill="1" applyBorder="1"/>
    <xf numFmtId="2" fontId="105" fillId="26" borderId="33" xfId="0" applyNumberFormat="1" applyFont="1" applyFill="1" applyBorder="1"/>
    <xf numFmtId="0" fontId="100" fillId="26" borderId="36" xfId="0" applyFont="1" applyFill="1" applyBorder="1" applyAlignment="1">
      <alignment wrapText="1"/>
    </xf>
    <xf numFmtId="1" fontId="105" fillId="26" borderId="20" xfId="0" applyNumberFormat="1" applyFont="1" applyFill="1" applyBorder="1"/>
    <xf numFmtId="1" fontId="105" fillId="26" borderId="28" xfId="0" applyNumberFormat="1" applyFont="1" applyFill="1" applyBorder="1"/>
    <xf numFmtId="1" fontId="105" fillId="26" borderId="19" xfId="0" applyNumberFormat="1" applyFont="1" applyFill="1" applyBorder="1"/>
    <xf numFmtId="2" fontId="105" fillId="26" borderId="28" xfId="0" applyNumberFormat="1" applyFont="1" applyFill="1" applyBorder="1"/>
    <xf numFmtId="2" fontId="105" fillId="26" borderId="19" xfId="0" applyNumberFormat="1" applyFont="1" applyFill="1" applyBorder="1"/>
    <xf numFmtId="2" fontId="105" fillId="26" borderId="36" xfId="0" applyNumberFormat="1" applyFont="1" applyFill="1" applyBorder="1"/>
    <xf numFmtId="2" fontId="105" fillId="26" borderId="26" xfId="0" applyNumberFormat="1" applyFont="1" applyFill="1" applyBorder="1"/>
    <xf numFmtId="0" fontId="100" fillId="27" borderId="21" xfId="0" applyFont="1" applyFill="1" applyBorder="1" applyAlignment="1">
      <alignment wrapText="1"/>
    </xf>
    <xf numFmtId="0" fontId="105" fillId="27" borderId="7" xfId="0" applyFont="1" applyFill="1" applyBorder="1"/>
    <xf numFmtId="0" fontId="105" fillId="27" borderId="31" xfId="0" applyFont="1" applyFill="1" applyBorder="1"/>
    <xf numFmtId="0" fontId="105" fillId="27" borderId="21" xfId="0" applyFont="1" applyFill="1" applyBorder="1"/>
    <xf numFmtId="0" fontId="105" fillId="27" borderId="32" xfId="0" applyFont="1" applyFill="1" applyBorder="1"/>
    <xf numFmtId="0" fontId="100" fillId="27" borderId="0" xfId="0" applyFont="1" applyFill="1" applyAlignment="1">
      <alignment wrapText="1"/>
    </xf>
    <xf numFmtId="0" fontId="105" fillId="27" borderId="3" xfId="0" applyFont="1" applyFill="1" applyBorder="1"/>
    <xf numFmtId="0" fontId="105" fillId="27" borderId="0" xfId="0" applyFont="1" applyFill="1"/>
    <xf numFmtId="2" fontId="105" fillId="27" borderId="3" xfId="0" applyNumberFormat="1" applyFont="1" applyFill="1" applyBorder="1"/>
    <xf numFmtId="2" fontId="105" fillId="27" borderId="0" xfId="0" applyNumberFormat="1" applyFont="1" applyFill="1"/>
    <xf numFmtId="2" fontId="105" fillId="27" borderId="35" xfId="0" applyNumberFormat="1" applyFont="1" applyFill="1" applyBorder="1"/>
    <xf numFmtId="0" fontId="100" fillId="27" borderId="12" xfId="0" applyFont="1" applyFill="1" applyBorder="1" applyAlignment="1">
      <alignment wrapText="1"/>
    </xf>
    <xf numFmtId="0" fontId="105" fillId="27" borderId="40" xfId="0" applyFont="1" applyFill="1" applyBorder="1"/>
    <xf numFmtId="2" fontId="105" fillId="27" borderId="2" xfId="0" applyNumberFormat="1" applyFont="1" applyFill="1" applyBorder="1"/>
    <xf numFmtId="0" fontId="105" fillId="27" borderId="12" xfId="0" applyFont="1" applyFill="1" applyBorder="1"/>
    <xf numFmtId="2" fontId="105" fillId="27" borderId="12" xfId="0" applyNumberFormat="1" applyFont="1" applyFill="1" applyBorder="1"/>
    <xf numFmtId="2" fontId="105" fillId="27" borderId="39" xfId="0" applyNumberFormat="1" applyFont="1" applyFill="1" applyBorder="1"/>
    <xf numFmtId="0" fontId="100" fillId="27" borderId="70" xfId="0" applyFont="1" applyFill="1" applyBorder="1" applyAlignment="1">
      <alignment wrapText="1"/>
    </xf>
    <xf numFmtId="2" fontId="100" fillId="27" borderId="70" xfId="0" applyNumberFormat="1" applyFont="1" applyFill="1" applyBorder="1"/>
    <xf numFmtId="2" fontId="100" fillId="27" borderId="71" xfId="0" applyNumberFormat="1" applyFont="1" applyFill="1" applyBorder="1"/>
    <xf numFmtId="0" fontId="100" fillId="27" borderId="71" xfId="0" applyFont="1" applyFill="1" applyBorder="1"/>
    <xf numFmtId="2" fontId="105" fillId="27" borderId="33" xfId="0" applyNumberFormat="1" applyFont="1" applyFill="1" applyBorder="1"/>
    <xf numFmtId="2" fontId="100" fillId="27" borderId="0" xfId="0" applyNumberFormat="1" applyFont="1" applyFill="1"/>
    <xf numFmtId="2" fontId="100" fillId="27" borderId="3" xfId="0" applyNumberFormat="1" applyFont="1" applyFill="1" applyBorder="1"/>
    <xf numFmtId="2" fontId="100" fillId="27" borderId="35" xfId="0" applyNumberFormat="1" applyFont="1" applyFill="1" applyBorder="1"/>
    <xf numFmtId="0" fontId="100" fillId="27" borderId="33" xfId="0" applyFont="1" applyFill="1" applyBorder="1"/>
    <xf numFmtId="0" fontId="100" fillId="27" borderId="3" xfId="0" applyFont="1" applyFill="1" applyBorder="1"/>
    <xf numFmtId="0" fontId="100" fillId="27" borderId="35" xfId="0" applyFont="1" applyFill="1" applyBorder="1"/>
    <xf numFmtId="9" fontId="100" fillId="0" borderId="0" xfId="0" applyNumberFormat="1" applyFont="1"/>
    <xf numFmtId="43" fontId="100" fillId="0" borderId="0" xfId="0" applyNumberFormat="1" applyFont="1"/>
    <xf numFmtId="2" fontId="105" fillId="27" borderId="7" xfId="0" applyNumberFormat="1" applyFont="1" applyFill="1" applyBorder="1" applyAlignment="1">
      <alignment vertical="center"/>
    </xf>
    <xf numFmtId="2" fontId="105" fillId="27" borderId="10" xfId="0" applyNumberFormat="1" applyFont="1" applyFill="1" applyBorder="1" applyAlignment="1">
      <alignment vertical="center"/>
    </xf>
    <xf numFmtId="2" fontId="105" fillId="27" borderId="35" xfId="0" applyNumberFormat="1" applyFont="1" applyFill="1" applyBorder="1" applyAlignment="1">
      <alignment vertical="center"/>
    </xf>
    <xf numFmtId="0" fontId="100" fillId="27" borderId="0" xfId="0" applyFont="1" applyFill="1" applyAlignment="1">
      <alignment vertical="center" wrapText="1"/>
    </xf>
    <xf numFmtId="2" fontId="105" fillId="27" borderId="3" xfId="0" applyNumberFormat="1" applyFont="1" applyFill="1" applyBorder="1" applyAlignment="1">
      <alignment vertical="center"/>
    </xf>
    <xf numFmtId="2" fontId="105" fillId="27" borderId="0" xfId="0" applyNumberFormat="1" applyFont="1" applyFill="1" applyAlignment="1">
      <alignment vertical="center"/>
    </xf>
    <xf numFmtId="0" fontId="100" fillId="0" borderId="0" xfId="0" applyFont="1" applyAlignment="1">
      <alignment vertical="center"/>
    </xf>
    <xf numFmtId="0" fontId="105" fillId="27" borderId="35" xfId="0" applyFont="1" applyFill="1" applyBorder="1"/>
    <xf numFmtId="0" fontId="105" fillId="27" borderId="2" xfId="0" applyFont="1" applyFill="1" applyBorder="1"/>
    <xf numFmtId="0" fontId="105" fillId="27" borderId="39" xfId="0" applyFont="1" applyFill="1" applyBorder="1"/>
    <xf numFmtId="2" fontId="105" fillId="27" borderId="40" xfId="0" applyNumberFormat="1" applyFont="1" applyFill="1" applyBorder="1" applyAlignment="1">
      <alignment vertical="center"/>
    </xf>
    <xf numFmtId="2" fontId="105" fillId="27" borderId="13" xfId="0" applyNumberFormat="1" applyFont="1" applyFill="1" applyBorder="1" applyAlignment="1">
      <alignment vertical="center"/>
    </xf>
    <xf numFmtId="2" fontId="105" fillId="27" borderId="39" xfId="0" applyNumberFormat="1" applyFont="1" applyFill="1" applyBorder="1" applyAlignment="1">
      <alignment vertical="center"/>
    </xf>
    <xf numFmtId="0" fontId="100" fillId="27" borderId="19" xfId="0" applyFont="1" applyFill="1" applyBorder="1" applyAlignment="1">
      <alignment wrapText="1"/>
    </xf>
    <xf numFmtId="0" fontId="105" fillId="27" borderId="8" xfId="0" applyFont="1" applyFill="1" applyBorder="1"/>
    <xf numFmtId="0" fontId="105" fillId="27" borderId="28" xfId="0" applyFont="1" applyFill="1" applyBorder="1"/>
    <xf numFmtId="0" fontId="105" fillId="27" borderId="19" xfId="0" applyFont="1" applyFill="1" applyBorder="1"/>
    <xf numFmtId="0" fontId="105" fillId="27" borderId="36" xfId="0" applyFont="1" applyFill="1" applyBorder="1"/>
    <xf numFmtId="2" fontId="105" fillId="27" borderId="8" xfId="0" applyNumberFormat="1" applyFont="1" applyFill="1" applyBorder="1" applyAlignment="1">
      <alignment vertical="center"/>
    </xf>
    <xf numFmtId="2" fontId="105" fillId="27" borderId="20" xfId="0" applyNumberFormat="1" applyFont="1" applyFill="1" applyBorder="1" applyAlignment="1">
      <alignment vertical="center"/>
    </xf>
    <xf numFmtId="2" fontId="105" fillId="27" borderId="36" xfId="0" applyNumberFormat="1" applyFont="1" applyFill="1" applyBorder="1" applyAlignment="1">
      <alignment vertical="center"/>
    </xf>
    <xf numFmtId="0" fontId="100" fillId="25" borderId="0" xfId="0" applyFont="1" applyFill="1"/>
    <xf numFmtId="43" fontId="108" fillId="25" borderId="0" xfId="1" applyFont="1" applyFill="1"/>
    <xf numFmtId="0" fontId="103" fillId="0" borderId="0" xfId="0" applyFont="1"/>
    <xf numFmtId="0" fontId="103" fillId="75" borderId="70" xfId="0" applyFont="1" applyFill="1" applyBorder="1"/>
    <xf numFmtId="0" fontId="103" fillId="75" borderId="16" xfId="0" applyFont="1" applyFill="1" applyBorder="1"/>
    <xf numFmtId="0" fontId="100" fillId="25" borderId="0" xfId="0" applyFont="1" applyFill="1" applyAlignment="1">
      <alignment wrapText="1"/>
    </xf>
    <xf numFmtId="0" fontId="103" fillId="25" borderId="0" xfId="0" applyFont="1" applyFill="1" applyAlignment="1">
      <alignment wrapText="1"/>
    </xf>
    <xf numFmtId="0" fontId="103" fillId="25" borderId="0" xfId="0" applyFont="1" applyFill="1"/>
    <xf numFmtId="0" fontId="103" fillId="75" borderId="12" xfId="0" applyFont="1" applyFill="1" applyBorder="1" applyAlignment="1">
      <alignment wrapText="1"/>
    </xf>
    <xf numFmtId="0" fontId="103" fillId="75" borderId="12" xfId="0" applyFont="1" applyFill="1" applyBorder="1"/>
    <xf numFmtId="0" fontId="94" fillId="0" borderId="0" xfId="0" applyFont="1"/>
    <xf numFmtId="0" fontId="109" fillId="88" borderId="0" xfId="0" applyFont="1" applyFill="1"/>
    <xf numFmtId="0" fontId="109" fillId="25" borderId="0" xfId="0" applyFont="1" applyFill="1"/>
    <xf numFmtId="0" fontId="96" fillId="25" borderId="0" xfId="0" applyFont="1" applyFill="1"/>
    <xf numFmtId="179" fontId="4" fillId="84" borderId="0" xfId="1" applyNumberFormat="1" applyFont="1" applyFill="1"/>
    <xf numFmtId="0" fontId="81" fillId="89" borderId="0" xfId="3" applyFont="1" applyFill="1" applyAlignment="1">
      <alignment vertical="center"/>
    </xf>
    <xf numFmtId="0" fontId="44" fillId="89" borderId="0" xfId="0" applyFont="1" applyFill="1"/>
    <xf numFmtId="164" fontId="82" fillId="79" borderId="78" xfId="4" applyNumberFormat="1" applyFont="1" applyFill="1" applyBorder="1" applyAlignment="1">
      <alignment horizontal="left"/>
    </xf>
    <xf numFmtId="0" fontId="84" fillId="89" borderId="0" xfId="3" applyFont="1" applyFill="1" applyAlignment="1">
      <alignment vertical="center"/>
    </xf>
    <xf numFmtId="43" fontId="81" fillId="89" borderId="0" xfId="1" applyFont="1" applyFill="1" applyAlignment="1">
      <alignment vertical="center"/>
    </xf>
    <xf numFmtId="180" fontId="81" fillId="89" borderId="0" xfId="1" applyNumberFormat="1" applyFont="1" applyFill="1" applyAlignment="1">
      <alignment vertical="center"/>
    </xf>
    <xf numFmtId="164" fontId="81" fillId="89" borderId="0" xfId="4" applyNumberFormat="1" applyFont="1" applyFill="1" applyAlignment="1">
      <alignment horizontal="left"/>
    </xf>
    <xf numFmtId="0" fontId="83" fillId="90" borderId="16" xfId="0" applyFont="1" applyFill="1" applyBorder="1"/>
    <xf numFmtId="164" fontId="82" fillId="90" borderId="12" xfId="4" applyNumberFormat="1" applyFont="1" applyFill="1" applyBorder="1" applyAlignment="1">
      <alignment horizontal="left"/>
    </xf>
    <xf numFmtId="0" fontId="83" fillId="90" borderId="12" xfId="0" applyFont="1" applyFill="1" applyBorder="1"/>
    <xf numFmtId="1" fontId="81" fillId="89" borderId="0" xfId="4" applyNumberFormat="1" applyFont="1" applyFill="1" applyAlignment="1">
      <alignment horizontal="left"/>
    </xf>
    <xf numFmtId="168" fontId="81" fillId="79" borderId="16" xfId="1" applyNumberFormat="1" applyFont="1" applyFill="1" applyBorder="1" applyAlignment="1">
      <alignment horizontal="left"/>
    </xf>
    <xf numFmtId="168" fontId="81" fillId="90" borderId="12" xfId="1" applyNumberFormat="1" applyFont="1" applyFill="1" applyBorder="1" applyAlignment="1">
      <alignment horizontal="left"/>
    </xf>
    <xf numFmtId="168" fontId="1" fillId="0" borderId="0" xfId="1" applyNumberFormat="1" applyFont="1"/>
    <xf numFmtId="168" fontId="1" fillId="3" borderId="0" xfId="1" applyNumberFormat="1" applyFont="1" applyFill="1"/>
    <xf numFmtId="43" fontId="81" fillId="89" borderId="0" xfId="1" applyFont="1" applyFill="1" applyBorder="1" applyAlignment="1">
      <alignment horizontal="left"/>
    </xf>
    <xf numFmtId="43" fontId="81" fillId="90" borderId="12" xfId="1" applyFont="1" applyFill="1" applyBorder="1" applyAlignment="1">
      <alignment horizontal="left"/>
    </xf>
    <xf numFmtId="43" fontId="81" fillId="79" borderId="16" xfId="1" applyFont="1" applyFill="1" applyBorder="1" applyAlignment="1">
      <alignment horizontal="left"/>
    </xf>
    <xf numFmtId="164" fontId="82" fillId="90" borderId="16" xfId="4" applyNumberFormat="1" applyFont="1" applyFill="1" applyBorder="1" applyAlignment="1">
      <alignment horizontal="left"/>
    </xf>
    <xf numFmtId="168" fontId="81" fillId="90" borderId="16" xfId="1" applyNumberFormat="1" applyFont="1" applyFill="1" applyBorder="1" applyAlignment="1">
      <alignment horizontal="left"/>
    </xf>
    <xf numFmtId="168" fontId="18" fillId="0" borderId="0" xfId="1" applyNumberFormat="1" applyFont="1"/>
    <xf numFmtId="177" fontId="4" fillId="25" borderId="60" xfId="3" applyNumberFormat="1" applyFill="1" applyBorder="1"/>
    <xf numFmtId="0" fontId="4" fillId="25" borderId="60" xfId="3" applyFill="1" applyBorder="1"/>
    <xf numFmtId="177" fontId="4" fillId="25" borderId="0" xfId="3" applyNumberFormat="1" applyFill="1"/>
    <xf numFmtId="11" fontId="4" fillId="25" borderId="60" xfId="3" applyNumberFormat="1" applyFill="1" applyBorder="1"/>
    <xf numFmtId="181" fontId="84" fillId="89" borderId="0" xfId="1" applyNumberFormat="1" applyFont="1" applyFill="1"/>
    <xf numFmtId="181" fontId="87" fillId="89" borderId="0" xfId="1" applyNumberFormat="1" applyFont="1" applyFill="1"/>
    <xf numFmtId="43" fontId="89" fillId="89" borderId="0" xfId="1" applyFont="1" applyFill="1" applyBorder="1" applyAlignment="1">
      <alignment horizontal="left"/>
    </xf>
    <xf numFmtId="0" fontId="110" fillId="0" borderId="0" xfId="0" applyFont="1"/>
    <xf numFmtId="0" fontId="83" fillId="3" borderId="0" xfId="0" applyFont="1" applyFill="1"/>
    <xf numFmtId="0" fontId="44" fillId="3" borderId="0" xfId="0" applyFont="1" applyFill="1"/>
    <xf numFmtId="0" fontId="99" fillId="0" borderId="0" xfId="0" applyFont="1"/>
    <xf numFmtId="0" fontId="111" fillId="0" borderId="0" xfId="8" applyFont="1" applyAlignment="1" applyProtection="1"/>
    <xf numFmtId="0" fontId="82" fillId="75" borderId="0" xfId="0" applyFont="1" applyFill="1" applyAlignment="1">
      <alignment horizontal="center"/>
    </xf>
    <xf numFmtId="0" fontId="82" fillId="75" borderId="3" xfId="0" applyFont="1" applyFill="1" applyBorder="1" applyAlignment="1">
      <alignment horizontal="center"/>
    </xf>
    <xf numFmtId="0" fontId="81" fillId="25" borderId="0" xfId="0" applyFont="1" applyFill="1"/>
    <xf numFmtId="168" fontId="44" fillId="25" borderId="0" xfId="483" applyNumberFormat="1" applyFont="1" applyFill="1" applyBorder="1"/>
    <xf numFmtId="168" fontId="81" fillId="25" borderId="0" xfId="1" applyNumberFormat="1" applyFont="1" applyFill="1"/>
    <xf numFmtId="0" fontId="81" fillId="3" borderId="0" xfId="0" applyFont="1" applyFill="1" applyAlignment="1">
      <alignment horizontal="right"/>
    </xf>
    <xf numFmtId="0" fontId="82" fillId="3" borderId="0" xfId="0" applyFont="1" applyFill="1" applyAlignment="1">
      <alignment horizontal="right"/>
    </xf>
    <xf numFmtId="0" fontId="44" fillId="3" borderId="0" xfId="0" applyFont="1" applyFill="1" applyAlignment="1">
      <alignment horizontal="center"/>
    </xf>
    <xf numFmtId="0" fontId="82" fillId="86" borderId="0" xfId="0" applyFont="1" applyFill="1" applyAlignment="1">
      <alignment horizontal="center"/>
    </xf>
    <xf numFmtId="0" fontId="81" fillId="83" borderId="0" xfId="0" applyFont="1" applyFill="1"/>
    <xf numFmtId="0" fontId="44" fillId="87" borderId="0" xfId="0" applyFont="1" applyFill="1"/>
    <xf numFmtId="43" fontId="44" fillId="87" borderId="0" xfId="483" applyFont="1" applyFill="1" applyBorder="1"/>
    <xf numFmtId="43" fontId="44" fillId="87" borderId="0" xfId="1" applyFont="1" applyFill="1" applyBorder="1"/>
    <xf numFmtId="2" fontId="81" fillId="84" borderId="0" xfId="0" applyNumberFormat="1" applyFont="1" applyFill="1"/>
    <xf numFmtId="2" fontId="81" fillId="84" borderId="0" xfId="0" applyNumberFormat="1" applyFont="1" applyFill="1" applyAlignment="1">
      <alignment horizontal="right"/>
    </xf>
    <xf numFmtId="43" fontId="44" fillId="84" borderId="0" xfId="0" applyNumberFormat="1" applyFont="1" applyFill="1"/>
    <xf numFmtId="43" fontId="44" fillId="84" borderId="0" xfId="483" applyFont="1" applyFill="1" applyBorder="1"/>
    <xf numFmtId="43" fontId="44" fillId="3" borderId="0" xfId="483" applyFont="1" applyFill="1" applyBorder="1"/>
    <xf numFmtId="2" fontId="81" fillId="3" borderId="0" xfId="0" applyNumberFormat="1" applyFont="1" applyFill="1" applyAlignment="1">
      <alignment horizontal="right"/>
    </xf>
    <xf numFmtId="0" fontId="81" fillId="3" borderId="0" xfId="0" applyFont="1" applyFill="1"/>
    <xf numFmtId="43" fontId="44" fillId="3" borderId="0" xfId="0" applyNumberFormat="1" applyFont="1" applyFill="1"/>
    <xf numFmtId="43" fontId="44" fillId="87" borderId="0" xfId="483" applyFont="1" applyFill="1"/>
    <xf numFmtId="43" fontId="44" fillId="84" borderId="0" xfId="1" applyFont="1" applyFill="1" applyBorder="1" applyAlignment="1"/>
    <xf numFmtId="179" fontId="44" fillId="84" borderId="0" xfId="1" applyNumberFormat="1" applyFont="1" applyFill="1" applyAlignment="1"/>
    <xf numFmtId="179" fontId="44" fillId="84" borderId="0" xfId="1" applyNumberFormat="1" applyFont="1" applyFill="1"/>
    <xf numFmtId="0" fontId="83" fillId="75" borderId="78" xfId="0" applyFont="1" applyFill="1" applyBorder="1"/>
    <xf numFmtId="0" fontId="83" fillId="75" borderId="12" xfId="0" applyFont="1" applyFill="1" applyBorder="1"/>
    <xf numFmtId="0" fontId="86" fillId="25" borderId="0" xfId="0" applyFont="1" applyFill="1"/>
    <xf numFmtId="0" fontId="83" fillId="25" borderId="0" xfId="0" applyFont="1" applyFill="1"/>
    <xf numFmtId="0" fontId="83" fillId="75" borderId="12" xfId="0" applyFont="1" applyFill="1" applyBorder="1" applyAlignment="1">
      <alignment wrapText="1"/>
    </xf>
    <xf numFmtId="0" fontId="82" fillId="83" borderId="0" xfId="0" applyFont="1" applyFill="1"/>
    <xf numFmtId="0" fontId="81" fillId="84" borderId="0" xfId="0" applyFont="1" applyFill="1"/>
    <xf numFmtId="0" fontId="90" fillId="3" borderId="0" xfId="0" applyFont="1" applyFill="1"/>
    <xf numFmtId="0" fontId="81" fillId="91" borderId="0" xfId="3" applyFont="1" applyFill="1" applyAlignment="1">
      <alignment vertical="center"/>
    </xf>
    <xf numFmtId="0" fontId="44" fillId="91" borderId="0" xfId="0" applyFont="1" applyFill="1"/>
    <xf numFmtId="0" fontId="84" fillId="91" borderId="0" xfId="3" applyFont="1" applyFill="1" applyAlignment="1">
      <alignment vertical="center"/>
    </xf>
    <xf numFmtId="0" fontId="6" fillId="83" borderId="79" xfId="0" applyFont="1" applyFill="1" applyBorder="1"/>
    <xf numFmtId="0" fontId="4" fillId="84" borderId="79" xfId="0" applyFont="1" applyFill="1" applyBorder="1"/>
    <xf numFmtId="9" fontId="4" fillId="84" borderId="79" xfId="2" applyFont="1" applyFill="1" applyBorder="1"/>
    <xf numFmtId="164" fontId="81" fillId="91" borderId="0" xfId="4" applyNumberFormat="1" applyFont="1" applyFill="1" applyAlignment="1">
      <alignment horizontal="left"/>
    </xf>
    <xf numFmtId="1" fontId="81" fillId="91" borderId="0" xfId="4" applyNumberFormat="1" applyFont="1" applyFill="1" applyAlignment="1">
      <alignment horizontal="left"/>
    </xf>
    <xf numFmtId="43" fontId="81" fillId="91" borderId="0" xfId="1" applyFont="1" applyFill="1" applyBorder="1" applyAlignment="1">
      <alignment horizontal="left"/>
    </xf>
    <xf numFmtId="43" fontId="4" fillId="84" borderId="79" xfId="2" applyNumberFormat="1" applyFont="1" applyFill="1" applyBorder="1"/>
    <xf numFmtId="164" fontId="82" fillId="81" borderId="78" xfId="4" applyNumberFormat="1" applyFont="1" applyFill="1" applyBorder="1" applyAlignment="1">
      <alignment horizontal="left"/>
    </xf>
    <xf numFmtId="0" fontId="81" fillId="92" borderId="0" xfId="3" applyFont="1" applyFill="1" applyAlignment="1">
      <alignment vertical="center"/>
    </xf>
    <xf numFmtId="0" fontId="44" fillId="92" borderId="0" xfId="0" applyFont="1" applyFill="1"/>
    <xf numFmtId="164" fontId="81" fillId="92" borderId="0" xfId="4" applyNumberFormat="1" applyFont="1" applyFill="1" applyAlignment="1">
      <alignment horizontal="left"/>
    </xf>
    <xf numFmtId="43" fontId="0" fillId="0" borderId="0" xfId="0" applyNumberFormat="1"/>
    <xf numFmtId="164" fontId="82" fillId="81" borderId="16" xfId="4" applyNumberFormat="1" applyFont="1" applyFill="1" applyBorder="1" applyAlignment="1">
      <alignment horizontal="left"/>
    </xf>
    <xf numFmtId="164" fontId="82" fillId="75" borderId="12" xfId="4" applyNumberFormat="1" applyFont="1" applyFill="1" applyBorder="1" applyAlignment="1">
      <alignment horizontal="left"/>
    </xf>
    <xf numFmtId="43" fontId="81" fillId="75" borderId="12" xfId="1" applyFont="1" applyFill="1" applyBorder="1" applyAlignment="1">
      <alignment horizontal="left"/>
    </xf>
    <xf numFmtId="43" fontId="81" fillId="25" borderId="0" xfId="1" applyFont="1" applyFill="1" applyBorder="1" applyAlignment="1">
      <alignment horizontal="left"/>
    </xf>
    <xf numFmtId="43" fontId="81" fillId="25" borderId="0" xfId="1" applyFont="1" applyFill="1" applyAlignment="1">
      <alignment vertical="center"/>
    </xf>
    <xf numFmtId="0" fontId="17" fillId="0" borderId="0" xfId="8" applyAlignment="1" applyProtection="1"/>
    <xf numFmtId="43" fontId="81" fillId="81" borderId="16" xfId="1" applyFont="1" applyFill="1" applyBorder="1" applyAlignment="1">
      <alignment horizontal="left"/>
    </xf>
    <xf numFmtId="0" fontId="3" fillId="75" borderId="0" xfId="0" applyFont="1" applyFill="1"/>
    <xf numFmtId="164" fontId="82" fillId="80" borderId="0" xfId="4" applyNumberFormat="1" applyFont="1" applyFill="1" applyAlignment="1">
      <alignment horizontal="left"/>
    </xf>
    <xf numFmtId="0" fontId="8" fillId="0" borderId="0" xfId="0" applyFont="1"/>
    <xf numFmtId="0" fontId="44" fillId="0" borderId="0" xfId="0" applyFont="1" applyAlignment="1">
      <alignment horizontal="center"/>
    </xf>
    <xf numFmtId="0" fontId="0" fillId="0" borderId="0" xfId="0" applyAlignment="1">
      <alignment horizontal="left" vertical="top" wrapText="1"/>
    </xf>
    <xf numFmtId="0" fontId="3" fillId="22" borderId="24" xfId="0" applyFont="1" applyFill="1" applyBorder="1" applyAlignment="1">
      <alignment horizontal="center" vertical="center" wrapText="1"/>
    </xf>
    <xf numFmtId="0" fontId="3" fillId="22" borderId="16" xfId="0" applyFont="1" applyFill="1" applyBorder="1" applyAlignment="1">
      <alignment horizontal="center" vertical="center" wrapText="1"/>
    </xf>
    <xf numFmtId="0" fontId="3" fillId="22" borderId="25" xfId="0" applyFont="1" applyFill="1" applyBorder="1" applyAlignment="1">
      <alignment horizontal="center" vertical="center" wrapText="1"/>
    </xf>
    <xf numFmtId="0" fontId="8" fillId="0" borderId="3" xfId="0" applyFont="1" applyBorder="1" applyAlignment="1">
      <alignment horizontal="center" vertical="center" textRotation="90"/>
    </xf>
    <xf numFmtId="0" fontId="82" fillId="79" borderId="78" xfId="4" applyFont="1" applyFill="1" applyBorder="1"/>
    <xf numFmtId="164" fontId="6" fillId="75" borderId="78" xfId="4" applyNumberFormat="1" applyFont="1" applyFill="1" applyBorder="1" applyAlignment="1">
      <alignment horizontal="left"/>
    </xf>
    <xf numFmtId="164" fontId="6" fillId="79" borderId="78" xfId="4" applyNumberFormat="1" applyFont="1" applyFill="1" applyBorder="1" applyAlignment="1">
      <alignment horizontal="left"/>
    </xf>
    <xf numFmtId="0" fontId="6" fillId="79" borderId="78" xfId="4" applyFont="1" applyFill="1" applyBorder="1"/>
    <xf numFmtId="0" fontId="6" fillId="79" borderId="78" xfId="0" applyFont="1" applyFill="1" applyBorder="1" applyAlignment="1">
      <alignment horizontal="center" vertical="center" wrapText="1"/>
    </xf>
    <xf numFmtId="43" fontId="6" fillId="79" borderId="78" xfId="1" applyFont="1" applyFill="1" applyBorder="1" applyAlignment="1">
      <alignment horizontal="left"/>
    </xf>
    <xf numFmtId="0" fontId="6" fillId="75" borderId="78" xfId="3" applyFont="1" applyFill="1" applyBorder="1" applyAlignment="1">
      <alignment horizontal="center" vertical="center"/>
    </xf>
    <xf numFmtId="0" fontId="4" fillId="75" borderId="78" xfId="3" applyFill="1" applyBorder="1" applyAlignment="1">
      <alignment horizontal="center" vertical="center"/>
    </xf>
    <xf numFmtId="0" fontId="4" fillId="75" borderId="78" xfId="3" applyFill="1" applyBorder="1" applyAlignment="1">
      <alignment horizontal="left" vertical="center"/>
    </xf>
    <xf numFmtId="164" fontId="6" fillId="5" borderId="78" xfId="4" applyNumberFormat="1" applyFont="1" applyFill="1" applyBorder="1" applyAlignment="1">
      <alignment horizontal="left"/>
    </xf>
    <xf numFmtId="164" fontId="77" fillId="5" borderId="78" xfId="4" applyNumberFormat="1" applyFont="1" applyFill="1" applyBorder="1" applyAlignment="1">
      <alignment horizontal="left"/>
    </xf>
    <xf numFmtId="164" fontId="6" fillId="2" borderId="78" xfId="4" applyNumberFormat="1" applyFont="1" applyFill="1" applyBorder="1" applyAlignment="1">
      <alignment horizontal="left"/>
    </xf>
    <xf numFmtId="0" fontId="82" fillId="79" borderId="78" xfId="0" applyFont="1" applyFill="1" applyBorder="1" applyAlignment="1">
      <alignment horizontal="center" vertical="center" wrapText="1"/>
    </xf>
    <xf numFmtId="43" fontId="82" fillId="79" borderId="78" xfId="1" applyFont="1" applyFill="1" applyBorder="1" applyAlignment="1">
      <alignment horizontal="left"/>
    </xf>
    <xf numFmtId="0" fontId="82" fillId="75" borderId="78" xfId="3" applyFont="1" applyFill="1" applyBorder="1" applyAlignment="1">
      <alignment horizontal="center" vertical="center"/>
    </xf>
    <xf numFmtId="0" fontId="81" fillId="75" borderId="78" xfId="3" applyFont="1" applyFill="1" applyBorder="1" applyAlignment="1">
      <alignment horizontal="center" vertical="center"/>
    </xf>
    <xf numFmtId="0" fontId="81" fillId="75" borderId="78" xfId="3" applyFont="1" applyFill="1" applyBorder="1" applyAlignment="1">
      <alignment horizontal="left" vertical="center"/>
    </xf>
    <xf numFmtId="164" fontId="82" fillId="5" borderId="78" xfId="4" applyNumberFormat="1" applyFont="1" applyFill="1" applyBorder="1" applyAlignment="1">
      <alignment horizontal="left"/>
    </xf>
    <xf numFmtId="0" fontId="0" fillId="27" borderId="80" xfId="0" applyFill="1" applyBorder="1"/>
    <xf numFmtId="0" fontId="0" fillId="27" borderId="81" xfId="0" applyFill="1" applyBorder="1"/>
    <xf numFmtId="0" fontId="0" fillId="22" borderId="82" xfId="0" applyFill="1" applyBorder="1" applyAlignment="1">
      <alignment horizontal="center" vertical="center" wrapText="1"/>
    </xf>
    <xf numFmtId="0" fontId="0" fillId="22" borderId="82" xfId="0" applyFill="1" applyBorder="1" applyAlignment="1">
      <alignment horizontal="center" vertical="center"/>
    </xf>
    <xf numFmtId="0" fontId="0" fillId="22" borderId="82" xfId="0" applyFill="1" applyBorder="1" applyAlignment="1">
      <alignment horizontal="center"/>
    </xf>
    <xf numFmtId="0" fontId="3" fillId="22" borderId="83" xfId="0" applyFont="1" applyFill="1" applyBorder="1" applyAlignment="1">
      <alignment horizontal="center"/>
    </xf>
    <xf numFmtId="0" fontId="3" fillId="22" borderId="84" xfId="0" applyFont="1" applyFill="1" applyBorder="1" applyAlignment="1">
      <alignment horizontal="center"/>
    </xf>
    <xf numFmtId="0" fontId="3" fillId="22" borderId="85" xfId="0" applyFont="1" applyFill="1" applyBorder="1" applyAlignment="1">
      <alignment horizontal="center"/>
    </xf>
    <xf numFmtId="0" fontId="0" fillId="0" borderId="86" xfId="0" applyBorder="1"/>
    <xf numFmtId="0" fontId="0" fillId="0" borderId="73" xfId="0" applyBorder="1" applyAlignment="1">
      <alignment horizontal="left" vertical="center"/>
    </xf>
    <xf numFmtId="0" fontId="83" fillId="75" borderId="86" xfId="0" applyFont="1" applyFill="1" applyBorder="1" applyAlignment="1">
      <alignment horizontal="center" vertical="center"/>
    </xf>
    <xf numFmtId="43" fontId="83" fillId="75" borderId="78" xfId="1" applyFont="1" applyFill="1" applyBorder="1" applyAlignment="1">
      <alignment horizontal="center" vertical="center" wrapText="1" readingOrder="1"/>
    </xf>
    <xf numFmtId="43" fontId="83" fillId="75" borderId="78" xfId="1" applyFont="1" applyFill="1" applyBorder="1" applyAlignment="1">
      <alignment horizontal="center" vertical="center"/>
    </xf>
    <xf numFmtId="3" fontId="83" fillId="75" borderId="78" xfId="0" applyNumberFormat="1" applyFont="1" applyFill="1" applyBorder="1" applyAlignment="1">
      <alignment horizontal="center" vertical="center"/>
    </xf>
    <xf numFmtId="0" fontId="83" fillId="8" borderId="78" xfId="0" applyFont="1" applyFill="1" applyBorder="1" applyAlignment="1">
      <alignment horizontal="center" vertical="center" wrapText="1"/>
    </xf>
    <xf numFmtId="0" fontId="83" fillId="9" borderId="78" xfId="0" applyFont="1" applyFill="1" applyBorder="1" applyAlignment="1">
      <alignment horizontal="center" vertical="center" wrapText="1"/>
    </xf>
    <xf numFmtId="0" fontId="83" fillId="10" borderId="78" xfId="0" applyFont="1" applyFill="1" applyBorder="1" applyAlignment="1">
      <alignment horizontal="center" vertical="center" wrapText="1"/>
    </xf>
    <xf numFmtId="0" fontId="83" fillId="11" borderId="78" xfId="0" applyFont="1" applyFill="1" applyBorder="1" applyAlignment="1">
      <alignment horizontal="center" vertical="center" wrapText="1"/>
    </xf>
    <xf numFmtId="0" fontId="83" fillId="12" borderId="78" xfId="0" applyFont="1" applyFill="1" applyBorder="1" applyAlignment="1">
      <alignment horizontal="center" vertical="center" wrapText="1"/>
    </xf>
    <xf numFmtId="0" fontId="83" fillId="13" borderId="78" xfId="0" applyFont="1" applyFill="1" applyBorder="1" applyAlignment="1">
      <alignment horizontal="center" vertical="center" wrapText="1"/>
    </xf>
    <xf numFmtId="0" fontId="83" fillId="14" borderId="78" xfId="0" applyFont="1" applyFill="1" applyBorder="1" applyAlignment="1">
      <alignment horizontal="center" vertical="center" wrapText="1"/>
    </xf>
    <xf numFmtId="43" fontId="81" fillId="0" borderId="86" xfId="1" applyFont="1" applyFill="1" applyBorder="1" applyAlignment="1">
      <alignment horizontal="right" vertical="center" readingOrder="1"/>
    </xf>
    <xf numFmtId="43" fontId="81" fillId="0" borderId="86" xfId="1" applyFont="1" applyBorder="1"/>
    <xf numFmtId="41" fontId="44" fillId="0" borderId="86" xfId="0" applyNumberFormat="1" applyFont="1" applyBorder="1"/>
    <xf numFmtId="43" fontId="81" fillId="0" borderId="86" xfId="1" applyFont="1" applyBorder="1" applyAlignment="1">
      <alignment vertical="center"/>
    </xf>
    <xf numFmtId="43" fontId="81" fillId="0" borderId="86" xfId="1" applyFont="1" applyFill="1" applyBorder="1" applyAlignment="1">
      <alignment vertical="center"/>
    </xf>
    <xf numFmtId="43" fontId="81" fillId="0" borderId="86" xfId="1" applyFont="1" applyFill="1" applyBorder="1"/>
    <xf numFmtId="43" fontId="81" fillId="0" borderId="78" xfId="1" applyFont="1" applyFill="1" applyBorder="1" applyAlignment="1">
      <alignment horizontal="right" vertical="center" readingOrder="1"/>
    </xf>
    <xf numFmtId="43" fontId="81" fillId="0" borderId="78" xfId="1" applyFont="1" applyBorder="1"/>
    <xf numFmtId="10" fontId="81" fillId="0" borderId="78" xfId="0" applyNumberFormat="1" applyFont="1" applyBorder="1"/>
    <xf numFmtId="0" fontId="44" fillId="0" borderId="78" xfId="0" applyFont="1" applyBorder="1"/>
    <xf numFmtId="0" fontId="83" fillId="83" borderId="78" xfId="0" applyFont="1" applyFill="1" applyBorder="1"/>
    <xf numFmtId="43" fontId="83" fillId="83" borderId="78" xfId="1" applyFont="1" applyFill="1" applyBorder="1"/>
    <xf numFmtId="43" fontId="83" fillId="75" borderId="78" xfId="1" applyFont="1" applyFill="1" applyBorder="1"/>
    <xf numFmtId="0" fontId="100" fillId="20" borderId="80" xfId="0" applyFont="1" applyFill="1" applyBorder="1" applyAlignment="1">
      <alignment wrapText="1"/>
    </xf>
    <xf numFmtId="0" fontId="100" fillId="20" borderId="87" xfId="0" applyFont="1" applyFill="1" applyBorder="1" applyAlignment="1">
      <alignment wrapText="1"/>
    </xf>
    <xf numFmtId="0" fontId="101" fillId="21" borderId="81" xfId="8" applyFont="1" applyFill="1" applyBorder="1" applyAlignment="1" applyProtection="1">
      <alignment horizontal="center" vertical="center" wrapText="1"/>
    </xf>
    <xf numFmtId="0" fontId="100" fillId="20" borderId="80" xfId="0" applyFont="1" applyFill="1" applyBorder="1"/>
    <xf numFmtId="0" fontId="100" fillId="20" borderId="81" xfId="0" applyFont="1" applyFill="1" applyBorder="1"/>
    <xf numFmtId="0" fontId="100" fillId="25" borderId="88" xfId="0" applyFont="1" applyFill="1" applyBorder="1" applyAlignment="1">
      <alignment vertical="center" wrapText="1"/>
    </xf>
    <xf numFmtId="2" fontId="105" fillId="25" borderId="73" xfId="0" applyNumberFormat="1" applyFont="1" applyFill="1" applyBorder="1" applyAlignment="1">
      <alignment vertical="center"/>
    </xf>
    <xf numFmtId="2" fontId="100" fillId="25" borderId="73" xfId="0" applyNumberFormat="1" applyFont="1" applyFill="1" applyBorder="1" applyAlignment="1">
      <alignment vertical="center"/>
    </xf>
    <xf numFmtId="2" fontId="105" fillId="25" borderId="89" xfId="0" applyNumberFormat="1" applyFont="1" applyFill="1" applyBorder="1" applyAlignment="1">
      <alignment vertical="center"/>
    </xf>
    <xf numFmtId="2" fontId="105" fillId="22" borderId="89" xfId="0" applyNumberFormat="1" applyFont="1" applyFill="1" applyBorder="1" applyAlignment="1">
      <alignment vertical="center"/>
    </xf>
    <xf numFmtId="2" fontId="106" fillId="20" borderId="89" xfId="0" applyNumberFormat="1" applyFont="1" applyFill="1" applyBorder="1" applyAlignment="1">
      <alignment vertical="center"/>
    </xf>
    <xf numFmtId="2" fontId="105" fillId="27" borderId="86" xfId="0" applyNumberFormat="1" applyFont="1" applyFill="1" applyBorder="1"/>
    <xf numFmtId="2" fontId="105" fillId="27" borderId="73" xfId="0" applyNumberFormat="1" applyFont="1" applyFill="1" applyBorder="1"/>
    <xf numFmtId="2" fontId="100" fillId="27" borderId="73" xfId="0" applyNumberFormat="1" applyFont="1" applyFill="1" applyBorder="1"/>
    <xf numFmtId="0" fontId="100" fillId="27" borderId="86" xfId="0" applyFont="1" applyFill="1" applyBorder="1"/>
    <xf numFmtId="0" fontId="100" fillId="27" borderId="73" xfId="0" applyFont="1" applyFill="1" applyBorder="1"/>
    <xf numFmtId="0" fontId="103" fillId="75" borderId="78" xfId="0" applyFont="1" applyFill="1" applyBorder="1"/>
    <xf numFmtId="0" fontId="4" fillId="3" borderId="87" xfId="0" applyFont="1" applyFill="1" applyBorder="1"/>
    <xf numFmtId="2" fontId="90" fillId="6" borderId="82" xfId="0" applyNumberFormat="1" applyFont="1" applyFill="1" applyBorder="1"/>
    <xf numFmtId="10" fontId="90" fillId="3" borderId="82" xfId="0" applyNumberFormat="1" applyFont="1" applyFill="1" applyBorder="1"/>
    <xf numFmtId="0" fontId="7" fillId="3" borderId="87" xfId="0" applyFont="1" applyFill="1" applyBorder="1"/>
    <xf numFmtId="2" fontId="90" fillId="3" borderId="82" xfId="0" applyNumberFormat="1" applyFont="1" applyFill="1" applyBorder="1"/>
    <xf numFmtId="2" fontId="90" fillId="3" borderId="80" xfId="0" applyNumberFormat="1" applyFont="1" applyFill="1" applyBorder="1"/>
    <xf numFmtId="0" fontId="7" fillId="3" borderId="82" xfId="0" applyFont="1" applyFill="1" applyBorder="1"/>
    <xf numFmtId="0" fontId="7" fillId="5" borderId="82" xfId="0" applyFont="1" applyFill="1" applyBorder="1"/>
    <xf numFmtId="10" fontId="7" fillId="3" borderId="82" xfId="2" applyNumberFormat="1" applyFont="1" applyFill="1" applyBorder="1"/>
    <xf numFmtId="10" fontId="7" fillId="3" borderId="82" xfId="0" applyNumberFormat="1" applyFont="1" applyFill="1" applyBorder="1"/>
    <xf numFmtId="0" fontId="7" fillId="5" borderId="82" xfId="0" applyFont="1" applyFill="1" applyBorder="1" applyAlignment="1">
      <alignment horizontal="right"/>
    </xf>
    <xf numFmtId="166" fontId="7" fillId="6" borderId="82" xfId="0" applyNumberFormat="1" applyFont="1" applyFill="1" applyBorder="1"/>
    <xf numFmtId="0" fontId="8" fillId="4" borderId="82" xfId="0" applyFont="1" applyFill="1" applyBorder="1" applyAlignment="1">
      <alignment horizontal="center" wrapText="1"/>
    </xf>
    <xf numFmtId="0" fontId="8" fillId="4" borderId="80" xfId="0" applyFont="1" applyFill="1" applyBorder="1" applyAlignment="1">
      <alignment horizontal="center" wrapText="1"/>
    </xf>
    <xf numFmtId="0" fontId="8" fillId="4" borderId="81" xfId="0" applyFont="1" applyFill="1" applyBorder="1" applyAlignment="1">
      <alignment horizontal="center" wrapText="1"/>
    </xf>
    <xf numFmtId="0" fontId="8" fillId="4" borderId="87" xfId="0" applyFont="1" applyFill="1" applyBorder="1" applyAlignment="1">
      <alignment horizontal="center" wrapText="1"/>
    </xf>
    <xf numFmtId="0" fontId="7" fillId="3" borderId="82" xfId="0" applyFont="1" applyFill="1" applyBorder="1" applyAlignment="1">
      <alignment vertical="center" textRotation="90"/>
    </xf>
    <xf numFmtId="0" fontId="8" fillId="3" borderId="82" xfId="0" applyFont="1" applyFill="1" applyBorder="1"/>
    <xf numFmtId="3" fontId="8" fillId="3" borderId="82" xfId="0" applyNumberFormat="1" applyFont="1" applyFill="1" applyBorder="1"/>
    <xf numFmtId="2" fontId="7" fillId="3" borderId="82" xfId="0" applyNumberFormat="1" applyFont="1" applyFill="1" applyBorder="1"/>
    <xf numFmtId="0" fontId="7" fillId="3" borderId="73" xfId="0" applyFont="1" applyFill="1" applyBorder="1"/>
    <xf numFmtId="2" fontId="7" fillId="3" borderId="73" xfId="0" applyNumberFormat="1" applyFont="1" applyFill="1" applyBorder="1"/>
    <xf numFmtId="41" fontId="7" fillId="3" borderId="82" xfId="0" applyNumberFormat="1" applyFont="1" applyFill="1" applyBorder="1"/>
    <xf numFmtId="2" fontId="7" fillId="3" borderId="85" xfId="0" applyNumberFormat="1" applyFont="1" applyFill="1" applyBorder="1"/>
    <xf numFmtId="0" fontId="7" fillId="3" borderId="90" xfId="0" applyFont="1" applyFill="1" applyBorder="1"/>
    <xf numFmtId="2" fontId="7" fillId="3" borderId="90" xfId="0" applyNumberFormat="1" applyFont="1" applyFill="1" applyBorder="1"/>
    <xf numFmtId="2" fontId="7" fillId="3" borderId="91" xfId="0" applyNumberFormat="1" applyFont="1" applyFill="1" applyBorder="1"/>
    <xf numFmtId="0" fontId="4" fillId="3" borderId="82" xfId="0" applyFont="1" applyFill="1" applyBorder="1"/>
    <xf numFmtId="0" fontId="7" fillId="3" borderId="80" xfId="0" applyFont="1" applyFill="1" applyBorder="1"/>
    <xf numFmtId="2" fontId="7" fillId="3" borderId="82" xfId="0" applyNumberFormat="1" applyFont="1" applyFill="1" applyBorder="1" applyAlignment="1">
      <alignment vertical="center"/>
    </xf>
    <xf numFmtId="2" fontId="4" fillId="3" borderId="82" xfId="0" applyNumberFormat="1" applyFont="1" applyFill="1" applyBorder="1" applyAlignment="1">
      <alignment vertical="center"/>
    </xf>
    <xf numFmtId="2" fontId="4" fillId="3" borderId="82" xfId="0" applyNumberFormat="1" applyFont="1" applyFill="1" applyBorder="1"/>
    <xf numFmtId="0" fontId="4" fillId="3" borderId="80" xfId="0" applyFont="1" applyFill="1" applyBorder="1"/>
    <xf numFmtId="10" fontId="7" fillId="3" borderId="82" xfId="0" applyNumberFormat="1" applyFont="1" applyFill="1" applyBorder="1" applyAlignment="1">
      <alignment vertical="center"/>
    </xf>
    <xf numFmtId="2" fontId="7" fillId="6" borderId="82" xfId="0" applyNumberFormat="1" applyFont="1" applyFill="1" applyBorder="1"/>
    <xf numFmtId="43" fontId="7" fillId="0" borderId="92" xfId="0" applyNumberFormat="1" applyFont="1" applyBorder="1"/>
    <xf numFmtId="43" fontId="7" fillId="6" borderId="92" xfId="0" applyNumberFormat="1" applyFont="1" applyFill="1" applyBorder="1"/>
    <xf numFmtId="0" fontId="8" fillId="0" borderId="81" xfId="0" applyFont="1" applyBorder="1" applyAlignment="1">
      <alignment horizontal="center" vertical="center" textRotation="90"/>
    </xf>
    <xf numFmtId="0" fontId="4" fillId="0" borderId="81" xfId="0" applyFont="1" applyBorder="1" applyAlignment="1">
      <alignment vertical="center"/>
    </xf>
    <xf numFmtId="169" fontId="4" fillId="0" borderId="80" xfId="0" applyNumberFormat="1" applyFont="1" applyBorder="1" applyAlignment="1">
      <alignment vertical="center"/>
    </xf>
    <xf numFmtId="10" fontId="4" fillId="0" borderId="81" xfId="7" applyNumberFormat="1" applyFont="1" applyFill="1" applyBorder="1" applyAlignment="1">
      <alignment horizontal="right" vertical="center" readingOrder="1"/>
    </xf>
    <xf numFmtId="2" fontId="4" fillId="0" borderId="81" xfId="0" applyNumberFormat="1" applyFont="1" applyBorder="1" applyAlignment="1">
      <alignment horizontal="right" vertical="center" readingOrder="1"/>
    </xf>
    <xf numFmtId="10" fontId="4" fillId="0" borderId="80" xfId="0" applyNumberFormat="1" applyFont="1" applyBorder="1"/>
    <xf numFmtId="10" fontId="4" fillId="0" borderId="81" xfId="0" applyNumberFormat="1" applyFont="1" applyBorder="1"/>
    <xf numFmtId="0" fontId="7" fillId="0" borderId="80" xfId="0" applyFont="1" applyBorder="1"/>
    <xf numFmtId="0" fontId="7" fillId="0" borderId="81" xfId="0" applyFont="1" applyBorder="1"/>
    <xf numFmtId="0" fontId="7" fillId="0" borderId="87" xfId="0" applyFont="1" applyBorder="1"/>
    <xf numFmtId="3" fontId="7" fillId="5" borderId="81" xfId="0" applyNumberFormat="1" applyFont="1" applyFill="1" applyBorder="1"/>
    <xf numFmtId="43" fontId="4" fillId="5" borderId="80" xfId="0" applyNumberFormat="1" applyFont="1" applyFill="1" applyBorder="1"/>
    <xf numFmtId="0" fontId="44" fillId="20" borderId="80" xfId="0" applyFont="1" applyFill="1" applyBorder="1" applyAlignment="1">
      <alignment wrapText="1"/>
    </xf>
    <xf numFmtId="0" fontId="44" fillId="20" borderId="87" xfId="0" applyFont="1" applyFill="1" applyBorder="1" applyAlignment="1">
      <alignment wrapText="1"/>
    </xf>
    <xf numFmtId="0" fontId="17" fillId="21" borderId="81" xfId="8" applyFill="1" applyBorder="1" applyAlignment="1" applyProtection="1">
      <alignment horizontal="center" vertical="center" wrapText="1"/>
    </xf>
    <xf numFmtId="0" fontId="44" fillId="20" borderId="80" xfId="0" applyFont="1" applyFill="1" applyBorder="1"/>
    <xf numFmtId="0" fontId="44" fillId="20" borderId="81" xfId="0" applyFont="1" applyFill="1" applyBorder="1"/>
    <xf numFmtId="0" fontId="44" fillId="25" borderId="88" xfId="0" applyFont="1" applyFill="1" applyBorder="1" applyAlignment="1">
      <alignment vertical="center" wrapText="1"/>
    </xf>
    <xf numFmtId="2" fontId="91" fillId="25" borderId="73" xfId="0" applyNumberFormat="1" applyFont="1" applyFill="1" applyBorder="1" applyAlignment="1">
      <alignment vertical="center"/>
    </xf>
    <xf numFmtId="2" fontId="44" fillId="25" borderId="73" xfId="0" applyNumberFormat="1" applyFont="1" applyFill="1" applyBorder="1" applyAlignment="1">
      <alignment vertical="center"/>
    </xf>
    <xf numFmtId="2" fontId="91" fillId="25" borderId="89" xfId="0" applyNumberFormat="1" applyFont="1" applyFill="1" applyBorder="1" applyAlignment="1">
      <alignment vertical="center"/>
    </xf>
    <xf numFmtId="2" fontId="91" fillId="22" borderId="89" xfId="0" applyNumberFormat="1" applyFont="1" applyFill="1" applyBorder="1" applyAlignment="1">
      <alignment vertical="center"/>
    </xf>
    <xf numFmtId="2" fontId="92" fillId="20" borderId="89" xfId="0" applyNumberFormat="1" applyFont="1" applyFill="1" applyBorder="1" applyAlignment="1">
      <alignment vertical="center"/>
    </xf>
    <xf numFmtId="2" fontId="91" fillId="27" borderId="86" xfId="0" applyNumberFormat="1" applyFont="1" applyFill="1" applyBorder="1"/>
    <xf numFmtId="2" fontId="91" fillId="27" borderId="73" xfId="0" applyNumberFormat="1" applyFont="1" applyFill="1" applyBorder="1"/>
    <xf numFmtId="2" fontId="44" fillId="27" borderId="73" xfId="0" applyNumberFormat="1" applyFont="1" applyFill="1" applyBorder="1"/>
    <xf numFmtId="0" fontId="44" fillId="27" borderId="86" xfId="0" applyFont="1" applyFill="1" applyBorder="1"/>
    <xf numFmtId="0" fontId="44" fillId="27" borderId="73" xfId="0" applyFont="1" applyFill="1" applyBorder="1"/>
    <xf numFmtId="0" fontId="44" fillId="0" borderId="0" xfId="0" applyFont="1" applyAlignment="1">
      <alignment horizontal="center"/>
    </xf>
    <xf numFmtId="0" fontId="44" fillId="0" borderId="0" xfId="0" applyFont="1" applyAlignment="1">
      <alignment horizontal="center" vertical="center"/>
    </xf>
    <xf numFmtId="0" fontId="0" fillId="0" borderId="0" xfId="0" applyAlignment="1">
      <alignment horizontal="left" vertical="top" wrapText="1"/>
    </xf>
    <xf numFmtId="0" fontId="3" fillId="22" borderId="24" xfId="0" applyFont="1" applyFill="1" applyBorder="1" applyAlignment="1">
      <alignment horizontal="center" vertical="center" wrapText="1"/>
    </xf>
    <xf numFmtId="0" fontId="3" fillId="22" borderId="16" xfId="0" applyFont="1" applyFill="1" applyBorder="1" applyAlignment="1">
      <alignment horizontal="center" vertical="center" wrapText="1"/>
    </xf>
    <xf numFmtId="0" fontId="3" fillId="22" borderId="25" xfId="0" applyFont="1" applyFill="1" applyBorder="1" applyAlignment="1">
      <alignment horizontal="center" vertical="center" wrapText="1"/>
    </xf>
    <xf numFmtId="0" fontId="83" fillId="0" borderId="37" xfId="0" applyFont="1" applyBorder="1" applyAlignment="1">
      <alignment horizontal="center" vertical="center" textRotation="90"/>
    </xf>
    <xf numFmtId="0" fontId="83" fillId="0" borderId="84" xfId="0" applyFont="1" applyBorder="1" applyAlignment="1">
      <alignment horizontal="center" vertical="center" textRotation="90"/>
    </xf>
    <xf numFmtId="0" fontId="83" fillId="0" borderId="86" xfId="0" applyFont="1" applyBorder="1" applyAlignment="1">
      <alignment horizontal="center" vertical="center" textRotation="90"/>
    </xf>
    <xf numFmtId="0" fontId="83" fillId="0" borderId="33" xfId="0" applyFont="1" applyBorder="1" applyAlignment="1">
      <alignment horizontal="center" vertical="center" textRotation="90"/>
    </xf>
    <xf numFmtId="0" fontId="83" fillId="75" borderId="24" xfId="0" applyFont="1" applyFill="1" applyBorder="1" applyAlignment="1">
      <alignment horizontal="center" vertical="center" wrapText="1"/>
    </xf>
    <xf numFmtId="0" fontId="83" fillId="75" borderId="16" xfId="0" applyFont="1" applyFill="1" applyBorder="1" applyAlignment="1">
      <alignment horizontal="center" vertical="center" wrapText="1"/>
    </xf>
    <xf numFmtId="0" fontId="83" fillId="75" borderId="25" xfId="0" applyFont="1" applyFill="1" applyBorder="1" applyAlignment="1">
      <alignment horizontal="center" vertical="center" wrapText="1"/>
    </xf>
    <xf numFmtId="0" fontId="83" fillId="75" borderId="64" xfId="0" applyFont="1" applyFill="1" applyBorder="1" applyAlignment="1">
      <alignment horizontal="center" vertical="center"/>
    </xf>
    <xf numFmtId="0" fontId="83" fillId="75" borderId="65" xfId="0" applyFont="1" applyFill="1" applyBorder="1" applyAlignment="1">
      <alignment horizontal="center" vertical="center"/>
    </xf>
    <xf numFmtId="0" fontId="83" fillId="75" borderId="67" xfId="0" applyFont="1" applyFill="1" applyBorder="1" applyAlignment="1">
      <alignment horizontal="center" vertical="center"/>
    </xf>
    <xf numFmtId="43" fontId="83" fillId="75" borderId="24" xfId="1" applyFont="1" applyFill="1" applyBorder="1" applyAlignment="1">
      <alignment horizontal="center" vertical="center"/>
    </xf>
    <xf numFmtId="43" fontId="83" fillId="75" borderId="16" xfId="1" applyFont="1" applyFill="1" applyBorder="1" applyAlignment="1">
      <alignment horizontal="center" vertical="center"/>
    </xf>
    <xf numFmtId="43" fontId="83" fillId="75" borderId="25" xfId="1" applyFont="1" applyFill="1" applyBorder="1" applyAlignment="1">
      <alignment horizontal="center" vertical="center"/>
    </xf>
    <xf numFmtId="0" fontId="83" fillId="75" borderId="24" xfId="0" applyFont="1" applyFill="1" applyBorder="1" applyAlignment="1">
      <alignment horizontal="center" vertical="center"/>
    </xf>
    <xf numFmtId="0" fontId="83" fillId="75" borderId="16" xfId="0" applyFont="1" applyFill="1" applyBorder="1" applyAlignment="1">
      <alignment horizontal="center" vertical="center"/>
    </xf>
    <xf numFmtId="0" fontId="83" fillId="75" borderId="25" xfId="0" applyFont="1" applyFill="1" applyBorder="1" applyAlignment="1">
      <alignment horizontal="center" vertical="center"/>
    </xf>
    <xf numFmtId="0" fontId="103" fillId="20" borderId="33" xfId="0" applyFont="1" applyFill="1" applyBorder="1" applyAlignment="1">
      <alignment horizontal="left" vertical="center" wrapText="1"/>
    </xf>
    <xf numFmtId="0" fontId="103" fillId="20" borderId="26" xfId="0" applyFont="1" applyFill="1" applyBorder="1" applyAlignment="1">
      <alignment horizontal="left" vertical="center" wrapText="1"/>
    </xf>
    <xf numFmtId="0" fontId="100" fillId="0" borderId="0" xfId="0" applyFont="1" applyAlignment="1">
      <alignment horizontal="left" vertical="top" wrapText="1"/>
    </xf>
    <xf numFmtId="0" fontId="103" fillId="22" borderId="24" xfId="0" applyFont="1" applyFill="1" applyBorder="1" applyAlignment="1">
      <alignment horizontal="center" vertical="center"/>
    </xf>
    <xf numFmtId="0" fontId="103" fillId="22" borderId="16" xfId="0" applyFont="1" applyFill="1" applyBorder="1" applyAlignment="1">
      <alignment horizontal="center" vertical="center"/>
    </xf>
    <xf numFmtId="0" fontId="103" fillId="22" borderId="25" xfId="0" applyFont="1" applyFill="1" applyBorder="1" applyAlignment="1">
      <alignment horizontal="center" vertical="center"/>
    </xf>
    <xf numFmtId="0" fontId="104" fillId="23" borderId="29" xfId="0" applyFont="1" applyFill="1" applyBorder="1" applyAlignment="1">
      <alignment horizontal="left" vertical="center" wrapText="1"/>
    </xf>
    <xf numFmtId="0" fontId="104" fillId="23" borderId="33" xfId="0" applyFont="1" applyFill="1" applyBorder="1" applyAlignment="1">
      <alignment horizontal="left" vertical="center" wrapText="1"/>
    </xf>
    <xf numFmtId="0" fontId="104" fillId="23" borderId="26" xfId="0" applyFont="1" applyFill="1" applyBorder="1" applyAlignment="1">
      <alignment horizontal="left" vertical="center" wrapText="1"/>
    </xf>
    <xf numFmtId="0" fontId="103" fillId="24" borderId="29" xfId="0" applyFont="1" applyFill="1" applyBorder="1" applyAlignment="1">
      <alignment horizontal="left" vertical="center" wrapText="1"/>
    </xf>
    <xf numFmtId="0" fontId="103" fillId="24" borderId="33" xfId="0" applyFont="1" applyFill="1" applyBorder="1" applyAlignment="1">
      <alignment horizontal="left" vertical="center" wrapText="1"/>
    </xf>
    <xf numFmtId="0" fontId="103" fillId="25" borderId="29" xfId="0" applyFont="1" applyFill="1" applyBorder="1" applyAlignment="1">
      <alignment horizontal="left" vertical="center" wrapText="1"/>
    </xf>
    <xf numFmtId="0" fontId="103" fillId="25" borderId="33" xfId="0" applyFont="1" applyFill="1" applyBorder="1" applyAlignment="1">
      <alignment horizontal="left" vertical="center" wrapText="1"/>
    </xf>
    <xf numFmtId="0" fontId="100" fillId="25" borderId="86" xfId="0" applyFont="1" applyFill="1" applyBorder="1" applyAlignment="1">
      <alignment horizontal="left" vertical="center" wrapText="1"/>
    </xf>
    <xf numFmtId="0" fontId="100" fillId="25" borderId="33" xfId="0" applyFont="1" applyFill="1" applyBorder="1" applyAlignment="1">
      <alignment horizontal="left" vertical="center" wrapText="1"/>
    </xf>
    <xf numFmtId="0" fontId="100" fillId="25" borderId="37" xfId="0" applyFont="1" applyFill="1" applyBorder="1" applyAlignment="1">
      <alignment horizontal="left" vertical="center" wrapText="1"/>
    </xf>
    <xf numFmtId="0" fontId="100" fillId="25" borderId="26" xfId="0" applyFont="1" applyFill="1" applyBorder="1" applyAlignment="1">
      <alignment horizontal="left" vertical="center" wrapText="1"/>
    </xf>
    <xf numFmtId="0" fontId="103" fillId="22" borderId="4" xfId="0" applyFont="1" applyFill="1" applyBorder="1" applyAlignment="1">
      <alignment horizontal="left" vertical="center" wrapText="1"/>
    </xf>
    <xf numFmtId="0" fontId="103" fillId="22" borderId="7" xfId="0" applyFont="1" applyFill="1" applyBorder="1" applyAlignment="1">
      <alignment horizontal="left" vertical="center" wrapText="1"/>
    </xf>
    <xf numFmtId="0" fontId="103" fillId="22" borderId="37" xfId="0" applyFont="1" applyFill="1" applyBorder="1" applyAlignment="1">
      <alignment horizontal="left" vertical="center" wrapText="1"/>
    </xf>
    <xf numFmtId="0" fontId="103" fillId="22" borderId="33" xfId="0" applyFont="1" applyFill="1" applyBorder="1" applyAlignment="1">
      <alignment horizontal="left" vertical="center" wrapText="1"/>
    </xf>
    <xf numFmtId="0" fontId="103" fillId="22" borderId="26" xfId="0" applyFont="1" applyFill="1" applyBorder="1" applyAlignment="1">
      <alignment horizontal="left" vertical="center" wrapText="1"/>
    </xf>
    <xf numFmtId="0" fontId="103" fillId="20" borderId="29" xfId="0" applyFont="1" applyFill="1" applyBorder="1" applyAlignment="1">
      <alignment horizontal="left" vertical="center" wrapText="1"/>
    </xf>
    <xf numFmtId="0" fontId="103" fillId="20" borderId="37" xfId="0" applyFont="1" applyFill="1" applyBorder="1" applyAlignment="1">
      <alignment horizontal="left" vertical="center" wrapText="1"/>
    </xf>
    <xf numFmtId="0" fontId="102" fillId="27" borderId="33" xfId="0" applyFont="1" applyFill="1" applyBorder="1" applyAlignment="1">
      <alignment horizontal="left" vertical="center" wrapText="1"/>
    </xf>
    <xf numFmtId="0" fontId="102" fillId="27" borderId="26" xfId="0" applyFont="1" applyFill="1" applyBorder="1" applyAlignment="1">
      <alignment horizontal="left" vertical="center" wrapText="1"/>
    </xf>
    <xf numFmtId="0" fontId="103" fillId="0" borderId="29" xfId="0" applyFont="1" applyBorder="1" applyAlignment="1">
      <alignment horizontal="left" vertical="center" wrapText="1"/>
    </xf>
    <xf numFmtId="0" fontId="103" fillId="0" borderId="33" xfId="0" applyFont="1" applyBorder="1" applyAlignment="1">
      <alignment horizontal="left" vertical="center" wrapText="1"/>
    </xf>
    <xf numFmtId="0" fontId="103" fillId="0" borderId="37" xfId="0" applyFont="1" applyBorder="1" applyAlignment="1">
      <alignment horizontal="left" vertical="center" wrapText="1"/>
    </xf>
    <xf numFmtId="0" fontId="102" fillId="0" borderId="33" xfId="0" applyFont="1" applyBorder="1" applyAlignment="1">
      <alignment horizontal="left" vertical="center" wrapText="1"/>
    </xf>
    <xf numFmtId="0" fontId="102" fillId="0" borderId="37" xfId="0" applyFont="1" applyBorder="1" applyAlignment="1">
      <alignment horizontal="left" vertical="center" wrapText="1"/>
    </xf>
    <xf numFmtId="0" fontId="102" fillId="0" borderId="89" xfId="0" applyFont="1" applyBorder="1" applyAlignment="1">
      <alignment horizontal="left" vertical="center" wrapText="1"/>
    </xf>
    <xf numFmtId="0" fontId="102" fillId="0" borderId="40" xfId="0" applyFont="1" applyBorder="1" applyAlignment="1">
      <alignment horizontal="left" vertical="center" wrapText="1"/>
    </xf>
    <xf numFmtId="0" fontId="102" fillId="0" borderId="33" xfId="0" applyFont="1" applyBorder="1" applyAlignment="1">
      <alignment vertical="center" wrapText="1"/>
    </xf>
    <xf numFmtId="0" fontId="103" fillId="26" borderId="29" xfId="0" applyFont="1" applyFill="1" applyBorder="1" applyAlignment="1">
      <alignment horizontal="left" vertical="center" wrapText="1"/>
    </xf>
    <xf numFmtId="0" fontId="103" fillId="26" borderId="33" xfId="0" applyFont="1" applyFill="1" applyBorder="1" applyAlignment="1">
      <alignment horizontal="left" vertical="center" wrapText="1"/>
    </xf>
    <xf numFmtId="0" fontId="103" fillId="26" borderId="26" xfId="0" applyFont="1" applyFill="1" applyBorder="1" applyAlignment="1">
      <alignment horizontal="left" vertical="center" wrapText="1"/>
    </xf>
    <xf numFmtId="0" fontId="103" fillId="27" borderId="29" xfId="0" applyFont="1" applyFill="1" applyBorder="1" applyAlignment="1">
      <alignment horizontal="left" vertical="center" wrapText="1"/>
    </xf>
    <xf numFmtId="0" fontId="103" fillId="27" borderId="33" xfId="0" applyFont="1" applyFill="1" applyBorder="1" applyAlignment="1">
      <alignment horizontal="left" vertical="center" wrapText="1"/>
    </xf>
    <xf numFmtId="0" fontId="103" fillId="27" borderId="37" xfId="0" applyFont="1" applyFill="1" applyBorder="1" applyAlignment="1">
      <alignment horizontal="left" vertical="center" wrapText="1"/>
    </xf>
    <xf numFmtId="0" fontId="102" fillId="27" borderId="86" xfId="0" applyFont="1" applyFill="1" applyBorder="1" applyAlignment="1">
      <alignment horizontal="left" vertical="center" wrapText="1"/>
    </xf>
    <xf numFmtId="0" fontId="102" fillId="27" borderId="37" xfId="0" applyFont="1" applyFill="1" applyBorder="1" applyAlignment="1">
      <alignment horizontal="left" vertical="center" wrapText="1"/>
    </xf>
    <xf numFmtId="0" fontId="8" fillId="4" borderId="80" xfId="0" applyFont="1" applyFill="1" applyBorder="1" applyAlignment="1">
      <alignment horizontal="center" wrapText="1"/>
    </xf>
    <xf numFmtId="0" fontId="8" fillId="4" borderId="81" xfId="0" applyFont="1" applyFill="1" applyBorder="1" applyAlignment="1">
      <alignment horizontal="center" wrapText="1"/>
    </xf>
    <xf numFmtId="0" fontId="8" fillId="4" borderId="87" xfId="0" applyFont="1" applyFill="1" applyBorder="1" applyAlignment="1">
      <alignment horizontal="center" wrapText="1"/>
    </xf>
    <xf numFmtId="0" fontId="7" fillId="3" borderId="73" xfId="0" applyFont="1" applyFill="1" applyBorder="1" applyAlignment="1">
      <alignment horizontal="center" vertical="center" textRotation="90"/>
    </xf>
    <xf numFmtId="0" fontId="7" fillId="3" borderId="3" xfId="0" applyFont="1" applyFill="1" applyBorder="1" applyAlignment="1">
      <alignment horizontal="center" vertical="center" textRotation="90"/>
    </xf>
    <xf numFmtId="0" fontId="7" fillId="3" borderId="2" xfId="0" applyFont="1" applyFill="1" applyBorder="1" applyAlignment="1">
      <alignment horizontal="center" vertical="center" textRotation="90"/>
    </xf>
    <xf numFmtId="0" fontId="7" fillId="3" borderId="4" xfId="0" applyFont="1" applyFill="1" applyBorder="1" applyAlignment="1">
      <alignment horizontal="center" textRotation="90"/>
    </xf>
    <xf numFmtId="0" fontId="7" fillId="3" borderId="7" xfId="0" applyFont="1" applyFill="1" applyBorder="1" applyAlignment="1">
      <alignment horizontal="center" textRotation="90"/>
    </xf>
    <xf numFmtId="0" fontId="7" fillId="3" borderId="8" xfId="0" applyFont="1" applyFill="1" applyBorder="1" applyAlignment="1">
      <alignment horizontal="center" textRotation="90"/>
    </xf>
    <xf numFmtId="0" fontId="7" fillId="3" borderId="73" xfId="0" applyFont="1" applyFill="1" applyBorder="1" applyAlignment="1">
      <alignment horizontal="center" textRotation="90"/>
    </xf>
    <xf numFmtId="0" fontId="7" fillId="3" borderId="3" xfId="0" applyFont="1" applyFill="1" applyBorder="1" applyAlignment="1">
      <alignment horizontal="center" textRotation="90"/>
    </xf>
    <xf numFmtId="0" fontId="8" fillId="0" borderId="73" xfId="0" applyFont="1" applyBorder="1" applyAlignment="1">
      <alignment horizontal="center" vertical="center" textRotation="90"/>
    </xf>
    <xf numFmtId="0" fontId="8" fillId="0" borderId="3" xfId="0" applyFont="1" applyBorder="1" applyAlignment="1">
      <alignment horizontal="center" vertical="center" textRotation="90"/>
    </xf>
    <xf numFmtId="0" fontId="8" fillId="0" borderId="2" xfId="0" applyFont="1" applyBorder="1" applyAlignment="1">
      <alignment horizontal="center" vertical="center" textRotation="90"/>
    </xf>
    <xf numFmtId="0" fontId="8" fillId="0" borderId="9" xfId="0" applyFont="1" applyBorder="1" applyAlignment="1">
      <alignment horizontal="left"/>
    </xf>
    <xf numFmtId="0" fontId="8" fillId="0" borderId="0" xfId="0" applyFont="1" applyAlignment="1">
      <alignment horizontal="left"/>
    </xf>
    <xf numFmtId="0" fontId="8" fillId="0" borderId="10" xfId="0" applyFont="1" applyBorder="1" applyAlignment="1">
      <alignment horizontal="left"/>
    </xf>
    <xf numFmtId="0" fontId="8" fillId="0" borderId="11" xfId="0" applyFont="1" applyBorder="1" applyAlignment="1"/>
    <xf numFmtId="0" fontId="8" fillId="0" borderId="12" xfId="0" applyFont="1" applyBorder="1" applyAlignment="1"/>
    <xf numFmtId="0" fontId="8" fillId="0" borderId="80" xfId="0" applyFont="1" applyBorder="1" applyAlignment="1">
      <alignment wrapText="1"/>
    </xf>
    <xf numFmtId="0" fontId="8" fillId="0" borderId="81" xfId="0" applyFont="1" applyBorder="1" applyAlignment="1">
      <alignment wrapText="1"/>
    </xf>
    <xf numFmtId="0" fontId="8" fillId="0" borderId="87" xfId="0" applyFont="1" applyBorder="1" applyAlignment="1">
      <alignment wrapText="1"/>
    </xf>
    <xf numFmtId="0" fontId="8" fillId="0" borderId="0" xfId="0" applyFont="1" applyAlignment="1"/>
    <xf numFmtId="0" fontId="8" fillId="0" borderId="4" xfId="0" applyFont="1" applyBorder="1" applyAlignment="1">
      <alignment horizontal="center" vertical="center" textRotation="90"/>
    </xf>
    <xf numFmtId="0" fontId="8" fillId="0" borderId="7" xfId="0" applyFont="1" applyBorder="1" applyAlignment="1">
      <alignment horizontal="center" vertical="center" textRotation="90"/>
    </xf>
    <xf numFmtId="0" fontId="8" fillId="0" borderId="8" xfId="0" applyFont="1" applyBorder="1" applyAlignment="1">
      <alignment horizontal="center" vertical="center" textRotation="90"/>
    </xf>
    <xf numFmtId="0" fontId="8" fillId="6" borderId="4" xfId="0" applyFont="1" applyFill="1" applyBorder="1" applyAlignment="1">
      <alignment horizontal="center" vertical="center" textRotation="90"/>
    </xf>
    <xf numFmtId="0" fontId="8" fillId="6" borderId="7" xfId="0" applyFont="1" applyFill="1" applyBorder="1" applyAlignment="1">
      <alignment horizontal="center" vertical="center" textRotation="90"/>
    </xf>
    <xf numFmtId="0" fontId="8" fillId="6" borderId="8" xfId="0" applyFont="1" applyFill="1" applyBorder="1" applyAlignment="1">
      <alignment horizontal="center" vertical="center" textRotation="90"/>
    </xf>
    <xf numFmtId="0" fontId="86" fillId="27" borderId="33" xfId="0" applyFont="1" applyFill="1" applyBorder="1" applyAlignment="1">
      <alignment horizontal="left" vertical="center" wrapText="1"/>
    </xf>
    <xf numFmtId="0" fontId="86" fillId="27" borderId="26" xfId="0" applyFont="1" applyFill="1" applyBorder="1" applyAlignment="1">
      <alignment horizontal="left" vertical="center" wrapText="1"/>
    </xf>
    <xf numFmtId="0" fontId="83" fillId="0" borderId="29" xfId="0" applyFont="1" applyBorder="1" applyAlignment="1">
      <alignment horizontal="left" vertical="center" wrapText="1"/>
    </xf>
    <xf numFmtId="0" fontId="83" fillId="0" borderId="33" xfId="0" applyFont="1" applyBorder="1" applyAlignment="1">
      <alignment horizontal="left" vertical="center" wrapText="1"/>
    </xf>
    <xf numFmtId="0" fontId="83" fillId="0" borderId="37" xfId="0" applyFont="1" applyBorder="1" applyAlignment="1">
      <alignment horizontal="left" vertical="center" wrapText="1"/>
    </xf>
    <xf numFmtId="0" fontId="86" fillId="0" borderId="33" xfId="0" applyFont="1" applyBorder="1" applyAlignment="1">
      <alignment horizontal="left" vertical="center" wrapText="1"/>
    </xf>
    <xf numFmtId="0" fontId="86" fillId="0" borderId="37" xfId="0" applyFont="1" applyBorder="1" applyAlignment="1">
      <alignment horizontal="left" vertical="center" wrapText="1"/>
    </xf>
    <xf numFmtId="0" fontId="86" fillId="0" borderId="89" xfId="0" applyFont="1" applyBorder="1" applyAlignment="1">
      <alignment horizontal="left" vertical="center" wrapText="1"/>
    </xf>
    <xf numFmtId="0" fontId="86" fillId="0" borderId="40" xfId="0" applyFont="1" applyBorder="1" applyAlignment="1">
      <alignment horizontal="left" vertical="center" wrapText="1"/>
    </xf>
    <xf numFmtId="0" fontId="86" fillId="0" borderId="33" xfId="0" applyFont="1" applyBorder="1" applyAlignment="1">
      <alignment vertical="center" wrapText="1"/>
    </xf>
    <xf numFmtId="0" fontId="83" fillId="26" borderId="29" xfId="0" applyFont="1" applyFill="1" applyBorder="1" applyAlignment="1">
      <alignment horizontal="left" vertical="center" wrapText="1"/>
    </xf>
    <xf numFmtId="0" fontId="83" fillId="26" borderId="33" xfId="0" applyFont="1" applyFill="1" applyBorder="1" applyAlignment="1">
      <alignment horizontal="left" vertical="center" wrapText="1"/>
    </xf>
    <xf numFmtId="0" fontId="83" fillId="26" borderId="26" xfId="0" applyFont="1" applyFill="1" applyBorder="1" applyAlignment="1">
      <alignment horizontal="left" vertical="center" wrapText="1"/>
    </xf>
    <xf numFmtId="0" fontId="83" fillId="27" borderId="29" xfId="0" applyFont="1" applyFill="1" applyBorder="1" applyAlignment="1">
      <alignment horizontal="left" vertical="center" wrapText="1"/>
    </xf>
    <xf numFmtId="0" fontId="83" fillId="27" borderId="33" xfId="0" applyFont="1" applyFill="1" applyBorder="1" applyAlignment="1">
      <alignment horizontal="left" vertical="center" wrapText="1"/>
    </xf>
    <xf numFmtId="0" fontId="83" fillId="27" borderId="37" xfId="0" applyFont="1" applyFill="1" applyBorder="1" applyAlignment="1">
      <alignment horizontal="left" vertical="center" wrapText="1"/>
    </xf>
    <xf numFmtId="0" fontId="86" fillId="27" borderId="86" xfId="0" applyFont="1" applyFill="1" applyBorder="1" applyAlignment="1">
      <alignment horizontal="left" vertical="center" wrapText="1"/>
    </xf>
    <xf numFmtId="0" fontId="86" fillId="27" borderId="37" xfId="0" applyFont="1" applyFill="1" applyBorder="1" applyAlignment="1">
      <alignment horizontal="left" vertical="center" wrapText="1"/>
    </xf>
    <xf numFmtId="0" fontId="83" fillId="20" borderId="33" xfId="0" applyFont="1" applyFill="1" applyBorder="1" applyAlignment="1">
      <alignment horizontal="left" vertical="center" wrapText="1"/>
    </xf>
    <xf numFmtId="0" fontId="83" fillId="20" borderId="26" xfId="0" applyFont="1" applyFill="1" applyBorder="1" applyAlignment="1">
      <alignment horizontal="left" vertical="center" wrapText="1"/>
    </xf>
    <xf numFmtId="0" fontId="44" fillId="0" borderId="0" xfId="0" applyFont="1" applyAlignment="1">
      <alignment horizontal="left" vertical="top" wrapText="1"/>
    </xf>
    <xf numFmtId="0" fontId="83" fillId="22" borderId="24" xfId="0" applyFont="1" applyFill="1" applyBorder="1" applyAlignment="1">
      <alignment horizontal="center" vertical="center"/>
    </xf>
    <xf numFmtId="0" fontId="83" fillId="22" borderId="16" xfId="0" applyFont="1" applyFill="1" applyBorder="1" applyAlignment="1">
      <alignment horizontal="center" vertical="center"/>
    </xf>
    <xf numFmtId="0" fontId="83" fillId="22" borderId="25" xfId="0" applyFont="1" applyFill="1" applyBorder="1" applyAlignment="1">
      <alignment horizontal="center" vertical="center"/>
    </xf>
    <xf numFmtId="0" fontId="82" fillId="23" borderId="29" xfId="0" applyFont="1" applyFill="1" applyBorder="1" applyAlignment="1">
      <alignment horizontal="left" vertical="center" wrapText="1"/>
    </xf>
    <xf numFmtId="0" fontId="82" fillId="23" borderId="33" xfId="0" applyFont="1" applyFill="1" applyBorder="1" applyAlignment="1">
      <alignment horizontal="left" vertical="center" wrapText="1"/>
    </xf>
    <xf numFmtId="0" fontId="82" fillId="23" borderId="26" xfId="0" applyFont="1" applyFill="1" applyBorder="1" applyAlignment="1">
      <alignment horizontal="left" vertical="center" wrapText="1"/>
    </xf>
    <xf numFmtId="0" fontId="83" fillId="24" borderId="29" xfId="0" applyFont="1" applyFill="1" applyBorder="1" applyAlignment="1">
      <alignment horizontal="left" vertical="center" wrapText="1"/>
    </xf>
    <xf numFmtId="0" fontId="83" fillId="24" borderId="33" xfId="0" applyFont="1" applyFill="1" applyBorder="1" applyAlignment="1">
      <alignment horizontal="left" vertical="center" wrapText="1"/>
    </xf>
    <xf numFmtId="0" fontId="83" fillId="25" borderId="29" xfId="0" applyFont="1" applyFill="1" applyBorder="1" applyAlignment="1">
      <alignment horizontal="left" vertical="center" wrapText="1"/>
    </xf>
    <xf numFmtId="0" fontId="83" fillId="25" borderId="33" xfId="0" applyFont="1" applyFill="1" applyBorder="1" applyAlignment="1">
      <alignment horizontal="left" vertical="center" wrapText="1"/>
    </xf>
    <xf numFmtId="0" fontId="44" fillId="25" borderId="86" xfId="0" applyFont="1" applyFill="1" applyBorder="1" applyAlignment="1">
      <alignment horizontal="left" vertical="center" wrapText="1"/>
    </xf>
    <xf numFmtId="0" fontId="44" fillId="25" borderId="33" xfId="0" applyFont="1" applyFill="1" applyBorder="1" applyAlignment="1">
      <alignment horizontal="left" vertical="center" wrapText="1"/>
    </xf>
    <xf numFmtId="0" fontId="44" fillId="25" borderId="37" xfId="0" applyFont="1" applyFill="1" applyBorder="1" applyAlignment="1">
      <alignment horizontal="left" vertical="center" wrapText="1"/>
    </xf>
    <xf numFmtId="0" fontId="44" fillId="25" borderId="26" xfId="0" applyFont="1" applyFill="1" applyBorder="1" applyAlignment="1">
      <alignment horizontal="left" vertical="center" wrapText="1"/>
    </xf>
    <xf numFmtId="0" fontId="83" fillId="22" borderId="4" xfId="0" applyFont="1" applyFill="1" applyBorder="1" applyAlignment="1">
      <alignment horizontal="left" vertical="center" wrapText="1"/>
    </xf>
    <xf numFmtId="0" fontId="83" fillId="22" borderId="7" xfId="0" applyFont="1" applyFill="1" applyBorder="1" applyAlignment="1">
      <alignment horizontal="left" vertical="center" wrapText="1"/>
    </xf>
    <xf numFmtId="0" fontId="83" fillId="22" borderId="37" xfId="0" applyFont="1" applyFill="1" applyBorder="1" applyAlignment="1">
      <alignment horizontal="left" vertical="center" wrapText="1"/>
    </xf>
    <xf numFmtId="0" fontId="83" fillId="22" borderId="33" xfId="0" applyFont="1" applyFill="1" applyBorder="1" applyAlignment="1">
      <alignment horizontal="left" vertical="center" wrapText="1"/>
    </xf>
    <xf numFmtId="0" fontId="83" fillId="22" borderId="26" xfId="0" applyFont="1" applyFill="1" applyBorder="1" applyAlignment="1">
      <alignment horizontal="left" vertical="center" wrapText="1"/>
    </xf>
    <xf numFmtId="0" fontId="83" fillId="20" borderId="29" xfId="0" applyFont="1" applyFill="1" applyBorder="1" applyAlignment="1">
      <alignment horizontal="left" vertical="center" wrapText="1"/>
    </xf>
    <xf numFmtId="0" fontId="83" fillId="20" borderId="37" xfId="0" applyFont="1" applyFill="1" applyBorder="1" applyAlignment="1">
      <alignment horizontal="left" vertical="center" wrapText="1"/>
    </xf>
  </cellXfs>
  <cellStyles count="523">
    <cellStyle name="20% - Accent1" xfId="25" builtinId="30" customBuiltin="1"/>
    <cellStyle name="20% - Accent1 2" xfId="50" xr:uid="{3713F50F-5E8D-462C-A164-54515140291E}"/>
    <cellStyle name="20% - Accent2" xfId="28" builtinId="34" customBuiltin="1"/>
    <cellStyle name="20% - Accent2 2" xfId="51" xr:uid="{95535517-CF89-4294-86E8-E3FD775C84F7}"/>
    <cellStyle name="20% - Accent3" xfId="31" builtinId="38" customBuiltin="1"/>
    <cellStyle name="20% - Accent3 2" xfId="52" xr:uid="{086708EC-D728-4DAF-BDD6-3CF947F91382}"/>
    <cellStyle name="20% - Accent4" xfId="34" builtinId="42" customBuiltin="1"/>
    <cellStyle name="20% - Accent4 2" xfId="53" xr:uid="{BA918A3A-9537-46E8-B575-7BBE244C0ACF}"/>
    <cellStyle name="20% - Accent5" xfId="37" builtinId="46" customBuiltin="1"/>
    <cellStyle name="20% - Accent5 2" xfId="54" xr:uid="{1A0B09BC-EB5D-4935-B45D-CF7546B62118}"/>
    <cellStyle name="20% - Accent5 3" xfId="509" xr:uid="{8FBDEB57-4E02-4AB3-A8C7-83CCCE2DF613}"/>
    <cellStyle name="20% - Accent6" xfId="40" builtinId="50" customBuiltin="1"/>
    <cellStyle name="20% - Accent6 2" xfId="55" xr:uid="{15F4CB23-2D2E-47D1-AB04-DD1E458E9C60}"/>
    <cellStyle name="40% - Accent1" xfId="26" builtinId="31" customBuiltin="1"/>
    <cellStyle name="40% - Accent1 2" xfId="56" xr:uid="{469B015B-1EFB-4B3A-B361-CBE3B6536CE6}"/>
    <cellStyle name="40% - Accent2" xfId="29" builtinId="35" customBuiltin="1"/>
    <cellStyle name="40% - Accent2 2" xfId="57" xr:uid="{DA5CBF62-23E8-496E-9C91-F7DE80938546}"/>
    <cellStyle name="40% - Accent3" xfId="32" builtinId="39" customBuiltin="1"/>
    <cellStyle name="40% - Accent3 2" xfId="58" xr:uid="{109CCE61-3736-492C-8EBC-15A5D28D6028}"/>
    <cellStyle name="40% - Accent3 3" xfId="249" xr:uid="{D557DB49-B740-4F30-931F-9067A20D63E7}"/>
    <cellStyle name="40% - Accent3 3 2" xfId="250" xr:uid="{8D1FABAE-A6A0-4829-BB17-AF26CED2E3CD}"/>
    <cellStyle name="40% - Accent3 4" xfId="251" xr:uid="{F70E6E1A-F40F-4D27-8649-49CF4CAC151D}"/>
    <cellStyle name="40% - Accent4" xfId="35" builtinId="43" customBuiltin="1"/>
    <cellStyle name="40% - Accent4 2" xfId="59" xr:uid="{7E024397-BEAC-45BB-914D-D0DC49533A69}"/>
    <cellStyle name="40% - Accent5" xfId="38" builtinId="47" customBuiltin="1"/>
    <cellStyle name="40% - Accent5 2" xfId="60" xr:uid="{AAF1352B-9CD8-4880-890A-8FEC4336ECF1}"/>
    <cellStyle name="40% - Accent6" xfId="41" builtinId="51" customBuiltin="1"/>
    <cellStyle name="40% - Accent6 2" xfId="61" xr:uid="{33273BD7-D9DE-4236-990A-146A365BE310}"/>
    <cellStyle name="60% - Accent1 2" xfId="252" xr:uid="{9AA42A56-81A5-462C-9F2D-4ADDF04C4385}"/>
    <cellStyle name="60% - Accent1 3" xfId="44" xr:uid="{AFE7AD1C-526C-40C3-A125-89AF90E199CA}"/>
    <cellStyle name="60% - Accent2 2" xfId="253" xr:uid="{7E276B60-1E99-417B-8AA3-F7A69CD9DC00}"/>
    <cellStyle name="60% - Accent2 3" xfId="45" xr:uid="{74F2EC4C-E53A-40B3-A678-C289BDAF6ED3}"/>
    <cellStyle name="60% - Accent3 2" xfId="254" xr:uid="{2FF5BE57-32AC-420B-A7A4-6E13A90351B8}"/>
    <cellStyle name="60% - Accent3 3" xfId="46" xr:uid="{771D8B55-AF15-4B4B-ADDA-D3E4E4B25D1B}"/>
    <cellStyle name="60% - Accent4 2" xfId="255" xr:uid="{CA453458-6D15-46D6-8802-C46664E34E29}"/>
    <cellStyle name="60% - Accent4 3" xfId="47" xr:uid="{E6B1CF85-B0A3-4CF9-B85F-11999FA6886F}"/>
    <cellStyle name="60% - Accent5 2" xfId="256" xr:uid="{2FA5F42A-4997-487E-990E-E39CBF4D8AC2}"/>
    <cellStyle name="60% - Accent5 3" xfId="48" xr:uid="{609673D1-89D2-483D-8DA4-551250855081}"/>
    <cellStyle name="60% - Accent6 2" xfId="257" xr:uid="{67316DFD-A76A-4772-961A-C49621229154}"/>
    <cellStyle name="60% - Accent6 3" xfId="49" xr:uid="{D2F2D703-2CFA-4EFC-ABA5-9CE9B7F93FEA}"/>
    <cellStyle name="Accent1" xfId="24" builtinId="29" customBuiltin="1"/>
    <cellStyle name="Accent1 2" xfId="258" xr:uid="{E21521E0-7F84-4130-848C-8C241D308F79}"/>
    <cellStyle name="Accent1 2 2" xfId="419" xr:uid="{C5523C47-B53C-402E-80F8-02F9060CC978}"/>
    <cellStyle name="Accent2" xfId="27" builtinId="33" customBuiltin="1"/>
    <cellStyle name="Accent2 2" xfId="259" xr:uid="{123D31D1-36D1-4C4C-8267-DE40361B4402}"/>
    <cellStyle name="Accent3" xfId="30" builtinId="37" customBuiltin="1"/>
    <cellStyle name="Accent3 2" xfId="260" xr:uid="{E5F6E41E-8C20-4C63-BD53-15EC394FB5BD}"/>
    <cellStyle name="Accent4" xfId="33" builtinId="41" customBuiltin="1"/>
    <cellStyle name="Accent4 2" xfId="261" xr:uid="{94BE6FF6-EFC8-4D20-B75A-EE5F6CC71B63}"/>
    <cellStyle name="Accent5" xfId="36" builtinId="45" customBuiltin="1"/>
    <cellStyle name="Accent5 2" xfId="262" xr:uid="{8117437B-D281-4A3A-A081-54A7F1E66549}"/>
    <cellStyle name="Accent6" xfId="39" builtinId="49" customBuiltin="1"/>
    <cellStyle name="Accent6 2" xfId="263" xr:uid="{A9DBDB78-48EE-42A2-92BA-8D58B1E8DEAC}"/>
    <cellStyle name="Bad" xfId="14" builtinId="27" customBuiltin="1"/>
    <cellStyle name="Bad 2" xfId="264" xr:uid="{A4005F67-21B1-46DD-A8F6-E2739FDC4489}"/>
    <cellStyle name="Body: normal cell" xfId="475" xr:uid="{B4547BD4-B252-4360-8E37-677957A6E030}"/>
    <cellStyle name="Calculation" xfId="17" builtinId="22" customBuiltin="1"/>
    <cellStyle name="Calculation 2" xfId="265" xr:uid="{54EB15E6-73A0-42DB-BD69-C4DB2FF44606}"/>
    <cellStyle name="Calculation 2 2" xfId="477" xr:uid="{2F165DAC-A159-4685-AEEF-CD7349495E76}"/>
    <cellStyle name="Check Cell" xfId="19" builtinId="23" customBuiltin="1"/>
    <cellStyle name="Check Cell 2" xfId="266" xr:uid="{DB526ED2-FF8B-4D05-9FC5-9528378F0DE2}"/>
    <cellStyle name="Comma" xfId="1" builtinId="3"/>
    <cellStyle name="Comma 10 2" xfId="483" xr:uid="{20657B15-9F47-4743-87E0-9A143AA6D607}"/>
    <cellStyle name="Comma 10 2 2" xfId="499" xr:uid="{4DBB9359-A2CE-4877-A3B2-4F1FBD29BD04}"/>
    <cellStyle name="Comma 10 2 3" xfId="514" xr:uid="{FA300248-92FD-4BDD-B2C1-662A0233A0E3}"/>
    <cellStyle name="Comma 2" xfId="62" xr:uid="{89E4343A-846A-4109-9BB0-8DB0E7120126}"/>
    <cellStyle name="Comma 2 2" xfId="267" xr:uid="{B6C5DD93-8CEC-46D2-AC91-3E7AF6027401}"/>
    <cellStyle name="Comma 2 2 2" xfId="422" xr:uid="{0EF5501F-AA92-4298-958C-32BFF892C7CC}"/>
    <cellStyle name="Comma 2 2 2 2" xfId="503" xr:uid="{CABEF5DF-D533-4174-8AF7-79BC004D4660}"/>
    <cellStyle name="Comma 2 2 2 3" xfId="517" xr:uid="{77BEAE35-E9D6-4BB1-A0D2-5240ED4F79C6}"/>
    <cellStyle name="Comma 2 2 2 4" xfId="488" xr:uid="{E7BF9A7E-A7E4-478B-A8C9-F50D32BDBCFE}"/>
    <cellStyle name="Comma 2 2 3" xfId="421" xr:uid="{D1DF2FDE-F99A-4400-B4A0-3F9778E069F2}"/>
    <cellStyle name="Comma 2 2 3 2" xfId="498" xr:uid="{2FC886C4-2ED4-4B6B-9578-1BA9BE7D8C6B}"/>
    <cellStyle name="Comma 2 2 4" xfId="513" xr:uid="{8B5C8E9D-5393-4C18-B1D2-BCAE529ED464}"/>
    <cellStyle name="Comma 2 3" xfId="423" xr:uid="{17787170-6093-45F7-B9CE-414C9D52520F}"/>
    <cellStyle name="Comma 2 3 2" xfId="500" xr:uid="{AA7B31BA-C796-413B-B7F8-C5FF4315EEC5}"/>
    <cellStyle name="Comma 2 3 3" xfId="515" xr:uid="{24F37790-4E98-40E1-B108-17F26E0CF083}"/>
    <cellStyle name="Comma 2 3 4" xfId="484" xr:uid="{A8560BAF-EFC7-4D94-BA43-F68D08E2DD6A}"/>
    <cellStyle name="Comma 2 4" xfId="420" xr:uid="{F7938977-9D15-4CCE-A58D-4B13EA51D19D}"/>
    <cellStyle name="Comma 2 4 2" xfId="496" xr:uid="{BAC72A23-5284-43D5-9DC8-F2C0E47F4AF3}"/>
    <cellStyle name="Comma 2 5" xfId="510" xr:uid="{A90924C0-0231-47B5-A39F-17A8BF552343}"/>
    <cellStyle name="Comma 2 6" xfId="480" xr:uid="{D6AC4FA3-B914-413A-822C-93057CC90E34}"/>
    <cellStyle name="Comma 26" xfId="487" xr:uid="{ED57A81C-24A0-420D-9F5B-18BD332DCD97}"/>
    <cellStyle name="Comma 3" xfId="63" xr:uid="{0BB3948D-2400-4B48-86E8-7F95CBCED447}"/>
    <cellStyle name="Comma 3 2" xfId="268" xr:uid="{BD9B565E-A0C4-496A-8A2F-906C86C5912C}"/>
    <cellStyle name="Comma 3 2 2" xfId="269" xr:uid="{1B342534-55FE-4284-88C6-77A1AF871198}"/>
    <cellStyle name="Comma 3 2 3" xfId="424" xr:uid="{CEA9B350-B3E7-4B8B-AEAA-BA2D184584F5}"/>
    <cellStyle name="Comma 3 3" xfId="270" xr:uid="{923E2F8F-A31C-40EB-99D7-54F0ECA597E2}"/>
    <cellStyle name="Comma 3 3 2" xfId="512" xr:uid="{A915092B-EF87-4AB7-B6A5-B3219007748C}"/>
    <cellStyle name="Comma 3 7" xfId="486" xr:uid="{57316700-2942-4836-A4D5-AF37F50F0991}"/>
    <cellStyle name="Comma 4" xfId="271" xr:uid="{975CCCEF-29BA-4643-B5D7-632558E9183B}"/>
    <cellStyle name="Comma 4 2" xfId="272" xr:uid="{1CC2C5B7-129A-4A6A-A852-0E1EB1438388}"/>
    <cellStyle name="Comma 4 2 2" xfId="273" xr:uid="{5E1CDCE4-1F89-4CC3-B5BC-A68FBD255438}"/>
    <cellStyle name="Comma 4 2 2 2" xfId="274" xr:uid="{ACAE64E7-4E8A-4B11-B56F-64C528CF923D}"/>
    <cellStyle name="Comma 4 2 2 3" xfId="507" xr:uid="{A8FEC274-E2A0-45A2-8CE6-00783767B655}"/>
    <cellStyle name="Comma 4 2 3" xfId="521" xr:uid="{04ECE551-3C5D-426D-A486-9838744F1E9B}"/>
    <cellStyle name="Comma 4 2 4" xfId="491" xr:uid="{0E47F520-868D-47A5-B990-4C7FDDFF6BB6}"/>
    <cellStyle name="Comma 4 3" xfId="275" xr:uid="{3627CB27-404D-4BD2-A2A2-47869B76C66C}"/>
    <cellStyle name="Comma 4 3 2" xfId="276" xr:uid="{7E363376-0BAE-403E-A85F-D7779906C542}"/>
    <cellStyle name="Comma 4 3 3" xfId="502" xr:uid="{E2E382F1-41E5-475C-92F8-3ABBCD1D64D5}"/>
    <cellStyle name="Comma 4 4" xfId="277" xr:uid="{513B4D82-E279-438E-80E0-3D245FF1152F}"/>
    <cellStyle name="Comma 4 4 2" xfId="278" xr:uid="{5B7227EC-4A26-4750-9133-1D71771D8FD6}"/>
    <cellStyle name="Comma 4 4 3" xfId="516" xr:uid="{845BD2C2-4181-4462-8A2D-92C3B52CE7BD}"/>
    <cellStyle name="Comma 4 5" xfId="425" xr:uid="{79B6387F-D85D-4729-8117-E7DA9E3B7A94}"/>
    <cellStyle name="Comma 5" xfId="279" xr:uid="{1E1B6B0B-36A2-408C-83B2-D1FAEBC4DAF1}"/>
    <cellStyle name="Comma 5 2" xfId="505" xr:uid="{9706689F-D281-47CD-AE94-6ADA68CBB52C}"/>
    <cellStyle name="Comma 5 3" xfId="519" xr:uid="{C6EEE589-CFDC-4222-80BD-28A07D754F9F}"/>
    <cellStyle name="Comma 5 4" xfId="489" xr:uid="{059DD7B6-6DA9-4DCC-B407-24B858286469}"/>
    <cellStyle name="Comma 6" xfId="6" xr:uid="{F2BE9727-7A3F-4FF1-84DE-50C96B36FFFB}"/>
    <cellStyle name="Comma 6 2" xfId="511" xr:uid="{CAF6D784-24EF-469F-8047-DE98DC8E71BF}"/>
    <cellStyle name="Comma 6 3" xfId="497" xr:uid="{70CD8EBC-4D77-496B-8344-623BF2CEC15A}"/>
    <cellStyle name="Comma 7" xfId="495" xr:uid="{10C2E038-F35B-40B9-9A48-AD014EA0FB4D}"/>
    <cellStyle name="Comma 8" xfId="508" xr:uid="{77306B1F-587A-42B0-AA27-2849A2328D4C}"/>
    <cellStyle name="Currency 2" xfId="280" xr:uid="{1EAD984B-0579-47B6-87FD-D0E3CB7B0B3A}"/>
    <cellStyle name="Currency 2 2" xfId="281" xr:uid="{DBEB0631-71E2-4146-9181-0BB2813F6F0A}"/>
    <cellStyle name="Currency 2 2 2" xfId="282" xr:uid="{D9E5A947-8007-4F31-9428-D7CB719660C8}"/>
    <cellStyle name="Currency 2 2 2 2" xfId="283" xr:uid="{2BEDCD62-201E-4EE8-A124-0D1DE53C8BCE}"/>
    <cellStyle name="Currency 2 2 2 3" xfId="428" xr:uid="{F091539C-533F-4BE0-9A5F-6884E0FB3579}"/>
    <cellStyle name="Currency 2 2 3" xfId="427" xr:uid="{7244BAA7-C2FD-4811-B4D7-586B3412ACEE}"/>
    <cellStyle name="Currency 2 3" xfId="284" xr:uid="{FAECDE7A-BAF4-4861-A2F3-AF1732E8A77A}"/>
    <cellStyle name="Currency 2 3 2" xfId="285" xr:uid="{FD32BB1D-4631-41E0-A4F7-8FC163916D2E}"/>
    <cellStyle name="Currency 2 3 3" xfId="429" xr:uid="{BC700920-016B-46FF-9E47-E5B0F2480525}"/>
    <cellStyle name="Currency 2 4" xfId="286" xr:uid="{3080BEA2-69B1-4A63-9DF2-7606FA26A14A}"/>
    <cellStyle name="Currency 2 4 2" xfId="287" xr:uid="{B2D7B208-F300-4499-B5B9-514CDC86D2F2}"/>
    <cellStyle name="Currency 2 5" xfId="426" xr:uid="{168F7CBB-5CE6-40D0-969B-46115F0ABFBE}"/>
    <cellStyle name="Currency 3" xfId="430" xr:uid="{AFB5CB53-8649-4BEE-AC32-9A474EE09534}"/>
    <cellStyle name="Currency 3 2" xfId="431" xr:uid="{16E4EEFA-C79A-45AD-AA6D-76289DEE4DF8}"/>
    <cellStyle name="Currency 3 2 2" xfId="432" xr:uid="{D0F0ACC3-8A1D-456F-8D07-1BED3EAF56E6}"/>
    <cellStyle name="Currency 3 3" xfId="433" xr:uid="{71766FDD-DDCC-4C12-8FD7-8B7E7D0D087E}"/>
    <cellStyle name="Date" xfId="64" xr:uid="{BD5F372A-5D41-4BE6-AAE0-2A46D99E13E0}"/>
    <cellStyle name="Date 2" xfId="288" xr:uid="{C8517865-0914-4351-8090-72E09978BB79}"/>
    <cellStyle name="Date 2 2" xfId="289" xr:uid="{AFEAC4BA-1BD2-4CD8-BB1C-A8B2F8664A2F}"/>
    <cellStyle name="Date 2 3" xfId="290" xr:uid="{5B8C608D-6DDA-4D61-A31E-59D8D16E0A98}"/>
    <cellStyle name="Explanatory Text" xfId="22" builtinId="53" customBuiltin="1"/>
    <cellStyle name="Explanatory Text 2" xfId="291" xr:uid="{55688B52-4D58-477A-9646-49B94560E822}"/>
    <cellStyle name="Fixed" xfId="65" xr:uid="{1DBB9388-C34E-49C5-A6D2-EC899CB8F783}"/>
    <cellStyle name="Fixed 2" xfId="292" xr:uid="{7CC2372D-4FF5-4113-95B9-15BB7E5FA216}"/>
    <cellStyle name="Fixed 2 2" xfId="293" xr:uid="{1207B20E-2C03-4710-BD7F-BEFBAA30CF96}"/>
    <cellStyle name="Fixed 2 3" xfId="294" xr:uid="{91C4F38E-7737-4A09-BBAA-C78A4F977F05}"/>
    <cellStyle name="Good" xfId="13" builtinId="26" customBuiltin="1"/>
    <cellStyle name="Good 2" xfId="295" xr:uid="{02D3CB70-8C9A-46BA-8F21-23CCC85471FE}"/>
    <cellStyle name="Header: bottom row" xfId="473" xr:uid="{367EFF97-C991-4375-943C-61A28A381B85}"/>
    <cellStyle name="Heading 1" xfId="9" builtinId="16" customBuiltin="1"/>
    <cellStyle name="Heading 1 2" xfId="296" xr:uid="{4690D03E-567F-4722-A73A-B00D90FC87E3}"/>
    <cellStyle name="Heading 2" xfId="10" builtinId="17" customBuiltin="1"/>
    <cellStyle name="Heading 2 2" xfId="297" xr:uid="{3D808710-8209-42CD-A2E3-52CAE4C69776}"/>
    <cellStyle name="Heading 3" xfId="11" builtinId="18" customBuiltin="1"/>
    <cellStyle name="Heading 3 2" xfId="298" xr:uid="{FFD671BC-A869-4618-8ACF-33F0BD176570}"/>
    <cellStyle name="Heading 4" xfId="12" builtinId="19" customBuiltin="1"/>
    <cellStyle name="Heading 4 2" xfId="299" xr:uid="{803D6F10-B8A1-4CD0-8E14-A38D9063670A}"/>
    <cellStyle name="Heading1" xfId="66" xr:uid="{9C966105-335C-4446-B1AA-5F16DA93B697}"/>
    <cellStyle name="Heading1 2" xfId="300" xr:uid="{CBF5E823-E32A-4FD4-83F0-6B733A89EFBF}"/>
    <cellStyle name="Heading1 2 2" xfId="301" xr:uid="{74E5C040-234B-4649-8857-1899703CD27D}"/>
    <cellStyle name="Heading1 2 3" xfId="302" xr:uid="{43959341-968F-4593-8500-444FFFF74EA3}"/>
    <cellStyle name="Heading2" xfId="67" xr:uid="{1CB42741-5AD2-441E-892B-70F3AB840840}"/>
    <cellStyle name="Heading2 2" xfId="303" xr:uid="{A17C991B-5154-4EEF-BC06-7EF691DD5D7F}"/>
    <cellStyle name="Heading2 2 2" xfId="304" xr:uid="{C83E238D-67F9-418E-9492-35F085AD4D45}"/>
    <cellStyle name="Heading2 2 3" xfId="305" xr:uid="{DF233174-3F94-4FE4-8E6D-CEBC4C883BA7}"/>
    <cellStyle name="Hyperlink" xfId="8" builtinId="8"/>
    <cellStyle name="Hyperlink 2" xfId="68" xr:uid="{9E063B6F-00F0-41AA-A688-02B4D7F8F693}"/>
    <cellStyle name="Hyperlink 2 2" xfId="306" xr:uid="{F55CAEC4-1C6D-4816-A448-D7FB7AA89076}"/>
    <cellStyle name="Hyperlink 2 3" xfId="307" xr:uid="{69E5ECDD-4CA2-4AB2-ADAB-D23C3760422B}"/>
    <cellStyle name="Hyperlink 2 4" xfId="308" xr:uid="{7D7BD19F-A4F4-4D1B-82E0-448A2C9DC021}"/>
    <cellStyle name="Hyperlink 2 5" xfId="434" xr:uid="{0301D544-0D4E-4DFF-8CF3-2DBD46FE0383}"/>
    <cellStyle name="Hyperlink 3" xfId="69" xr:uid="{73899DD2-5FB1-4A6E-A01B-3431A1AB4D1F}"/>
    <cellStyle name="Hyperlink 3 2" xfId="492" xr:uid="{94AFF600-BE7C-4222-B557-B06959FF14CB}"/>
    <cellStyle name="Hyperlink 4" xfId="70" xr:uid="{6764F528-20EC-4567-8D93-2C76E3DEB177}"/>
    <cellStyle name="Hyperlink 5" xfId="471" xr:uid="{A48A4CD1-40BC-45BA-90E2-F8F15FE7762C}"/>
    <cellStyle name="Input" xfId="15" builtinId="20" customBuiltin="1"/>
    <cellStyle name="Input 2" xfId="309" xr:uid="{1AA0DFA3-151F-421E-B175-C4B810668D94}"/>
    <cellStyle name="Input 2 2" xfId="478" xr:uid="{1CF83C3C-7345-4DC6-B95B-0C2D55C98CA2}"/>
    <cellStyle name="Linked Cell" xfId="18" builtinId="24" customBuiltin="1"/>
    <cellStyle name="Linked Cell 2" xfId="310" xr:uid="{C6EB722F-A867-406C-A866-9D17C3D81213}"/>
    <cellStyle name="Neutral 2" xfId="311" xr:uid="{DDCDDD09-0EA1-4EA8-BF3D-FFE301F78FE0}"/>
    <cellStyle name="Neutral 3" xfId="43" xr:uid="{7C04D8DF-B9C1-43CF-9DAC-0F04D56B09C4}"/>
    <cellStyle name="Normal" xfId="0" builtinId="0"/>
    <cellStyle name="Normal 10" xfId="4" xr:uid="{D09C2494-B1F5-4482-97F5-5CCDCD421A14}"/>
    <cellStyle name="Normal 10 2" xfId="5" xr:uid="{6BFC6EEF-E412-40E3-A3A2-874EF330396A}"/>
    <cellStyle name="Normal 10 2 2" xfId="482" xr:uid="{F296F003-BB5E-4E8B-9B26-998EDA90AE97}"/>
    <cellStyle name="Normal 100" xfId="71" xr:uid="{17A4687F-65B0-485F-AB1D-015A352D8782}"/>
    <cellStyle name="Normal 101" xfId="72" xr:uid="{8EC9B7B8-9ECB-4F13-B4F2-6C390ADEEE5B}"/>
    <cellStyle name="Normal 102" xfId="73" xr:uid="{DD60520B-9152-409E-B7D9-6144FE75CCCD}"/>
    <cellStyle name="Normal 103" xfId="74" xr:uid="{049017AB-B199-4354-AFB5-70980DF070BA}"/>
    <cellStyle name="Normal 104" xfId="75" xr:uid="{28211CB7-0199-4C01-B358-8FAD78B0F9C3}"/>
    <cellStyle name="Normal 105" xfId="247" xr:uid="{0F1CE27F-54E6-4E21-B0D3-559F284CBA42}"/>
    <cellStyle name="Normal 106" xfId="248" xr:uid="{B6F422C2-9863-46BC-8293-BE32B2C4A8B7}"/>
    <cellStyle name="Normal 107" xfId="479" xr:uid="{F5B63202-B9D0-44EE-9573-9E0D0D5E8573}"/>
    <cellStyle name="Normal 11" xfId="76" xr:uid="{5DDFA2CF-1615-4BC7-888E-F933CD9F5654}"/>
    <cellStyle name="Normal 11 2" xfId="370" xr:uid="{D3EFF2F1-E034-4799-93DA-60BD7563AD99}"/>
    <cellStyle name="Normal 12" xfId="77" xr:uid="{9DA057A4-3D24-4C3A-905A-54AD476BD099}"/>
    <cellStyle name="Normal 12 2" xfId="371" xr:uid="{CB386131-99CD-47D5-9867-ED47EA8719E5}"/>
    <cellStyle name="Normal 13" xfId="78" xr:uid="{DF2F6FFA-9E1F-402D-AFDA-EDB3874E1B78}"/>
    <cellStyle name="Normal 13 2" xfId="372" xr:uid="{F8348BE6-7ABA-4E71-B4E7-9468F3FB3CE9}"/>
    <cellStyle name="Normal 14" xfId="79" xr:uid="{3D48791A-1607-4682-A2FD-C98ACA4EE190}"/>
    <cellStyle name="Normal 14 2" xfId="373" xr:uid="{04ABFECB-1BCF-4621-A82C-E0E515642AA0}"/>
    <cellStyle name="Normal 15" xfId="80" xr:uid="{BB02F46F-D883-4704-B830-4728D05A7824}"/>
    <cellStyle name="Normal 15 2" xfId="374" xr:uid="{F2841396-AC5A-4033-B4A0-54E2E0EA216E}"/>
    <cellStyle name="Normal 16" xfId="81" xr:uid="{A9CDEFEB-7C5F-480F-B2EA-488A8656FCB6}"/>
    <cellStyle name="Normal 16 2" xfId="375" xr:uid="{A78023C5-029C-450A-9A98-BF0A201E37FF}"/>
    <cellStyle name="Normal 17" xfId="82" xr:uid="{9663B5D6-9941-4128-B2B9-19C4E1807326}"/>
    <cellStyle name="Normal 17 2" xfId="376" xr:uid="{0D7A9DD4-B549-492B-82BF-EB91D7F55A18}"/>
    <cellStyle name="Normal 18" xfId="83" xr:uid="{C83EA15C-85D0-4F55-8584-CB90E497CDA1}"/>
    <cellStyle name="Normal 19" xfId="84" xr:uid="{0AA24D8B-F473-4299-BFF2-B6F788C852B8}"/>
    <cellStyle name="Normal 19 2" xfId="377" xr:uid="{9571A98C-8A07-4B17-8C2A-FBDF9551249D}"/>
    <cellStyle name="Normal 2" xfId="85" xr:uid="{48B68BAA-1CA2-44B4-80BC-53823BB33343}"/>
    <cellStyle name="Normal 2 2" xfId="3" xr:uid="{8F0BBBE8-4DF7-4035-A377-4D3491F2D2DA}"/>
    <cellStyle name="Normal 2 2 2" xfId="312" xr:uid="{4930D0B6-7A45-47DC-AA85-2C772680E81B}"/>
    <cellStyle name="Normal 2 2 2 2" xfId="313" xr:uid="{571CFEB0-FC76-477E-B1E8-3E3611017401}"/>
    <cellStyle name="Normal 2 2 3" xfId="314" xr:uid="{6EC4D5A0-ACC5-4618-8CC4-EF6C32E025E4}"/>
    <cellStyle name="Normal 2 2 4" xfId="435" xr:uid="{DDA80C2F-6E73-48BD-AEFD-1A9865F82ED5}"/>
    <cellStyle name="Normal 2 3" xfId="245" xr:uid="{25C07F3F-4606-4951-B2A9-DC03E168996E}"/>
    <cellStyle name="Normal 2 3 2" xfId="437" xr:uid="{47A1E4D8-1EE5-4605-94AF-667359787D47}"/>
    <cellStyle name="Normal 2 3 2 2" xfId="506" xr:uid="{EB4C377D-6435-414A-B99D-21C35DECF0A7}"/>
    <cellStyle name="Normal 2 3 2 3" xfId="520" xr:uid="{127BB756-9F97-479A-A632-F23920EF1BC1}"/>
    <cellStyle name="Normal 2 3 2 4" xfId="490" xr:uid="{7FC6FDD7-14AA-4DCD-A8CA-878BD068FB18}"/>
    <cellStyle name="Normal 2 3 3" xfId="438" xr:uid="{BE52A5A4-7647-4234-86A0-EBB1CB0D001C}"/>
    <cellStyle name="Normal 2 3 3 2" xfId="501" xr:uid="{E44124FD-AC20-414A-9416-CE3C50E4D2C7}"/>
    <cellStyle name="Normal 2 3 4" xfId="436" xr:uid="{86BA8BCC-78D8-4AAC-90D1-B1582A5ABEF0}"/>
    <cellStyle name="Normal 2 4" xfId="315" xr:uid="{51C15639-299B-4FB8-B47B-EBD2DDFD67D8}"/>
    <cellStyle name="Normal 2 4 2" xfId="316" xr:uid="{91FA1551-65C6-496B-8E8E-8ECB9E8A5032}"/>
    <cellStyle name="Normal 2 4 2 2" xfId="439" xr:uid="{9C36FC12-0EA8-4624-B5B3-76D991C4E44D}"/>
    <cellStyle name="Normal 2 4 3" xfId="440" xr:uid="{9F732FD1-ECDF-406E-9536-62E51E978927}"/>
    <cellStyle name="Normal 2 5" xfId="441" xr:uid="{41229C4E-EAC9-457F-A259-133C794F4637}"/>
    <cellStyle name="Normal 2 6" xfId="442" xr:uid="{CF66E707-11CA-4DFA-9165-8EA8DE7CE102}"/>
    <cellStyle name="Normal 20" xfId="86" xr:uid="{0197B85C-9B1C-44CD-A038-B2A49ADA74DF}"/>
    <cellStyle name="Normal 20 2" xfId="378" xr:uid="{E6AD1A7B-8EF8-4DEC-B0D4-618B91AFD7F5}"/>
    <cellStyle name="Normal 21" xfId="87" xr:uid="{A4B08A90-2407-4420-BBB6-9266BD6E257F}"/>
    <cellStyle name="Normal 21 2" xfId="379" xr:uid="{1F51F996-A6A5-4CA0-BD98-2C32DC2259CF}"/>
    <cellStyle name="Normal 22" xfId="88" xr:uid="{04FFE97E-FDA9-44F8-8E9E-0C2FA28557CD}"/>
    <cellStyle name="Normal 22 2" xfId="380" xr:uid="{7731B4AF-45D7-4B1F-978D-EFD17BB87C48}"/>
    <cellStyle name="Normal 23" xfId="89" xr:uid="{35FEA9D2-DF96-492B-B31E-A35B99BE3185}"/>
    <cellStyle name="Normal 24" xfId="90" xr:uid="{1FD5ECE6-CA9F-4182-B0B0-5BD23E89AA86}"/>
    <cellStyle name="Normal 25" xfId="91" xr:uid="{88514C15-47E5-4219-BD35-2812DA31F0C8}"/>
    <cellStyle name="Normal 25 2" xfId="381" xr:uid="{6C71A62D-DAC1-4052-ABAE-FB795CE8B818}"/>
    <cellStyle name="Normal 26" xfId="92" xr:uid="{CCA38D2E-2B56-42EB-941B-ACDACB26BD9E}"/>
    <cellStyle name="Normal 26 2" xfId="382" xr:uid="{1B3C1BDB-7C10-4291-BE06-CBF1A3E395D4}"/>
    <cellStyle name="Normal 27" xfId="93" xr:uid="{354C04CD-364A-4942-970E-DED28B87EB7C}"/>
    <cellStyle name="Normal 28" xfId="94" xr:uid="{1AE88C15-98E1-4A2D-B312-51D5BC47DA6E}"/>
    <cellStyle name="Normal 28 2" xfId="383" xr:uid="{0B9CAE18-70FB-4C19-9490-57175CBEF918}"/>
    <cellStyle name="Normal 29" xfId="95" xr:uid="{F1A0CC17-41C8-439D-84FC-2D9860CFBAED}"/>
    <cellStyle name="Normal 29 2" xfId="384" xr:uid="{52C5DBF4-42B3-4612-A932-9B27E5021D54}"/>
    <cellStyle name="Normal 3" xfId="96" xr:uid="{D3A3F964-4EC0-4156-98EA-787489D54E94}"/>
    <cellStyle name="Normal 3 2" xfId="97" xr:uid="{CEFB8BF3-EF8C-4E52-AA98-94B352542153}"/>
    <cellStyle name="Normal 3 2 2" xfId="317" xr:uid="{D1C963BD-D66F-4F97-9F1D-853124E06E54}"/>
    <cellStyle name="Normal 3 2 2 2" xfId="318" xr:uid="{CA2581D2-D45F-4F9C-A281-948A2CCB1627}"/>
    <cellStyle name="Normal 3 2 2 3" xfId="518" xr:uid="{F9FB300D-F19F-4257-ACA1-53275177F4E4}"/>
    <cellStyle name="Normal 3 2 3" xfId="319" xr:uid="{FD9A6E43-76D4-4452-9EDB-2A2F5C3ABD80}"/>
    <cellStyle name="Normal 3 2 3 2" xfId="320" xr:uid="{0688E7BB-1D5C-4042-9A4D-5528631FCE47}"/>
    <cellStyle name="Normal 3 2 4" xfId="321" xr:uid="{5F8071E8-B652-4984-B49D-A4A69C8228FF}"/>
    <cellStyle name="Normal 3 2 4 2" xfId="322" xr:uid="{DFE0A01C-1AED-456F-9FB0-5B9E02C5D4A9}"/>
    <cellStyle name="Normal 3 2 5" xfId="323" xr:uid="{780AC511-2C33-4849-B59D-310617192AC4}"/>
    <cellStyle name="Normal 3 2 5 2" xfId="324" xr:uid="{7A590F3B-4141-472D-9033-84737980BC8F}"/>
    <cellStyle name="Normal 3 2 6" xfId="325" xr:uid="{04546884-578A-47B2-9A19-FEF631C56DB1}"/>
    <cellStyle name="Normal 3 2 6 2" xfId="326" xr:uid="{90A5DFF1-52B6-4580-B60A-10C9364D5ECD}"/>
    <cellStyle name="Normal 3 2 7" xfId="327" xr:uid="{8F84A5D5-BE04-4B9B-800B-797031A0106E}"/>
    <cellStyle name="Normal 3 2 8" xfId="443" xr:uid="{513934A0-D6C8-4324-A972-3762CBCB93EC}"/>
    <cellStyle name="Normal 3 2 9" xfId="504" xr:uid="{71C9071E-25EF-43BE-B282-7531B1E37B1B}"/>
    <cellStyle name="Normal 3 3" xfId="98" xr:uid="{B9A9607D-48EF-4514-BC71-B4CC795F77DF}"/>
    <cellStyle name="Normal 3 3 2" xfId="328" xr:uid="{651ED17A-800E-43EB-9AA5-C66B09FBA66D}"/>
    <cellStyle name="Normal 3 3 2 2" xfId="445" xr:uid="{DFFA4E06-862F-4424-BBB3-C2B564CA7E81}"/>
    <cellStyle name="Normal 3 3 3" xfId="444" xr:uid="{18E74241-6DD6-4C5E-82A0-A49DB03DDF2C}"/>
    <cellStyle name="Normal 3 3 4" xfId="493" xr:uid="{7A005349-01DA-4D21-9563-CABF340C21A1}"/>
    <cellStyle name="Normal 3 4" xfId="99" xr:uid="{36DDD60C-701D-4A2F-8CEE-B4CCEB96F968}"/>
    <cellStyle name="Normal 3 4 2" xfId="446" xr:uid="{200442B0-FE89-4921-B31A-2CD912B90487}"/>
    <cellStyle name="Normal 30" xfId="100" xr:uid="{604AB1C5-2884-4D74-AF5E-1A774FD0CBC1}"/>
    <cellStyle name="Normal 30 2" xfId="385" xr:uid="{3AAE0903-8F2E-49DD-933E-617BDAA7642C}"/>
    <cellStyle name="Normal 31" xfId="101" xr:uid="{8C03C05E-FBA4-4085-BAB0-1B805D96A95C}"/>
    <cellStyle name="Normal 32" xfId="102" xr:uid="{AA9B0907-E561-430E-B547-0E1983B8F744}"/>
    <cellStyle name="Normal 32 2" xfId="386" xr:uid="{05DDF8F0-5296-41BD-A169-3CB4CEEEBE1B}"/>
    <cellStyle name="Normal 33" xfId="103" xr:uid="{EE99A411-D14E-467D-B9A0-C296F6FCC53C}"/>
    <cellStyle name="Normal 33 2" xfId="387" xr:uid="{C016A414-91A1-4487-8F84-A2C4BA5109A2}"/>
    <cellStyle name="Normal 34" xfId="104" xr:uid="{169F3A7E-FD06-4937-B103-425577766188}"/>
    <cellStyle name="Normal 34 2" xfId="388" xr:uid="{AF47FAF8-F93E-46FB-AC7B-0357F2AFAB84}"/>
    <cellStyle name="Normal 35" xfId="105" xr:uid="{8117D136-46E1-4A7A-8BAD-D9DD154441FB}"/>
    <cellStyle name="Normal 35 2" xfId="389" xr:uid="{7274ED5F-AA80-4C62-BDDA-7A319B6D7EB7}"/>
    <cellStyle name="Normal 36" xfId="106" xr:uid="{3E473ABA-B18E-4B10-A01D-E9BBABF7104F}"/>
    <cellStyle name="Normal 36 2" xfId="390" xr:uid="{B59A43F6-61F2-4AD5-AC4A-5FC497270D18}"/>
    <cellStyle name="Normal 37" xfId="107" xr:uid="{C064AF67-D2F9-4FB1-9237-835852456EFD}"/>
    <cellStyle name="Normal 38" xfId="108" xr:uid="{FFC1AF9D-039D-41CE-985E-4C0336C01164}"/>
    <cellStyle name="Normal 38 2" xfId="391" xr:uid="{0CD56605-0B30-432C-93FD-EBE752350809}"/>
    <cellStyle name="Normal 39" xfId="109" xr:uid="{A58F63BF-7932-4B7C-B781-9A5E80735DA1}"/>
    <cellStyle name="Normal 39 2" xfId="392" xr:uid="{0DC38F8D-AC9E-4386-A30A-7EFD49097EC5}"/>
    <cellStyle name="Normal 4" xfId="110" xr:uid="{6FCD5816-6414-4C34-8AEF-F2F97FE20F4A}"/>
    <cellStyle name="Normal 4 2" xfId="329" xr:uid="{74192ED0-3610-440A-85C7-088550AD8F2D}"/>
    <cellStyle name="Normal 4 2 2" xfId="330" xr:uid="{3E0A08AA-1644-4567-BADB-4E71752A102B}"/>
    <cellStyle name="Normal 4 3" xfId="331" xr:uid="{74012BF6-6EC5-4E26-95A5-C41A1D613B4D}"/>
    <cellStyle name="Normal 4 3 2" xfId="332" xr:uid="{3230F59A-18A8-42F0-BFFC-28CE258633CC}"/>
    <cellStyle name="Normal 4 3 2 2" xfId="333" xr:uid="{76883EC7-47A3-476C-BB84-CDAAC8C2E7DA}"/>
    <cellStyle name="Normal 4 3 3" xfId="334" xr:uid="{5D6ED1AB-CADD-436C-A5BC-3ED69B1B492D}"/>
    <cellStyle name="Normal 4 4" xfId="335" xr:uid="{A9D7A091-14B9-48EC-A1DF-3BA928563DCA}"/>
    <cellStyle name="Normal 4 4 2" xfId="336" xr:uid="{0F80BDDF-F7C7-4459-BFBD-A6E238886E8E}"/>
    <cellStyle name="Normal 4 5" xfId="337" xr:uid="{A8AADC28-20C8-4A2A-B54D-2D3FED0B7F02}"/>
    <cellStyle name="Normal 4 6" xfId="367" xr:uid="{75ACF777-B4E2-46B2-A5E3-841C003B3098}"/>
    <cellStyle name="Normal 40" xfId="111" xr:uid="{BC39B1CB-6732-42B7-BF67-61B0ACD02F7E}"/>
    <cellStyle name="Normal 40 2" xfId="393" xr:uid="{90E43850-5691-4B3D-9DE4-D71F91657AB5}"/>
    <cellStyle name="Normal 41" xfId="112" xr:uid="{D0F8515D-CCBF-4648-84DE-8365176F4DEC}"/>
    <cellStyle name="Normal 41 2" xfId="394" xr:uid="{A0AB76AF-C2D1-41BC-A7F6-71B18B53515E}"/>
    <cellStyle name="Normal 42" xfId="113" xr:uid="{E972B779-B35C-4C4D-89F9-53365BD5069B}"/>
    <cellStyle name="Normal 42 2" xfId="395" xr:uid="{909336EA-14C9-4156-B485-8A9F9DD63C5B}"/>
    <cellStyle name="Normal 43" xfId="114" xr:uid="{24D551CD-3FA3-4100-9CA3-BF50F84CC0E8}"/>
    <cellStyle name="Normal 43 2" xfId="396" xr:uid="{E677AD88-5C74-4584-AAC4-7566F64F20AF}"/>
    <cellStyle name="Normal 44" xfId="115" xr:uid="{4D684460-A9F8-46BB-AC3B-0F8A19DD1E69}"/>
    <cellStyle name="Normal 44 2" xfId="397" xr:uid="{BF0267C3-FB4A-433B-B575-00E7CC786399}"/>
    <cellStyle name="Normal 45" xfId="116" xr:uid="{9CC03012-D118-4A54-A069-FDA3414C14A4}"/>
    <cellStyle name="Normal 45 2" xfId="398" xr:uid="{6A3CB038-0576-4083-99BD-9D07300FFACB}"/>
    <cellStyle name="Normal 46" xfId="117" xr:uid="{8837E02C-7ED6-4FD4-A5C7-DECCD6F63BFF}"/>
    <cellStyle name="Normal 47" xfId="118" xr:uid="{E0CF492B-EC7D-44C4-A526-DFDE694F2A95}"/>
    <cellStyle name="Normal 47 2" xfId="399" xr:uid="{82E362F5-4044-472E-AA23-103D1C55900A}"/>
    <cellStyle name="Normal 48" xfId="119" xr:uid="{19A7EDA4-5B75-4B5C-AA3F-9D67DB9B13E8}"/>
    <cellStyle name="Normal 48 2" xfId="400" xr:uid="{98A97D0D-EE36-4024-BA30-66115F2EE5CA}"/>
    <cellStyle name="Normal 49" xfId="120" xr:uid="{8A24CC52-DCF7-4E6F-881F-5CCC706DA21B}"/>
    <cellStyle name="Normal 49 2" xfId="401" xr:uid="{5EBCCAA5-F6ED-45AE-BED6-59B4E3A8A460}"/>
    <cellStyle name="Normal 5" xfId="121" xr:uid="{4E9BCB1B-6769-4B24-B096-1BD6FD86FB0B}"/>
    <cellStyle name="Normal 5 2" xfId="338" xr:uid="{703B7799-396F-41D0-AEC4-E2739A3950A4}"/>
    <cellStyle name="Normal 5 2 2" xfId="339" xr:uid="{0C40170D-4DFA-4743-ABB7-2C757F953104}"/>
    <cellStyle name="Normal 5 2 2 2" xfId="340" xr:uid="{6DDE76EB-BB67-438B-94A0-D9F0656DA39D}"/>
    <cellStyle name="Normal 5 2 3" xfId="341" xr:uid="{D82978E0-1AFC-4BC8-A547-F27428512EB4}"/>
    <cellStyle name="Normal 5 3" xfId="342" xr:uid="{ABA0426C-8D0B-4561-BF0B-ACCCB995E4EA}"/>
    <cellStyle name="Normal 5 3 2" xfId="343" xr:uid="{851CE829-1861-449A-90BA-78F873A7F166}"/>
    <cellStyle name="Normal 5 4" xfId="344" xr:uid="{192F3FAD-90E1-40C6-9618-2939A4255CF9}"/>
    <cellStyle name="Normal 5 5" xfId="369" xr:uid="{B0510A34-D473-4562-B4FB-EBEF26377ECB}"/>
    <cellStyle name="Normal 5 6" xfId="447" xr:uid="{CD823C2C-A0A7-45ED-B7F3-D3DC15AC963E}"/>
    <cellStyle name="Normal 50" xfId="122" xr:uid="{F63C6A5E-5F07-4FBD-B636-777CCBB1B6BE}"/>
    <cellStyle name="Normal 50 2" xfId="402" xr:uid="{D5B38FBD-9454-4002-A37D-117C7D108FE9}"/>
    <cellStyle name="Normal 51" xfId="123" xr:uid="{6888888D-2A65-4ECB-9579-BA290ABE3B49}"/>
    <cellStyle name="Normal 51 2" xfId="403" xr:uid="{920CDC52-9DBC-4354-A22C-E4F84E2AAE59}"/>
    <cellStyle name="Normal 52" xfId="124" xr:uid="{37192CEA-7C1B-4B2D-B6DD-32CE1E1A1642}"/>
    <cellStyle name="Normal 52 2" xfId="404" xr:uid="{462AAB2A-2F69-42E2-B795-6B7FDF3F7B47}"/>
    <cellStyle name="Normal 53" xfId="125" xr:uid="{074C7FAE-961F-4C57-B350-4D21DB1A894D}"/>
    <cellStyle name="Normal 54" xfId="126" xr:uid="{0F45C36C-5AFE-4B5C-904E-DB3F3418545C}"/>
    <cellStyle name="Normal 54 2" xfId="405" xr:uid="{417F66CF-F0AE-434C-8332-74F3AF919C7D}"/>
    <cellStyle name="Normal 55" xfId="127" xr:uid="{808EB9B9-D24B-4507-8ADA-CA0DD8D86AAB}"/>
    <cellStyle name="Normal 55 2" xfId="406" xr:uid="{48878F22-1C07-45C1-A6B6-932569F1B0C6}"/>
    <cellStyle name="Normal 56" xfId="128" xr:uid="{85F50DF7-258F-4D98-B00C-A96B3B216C4C}"/>
    <cellStyle name="Normal 56 2" xfId="407" xr:uid="{3400989F-6FFB-413E-A9AD-F07FC1541368}"/>
    <cellStyle name="Normal 57" xfId="129" xr:uid="{70F2C1A1-205A-45E6-8D8B-710FEC241E88}"/>
    <cellStyle name="Normal 57 2" xfId="408" xr:uid="{5774A67D-AF11-4B48-8D9E-DC75270DC6C4}"/>
    <cellStyle name="Normal 58" xfId="130" xr:uid="{D95C90DF-7747-424F-B56F-DE2B454328B8}"/>
    <cellStyle name="Normal 58 2" xfId="246" xr:uid="{0710A542-8B19-4537-96A3-047BD68C4FF8}"/>
    <cellStyle name="Normal 59" xfId="131" xr:uid="{9ADBD61F-862F-4079-8F64-CF1052860471}"/>
    <cellStyle name="Normal 6" xfId="132" xr:uid="{807BD129-9DF1-4EE4-8535-48D6DD045118}"/>
    <cellStyle name="Normal 6 2" xfId="345" xr:uid="{3F6D47EA-9D2A-4099-BE77-49D3D8EFDF40}"/>
    <cellStyle name="Normal 6 2 2" xfId="346" xr:uid="{95AE16C0-9356-4704-97F5-BEBB88C7FBEB}"/>
    <cellStyle name="Normal 6 2 2 2" xfId="347" xr:uid="{A368CEA4-9545-4713-8674-4D2A780CCD47}"/>
    <cellStyle name="Normal 6 2 3" xfId="348" xr:uid="{3C04152B-61F2-4396-A4BF-95999929EE9C}"/>
    <cellStyle name="Normal 6 3" xfId="349" xr:uid="{CA354C02-85BC-44AE-9494-0E2448A54CBD}"/>
    <cellStyle name="Normal 6 3 2" xfId="350" xr:uid="{C2C22A51-8696-48A0-9BD0-9DB0041C31D1}"/>
    <cellStyle name="Normal 6 4" xfId="351" xr:uid="{3405B221-B246-4D40-9C24-F37229468D42}"/>
    <cellStyle name="Normal 6 5" xfId="368" xr:uid="{C14758F9-E24A-4B87-81EC-43E96B1F7E8D}"/>
    <cellStyle name="Normal 60" xfId="133" xr:uid="{C1805756-0351-4BAA-B5F4-7117CC0B780D}"/>
    <cellStyle name="Normal 60 2" xfId="409" xr:uid="{25AF677C-2E78-49E9-BB96-BE3ABA352E1D}"/>
    <cellStyle name="Normal 61" xfId="134" xr:uid="{BB8771EE-D9D9-4509-B223-DD38EDC1EB37}"/>
    <cellStyle name="Normal 61 2" xfId="410" xr:uid="{F7FE500D-4FA2-4887-BDF9-6538375B3593}"/>
    <cellStyle name="Normal 62" xfId="135" xr:uid="{C77FC3A3-E095-451C-B4E1-3CAA359814D9}"/>
    <cellStyle name="Normal 62 2" xfId="411" xr:uid="{5A7030B4-374F-4048-A59B-67EE8952AE81}"/>
    <cellStyle name="Normal 63" xfId="136" xr:uid="{4570140D-E96F-496C-81D0-8BDA08F0A0E7}"/>
    <cellStyle name="Normal 63 2" xfId="412" xr:uid="{C1B0274E-A714-4E0B-90B0-D7C72835EAE4}"/>
    <cellStyle name="Normal 64" xfId="137" xr:uid="{E974BEB4-861E-4D72-9736-D1346D719625}"/>
    <cellStyle name="Normal 64 2" xfId="413" xr:uid="{8C4424DA-BBBE-4DB2-8222-98EDA208530A}"/>
    <cellStyle name="Normal 65" xfId="138" xr:uid="{01302A2F-692B-4369-93B2-A742D3D81BE5}"/>
    <cellStyle name="Normal 65 2" xfId="414" xr:uid="{28FB2FE4-42D0-4012-9162-C19287F21593}"/>
    <cellStyle name="Normal 66" xfId="139" xr:uid="{8A996B46-4CB6-4A36-B775-BCD7AC9D0F62}"/>
    <cellStyle name="Normal 66 2" xfId="415" xr:uid="{04AEA06D-C3B7-4A71-8D18-B1F3A83948C3}"/>
    <cellStyle name="Normal 67" xfId="140" xr:uid="{874BB052-B135-4A1E-AD18-122FD3484C27}"/>
    <cellStyle name="Normal 68" xfId="141" xr:uid="{86AA6DDE-27FF-4675-9D78-4AF0362B8CEE}"/>
    <cellStyle name="Normal 69" xfId="142" xr:uid="{3B86CA3C-F37D-4CF7-B999-08CEFBD69034}"/>
    <cellStyle name="Normal 7" xfId="143" xr:uid="{0F5F5202-FA4F-4662-80C4-F32E2C3E58CC}"/>
    <cellStyle name="Normal 7 2" xfId="352" xr:uid="{4968310A-1D18-411E-AB44-2350C66FD8AB}"/>
    <cellStyle name="Normal 7 2 2" xfId="448" xr:uid="{F4C86764-CB48-4334-AE24-0E1CB043647B}"/>
    <cellStyle name="Normal 7 3" xfId="416" xr:uid="{1EB12F0B-4D44-4188-841C-04D8BDA71535}"/>
    <cellStyle name="Normal 70" xfId="144" xr:uid="{DB837313-03BC-4E50-B7AF-D267D3568C08}"/>
    <cellStyle name="Normal 71" xfId="145" xr:uid="{7998D09F-3143-4868-80F1-CCBC851745BF}"/>
    <cellStyle name="Normal 72" xfId="146" xr:uid="{958E128C-617F-4534-B325-F78397E019FD}"/>
    <cellStyle name="Normal 73" xfId="147" xr:uid="{439C7F3C-8E41-4201-ACF9-987C59723158}"/>
    <cellStyle name="Normal 74" xfId="148" xr:uid="{99794D79-8A59-494C-BB7F-D9C958E259CE}"/>
    <cellStyle name="Normal 75" xfId="149" xr:uid="{0AE49658-AEBC-4155-9373-2990B9EDCAC4}"/>
    <cellStyle name="Normal 76" xfId="150" xr:uid="{1A9D6603-1441-43E8-970D-C47BE0D5A551}"/>
    <cellStyle name="Normal 77" xfId="151" xr:uid="{34071F76-069D-404E-909A-5D7E89EBC7C9}"/>
    <cellStyle name="Normal 78" xfId="152" xr:uid="{134A8EF4-0B89-4044-974A-6E002030C775}"/>
    <cellStyle name="Normal 79" xfId="153" xr:uid="{736C0E7B-5FCB-452E-9DD1-7AF757425F29}"/>
    <cellStyle name="Normal 8" xfId="154" xr:uid="{B89199B8-A376-4EF4-9902-0C4ED06543D6}"/>
    <cellStyle name="Normal 8 2" xfId="417" xr:uid="{9E1B737B-F065-4DF4-959D-651BEFA22D85}"/>
    <cellStyle name="Normal 80" xfId="155" xr:uid="{09707382-5995-4510-A053-BFC54094547C}"/>
    <cellStyle name="Normal 81" xfId="156" xr:uid="{2DF361A9-367C-41C4-9373-F55C2CC22C88}"/>
    <cellStyle name="Normal 82" xfId="157" xr:uid="{3A6F3587-859E-4768-8A1E-692C54A1722D}"/>
    <cellStyle name="Normal 83" xfId="158" xr:uid="{485C48D0-D68A-4BD2-A29D-390E4EF1B0C0}"/>
    <cellStyle name="Normal 84" xfId="159" xr:uid="{C1AD9FFA-8EF2-402F-BED9-485FBA81CEEB}"/>
    <cellStyle name="Normal 85" xfId="160" xr:uid="{04E1FD07-75FF-4010-8EFF-D34832019032}"/>
    <cellStyle name="Normal 86" xfId="161" xr:uid="{EE891677-29F4-4377-87DB-E1C633AD241A}"/>
    <cellStyle name="Normal 87" xfId="162" xr:uid="{6FDBB14C-56DB-4A02-B609-454640434937}"/>
    <cellStyle name="Normal 88" xfId="163" xr:uid="{8CD148A8-6C3C-42C2-84F4-DB73F58EC0B6}"/>
    <cellStyle name="Normal 89" xfId="164" xr:uid="{FEB09736-CF8C-4E23-A155-02E6C4691486}"/>
    <cellStyle name="Normal 9" xfId="165" xr:uid="{6D14B49A-399D-4E54-B9BE-F24EA8522C6E}"/>
    <cellStyle name="Normal 9 2" xfId="418" xr:uid="{3600C378-7DA6-4BF8-836B-505B97C2735C}"/>
    <cellStyle name="Normal 90" xfId="166" xr:uid="{EFA40115-A5E5-48CE-8059-ACEEF345257A}"/>
    <cellStyle name="Normal 91" xfId="167" xr:uid="{7FF39AF2-BDF6-4FEC-B08E-23B7C1876A39}"/>
    <cellStyle name="Normal 92" xfId="168" xr:uid="{C1B0881A-8BDC-4223-9ECF-CC2444558A6C}"/>
    <cellStyle name="Normal 93" xfId="169" xr:uid="{E8EA6487-A7FF-4E61-A915-A9759CE2D201}"/>
    <cellStyle name="Normal 94" xfId="170" xr:uid="{4DC089B9-2583-4C44-BD3D-F6E28810F9EF}"/>
    <cellStyle name="Normal 95" xfId="171" xr:uid="{CEE78ACA-2779-46B0-B56A-4DFFCE97A4BA}"/>
    <cellStyle name="Normal 96" xfId="172" xr:uid="{DC0D7206-10B0-427F-89C0-9832C94D0FA7}"/>
    <cellStyle name="Normal 97" xfId="173" xr:uid="{4830AFA3-4EBE-49D6-9777-27BE4FBE5E4C}"/>
    <cellStyle name="Normal 98" xfId="174" xr:uid="{84B2A2A0-ACB6-4A29-8570-3AD8C8044A9D}"/>
    <cellStyle name="Normal 99" xfId="175" xr:uid="{B6E20744-0480-457C-8DE0-129DA54850B2}"/>
    <cellStyle name="Normal_EPAUS9r_08_SRC_Coal_v0.1a" xfId="522" xr:uid="{EA1AB422-F279-415B-B532-DBF4B926E999}"/>
    <cellStyle name="Normal_Sheet1" xfId="476" xr:uid="{36F3DC93-3C52-4DB6-ABC9-EF42B84C7DC8}"/>
    <cellStyle name="Normale_B2020" xfId="481" xr:uid="{A92979B8-F62E-4841-AC2A-BF88544F8FC8}"/>
    <cellStyle name="Note" xfId="21" builtinId="10" customBuiltin="1"/>
    <cellStyle name="Note 2" xfId="176" xr:uid="{5CEC8211-2B1E-4F38-8B95-9FC3A9F7F60B}"/>
    <cellStyle name="Note 3" xfId="177" xr:uid="{A496FC49-47A7-40E1-86BC-2BB246F31561}"/>
    <cellStyle name="Note 4" xfId="178" xr:uid="{59F88749-7634-47F4-997D-EA9EF4644CE2}"/>
    <cellStyle name="Output" xfId="16" builtinId="21" customBuiltin="1"/>
    <cellStyle name="Output 2" xfId="353" xr:uid="{D6D9BCA1-DCD2-4959-AFF2-1368584A47D6}"/>
    <cellStyle name="Parent row" xfId="474" xr:uid="{67556DF0-6B63-4C4A-89A3-66397211E617}"/>
    <cellStyle name="Percent" xfId="2" builtinId="5"/>
    <cellStyle name="Percent 11" xfId="7" xr:uid="{FCD62668-E6FE-4FD2-BDF9-588908E4397E}"/>
    <cellStyle name="Percent 12" xfId="179" xr:uid="{C9281D10-D088-4B15-9530-C87388812BF3}"/>
    <cellStyle name="Percent 13" xfId="180" xr:uid="{60B86D55-2401-450C-A6E2-0E4DB76852CC}"/>
    <cellStyle name="Percent 14" xfId="181" xr:uid="{2AB20B69-956E-4BF5-A752-ACF225CE89ED}"/>
    <cellStyle name="Percent 15" xfId="182" xr:uid="{8369EBF0-147A-45B7-B0C8-0E5B78C50589}"/>
    <cellStyle name="Percent 16" xfId="183" xr:uid="{281ABE96-C6D6-4B9B-B994-6C4C01F0547B}"/>
    <cellStyle name="Percent 17" xfId="184" xr:uid="{77A8C3D6-7D31-4750-A1DC-63B77EC8D7C8}"/>
    <cellStyle name="Percent 18" xfId="185" xr:uid="{6DBDEBE2-49A1-4D44-9335-5C1B805125CB}"/>
    <cellStyle name="Percent 19" xfId="186" xr:uid="{65930E33-1B1E-4AA2-BAB3-B67CE7A3951E}"/>
    <cellStyle name="Percent 2" xfId="187" xr:uid="{70FF3B69-DE12-4AA3-B746-D155BB891880}"/>
    <cellStyle name="Percent 2 2" xfId="354" xr:uid="{4552E388-0E91-4F06-BA69-FF2B354F0781}"/>
    <cellStyle name="Percent 2 2 2" xfId="450" xr:uid="{10E56B5B-95AB-4FCA-98BF-503F28944A28}"/>
    <cellStyle name="Percent 2 2 3" xfId="449" xr:uid="{83D0678F-E3E8-4873-B655-F27D8ED71F3E}"/>
    <cellStyle name="Percent 2 3" xfId="451" xr:uid="{B8F46840-3AA3-4EA5-84BC-46477A933337}"/>
    <cellStyle name="Percent 2 4" xfId="452" xr:uid="{2EFCBDCB-E54D-45D0-9604-C6714A6A65DC}"/>
    <cellStyle name="Percent 20" xfId="188" xr:uid="{12F574E7-BB55-4D01-8F57-62DC00F40EAE}"/>
    <cellStyle name="Percent 21" xfId="189" xr:uid="{2AB6018D-DB69-48C0-B466-1537BD7E15E4}"/>
    <cellStyle name="Percent 22" xfId="190" xr:uid="{4210E877-808F-40B0-922B-1C0425ED9D4A}"/>
    <cellStyle name="Percent 23" xfId="191" xr:uid="{FB50FC39-7139-4E06-9F0F-BAFADA4CF8B2}"/>
    <cellStyle name="Percent 24" xfId="192" xr:uid="{93005062-A6C0-4166-9376-2595117A4507}"/>
    <cellStyle name="Percent 25" xfId="193" xr:uid="{C57A34BA-B7C0-48B4-94CF-75BCA18205FB}"/>
    <cellStyle name="Percent 26" xfId="194" xr:uid="{D28B1543-E22D-42C5-A407-D7FA0308E26E}"/>
    <cellStyle name="Percent 27" xfId="195" xr:uid="{BB30F48D-3B3E-4699-ACD2-CA25605CB0B6}"/>
    <cellStyle name="Percent 28" xfId="196" xr:uid="{BAF377BE-70A8-4C54-9D58-A7740B6066A6}"/>
    <cellStyle name="Percent 29" xfId="197" xr:uid="{69675BC3-22F7-48C2-9BD6-2EDE4C10F02C}"/>
    <cellStyle name="Percent 3" xfId="198" xr:uid="{37F97B14-4F7B-442E-9CD0-FCA38C4AED70}"/>
    <cellStyle name="Percent 3 2" xfId="355" xr:uid="{7C1BDDB2-2818-423F-9D83-379F5D11FE16}"/>
    <cellStyle name="Percent 3 2 2" xfId="356" xr:uid="{2F456ACD-78FB-42EE-A72A-5BD0AC0889DB}"/>
    <cellStyle name="Percent 3 2 2 2" xfId="357" xr:uid="{51F8FF43-1110-4629-A3A9-B66A79C423AC}"/>
    <cellStyle name="Percent 3 2 2 3" xfId="454" xr:uid="{337E9B0A-9965-43F6-ADC6-01737BDF49CD}"/>
    <cellStyle name="Percent 3 2 3" xfId="453" xr:uid="{4D6665E2-649C-4AA6-B417-A77B94091F43}"/>
    <cellStyle name="Percent 3 3" xfId="358" xr:uid="{9207D2C0-E981-4316-BCE8-AE294638A639}"/>
    <cellStyle name="Percent 3 3 2" xfId="359" xr:uid="{0AF82B99-4F79-4B55-BE57-0B5A96AC9C0A}"/>
    <cellStyle name="Percent 3 3 3" xfId="455" xr:uid="{8C5313F8-8A8F-42F8-97B1-930B34102AF3}"/>
    <cellStyle name="Percent 3 4" xfId="360" xr:uid="{8BFF9B01-316D-4BE0-B79A-8FEE25E7A57D}"/>
    <cellStyle name="Percent 3 4 2" xfId="361" xr:uid="{5E6AD332-DFF1-43A2-91D6-798B498FF5F1}"/>
    <cellStyle name="Percent 3 4 3" xfId="456" xr:uid="{1D95FAF0-CEFC-4F00-A97D-BBA41CA97278}"/>
    <cellStyle name="Percent 3 5" xfId="494" xr:uid="{E4E19DCF-DCEC-48CF-B078-118B2D8D5BEA}"/>
    <cellStyle name="Percent 30" xfId="199" xr:uid="{2242004F-E1B9-4702-B88E-F0C81FA228CC}"/>
    <cellStyle name="Percent 31" xfId="200" xr:uid="{EC55D8E3-92C5-4584-A81B-43B18B69E478}"/>
    <cellStyle name="Percent 32" xfId="201" xr:uid="{1B5A66C2-1FC2-4F29-A981-697C047FC6A3}"/>
    <cellStyle name="Percent 33" xfId="202" xr:uid="{8FCC8249-2FF7-4BD5-89B1-DDA512712474}"/>
    <cellStyle name="Percent 34" xfId="203" xr:uid="{8DEAE5C3-2538-4C39-91A1-E2390AFB6DFC}"/>
    <cellStyle name="Percent 35" xfId="204" xr:uid="{6AB409D1-80C9-4881-A400-20E14D9E209E}"/>
    <cellStyle name="Percent 36" xfId="205" xr:uid="{398C4589-DA62-418D-BCED-EC9FA0C04933}"/>
    <cellStyle name="Percent 37" xfId="206" xr:uid="{A23DAD61-D902-484E-8F6D-94F00C663E2C}"/>
    <cellStyle name="Percent 4" xfId="207" xr:uid="{E275CA6C-FB0E-4A95-80B1-FEAC4B7BD39A}"/>
    <cellStyle name="Percent 4 2" xfId="362" xr:uid="{72233BC3-2C6C-474D-9AFB-392A29FFCDBA}"/>
    <cellStyle name="Percent 4 3" xfId="457" xr:uid="{579334E8-1568-4D02-A25B-974CB3298DA3}"/>
    <cellStyle name="Percent 40" xfId="208" xr:uid="{8ABAB2A4-6BDC-47F1-8B24-183EF4921D18}"/>
    <cellStyle name="Percent 41" xfId="209" xr:uid="{B7220FB7-2632-40D9-99F0-400F3EB30C00}"/>
    <cellStyle name="Percent 42" xfId="210" xr:uid="{792658E5-9B37-4A8C-864E-71400F4DD317}"/>
    <cellStyle name="Percent 43" xfId="211" xr:uid="{34C4BA75-6875-4F76-9612-554D31F18D69}"/>
    <cellStyle name="Percent 44" xfId="212" xr:uid="{DF235F8B-49BE-4707-9800-76E2379A1BBE}"/>
    <cellStyle name="Percent 45" xfId="213" xr:uid="{8672FA2C-4EF7-4F01-AE81-49E2BC12D1CF}"/>
    <cellStyle name="Percent 46" xfId="214" xr:uid="{B9D03C4C-B3F5-4D16-AE67-5220E274EB6F}"/>
    <cellStyle name="Percent 47" xfId="215" xr:uid="{3BB315CD-686B-4B91-A750-4F68243A0061}"/>
    <cellStyle name="Percent 48" xfId="216" xr:uid="{DFC3FB1D-0137-4823-B9DF-988E38C4A687}"/>
    <cellStyle name="Percent 49" xfId="217" xr:uid="{E82B0C62-F2D9-4B2A-9B65-628F7BF4A388}"/>
    <cellStyle name="Percent 5" xfId="218" xr:uid="{933DC577-47E8-4F41-982D-3A2F0FAA5815}"/>
    <cellStyle name="Percent 5 2" xfId="459" xr:uid="{9B3D1C65-A5DD-48CC-809A-638F76AE4950}"/>
    <cellStyle name="Percent 5 3" xfId="458" xr:uid="{349FA034-C83D-4C85-97A2-5235DB8A8E4E}"/>
    <cellStyle name="Percent 50" xfId="219" xr:uid="{A788C1D6-DC01-4D6B-8B7B-0DCC7DC6C9AC}"/>
    <cellStyle name="Percent 51" xfId="220" xr:uid="{32503A17-F8E4-49D7-B45A-9C248A7BFC1B}"/>
    <cellStyle name="Percent 52" xfId="221" xr:uid="{F5D64015-15C4-4C9F-865A-60938CAA4169}"/>
    <cellStyle name="Percent 53" xfId="222" xr:uid="{8DA761AD-792F-4B32-B9B6-3B5AE8DB0D80}"/>
    <cellStyle name="Percent 54" xfId="223" xr:uid="{9F237255-DA97-45C0-A1F9-DFF3C1C54618}"/>
    <cellStyle name="Percent 55" xfId="224" xr:uid="{08BB8D67-24B8-4F99-9D00-5DABE43969CF}"/>
    <cellStyle name="Percent 56" xfId="225" xr:uid="{E20C6283-1DF7-48FD-8942-E0D6EC19EA95}"/>
    <cellStyle name="Percent 57" xfId="226" xr:uid="{55DA5A50-2C62-4F73-8AAE-695C50E2478D}"/>
    <cellStyle name="Percent 58" xfId="227" xr:uid="{C5E33009-EE08-4C79-903D-751DD52C277B}"/>
    <cellStyle name="Percent 59" xfId="228" xr:uid="{3E21F755-35FE-4D03-93B7-F588A123998F}"/>
    <cellStyle name="Percent 6" xfId="229" xr:uid="{E01FAD74-1EA1-437E-8094-9C0EEB774931}"/>
    <cellStyle name="Percent 6 2" xfId="460" xr:uid="{334EAA7F-DCDE-4326-9FDC-AE300EDE0A1F}"/>
    <cellStyle name="Percent 60" xfId="230" xr:uid="{F20AD329-6F60-40E4-A79F-616524B932DD}"/>
    <cellStyle name="Percent 61" xfId="231" xr:uid="{C42D9A85-ED1F-4CA2-AABB-9816FD867E81}"/>
    <cellStyle name="Percent 62" xfId="232" xr:uid="{0A2173F6-652F-4707-A76A-E4600975F24C}"/>
    <cellStyle name="Percent 63" xfId="233" xr:uid="{8BB43963-0441-4550-898C-DA806E107F9C}"/>
    <cellStyle name="Percent 64" xfId="234" xr:uid="{A62DFA9D-6946-4CBA-9482-F7C1FAFBCE9F}"/>
    <cellStyle name="Percent 65" xfId="235" xr:uid="{0AF22632-96E7-4677-9EBB-5DA1F8D11B31}"/>
    <cellStyle name="Percent 66" xfId="236" xr:uid="{28CA07BE-4329-4A12-8114-B1B0F60E2F01}"/>
    <cellStyle name="Percent 67" xfId="237" xr:uid="{CF068035-5960-4EC2-B77A-68CFF05F8FC9}"/>
    <cellStyle name="Percent 68" xfId="238" xr:uid="{ABC68F57-6356-4C64-96F7-C06F2DC1DC28}"/>
    <cellStyle name="Percent 69" xfId="239" xr:uid="{0049978B-1CB3-458C-8B30-C1741B5FF2B8}"/>
    <cellStyle name="Percent 7" xfId="240" xr:uid="{E8BA0375-23D7-4BBF-9A3C-519B25B9188A}"/>
    <cellStyle name="Percent 7 2" xfId="461" xr:uid="{E6AE2E8F-FC17-4048-8019-EFAE6B1C8E47}"/>
    <cellStyle name="Percent 70" xfId="241" xr:uid="{B8A13308-9290-41B1-B2AA-F69BEE45F979}"/>
    <cellStyle name="Percent 8" xfId="242" xr:uid="{66D91E1B-91C0-4BFE-A02A-F7D8A3EB09DC}"/>
    <cellStyle name="Percent 8 2" xfId="462" xr:uid="{FC001012-C472-4B4C-96CE-6CC51D4FFF7E}"/>
    <cellStyle name="Percent 9" xfId="243" xr:uid="{D6C4425C-0178-4416-B539-15DE0785600F}"/>
    <cellStyle name="Pourcentage 2" xfId="485" xr:uid="{985C677A-3533-4080-9CE6-81104215707D}"/>
    <cellStyle name="Style 29" xfId="463" xr:uid="{A748B706-81DF-462D-9490-888AA82C9705}"/>
    <cellStyle name="Style 29 2" xfId="464" xr:uid="{28525D97-7EEB-4A27-87C7-B8C64B3C5B1D}"/>
    <cellStyle name="Style 35" xfId="465" xr:uid="{D78C4CC5-0CF3-46C9-8137-5F38CBCAC3B7}"/>
    <cellStyle name="Style 36" xfId="466" xr:uid="{FD7EDEA5-4D03-4201-B750-005DFCF54E4D}"/>
    <cellStyle name="Table title" xfId="472" xr:uid="{12B9A3E7-7D92-42B4-A925-EC1AA9F8D53C}"/>
    <cellStyle name="Title 2" xfId="363" xr:uid="{AF4E682A-BC63-439C-B6B0-5998479C53FC}"/>
    <cellStyle name="Title 3" xfId="42" xr:uid="{1B0F78BB-96AB-408E-9005-EE28AB1EB85A}"/>
    <cellStyle name="Total" xfId="23" builtinId="25" customBuiltin="1"/>
    <cellStyle name="Total 2" xfId="244" xr:uid="{5BF7828B-DB9F-47D3-8519-CB8E6661897D}"/>
    <cellStyle name="Total 2 2" xfId="364" xr:uid="{C7E4DDB7-7BFF-4639-8537-1073FB582359}"/>
    <cellStyle name="Total 2 3" xfId="365" xr:uid="{9A353F07-2894-4942-87CE-469B8F42B4D4}"/>
    <cellStyle name="Total 3" xfId="467" xr:uid="{E1894ECB-01DE-45E7-801C-3FE331FA5044}"/>
    <cellStyle name="Total 3 2" xfId="468" xr:uid="{55E69715-3FBF-4BED-BEDC-FCB37F7291A2}"/>
    <cellStyle name="Total 4" xfId="469" xr:uid="{B275AAC0-9B42-4407-A6B8-E715AE8B51AF}"/>
    <cellStyle name="Total 4 2" xfId="470" xr:uid="{F0E587D7-293F-499C-814B-D4B349D2D497}"/>
    <cellStyle name="Warning Text" xfId="20" builtinId="11" customBuiltin="1"/>
    <cellStyle name="Warning Text 2" xfId="366" xr:uid="{D9CE0A7D-BE4A-4391-8A15-179FC9FE0DC1}"/>
  </cellStyles>
  <dxfs count="506">
    <dxf>
      <font>
        <b val="0"/>
        <i val="0"/>
        <strike val="0"/>
        <condense val="0"/>
        <extend val="0"/>
        <outline val="0"/>
        <shadow val="0"/>
        <u val="none"/>
        <vertAlign val="baseline"/>
        <sz val="8"/>
        <color auto="1"/>
        <name val="Arial"/>
        <family val="2"/>
        <scheme val="none"/>
      </font>
      <fill>
        <patternFill patternType="solid">
          <fgColor indexed="64"/>
          <bgColor theme="5" tint="0.79998168889431442"/>
        </patternFill>
      </fill>
    </dxf>
    <dxf>
      <font>
        <strike val="0"/>
        <outline val="0"/>
        <shadow val="0"/>
        <u val="none"/>
        <vertAlign val="baseline"/>
        <sz val="8"/>
        <name val="Arial"/>
        <family val="2"/>
        <scheme val="none"/>
      </font>
      <fill>
        <patternFill patternType="solid">
          <fgColor indexed="64"/>
          <bgColor theme="5" tint="0.79998168889431442"/>
        </patternFill>
      </fill>
    </dxf>
    <dxf>
      <font>
        <b val="0"/>
        <i val="0"/>
        <strike val="0"/>
        <condense val="0"/>
        <extend val="0"/>
        <outline val="0"/>
        <shadow val="0"/>
        <u val="none"/>
        <vertAlign val="baseline"/>
        <sz val="8"/>
        <color theme="1"/>
        <name val="Arial"/>
        <family val="2"/>
        <scheme val="none"/>
      </font>
      <fill>
        <patternFill patternType="solid">
          <fgColor theme="9" tint="0.79998168889431442"/>
          <bgColor theme="5" tint="0.79998168889431442"/>
        </patternFill>
      </fill>
    </dxf>
    <dxf>
      <font>
        <strike val="0"/>
        <outline val="0"/>
        <shadow val="0"/>
        <u val="none"/>
        <vertAlign val="baseline"/>
        <sz val="8"/>
        <name val="Arial"/>
        <family val="2"/>
        <scheme val="none"/>
      </font>
      <fill>
        <patternFill patternType="solid">
          <bgColor theme="5" tint="0.79998168889431442"/>
        </patternFill>
      </fill>
    </dxf>
    <dxf>
      <font>
        <strike val="0"/>
        <outline val="0"/>
        <shadow val="0"/>
        <u val="none"/>
        <vertAlign val="baseline"/>
        <sz val="8"/>
        <color auto="1"/>
        <name val="Arial"/>
        <family val="2"/>
        <scheme val="none"/>
      </font>
      <fill>
        <patternFill patternType="solid">
          <fgColor indexed="64"/>
          <bgColor theme="5" tint="0.59999389629810485"/>
        </patternFill>
      </fill>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2" formatCode="0.00"/>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border diagonalUp="0" diagonalDown="0">
        <left/>
        <right style="thin">
          <color auto="1"/>
        </right>
        <top style="thin">
          <color auto="1"/>
        </top>
        <bottom style="thin">
          <color auto="1"/>
        </bottom>
        <vertical/>
        <horizontal/>
      </border>
    </dxf>
    <dxf>
      <border outline="0">
        <top style="thin">
          <color auto="1"/>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dxf>
    <dxf>
      <font>
        <b/>
        <i val="0"/>
        <strike val="0"/>
        <condense val="0"/>
        <extend val="0"/>
        <outline val="0"/>
        <shadow val="0"/>
        <u val="none"/>
        <vertAlign val="baseline"/>
        <sz val="10"/>
        <color auto="1"/>
        <name val="Arial"/>
        <family val="2"/>
        <scheme val="none"/>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1"/>
        <color theme="5" tint="-0.499984740745262"/>
        <name val="Calibri"/>
        <family val="2"/>
        <scheme val="none"/>
      </font>
      <fill>
        <patternFill>
          <bgColor theme="5" tint="0.79998168889431442"/>
        </patternFill>
      </fill>
    </dxf>
    <dxf>
      <font>
        <b val="0"/>
        <i/>
        <strike val="0"/>
        <condense val="0"/>
        <extend val="0"/>
        <outline val="0"/>
        <shadow val="0"/>
        <u val="none"/>
        <vertAlign val="baseline"/>
        <sz val="11"/>
        <color theme="5" tint="-0.499984740745262"/>
        <name val="Calibri"/>
        <family val="2"/>
        <scheme val="none"/>
      </font>
      <fill>
        <patternFill>
          <bgColor theme="5" tint="0.79998168889431442"/>
        </patternFill>
      </fill>
    </dxf>
    <dxf>
      <font>
        <b val="0"/>
        <i/>
        <strike val="0"/>
        <condense val="0"/>
        <extend val="0"/>
        <outline val="0"/>
        <shadow val="0"/>
        <u val="none"/>
        <vertAlign val="baseline"/>
        <sz val="11"/>
        <color theme="5" tint="-0.499984740745262"/>
        <name val="Calibri"/>
        <family val="2"/>
        <scheme val="none"/>
      </font>
      <fill>
        <patternFill>
          <bgColor theme="5" tint="0.79998168889431442"/>
        </patternFill>
      </fill>
    </dxf>
    <dxf>
      <font>
        <b val="0"/>
        <i/>
        <strike val="0"/>
        <condense val="0"/>
        <extend val="0"/>
        <outline val="0"/>
        <shadow val="0"/>
        <u val="none"/>
        <vertAlign val="baseline"/>
        <sz val="11"/>
        <color theme="5" tint="-0.499984740745262"/>
        <name val="Calibri"/>
        <family val="2"/>
        <scheme val="none"/>
      </font>
      <fill>
        <patternFill>
          <bgColor theme="5" tint="0.79998168889431442"/>
        </patternFill>
      </fill>
    </dxf>
    <dxf>
      <font>
        <b val="0"/>
        <i/>
        <strike val="0"/>
        <condense val="0"/>
        <extend val="0"/>
        <outline val="0"/>
        <shadow val="0"/>
        <u val="none"/>
        <vertAlign val="baseline"/>
        <sz val="11"/>
        <color theme="5" tint="-0.499984740745262"/>
        <name val="Calibri"/>
        <family val="2"/>
        <scheme val="none"/>
      </font>
      <fill>
        <patternFill>
          <bgColor theme="5" tint="0.79998168889431442"/>
        </patternFill>
      </fill>
    </dxf>
    <dxf>
      <font>
        <b val="0"/>
        <i/>
        <strike val="0"/>
        <condense val="0"/>
        <extend val="0"/>
        <outline val="0"/>
        <shadow val="0"/>
        <u val="none"/>
        <vertAlign val="baseline"/>
        <sz val="11"/>
        <color theme="5" tint="-0.499984740745262"/>
        <name val="Calibri"/>
        <family val="2"/>
        <scheme val="none"/>
      </font>
      <fill>
        <patternFill>
          <bgColor theme="5" tint="0.79998168889431442"/>
        </patternFill>
      </fill>
    </dxf>
    <dxf>
      <font>
        <b val="0"/>
        <i/>
        <strike val="0"/>
        <condense val="0"/>
        <extend val="0"/>
        <outline val="0"/>
        <shadow val="0"/>
        <u val="none"/>
        <vertAlign val="baseline"/>
        <sz val="10"/>
        <color theme="5" tint="-0.499984740745262"/>
        <name val="Arial"/>
        <family val="2"/>
        <scheme val="none"/>
      </font>
      <numFmt numFmtId="2" formatCode="0.00"/>
      <fill>
        <patternFill patternType="solid">
          <fgColor rgb="FF000000"/>
          <bgColor theme="5"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bgColor theme="5" tint="0.79998168889431442"/>
        </patternFill>
      </fill>
    </dxf>
    <dxf>
      <border outline="0">
        <bottom style="medium">
          <color indexed="64"/>
        </bottom>
      </border>
    </dxf>
    <dxf>
      <border outline="0">
        <top style="thin">
          <color indexed="64"/>
        </top>
      </border>
    </dxf>
    <dxf>
      <font>
        <b val="0"/>
        <i val="0"/>
        <strike val="0"/>
        <condense val="0"/>
        <extend val="0"/>
        <outline val="0"/>
        <shadow val="0"/>
        <u val="none"/>
        <vertAlign val="baseline"/>
        <sz val="11"/>
        <color theme="1"/>
        <name val="Calibri"/>
        <family val="2"/>
        <scheme val="none"/>
      </font>
      <fill>
        <patternFill>
          <bgColor theme="5" tint="0.79998168889431442"/>
        </patternFill>
      </fill>
    </dxf>
    <dxf>
      <font>
        <b/>
        <i val="0"/>
        <strike val="0"/>
        <condense val="0"/>
        <extend val="0"/>
        <outline val="0"/>
        <shadow val="0"/>
        <u val="none"/>
        <vertAlign val="baseline"/>
        <sz val="11"/>
        <color theme="1"/>
        <name val="Calibri"/>
        <family val="2"/>
        <scheme val="none"/>
      </font>
      <fill>
        <patternFill patternType="solid">
          <fgColor indexed="64"/>
          <bgColor theme="5" tint="0.59999389629810485"/>
        </patternFill>
      </fill>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ill>
        <patternFill patternType="solid">
          <fgColor indexed="64"/>
          <bgColor theme="5" tint="0.79998168889431442"/>
        </patternFill>
      </fill>
    </dxf>
    <dxf>
      <fill>
        <patternFill patternType="solid">
          <fgColor indexed="64"/>
          <bgColor theme="5" tint="0.79998168889431442"/>
        </patternFill>
      </fill>
    </dxf>
    <dxf>
      <numFmt numFmtId="2" formatCode="0.00"/>
      <fill>
        <patternFill patternType="solid">
          <fgColor indexed="64"/>
          <bgColor theme="5" tint="0.79998168889431442"/>
        </patternFill>
      </fill>
    </dxf>
    <dxf>
      <fill>
        <patternFill patternType="solid">
          <fgColor indexed="64"/>
          <bgColor theme="5" tint="0.79998168889431442"/>
        </patternFill>
      </fill>
      <alignment horizontal="left" vertical="center" textRotation="0" wrapText="0" indent="0" justifyLastLine="0" shrinkToFit="0" readingOrder="0"/>
    </dxf>
    <dxf>
      <border outline="0">
        <bottom style="thin">
          <color indexed="64"/>
        </bottom>
      </border>
    </dxf>
    <dxf>
      <border outline="0">
        <left style="medium">
          <color indexed="64"/>
        </left>
        <right style="medium">
          <color indexed="64"/>
        </right>
        <top style="medium">
          <color indexed="64"/>
        </top>
        <bottom style="medium">
          <color indexed="64"/>
        </bottom>
      </border>
    </dxf>
    <dxf>
      <fill>
        <patternFill patternType="solid">
          <fgColor indexed="64"/>
          <bgColor theme="5" tint="0.79998168889431442"/>
        </patternFill>
      </fill>
    </dxf>
    <dxf>
      <fill>
        <patternFill>
          <fgColor indexed="64"/>
          <bgColor theme="5" tint="0.39997558519241921"/>
        </patternFill>
      </fill>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none"/>
      </font>
      <numFmt numFmtId="179" formatCode="_(* #,##0.0000_);_(* \(#,##0.0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179" formatCode="_(* #,##0.0000_);_(* \(#,##0.0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179" formatCode="_(* #,##0.0000_);_(* \(#,##0.0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179" formatCode="_(* #,##0.0000_);_(* \(#,##0.0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179" formatCode="_(* #,##0.0000_);_(* \(#,##0.0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179" formatCode="_(* #,##0.0000_);_(* \(#,##0.0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179" formatCode="_(* #,##0.0000_);_(* \(#,##0.0000\);_(* &quot;-&quot;??_);_(@_)"/>
      <fill>
        <patternFill patternType="solid">
          <fgColor indexed="64"/>
          <bgColor rgb="FFDBF2F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79" formatCode="_(* #,##0.0000_);_(* \(#,##0.0000\);_(* &quot;-&quot;??_);_(@_)"/>
      <fill>
        <patternFill patternType="solid">
          <fgColor indexed="64"/>
          <bgColor rgb="FFDBF2F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fill>
        <patternFill patternType="solid">
          <fgColor indexed="64"/>
          <bgColor rgb="FFDBF2F5"/>
        </patternFill>
      </fill>
    </dxf>
    <dxf>
      <font>
        <b/>
        <i val="0"/>
        <strike val="0"/>
        <condense val="0"/>
        <extend val="0"/>
        <outline val="0"/>
        <shadow val="0"/>
        <u val="none"/>
        <vertAlign val="baseline"/>
        <sz val="11"/>
        <color auto="1"/>
        <name val="Calibri"/>
        <family val="2"/>
        <scheme val="none"/>
      </font>
      <fill>
        <patternFill patternType="solid">
          <fgColor indexed="64"/>
          <bgColor rgb="FF6CC9D6"/>
        </patternFill>
      </fill>
    </dxf>
    <dxf>
      <font>
        <strike val="0"/>
        <outline val="0"/>
        <shadow val="0"/>
        <u val="none"/>
        <vertAlign val="baseline"/>
        <sz val="11"/>
        <name val="Calibri"/>
        <family val="2"/>
        <scheme val="none"/>
      </font>
      <numFmt numFmtId="35" formatCode="_(* #,##0.00_);_(* \(#,##0.00\);_(* &quot;-&quot;??_);_(@_)"/>
      <fill>
        <patternFill patternType="solid">
          <fgColor indexed="64"/>
          <bgColor rgb="FFDBF2F5"/>
        </patternFill>
      </fill>
    </dxf>
    <dxf>
      <font>
        <b val="0"/>
        <i val="0"/>
        <strike val="0"/>
        <condense val="0"/>
        <extend val="0"/>
        <outline val="0"/>
        <shadow val="0"/>
        <u val="none"/>
        <vertAlign val="baseline"/>
        <sz val="11"/>
        <color auto="1"/>
        <name val="Calibri"/>
        <family val="2"/>
        <scheme val="none"/>
      </font>
      <numFmt numFmtId="2" formatCode="0.00"/>
      <fill>
        <patternFill patternType="solid">
          <fgColor indexed="64"/>
          <bgColor rgb="FFDBF2F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2" formatCode="0.00"/>
      <fill>
        <patternFill patternType="solid">
          <fgColor indexed="64"/>
          <bgColor rgb="FFDBF2F5"/>
        </patternFill>
      </fill>
    </dxf>
    <dxf>
      <font>
        <b val="0"/>
        <i val="0"/>
        <strike val="0"/>
        <condense val="0"/>
        <extend val="0"/>
        <outline val="0"/>
        <shadow val="0"/>
        <u val="none"/>
        <vertAlign val="baseline"/>
        <sz val="11"/>
        <color auto="1"/>
        <name val="Calibri"/>
        <family val="2"/>
        <scheme val="none"/>
      </font>
      <fill>
        <patternFill patternType="solid">
          <fgColor indexed="64"/>
          <bgColor rgb="FFDBF2F5"/>
        </patternFill>
      </fill>
      <alignment horizontal="right" vertical="bottom" textRotation="0" wrapText="0" indent="0" justifyLastLine="0" shrinkToFit="0" readingOrder="0"/>
    </dxf>
    <dxf>
      <font>
        <strike val="0"/>
        <outline val="0"/>
        <shadow val="0"/>
        <u val="none"/>
        <vertAlign val="baseline"/>
        <sz val="11"/>
        <name val="Calibri"/>
        <family val="2"/>
        <scheme val="none"/>
      </font>
      <fill>
        <patternFill patternType="solid">
          <bgColor rgb="FFDBF2F5"/>
        </patternFill>
      </fill>
    </dxf>
    <dxf>
      <font>
        <strike val="0"/>
        <outline val="0"/>
        <shadow val="0"/>
        <u val="none"/>
        <vertAlign val="baseline"/>
        <sz val="11"/>
        <color auto="1"/>
        <name val="Calibri"/>
        <family val="2"/>
        <scheme val="none"/>
      </font>
      <fill>
        <patternFill patternType="solid">
          <fgColor indexed="64"/>
          <bgColor rgb="FF6CC9D6"/>
        </patternFill>
      </fill>
    </dxf>
    <dxf>
      <font>
        <strike val="0"/>
        <outline val="0"/>
        <shadow val="0"/>
        <u val="none"/>
        <vertAlign val="baseline"/>
        <sz val="11"/>
        <color theme="1"/>
        <name val="Calibri"/>
        <family val="2"/>
        <scheme val="none"/>
      </font>
      <numFmt numFmtId="35" formatCode="_(* #,##0.00_);_(* \(#,##0.00\);_(* &quot;-&quot;??_);_(@_)"/>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i val="0"/>
        <strike val="0"/>
        <condense val="0"/>
        <extend val="0"/>
        <outline val="0"/>
        <shadow val="0"/>
        <u val="none"/>
        <vertAlign val="baseline"/>
        <sz val="11"/>
        <color auto="1"/>
        <name val="Calibri"/>
        <family val="2"/>
        <scheme val="none"/>
      </font>
      <fill>
        <patternFill patternType="solid">
          <fgColor theme="9"/>
          <bgColor rgb="FF6CC9D6"/>
        </patternFill>
      </fill>
      <alignment horizontal="center" vertical="bottom" textRotation="0" wrapText="0" indent="0" justifyLastLine="0" shrinkToFit="0" readingOrder="0"/>
    </dxf>
    <dxf>
      <font>
        <strike val="0"/>
        <outline val="0"/>
        <shadow val="0"/>
        <u val="none"/>
        <vertAlign val="baseline"/>
        <sz val="11"/>
        <color theme="1"/>
        <name val="Calibri"/>
        <family val="2"/>
        <scheme val="none"/>
      </font>
      <numFmt numFmtId="35" formatCode="_(* #,##0.00_);_(* \(#,##0.00\);_(* &quot;-&quot;??_);_(@_)"/>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i val="0"/>
        <strike val="0"/>
        <condense val="0"/>
        <extend val="0"/>
        <outline val="0"/>
        <shadow val="0"/>
        <u val="none"/>
        <vertAlign val="baseline"/>
        <sz val="11"/>
        <color auto="1"/>
        <name val="Calibri"/>
        <family val="2"/>
        <scheme val="none"/>
      </font>
      <fill>
        <patternFill patternType="solid">
          <fgColor theme="9"/>
          <bgColor rgb="FF6CC9D6"/>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val="0"/>
        <i val="0"/>
        <strike val="0"/>
        <condense val="0"/>
        <extend val="0"/>
        <outline val="0"/>
        <shadow val="0"/>
        <u val="none"/>
        <vertAlign val="baseline"/>
        <sz val="11"/>
        <color theme="1"/>
        <name val="Calibri"/>
        <family val="2"/>
        <scheme val="none"/>
      </font>
      <fill>
        <patternFill patternType="solid">
          <fgColor theme="9" tint="0.79998168889431442"/>
          <bgColor rgb="FFDBF2F5"/>
        </patternFill>
      </fill>
    </dxf>
    <dxf>
      <font>
        <b/>
        <i val="0"/>
        <strike val="0"/>
        <condense val="0"/>
        <extend val="0"/>
        <outline val="0"/>
        <shadow val="0"/>
        <u val="none"/>
        <vertAlign val="baseline"/>
        <sz val="11"/>
        <color auto="1"/>
        <name val="Calibri"/>
        <family val="2"/>
        <scheme val="none"/>
      </font>
      <fill>
        <patternFill patternType="solid">
          <fgColor theme="9"/>
          <bgColor rgb="FF6CC9D6"/>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68" formatCode="_(* #,##0_);_(* \(#,##0\);_(* &quot;-&quot;??_);_(@_)"/>
      <fill>
        <patternFill patternType="solid">
          <fgColor indexed="64"/>
          <bgColor theme="5" tint="0.79998168889431442"/>
        </patternFill>
      </fill>
    </dxf>
    <dxf>
      <font>
        <b val="0"/>
        <i val="0"/>
        <strike val="0"/>
        <condense val="0"/>
        <extend val="0"/>
        <outline val="0"/>
        <shadow val="0"/>
        <u val="none"/>
        <vertAlign val="baseline"/>
        <sz val="11"/>
        <color auto="1"/>
        <name val="Calibri"/>
        <family val="2"/>
        <scheme val="none"/>
      </font>
      <numFmt numFmtId="168" formatCode="_(* #,##0_);_(* \(#,##0\);_(* &quot;-&quot;??_);_(@_)"/>
      <fill>
        <patternFill patternType="solid">
          <fgColor indexed="64"/>
          <bgColor theme="5" tint="0.79998168889431442"/>
        </patternFill>
      </fill>
    </dxf>
    <dxf>
      <font>
        <b val="0"/>
        <i val="0"/>
        <strike val="0"/>
        <condense val="0"/>
        <extend val="0"/>
        <outline val="0"/>
        <shadow val="0"/>
        <u val="none"/>
        <vertAlign val="baseline"/>
        <sz val="11"/>
        <color auto="1"/>
        <name val="Calibri"/>
        <family val="2"/>
        <scheme val="none"/>
      </font>
      <numFmt numFmtId="168" formatCode="_(* #,##0_);_(* \(#,##0\);_(* &quot;-&quot;??_);_(@_)"/>
      <fill>
        <patternFill patternType="solid">
          <fgColor indexed="64"/>
          <bgColor theme="5" tint="0.79998168889431442"/>
        </patternFill>
      </fill>
    </dxf>
    <dxf>
      <font>
        <b val="0"/>
        <i val="0"/>
        <strike val="0"/>
        <condense val="0"/>
        <extend val="0"/>
        <outline val="0"/>
        <shadow val="0"/>
        <u val="none"/>
        <vertAlign val="baseline"/>
        <sz val="11"/>
        <color auto="1"/>
        <name val="Calibri"/>
        <family val="2"/>
        <scheme val="none"/>
      </font>
      <numFmt numFmtId="168" formatCode="_(* #,##0_);_(* \(#,##0\);_(* &quot;-&quot;??_);_(@_)"/>
      <fill>
        <patternFill patternType="solid">
          <fgColor indexed="64"/>
          <bgColor theme="5" tint="0.79998168889431442"/>
        </patternFill>
      </fill>
    </dxf>
    <dxf>
      <font>
        <b val="0"/>
        <i val="0"/>
        <strike val="0"/>
        <condense val="0"/>
        <extend val="0"/>
        <outline val="0"/>
        <shadow val="0"/>
        <u val="none"/>
        <vertAlign val="baseline"/>
        <sz val="11"/>
        <color auto="1"/>
        <name val="Calibri"/>
        <family val="2"/>
        <scheme val="none"/>
      </font>
      <numFmt numFmtId="168" formatCode="_(* #,##0_);_(* \(#,##0\);_(* &quot;-&quot;??_);_(@_)"/>
      <fill>
        <patternFill patternType="solid">
          <fgColor indexed="64"/>
          <bgColor theme="5" tint="0.79998168889431442"/>
        </patternFill>
      </fill>
    </dxf>
    <dxf>
      <font>
        <b val="0"/>
        <i val="0"/>
        <strike val="0"/>
        <condense val="0"/>
        <extend val="0"/>
        <outline val="0"/>
        <shadow val="0"/>
        <u val="none"/>
        <vertAlign val="baseline"/>
        <sz val="11"/>
        <color auto="1"/>
        <name val="Calibri"/>
        <family val="2"/>
        <scheme val="none"/>
      </font>
      <numFmt numFmtId="168" formatCode="_(* #,##0_);_(* \(#,##0\);_(* &quot;-&quot;??_);_(@_)"/>
      <fill>
        <patternFill patternType="solid">
          <fgColor indexed="64"/>
          <bgColor theme="5" tint="0.79998168889431442"/>
        </patternFill>
      </fill>
    </dxf>
    <dxf>
      <font>
        <b val="0"/>
        <i val="0"/>
        <strike val="0"/>
        <condense val="0"/>
        <extend val="0"/>
        <outline val="0"/>
        <shadow val="0"/>
        <u val="none"/>
        <vertAlign val="baseline"/>
        <sz val="11"/>
        <color auto="1"/>
        <name val="Calibri"/>
        <family val="2"/>
        <scheme val="none"/>
      </font>
      <numFmt numFmtId="168" formatCode="_(* #,##0_);_(* \(#,##0\);_(* &quot;-&quot;??_);_(@_)"/>
      <fill>
        <patternFill patternType="solid">
          <fgColor indexed="64"/>
          <bgColor theme="5" tint="0.79998168889431442"/>
        </patternFill>
      </fill>
    </dxf>
    <dxf>
      <font>
        <b val="0"/>
        <i val="0"/>
        <strike val="0"/>
        <condense val="0"/>
        <extend val="0"/>
        <outline val="0"/>
        <shadow val="0"/>
        <u val="none"/>
        <vertAlign val="baseline"/>
        <sz val="11"/>
        <color auto="1"/>
        <name val="Calibri"/>
        <family val="2"/>
        <scheme val="none"/>
      </font>
      <numFmt numFmtId="168" formatCode="_(* #,##0_);_(* \(#,##0\);_(* &quot;-&quot;??_);_(@_)"/>
      <fill>
        <patternFill patternType="solid">
          <fgColor indexed="64"/>
          <bgColor theme="5" tint="0.79998168889431442"/>
        </patternFill>
      </fill>
    </dxf>
    <dxf>
      <font>
        <b val="0"/>
        <i val="0"/>
        <strike val="0"/>
        <condense val="0"/>
        <extend val="0"/>
        <outline val="0"/>
        <shadow val="0"/>
        <u val="none"/>
        <vertAlign val="baseline"/>
        <sz val="11"/>
        <color auto="1"/>
        <name val="Calibri"/>
        <family val="2"/>
        <scheme val="none"/>
      </font>
      <numFmt numFmtId="168" formatCode="_(* #,##0_);_(* \(#,##0\);_(* &quot;-&quot;??_);_(@_)"/>
      <fill>
        <patternFill patternType="solid">
          <fgColor indexed="64"/>
          <bgColor theme="5" tint="0.79998168889431442"/>
        </patternFill>
      </fill>
    </dxf>
    <dxf>
      <font>
        <strike val="0"/>
        <outline val="0"/>
        <shadow val="0"/>
        <u val="none"/>
        <vertAlign val="baseline"/>
        <sz val="11"/>
        <name val="Calibri"/>
        <family val="2"/>
        <scheme val="none"/>
      </font>
      <fill>
        <patternFill patternType="solid">
          <fgColor indexed="64"/>
          <bgColor theme="5" tint="0.79998168889431442"/>
        </patternFill>
      </fill>
    </dxf>
    <dxf>
      <font>
        <strike val="0"/>
        <outline val="0"/>
        <shadow val="0"/>
        <u val="none"/>
        <vertAlign val="baseline"/>
        <sz val="11"/>
        <name val="Calibri"/>
        <family val="2"/>
        <scheme val="none"/>
      </font>
      <fill>
        <patternFill patternType="solid">
          <fgColor indexed="64"/>
          <bgColor theme="5" tint="0.79998168889431442"/>
        </patternFill>
      </fill>
    </dxf>
    <dxf>
      <font>
        <strike val="0"/>
        <outline val="0"/>
        <shadow val="0"/>
        <u val="none"/>
        <vertAlign val="baseline"/>
        <sz val="11"/>
        <name val="Calibri"/>
        <family val="2"/>
        <scheme val="none"/>
      </font>
      <fill>
        <patternFill patternType="solid">
          <fgColor indexed="64"/>
          <bgColor theme="5" tint="0.79998168889431442"/>
        </patternFill>
      </fill>
    </dxf>
    <dxf>
      <font>
        <strike val="0"/>
        <outline val="0"/>
        <shadow val="0"/>
        <u val="none"/>
        <vertAlign val="baseline"/>
        <sz val="11"/>
        <name val="Calibri"/>
        <family val="2"/>
        <scheme val="none"/>
      </font>
      <fill>
        <patternFill patternType="solid">
          <fgColor indexed="64"/>
          <bgColor theme="5" tint="0.79998168889431442"/>
        </patternFill>
      </fill>
    </dxf>
    <dxf>
      <font>
        <b val="0"/>
        <i val="0"/>
        <strike val="0"/>
        <condense val="0"/>
        <extend val="0"/>
        <outline val="0"/>
        <shadow val="0"/>
        <u val="none"/>
        <vertAlign val="baseline"/>
        <sz val="11"/>
        <color auto="1"/>
        <name val="Calibri"/>
        <family val="2"/>
        <scheme val="none"/>
      </font>
      <fill>
        <patternFill patternType="solid">
          <fgColor indexed="64"/>
          <bgColor theme="5" tint="0.79998168889431442"/>
        </patternFill>
      </fill>
    </dxf>
    <dxf>
      <font>
        <b/>
        <i val="0"/>
        <strike val="0"/>
        <condense val="0"/>
        <extend val="0"/>
        <outline val="0"/>
        <shadow val="0"/>
        <u val="none"/>
        <vertAlign val="baseline"/>
        <sz val="11"/>
        <color auto="1"/>
        <name val="Calibri"/>
        <family val="2"/>
        <scheme val="none"/>
      </font>
      <fill>
        <patternFill patternType="solid">
          <fgColor indexed="64"/>
          <bgColor theme="5"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167" formatCode="_-* #,##0_-;\-* #,##0_-;_-* &quot;-&quot;??_-;_-@_-"/>
      <fill>
        <patternFill patternType="solid">
          <fgColor indexed="64"/>
          <bgColor rgb="FFDBF2F5"/>
        </patternFill>
      </fill>
    </dxf>
    <dxf>
      <font>
        <b val="0"/>
        <i val="0"/>
        <strike val="0"/>
        <condense val="0"/>
        <extend val="0"/>
        <outline val="0"/>
        <shadow val="0"/>
        <u val="none"/>
        <vertAlign val="baseline"/>
        <sz val="10"/>
        <color auto="1"/>
        <name val="Arial"/>
        <family val="2"/>
        <scheme val="none"/>
      </font>
      <numFmt numFmtId="169" formatCode="_-* #,##0.00_-;\-* #,##0.00_-;_-* &quot;-&quot;??_-;_-@_-"/>
      <fill>
        <patternFill patternType="solid">
          <fgColor indexed="64"/>
          <bgColor rgb="FFDBF2F5"/>
        </patternFill>
      </fill>
    </dxf>
    <dxf>
      <font>
        <b val="0"/>
        <i val="0"/>
        <strike val="0"/>
        <condense val="0"/>
        <extend val="0"/>
        <outline val="0"/>
        <shadow val="0"/>
        <u val="none"/>
        <vertAlign val="baseline"/>
        <sz val="10"/>
        <color auto="1"/>
        <name val="Arial"/>
        <family val="2"/>
        <scheme val="none"/>
      </font>
      <numFmt numFmtId="169" formatCode="_-* #,##0.00_-;\-* #,##0.00_-;_-* &quot;-&quot;??_-;_-@_-"/>
      <fill>
        <patternFill patternType="solid">
          <fgColor indexed="64"/>
          <bgColor rgb="FFDBF2F5"/>
        </patternFill>
      </fill>
    </dxf>
    <dxf>
      <font>
        <b val="0"/>
        <i val="0"/>
        <strike val="0"/>
        <condense val="0"/>
        <extend val="0"/>
        <outline val="0"/>
        <shadow val="0"/>
        <u val="none"/>
        <vertAlign val="baseline"/>
        <sz val="10"/>
        <color auto="1"/>
        <name val="Arial"/>
        <family val="2"/>
        <scheme val="none"/>
      </font>
      <numFmt numFmtId="169" formatCode="_-* #,##0.00_-;\-* #,##0.00_-;_-* &quot;-&quot;??_-;_-@_-"/>
      <fill>
        <patternFill patternType="solid">
          <fgColor indexed="64"/>
          <bgColor rgb="FFDBF2F5"/>
        </patternFill>
      </fill>
    </dxf>
    <dxf>
      <font>
        <b val="0"/>
        <i val="0"/>
        <strike val="0"/>
        <condense val="0"/>
        <extend val="0"/>
        <outline val="0"/>
        <shadow val="0"/>
        <u val="none"/>
        <vertAlign val="baseline"/>
        <sz val="10"/>
        <color auto="1"/>
        <name val="Arial"/>
        <family val="2"/>
        <scheme val="none"/>
      </font>
      <numFmt numFmtId="169" formatCode="_-* #,##0.00_-;\-* #,##0.00_-;_-* &quot;-&quot;??_-;_-@_-"/>
      <fill>
        <patternFill patternType="solid">
          <fgColor indexed="64"/>
          <bgColor rgb="FFDBF2F5"/>
        </patternFill>
      </fill>
    </dxf>
    <dxf>
      <font>
        <b val="0"/>
        <i val="0"/>
        <strike val="0"/>
        <condense val="0"/>
        <extend val="0"/>
        <outline val="0"/>
        <shadow val="0"/>
        <u val="none"/>
        <vertAlign val="baseline"/>
        <sz val="10"/>
        <color auto="1"/>
        <name val="Arial"/>
        <family val="2"/>
        <scheme val="none"/>
      </font>
      <numFmt numFmtId="169" formatCode="_-* #,##0.00_-;\-* #,##0.00_-;_-* &quot;-&quot;??_-;_-@_-"/>
      <fill>
        <patternFill patternType="solid">
          <fgColor indexed="64"/>
          <bgColor rgb="FFDBF2F5"/>
        </patternFill>
      </fill>
    </dxf>
    <dxf>
      <font>
        <b val="0"/>
        <i val="0"/>
        <strike val="0"/>
        <condense val="0"/>
        <extend val="0"/>
        <outline val="0"/>
        <shadow val="0"/>
        <u val="none"/>
        <vertAlign val="baseline"/>
        <sz val="10"/>
        <color auto="1"/>
        <name val="Arial"/>
        <family val="2"/>
        <scheme val="none"/>
      </font>
      <numFmt numFmtId="169" formatCode="_-* #,##0.00_-;\-* #,##0.00_-;_-* &quot;-&quot;??_-;_-@_-"/>
      <fill>
        <patternFill patternType="solid">
          <fgColor indexed="64"/>
          <bgColor rgb="FFDBF2F5"/>
        </patternFill>
      </fill>
    </dxf>
    <dxf>
      <font>
        <b val="0"/>
        <i val="0"/>
        <strike val="0"/>
        <condense val="0"/>
        <extend val="0"/>
        <outline val="0"/>
        <shadow val="0"/>
        <u val="none"/>
        <vertAlign val="baseline"/>
        <sz val="10"/>
        <color auto="1"/>
        <name val="Arial"/>
        <family val="2"/>
        <scheme val="none"/>
      </font>
      <numFmt numFmtId="169" formatCode="_-* #,##0.00_-;\-* #,##0.00_-;_-* &quot;-&quot;??_-;_-@_-"/>
      <fill>
        <patternFill patternType="solid">
          <fgColor indexed="64"/>
          <bgColor rgb="FFDBF2F5"/>
        </patternFill>
      </fill>
    </dxf>
    <dxf>
      <font>
        <b val="0"/>
        <i val="0"/>
        <strike val="0"/>
        <condense val="0"/>
        <extend val="0"/>
        <outline val="0"/>
        <shadow val="0"/>
        <u val="none"/>
        <vertAlign val="baseline"/>
        <sz val="10"/>
        <color auto="1"/>
        <name val="Arial"/>
        <family val="2"/>
        <scheme val="none"/>
      </font>
      <numFmt numFmtId="169" formatCode="_-* #,##0.00_-;\-* #,##0.00_-;_-* &quot;-&quot;??_-;_-@_-"/>
      <fill>
        <patternFill patternType="solid">
          <fgColor indexed="64"/>
          <bgColor rgb="FFDBF2F5"/>
        </patternFill>
      </fill>
    </dxf>
    <dxf>
      <font>
        <b val="0"/>
        <i val="0"/>
        <strike val="0"/>
        <condense val="0"/>
        <extend val="0"/>
        <outline val="0"/>
        <shadow val="0"/>
        <u val="none"/>
        <vertAlign val="baseline"/>
        <sz val="10"/>
        <color auto="1"/>
        <name val="Arial"/>
        <family val="2"/>
        <scheme val="none"/>
      </font>
      <fill>
        <patternFill patternType="solid">
          <fgColor indexed="64"/>
          <bgColor rgb="FFDBF2F5"/>
        </patternFill>
      </fill>
    </dxf>
    <dxf>
      <font>
        <b val="0"/>
        <i val="0"/>
        <strike val="0"/>
        <condense val="0"/>
        <extend val="0"/>
        <outline val="0"/>
        <shadow val="0"/>
        <u val="none"/>
        <vertAlign val="baseline"/>
        <sz val="10"/>
        <color auto="1"/>
        <name val="Arial"/>
        <family val="2"/>
        <scheme val="none"/>
      </font>
      <fill>
        <patternFill patternType="solid">
          <fgColor indexed="64"/>
          <bgColor rgb="FFDBF2F5"/>
        </patternFill>
      </fill>
    </dxf>
    <dxf>
      <font>
        <b/>
        <i val="0"/>
        <strike val="0"/>
        <condense val="0"/>
        <extend val="0"/>
        <outline val="0"/>
        <shadow val="0"/>
        <u val="none"/>
        <vertAlign val="baseline"/>
        <sz val="10"/>
        <color auto="1"/>
        <name val="Arial"/>
        <family val="2"/>
        <scheme val="none"/>
      </font>
      <fill>
        <patternFill patternType="solid">
          <fgColor indexed="64"/>
          <bgColor rgb="FF6CC9D6"/>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fill>
        <patternFill patternType="solid">
          <fgColor indexed="64"/>
          <bgColor theme="5" tint="0.79998168889431442"/>
        </patternFill>
      </fill>
    </dxf>
    <dxf>
      <border outline="0">
        <left style="thin">
          <color theme="4" tint="0.39997558519241921"/>
        </left>
      </border>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fill>
        <patternFill patternType="solid">
          <fgColor indexed="64"/>
          <bgColor theme="5" tint="0.79998168889431442"/>
        </patternFill>
      </fill>
    </dxf>
    <dxf>
      <border outline="0">
        <left style="thin">
          <color theme="4" tint="0.39997558519241921"/>
        </left>
      </border>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fill>
        <patternFill patternType="solid">
          <fgColor indexed="64"/>
          <bgColor theme="5" tint="0.79998168889431442"/>
        </patternFill>
      </fill>
    </dxf>
    <dxf>
      <border outline="0">
        <left style="thin">
          <color theme="4" tint="0.39997558519241921"/>
        </left>
      </border>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fill>
        <patternFill patternType="solid">
          <fgColor indexed="64"/>
          <bgColor theme="5" tint="0.79998168889431442"/>
        </patternFill>
      </fill>
    </dxf>
    <dxf>
      <font>
        <b val="0"/>
        <i val="0"/>
        <strike val="0"/>
        <condense val="0"/>
        <extend val="0"/>
        <outline val="0"/>
        <shadow val="0"/>
        <u val="none"/>
        <vertAlign val="baseline"/>
        <sz val="11"/>
        <color theme="1"/>
        <name val="Calibri"/>
        <family val="2"/>
        <scheme val="none"/>
      </font>
      <fill>
        <patternFill patternType="solid">
          <fgColor indexed="64"/>
          <bgColor theme="5" tint="0.79998168889431442"/>
        </patternFill>
      </fill>
    </dxf>
    <dxf>
      <border outline="0">
        <left style="thin">
          <color theme="4" tint="0.39997558519241921"/>
        </left>
      </border>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14" formatCode="0.00%"/>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14" formatCode="0.00%"/>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14" formatCode="0.00%"/>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14" formatCode="0.00%"/>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14" formatCode="0.00%"/>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14" formatCode="0.00%"/>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fill>
        <patternFill patternType="solid">
          <fgColor indexed="64"/>
          <bgColor rgb="FFDBF2F5"/>
        </patternFill>
      </fill>
    </dxf>
    <dxf>
      <border outline="0">
        <bottom style="medium">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rgb="FFDBF2F5"/>
        </patternFill>
      </fill>
    </dxf>
    <dxf>
      <font>
        <b/>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rgb="FF6CC9D6"/>
        </patternFill>
      </fill>
    </dxf>
    <dxf>
      <font>
        <b/>
        <i val="0"/>
        <strike val="0"/>
        <condense val="0"/>
        <extend val="0"/>
        <outline val="0"/>
        <shadow val="0"/>
        <u val="none"/>
        <vertAlign val="baseline"/>
        <sz val="11"/>
        <color auto="1"/>
        <name val="Calibri"/>
        <family val="2"/>
        <scheme val="none"/>
      </font>
      <numFmt numFmtId="35" formatCode="_(* #,##0.00_);_(* \(#,##0.00\);_(* &quot;-&quot;??_);_(@_)"/>
      <fill>
        <patternFill patternType="solid">
          <fgColor indexed="64"/>
          <bgColor rgb="FFDBF2F5"/>
        </patternFill>
      </fill>
    </dxf>
    <dxf>
      <font>
        <b val="0"/>
        <i val="0"/>
        <strike val="0"/>
        <condense val="0"/>
        <extend val="0"/>
        <outline val="0"/>
        <shadow val="0"/>
        <u val="none"/>
        <vertAlign val="baseline"/>
        <sz val="11"/>
        <color auto="1"/>
        <name val="Calibri"/>
        <family val="2"/>
        <scheme val="none"/>
      </font>
      <fill>
        <patternFill patternType="solid">
          <fgColor indexed="64"/>
          <bgColor theme="5" tint="0.79998168889431442"/>
        </patternFill>
      </fill>
    </dxf>
    <dxf>
      <font>
        <b val="0"/>
        <i val="0"/>
        <strike val="0"/>
        <condense val="0"/>
        <extend val="0"/>
        <outline val="0"/>
        <shadow val="0"/>
        <u val="none"/>
        <vertAlign val="baseline"/>
        <sz val="11"/>
        <color auto="1"/>
        <name val="Calibri"/>
        <family val="2"/>
        <scheme val="none"/>
      </font>
      <fill>
        <patternFill patternType="solid">
          <fgColor indexed="64"/>
          <bgColor rgb="FFDBF2F5"/>
        </patternFill>
      </fill>
    </dxf>
    <dxf>
      <font>
        <b val="0"/>
        <i val="0"/>
        <strike val="0"/>
        <condense val="0"/>
        <extend val="0"/>
        <outline val="0"/>
        <shadow val="0"/>
        <u val="none"/>
        <vertAlign val="baseline"/>
        <sz val="11"/>
        <color auto="1"/>
        <name val="Calibri"/>
        <family val="2"/>
        <scheme val="none"/>
      </font>
      <fill>
        <patternFill patternType="solid">
          <fgColor indexed="64"/>
          <bgColor theme="5" tint="0.79998168889431442"/>
        </patternFill>
      </fill>
    </dxf>
    <dxf>
      <font>
        <b val="0"/>
        <i val="0"/>
        <strike val="0"/>
        <condense val="0"/>
        <extend val="0"/>
        <outline val="0"/>
        <shadow val="0"/>
        <u val="none"/>
        <vertAlign val="baseline"/>
        <sz val="11"/>
        <color auto="1"/>
        <name val="Calibri"/>
        <family val="2"/>
        <scheme val="none"/>
      </font>
      <fill>
        <patternFill patternType="solid">
          <fgColor indexed="64"/>
          <bgColor rgb="FFDBF2F5"/>
        </patternFill>
      </fill>
    </dxf>
    <dxf>
      <font>
        <b val="0"/>
        <i val="0"/>
        <strike val="0"/>
        <condense val="0"/>
        <extend val="0"/>
        <outline val="0"/>
        <shadow val="0"/>
        <u val="none"/>
        <vertAlign val="baseline"/>
        <sz val="11"/>
        <color auto="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auto="1"/>
        <name val="Calibri"/>
        <family val="2"/>
        <scheme val="none"/>
      </font>
      <fill>
        <patternFill patternType="solid">
          <fgColor indexed="64"/>
          <bgColor rgb="FFDBF2F5"/>
        </patternFill>
      </fill>
    </dxf>
    <dxf>
      <font>
        <b val="0"/>
        <i val="0"/>
        <strike val="0"/>
        <condense val="0"/>
        <extend val="0"/>
        <outline val="0"/>
        <shadow val="0"/>
        <u val="none"/>
        <vertAlign val="baseline"/>
        <sz val="11"/>
        <color auto="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auto="1"/>
        <name val="Calibri"/>
        <family val="2"/>
        <scheme val="none"/>
      </font>
      <fill>
        <patternFill patternType="solid">
          <fgColor indexed="64"/>
          <bgColor rgb="FFDBF2F5"/>
        </patternFill>
      </fill>
    </dxf>
    <dxf>
      <font>
        <b val="0"/>
        <i val="0"/>
        <strike val="0"/>
        <condense val="0"/>
        <extend val="0"/>
        <outline val="0"/>
        <shadow val="0"/>
        <u val="none"/>
        <vertAlign val="baseline"/>
        <sz val="11"/>
        <color auto="1"/>
        <name val="Calibri"/>
        <family val="2"/>
        <scheme val="none"/>
      </font>
      <numFmt numFmtId="35" formatCode="_(* #,##0.00_);_(* \(#,##0.00\);_(* &quot;-&quot;??_);_(@_)"/>
      <fill>
        <patternFill patternType="solid">
          <fgColor indexed="64"/>
          <bgColor theme="5" tint="0.79998168889431442"/>
        </patternFill>
      </fill>
    </dxf>
    <dxf>
      <font>
        <b val="0"/>
        <i val="0"/>
        <strike val="0"/>
        <condense val="0"/>
        <extend val="0"/>
        <outline val="0"/>
        <shadow val="0"/>
        <u val="none"/>
        <vertAlign val="baseline"/>
        <sz val="11"/>
        <color auto="1"/>
        <name val="Calibri"/>
        <family val="2"/>
        <scheme val="none"/>
      </font>
      <fill>
        <patternFill patternType="solid">
          <fgColor indexed="64"/>
          <bgColor rgb="FFDBF2F5"/>
        </patternFill>
      </fill>
    </dxf>
    <dxf>
      <font>
        <b val="0"/>
        <i val="0"/>
        <strike val="0"/>
        <condense val="0"/>
        <extend val="0"/>
        <outline val="0"/>
        <shadow val="0"/>
        <u val="none"/>
        <vertAlign val="baseline"/>
        <sz val="11"/>
        <color auto="1"/>
        <name val="Calibri"/>
        <family val="2"/>
        <scheme val="none"/>
      </font>
      <fill>
        <patternFill patternType="solid">
          <fgColor indexed="64"/>
          <bgColor rgb="FFDBF2F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theme="5" tint="0.79998168889431442"/>
        </patternFill>
      </fill>
      <alignment horizontal="right" vertical="bottom" textRotation="0" wrapText="0" indent="0" justifyLastLine="0" shrinkToFit="0" readingOrder="0"/>
    </dxf>
    <dxf>
      <border outline="0">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DBF2F5"/>
        </patternFill>
      </fill>
    </dxf>
    <dxf>
      <font>
        <b/>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rgb="FF6CC9D6"/>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fill>
        <patternFill patternType="solid">
          <fgColor indexed="64"/>
          <bgColor rgb="FFDBF2F5"/>
        </patternFill>
      </fill>
    </dxf>
    <dxf>
      <border outline="0">
        <left style="thin">
          <color theme="4" tint="0.39997558519241921"/>
        </left>
      </border>
    </dxf>
    <dxf>
      <font>
        <b val="0"/>
        <i val="0"/>
        <strike val="0"/>
        <condense val="0"/>
        <extend val="0"/>
        <outline val="0"/>
        <shadow val="0"/>
        <u val="none"/>
        <vertAlign val="baseline"/>
        <sz val="11"/>
        <color theme="1"/>
        <name val="Calibri"/>
        <family val="2"/>
        <scheme val="none"/>
      </font>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fill>
        <patternFill patternType="solid">
          <fgColor indexed="64"/>
          <bgColor rgb="FF6CC9D6"/>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numFmt numFmtId="35" formatCode="_(* #,##0.00_);_(* \(#,##0.00\);_(* &quot;-&quot;??_);_(@_)"/>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fill>
        <patternFill patternType="solid">
          <fgColor indexed="64"/>
          <bgColor rgb="FFDBF2F5"/>
        </patternFill>
      </fill>
    </dxf>
    <dxf>
      <font>
        <b val="0"/>
        <i val="0"/>
        <strike val="0"/>
        <condense val="0"/>
        <extend val="0"/>
        <outline val="0"/>
        <shadow val="0"/>
        <u val="none"/>
        <vertAlign val="baseline"/>
        <sz val="11"/>
        <color theme="1"/>
        <name val="Calibri"/>
        <family val="2"/>
        <scheme val="none"/>
      </font>
      <fill>
        <patternFill patternType="solid">
          <fgColor indexed="64"/>
          <bgColor rgb="FFDBF2F5"/>
        </patternFill>
      </fill>
    </dxf>
    <dxf>
      <border>
        <bottom style="medium">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rgb="FFDBF2F5"/>
        </patternFill>
      </fill>
    </dxf>
    <dxf>
      <font>
        <b/>
        <i val="0"/>
        <strike val="0"/>
        <condense val="0"/>
        <extend val="0"/>
        <outline val="0"/>
        <shadow val="0"/>
        <u val="none"/>
        <vertAlign val="baseline"/>
        <sz val="11"/>
        <color theme="1"/>
        <name val="Calibri"/>
        <family val="2"/>
        <scheme val="none"/>
      </font>
      <fill>
        <patternFill patternType="solid">
          <fgColor indexed="64"/>
          <bgColor rgb="FF6CC9D6"/>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ill>
        <patternFill patternType="solid">
          <fgColor indexed="64"/>
          <bgColor rgb="FFDBF2F5"/>
        </patternFill>
      </fill>
      <alignment horizontal="left" vertical="bottom" textRotation="0" wrapText="0" indent="0" justifyLastLine="0" shrinkToFit="0" readingOrder="0"/>
    </dxf>
    <dxf>
      <border>
        <bottom style="medium">
          <color indexed="64"/>
        </bottom>
      </border>
    </dxf>
    <dxf>
      <fill>
        <patternFill patternType="solid">
          <fgColor indexed="64"/>
          <bgColor rgb="FFDBF2F5"/>
        </patternFill>
      </fill>
    </dxf>
    <dxf>
      <font>
        <b/>
        <i val="0"/>
        <strike val="0"/>
        <condense val="0"/>
        <extend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ill>
        <patternFill patternType="solid">
          <fgColor indexed="64"/>
          <bgColor rgb="FFDBF2F5"/>
        </patternFill>
      </fill>
      <alignment horizontal="left" vertical="bottom" textRotation="0" wrapText="0" indent="0" justifyLastLine="0" shrinkToFit="0" readingOrder="0"/>
    </dxf>
    <dxf>
      <border>
        <bottom style="medium">
          <color indexed="64"/>
        </bottom>
      </border>
    </dxf>
    <dxf>
      <fill>
        <patternFill patternType="solid">
          <fgColor indexed="64"/>
          <bgColor rgb="FFDBF2F5"/>
        </patternFill>
      </fill>
    </dxf>
    <dxf>
      <font>
        <b/>
        <i val="0"/>
        <strike val="0"/>
        <condense val="0"/>
        <extend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ill>
        <patternFill patternType="solid">
          <fgColor indexed="64"/>
          <bgColor rgb="FFDBF2F5"/>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Arial"/>
        <family val="2"/>
        <scheme val="minor"/>
      </font>
      <fill>
        <patternFill patternType="solid">
          <fgColor indexed="64"/>
          <bgColor rgb="FFDBF2F5"/>
        </patternFill>
      </fill>
      <alignment horizontal="left" vertical="bottom" textRotation="0" wrapText="0" indent="0" justifyLastLine="0" shrinkToFit="0" readingOrder="0"/>
    </dxf>
    <dxf>
      <border>
        <bottom style="medium">
          <color indexed="64"/>
        </bottom>
      </border>
    </dxf>
    <dxf>
      <border outline="0">
        <bottom style="thin">
          <color theme="9" tint="0.79998168889431442"/>
        </bottom>
      </border>
    </dxf>
    <dxf>
      <font>
        <b/>
      </font>
      <fill>
        <patternFill patternType="solid">
          <fgColor indexed="64"/>
          <bgColor rgb="FFDBF2F5"/>
        </patternFill>
      </fill>
    </dxf>
    <dxf>
      <fill>
        <patternFill patternType="solid">
          <fgColor indexed="64"/>
          <bgColor rgb="FFDBF2F5"/>
        </patternFill>
      </fill>
    </dxf>
    <dxf>
      <font>
        <b/>
        <strike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ill>
        <patternFill patternType="solid">
          <fgColor indexed="64"/>
          <bgColor rgb="FFDBF2F5"/>
        </patternFill>
      </fill>
      <alignment horizontal="left" vertical="bottom" textRotation="0" wrapText="0" indent="0" justifyLastLine="0" shrinkToFit="0" readingOrder="0"/>
    </dxf>
    <dxf>
      <border>
        <bottom style="medium">
          <color indexed="64"/>
        </bottom>
      </border>
    </dxf>
    <dxf>
      <fill>
        <patternFill patternType="solid">
          <fgColor indexed="64"/>
          <bgColor rgb="FFDBF2F5"/>
        </patternFill>
      </fill>
    </dxf>
    <dxf>
      <font>
        <b/>
        <i val="0"/>
        <strike val="0"/>
        <condense val="0"/>
        <extend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ill>
        <patternFill patternType="solid">
          <fgColor indexed="64"/>
          <bgColor rgb="FFDBF2F5"/>
        </patternFill>
      </fill>
      <alignment horizontal="left" vertical="bottom" textRotation="0" wrapText="0" indent="0" justifyLastLine="0" shrinkToFit="0" readingOrder="0"/>
    </dxf>
    <dxf>
      <border>
        <bottom style="medium">
          <color indexed="64"/>
        </bottom>
      </border>
    </dxf>
    <dxf>
      <fill>
        <patternFill patternType="solid">
          <fgColor indexed="64"/>
          <bgColor rgb="FFDBF2F5"/>
        </patternFill>
      </fill>
    </dxf>
    <dxf>
      <font>
        <b/>
        <i val="0"/>
        <strike val="0"/>
        <condense val="0"/>
        <extend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ill>
        <patternFill patternType="solid">
          <fgColor indexed="64"/>
          <bgColor rgb="FFDBF2F5"/>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Arial"/>
        <family val="2"/>
        <scheme val="minor"/>
      </font>
      <fill>
        <patternFill patternType="solid">
          <fgColor indexed="64"/>
          <bgColor rgb="FFDBF2F5"/>
        </patternFill>
      </fill>
      <alignment horizontal="left" vertical="bottom" textRotation="0" wrapText="0" indent="0" justifyLastLine="0" shrinkToFit="0" readingOrder="0"/>
    </dxf>
    <dxf>
      <border>
        <bottom style="medium">
          <color indexed="64"/>
        </bottom>
      </border>
    </dxf>
    <dxf>
      <border outline="0">
        <bottom style="thin">
          <color theme="9" tint="0.79998168889431442"/>
        </bottom>
      </border>
    </dxf>
    <dxf>
      <font>
        <b/>
      </font>
      <fill>
        <patternFill patternType="solid">
          <fgColor indexed="64"/>
          <bgColor rgb="FFDBF2F5"/>
        </patternFill>
      </fill>
    </dxf>
    <dxf>
      <fill>
        <patternFill patternType="solid">
          <fgColor indexed="64"/>
          <bgColor rgb="FFDBF2F5"/>
        </patternFill>
      </fill>
    </dxf>
    <dxf>
      <font>
        <b/>
        <strike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fill>
        <patternFill patternType="solid">
          <fgColor indexed="64"/>
          <bgColor theme="5" tint="0.79998168889431442"/>
        </patternFill>
      </fill>
      <alignment horizontal="left" vertical="bottom" textRotation="0" wrapText="0" indent="0" justifyLastLine="0" shrinkToFit="0" readingOrder="0"/>
    </dxf>
    <dxf>
      <border>
        <bottom style="medium">
          <color indexed="64"/>
        </bottom>
      </border>
    </dxf>
    <dxf>
      <fill>
        <patternFill patternType="solid">
          <fgColor indexed="64"/>
          <bgColor theme="5" tint="0.79998168889431442"/>
        </patternFill>
      </fill>
    </dxf>
    <dxf>
      <font>
        <b/>
        <strike val="0"/>
        <outline val="0"/>
        <shadow val="0"/>
        <u val="none"/>
        <vertAlign val="baseline"/>
        <sz val="11"/>
        <color auto="1"/>
        <name val="Arial"/>
        <family val="2"/>
        <scheme val="minor"/>
      </font>
      <fill>
        <patternFill patternType="solid">
          <fgColor indexed="64"/>
          <bgColor theme="5" tint="0.39997558519241921"/>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fill>
        <patternFill patternType="solid">
          <fgColor indexed="64"/>
          <bgColor theme="5" tint="0.79998168889431442"/>
        </patternFill>
      </fill>
      <alignment horizontal="left" vertical="bottom" textRotation="0" wrapText="0" indent="0" justifyLastLine="0" shrinkToFit="0" readingOrder="0"/>
    </dxf>
    <dxf>
      <border>
        <bottom style="medium">
          <color indexed="64"/>
        </bottom>
      </border>
    </dxf>
    <dxf>
      <fill>
        <patternFill patternType="solid">
          <fgColor indexed="64"/>
          <bgColor theme="5" tint="0.79998168889431442"/>
        </patternFill>
      </fill>
    </dxf>
    <dxf>
      <font>
        <b/>
        <strike val="0"/>
        <outline val="0"/>
        <shadow val="0"/>
        <u val="none"/>
        <vertAlign val="baseline"/>
        <sz val="11"/>
        <color auto="1"/>
        <name val="Arial"/>
        <family val="2"/>
        <scheme val="minor"/>
      </font>
      <fill>
        <patternFill patternType="solid">
          <fgColor indexed="64"/>
          <bgColor theme="5" tint="0.39997558519241921"/>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ill>
        <patternFill patternType="solid">
          <fgColor indexed="64"/>
          <bgColor rgb="FFDBF2F5"/>
        </patternFill>
      </fill>
      <alignment horizontal="left" vertical="bottom" textRotation="0" wrapText="0" indent="0" justifyLastLine="0" shrinkToFit="0" readingOrder="0"/>
    </dxf>
    <dxf>
      <border>
        <bottom style="medium">
          <color indexed="64"/>
        </bottom>
      </border>
    </dxf>
    <dxf>
      <fill>
        <patternFill patternType="solid">
          <fgColor indexed="64"/>
          <bgColor rgb="FFDBF2F5"/>
        </patternFill>
      </fill>
    </dxf>
    <dxf>
      <font>
        <b/>
        <i val="0"/>
        <strike val="0"/>
        <condense val="0"/>
        <extend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ill>
        <patternFill patternType="solid">
          <fgColor indexed="64"/>
          <bgColor rgb="FFDBF2F5"/>
        </patternFill>
      </fill>
      <alignment horizontal="left" vertical="bottom" textRotation="0" wrapText="0" indent="0" justifyLastLine="0" shrinkToFit="0" readingOrder="0"/>
    </dxf>
    <dxf>
      <border>
        <bottom style="medium">
          <color indexed="64"/>
        </bottom>
      </border>
    </dxf>
    <dxf>
      <fill>
        <patternFill patternType="solid">
          <fgColor indexed="64"/>
          <bgColor rgb="FFDBF2F5"/>
        </patternFill>
      </fill>
    </dxf>
    <dxf>
      <font>
        <b/>
        <i val="0"/>
        <strike val="0"/>
        <condense val="0"/>
        <extend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ill>
        <patternFill patternType="solid">
          <fgColor indexed="64"/>
          <bgColor rgb="FFDBF2F5"/>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Arial"/>
        <family val="2"/>
        <scheme val="minor"/>
      </font>
      <fill>
        <patternFill patternType="solid">
          <fgColor indexed="64"/>
          <bgColor rgb="FFDBF2F5"/>
        </patternFill>
      </fill>
      <alignment horizontal="left" vertical="bottom" textRotation="0" wrapText="0" indent="0" justifyLastLine="0" shrinkToFit="0" readingOrder="0"/>
    </dxf>
    <dxf>
      <border>
        <bottom style="medium">
          <color indexed="64"/>
        </bottom>
      </border>
    </dxf>
    <dxf>
      <border outline="0">
        <bottom style="thin">
          <color theme="9" tint="0.79998168889431442"/>
        </bottom>
      </border>
    </dxf>
    <dxf>
      <font>
        <b/>
      </font>
      <fill>
        <patternFill patternType="solid">
          <fgColor indexed="64"/>
          <bgColor rgb="FFDBF2F5"/>
        </patternFill>
      </fill>
    </dxf>
    <dxf>
      <fill>
        <patternFill patternType="solid">
          <fgColor indexed="64"/>
          <bgColor rgb="FFDBF2F5"/>
        </patternFill>
      </fill>
    </dxf>
    <dxf>
      <font>
        <b/>
        <strike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fill>
        <patternFill patternType="solid">
          <fgColor indexed="64"/>
          <bgColor theme="5" tint="0.79998168889431442"/>
        </patternFill>
      </fill>
      <alignment horizontal="left" vertical="bottom" textRotation="0" wrapText="0" indent="0" justifyLastLine="0" shrinkToFit="0" readingOrder="0"/>
    </dxf>
    <dxf>
      <border>
        <bottom style="medium">
          <color indexed="64"/>
        </bottom>
      </border>
    </dxf>
    <dxf>
      <fill>
        <patternFill patternType="solid">
          <fgColor indexed="64"/>
          <bgColor theme="5" tint="0.79998168889431442"/>
        </patternFill>
      </fill>
    </dxf>
    <dxf>
      <font>
        <b/>
        <strike val="0"/>
        <outline val="0"/>
        <shadow val="0"/>
        <u val="none"/>
        <vertAlign val="baseline"/>
        <sz val="11"/>
        <color auto="1"/>
        <name val="Arial"/>
        <family val="2"/>
        <scheme val="minor"/>
      </font>
      <fill>
        <patternFill patternType="solid">
          <fgColor indexed="64"/>
          <bgColor theme="5" tint="0.39997558519241921"/>
        </patternFill>
      </fill>
    </dxf>
    <dxf>
      <fill>
        <patternFill patternType="solid">
          <fgColor indexed="64"/>
          <bgColor theme="5" tint="0.79998168889431442"/>
        </patternFill>
      </fill>
    </dxf>
    <dxf>
      <fill>
        <patternFill patternType="solid">
          <fgColor indexed="64"/>
          <bgColor theme="5" tint="0.79998168889431442"/>
        </patternFill>
      </fill>
    </dxf>
    <dxf>
      <numFmt numFmtId="2" formatCode="0.00"/>
      <fill>
        <patternFill patternType="solid">
          <fgColor indexed="64"/>
          <bgColor theme="5" tint="0.79998168889431442"/>
        </patternFill>
      </fill>
    </dxf>
    <dxf>
      <fill>
        <patternFill patternType="solid">
          <fgColor indexed="64"/>
          <bgColor theme="5" tint="0.79998168889431442"/>
        </patternFill>
      </fill>
      <alignment horizontal="left" vertical="center" textRotation="0" wrapText="0" indent="0" justifyLastLine="0" shrinkToFit="0" readingOrder="0"/>
    </dxf>
    <dxf>
      <border outline="0">
        <bottom style="thin">
          <color rgb="FF000000"/>
        </bottom>
      </border>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dxf>
    <dxf>
      <fill>
        <patternFill>
          <fgColor indexed="64"/>
          <bgColor theme="5" tint="0.39997558519241921"/>
        </patternFill>
      </fill>
      <alignment horizontal="center" vertical="center" textRotation="0" indent="0" justifyLastLine="0" shrinkToFit="0" readingOrder="0"/>
    </dxf>
    <dxf>
      <font>
        <sz val="10"/>
        <color auto="1"/>
      </font>
      <numFmt numFmtId="179" formatCode="_(* #,##0.0000_);_(* \(#,##0.0000\);_(* &quot;-&quot;??_);_(@_)"/>
      <fill>
        <patternFill patternType="solid">
          <fgColor indexed="64"/>
          <bgColor rgb="FFDBF2F5"/>
        </patternFill>
      </fill>
    </dxf>
    <dxf>
      <font>
        <sz val="10"/>
        <color auto="1"/>
      </font>
      <numFmt numFmtId="179" formatCode="_(* #,##0.0000_);_(* \(#,##0.0000\);_(* &quot;-&quot;??_);_(@_)"/>
      <fill>
        <patternFill patternType="solid">
          <fgColor indexed="64"/>
          <bgColor rgb="FFDBF2F5"/>
        </patternFill>
      </fill>
    </dxf>
    <dxf>
      <font>
        <sz val="10"/>
        <color auto="1"/>
      </font>
      <numFmt numFmtId="179" formatCode="_(* #,##0.0000_);_(* \(#,##0.0000\);_(* &quot;-&quot;??_);_(@_)"/>
      <fill>
        <patternFill patternType="solid">
          <fgColor indexed="64"/>
          <bgColor rgb="FFDBF2F5"/>
        </patternFill>
      </fill>
    </dxf>
    <dxf>
      <font>
        <sz val="10"/>
        <color auto="1"/>
      </font>
      <numFmt numFmtId="179" formatCode="_(* #,##0.0000_);_(* \(#,##0.0000\);_(* &quot;-&quot;??_);_(@_)"/>
      <fill>
        <patternFill patternType="solid">
          <fgColor indexed="64"/>
          <bgColor rgb="FFDBF2F5"/>
        </patternFill>
      </fill>
    </dxf>
    <dxf>
      <font>
        <sz val="10"/>
        <color auto="1"/>
      </font>
      <numFmt numFmtId="179" formatCode="_(* #,##0.0000_);_(* \(#,##0.0000\);_(* &quot;-&quot;??_);_(@_)"/>
      <fill>
        <patternFill patternType="solid">
          <fgColor indexed="64"/>
          <bgColor rgb="FFDBF2F5"/>
        </patternFill>
      </fill>
    </dxf>
    <dxf>
      <font>
        <sz val="10"/>
        <color auto="1"/>
      </font>
      <numFmt numFmtId="179" formatCode="_(* #,##0.0000_);_(* \(#,##0.0000\);_(* &quot;-&quot;??_);_(@_)"/>
      <fill>
        <patternFill patternType="solid">
          <fgColor indexed="64"/>
          <bgColor rgb="FFDBF2F5"/>
        </patternFill>
      </fill>
    </dxf>
    <dxf>
      <font>
        <sz val="10"/>
        <color auto="1"/>
      </font>
      <numFmt numFmtId="179" formatCode="_(* #,##0.0000_);_(* \(#,##0.0000\);_(* &quot;-&quot;??_);_(@_)"/>
      <fill>
        <patternFill patternType="solid">
          <fgColor indexed="64"/>
          <bgColor rgb="FFDBF2F5"/>
        </patternFill>
      </fill>
    </dxf>
    <dxf>
      <font>
        <sz val="10"/>
        <color auto="1"/>
      </font>
      <numFmt numFmtId="179" formatCode="_(* #,##0.0000_);_(* \(#,##0.0000\);_(* &quot;-&quot;??_);_(@_)"/>
      <fill>
        <patternFill patternType="solid">
          <fgColor indexed="64"/>
          <bgColor rgb="FFDBF2F5"/>
        </patternFill>
      </fill>
    </dxf>
    <dxf>
      <font>
        <b/>
        <i val="0"/>
        <strike val="0"/>
        <condense val="0"/>
        <extend val="0"/>
        <outline val="0"/>
        <shadow val="0"/>
        <u val="none"/>
        <vertAlign val="baseline"/>
        <sz val="10"/>
        <color auto="1"/>
        <name val="Arial"/>
        <family val="2"/>
        <scheme val="none"/>
      </font>
      <fill>
        <patternFill patternType="solid">
          <fgColor indexed="64"/>
          <bgColor rgb="FF6CC9D6"/>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9" formatCode="_-* #,##0.00_-;\-* #,##0.00_-;_-* &quot;-&quot;??_-;_-@_-"/>
      <fill>
        <patternFill patternType="solid">
          <fgColor indexed="64"/>
          <bgColor rgb="FFDBF2F5"/>
        </patternFill>
      </fill>
    </dxf>
    <dxf>
      <font>
        <b val="0"/>
        <i val="0"/>
        <strike val="0"/>
        <condense val="0"/>
        <extend val="0"/>
        <outline val="0"/>
        <shadow val="0"/>
        <u val="none"/>
        <vertAlign val="baseline"/>
        <sz val="10"/>
        <color auto="1"/>
        <name val="Arial"/>
        <family val="2"/>
        <scheme val="none"/>
      </font>
      <numFmt numFmtId="169" formatCode="_-* #,##0.00_-;\-* #,##0.00_-;_-* &quot;-&quot;??_-;_-@_-"/>
      <fill>
        <patternFill patternType="solid">
          <fgColor indexed="64"/>
          <bgColor rgb="FFDBF2F5"/>
        </patternFill>
      </fill>
    </dxf>
    <dxf>
      <font>
        <b val="0"/>
        <i val="0"/>
        <strike val="0"/>
        <condense val="0"/>
        <extend val="0"/>
        <outline val="0"/>
        <shadow val="0"/>
        <u val="none"/>
        <vertAlign val="baseline"/>
        <sz val="10"/>
        <color auto="1"/>
        <name val="Arial"/>
        <family val="2"/>
        <scheme val="none"/>
      </font>
      <numFmt numFmtId="169" formatCode="_-* #,##0.00_-;\-* #,##0.00_-;_-* &quot;-&quot;??_-;_-@_-"/>
      <fill>
        <patternFill patternType="solid">
          <fgColor indexed="64"/>
          <bgColor rgb="FFDBF2F5"/>
        </patternFill>
      </fill>
    </dxf>
    <dxf>
      <font>
        <b val="0"/>
        <i val="0"/>
        <strike val="0"/>
        <condense val="0"/>
        <extend val="0"/>
        <outline val="0"/>
        <shadow val="0"/>
        <u val="none"/>
        <vertAlign val="baseline"/>
        <sz val="10"/>
        <color auto="1"/>
        <name val="Arial"/>
        <family val="2"/>
        <scheme val="none"/>
      </font>
      <numFmt numFmtId="169" formatCode="_-* #,##0.00_-;\-* #,##0.00_-;_-* &quot;-&quot;??_-;_-@_-"/>
      <fill>
        <patternFill patternType="solid">
          <fgColor indexed="64"/>
          <bgColor rgb="FFDBF2F5"/>
        </patternFill>
      </fill>
    </dxf>
    <dxf>
      <font>
        <b val="0"/>
        <i val="0"/>
        <strike val="0"/>
        <condense val="0"/>
        <extend val="0"/>
        <outline val="0"/>
        <shadow val="0"/>
        <u val="none"/>
        <vertAlign val="baseline"/>
        <sz val="10"/>
        <color auto="1"/>
        <name val="Arial"/>
        <family val="2"/>
        <scheme val="none"/>
      </font>
      <numFmt numFmtId="169" formatCode="_-* #,##0.00_-;\-* #,##0.00_-;_-* &quot;-&quot;??_-;_-@_-"/>
      <fill>
        <patternFill patternType="solid">
          <fgColor indexed="64"/>
          <bgColor rgb="FFDBF2F5"/>
        </patternFill>
      </fill>
    </dxf>
    <dxf>
      <font>
        <b val="0"/>
        <i val="0"/>
        <strike val="0"/>
        <condense val="0"/>
        <extend val="0"/>
        <outline val="0"/>
        <shadow val="0"/>
        <u val="none"/>
        <vertAlign val="baseline"/>
        <sz val="10"/>
        <color auto="1"/>
        <name val="Arial"/>
        <family val="2"/>
        <scheme val="none"/>
      </font>
      <numFmt numFmtId="169" formatCode="_-* #,##0.00_-;\-* #,##0.00_-;_-* &quot;-&quot;??_-;_-@_-"/>
      <fill>
        <patternFill patternType="solid">
          <fgColor indexed="64"/>
          <bgColor rgb="FFDBF2F5"/>
        </patternFill>
      </fill>
    </dxf>
    <dxf>
      <font>
        <b val="0"/>
        <i val="0"/>
        <strike val="0"/>
        <condense val="0"/>
        <extend val="0"/>
        <outline val="0"/>
        <shadow val="0"/>
        <u val="none"/>
        <vertAlign val="baseline"/>
        <sz val="10"/>
        <color auto="1"/>
        <name val="Arial"/>
        <family val="2"/>
        <scheme val="none"/>
      </font>
      <numFmt numFmtId="169" formatCode="_-* #,##0.00_-;\-* #,##0.00_-;_-* &quot;-&quot;??_-;_-@_-"/>
      <fill>
        <patternFill patternType="solid">
          <fgColor indexed="64"/>
          <bgColor rgb="FFDBF2F5"/>
        </patternFill>
      </fill>
    </dxf>
    <dxf>
      <font>
        <b val="0"/>
        <i val="0"/>
        <strike val="0"/>
        <condense val="0"/>
        <extend val="0"/>
        <outline val="0"/>
        <shadow val="0"/>
        <u val="none"/>
        <vertAlign val="baseline"/>
        <sz val="10"/>
        <color auto="1"/>
        <name val="Arial"/>
        <family val="2"/>
        <scheme val="none"/>
      </font>
      <numFmt numFmtId="169" formatCode="_-* #,##0.00_-;\-* #,##0.00_-;_-* &quot;-&quot;??_-;_-@_-"/>
      <fill>
        <patternFill patternType="solid">
          <fgColor indexed="64"/>
          <bgColor rgb="FFDBF2F5"/>
        </patternFill>
      </fill>
    </dxf>
    <dxf>
      <font>
        <b val="0"/>
        <i val="0"/>
        <strike val="0"/>
        <condense val="0"/>
        <extend val="0"/>
        <outline val="0"/>
        <shadow val="0"/>
        <u val="none"/>
        <vertAlign val="baseline"/>
        <sz val="10"/>
        <color auto="1"/>
        <name val="Arial"/>
        <family val="2"/>
        <scheme val="none"/>
      </font>
      <fill>
        <patternFill patternType="solid">
          <fgColor indexed="64"/>
          <bgColor rgb="FFDBF2F5"/>
        </patternFill>
      </fill>
    </dxf>
    <dxf>
      <font>
        <b val="0"/>
        <i val="0"/>
        <strike val="0"/>
        <condense val="0"/>
        <extend val="0"/>
        <outline val="0"/>
        <shadow val="0"/>
        <u val="none"/>
        <vertAlign val="baseline"/>
        <sz val="10"/>
        <color auto="1"/>
        <name val="Arial"/>
        <family val="2"/>
        <scheme val="none"/>
      </font>
      <fill>
        <patternFill patternType="solid">
          <fgColor indexed="64"/>
          <bgColor rgb="FFDBF2F5"/>
        </patternFill>
      </fill>
    </dxf>
    <dxf>
      <font>
        <b val="0"/>
        <i val="0"/>
        <strike val="0"/>
        <condense val="0"/>
        <extend val="0"/>
        <outline val="0"/>
        <shadow val="0"/>
        <u val="none"/>
        <vertAlign val="baseline"/>
        <sz val="10"/>
        <color auto="1"/>
        <name val="Arial"/>
        <family val="2"/>
        <scheme val="none"/>
      </font>
      <fill>
        <patternFill patternType="solid">
          <fgColor indexed="64"/>
          <bgColor rgb="FFDBF2F5"/>
        </patternFill>
      </fill>
    </dxf>
    <dxf>
      <font>
        <b/>
        <i val="0"/>
        <strike val="0"/>
        <condense val="0"/>
        <extend val="0"/>
        <outline val="0"/>
        <shadow val="0"/>
        <u val="none"/>
        <vertAlign val="baseline"/>
        <sz val="10"/>
        <color auto="1"/>
        <name val="Arial"/>
        <family val="2"/>
        <scheme val="none"/>
      </font>
      <fill>
        <patternFill patternType="solid">
          <fgColor indexed="64"/>
          <bgColor rgb="FF6CC9D6"/>
        </patternFill>
      </fill>
      <alignment horizontal="center" vertical="bottom" textRotation="0" wrapText="0" indent="0" justifyLastLine="0" shrinkToFit="0" readingOrder="0"/>
    </dxf>
    <dxf>
      <numFmt numFmtId="2" formatCode="0.00"/>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border>
        <left style="thin">
          <color indexed="64"/>
        </left>
      </border>
    </dxf>
    <dxf>
      <border>
        <left style="thin">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s>
  <tableStyles count="0" defaultTableStyle="TableStyleMedium2" defaultPivotStyle="PivotStyleLight16"/>
  <colors>
    <mruColors>
      <color rgb="FF6CC9D6"/>
      <color rgb="FFFFF2CC"/>
      <color rgb="FFFED1CE"/>
      <color rgb="FFFFD85D"/>
      <color rgb="FFDBF2F5"/>
      <color rgb="FFFFFF99"/>
      <color rgb="FFFFFFE8"/>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15</xdr:col>
      <xdr:colOff>125182</xdr:colOff>
      <xdr:row>42</xdr:row>
      <xdr:rowOff>143932</xdr:rowOff>
    </xdr:to>
    <xdr:pic>
      <xdr:nvPicPr>
        <xdr:cNvPr id="2" name="Picture 1">
          <a:extLst>
            <a:ext uri="{FF2B5EF4-FFF2-40B4-BE49-F238E27FC236}">
              <a16:creationId xmlns:a16="http://schemas.microsoft.com/office/drawing/2014/main" id="{E80D8E87-9230-1564-433B-DD039B3C4BA6}"/>
            </a:ext>
          </a:extLst>
        </xdr:cNvPr>
        <xdr:cNvPicPr>
          <a:picLocks noChangeAspect="1"/>
        </xdr:cNvPicPr>
      </xdr:nvPicPr>
      <xdr:blipFill>
        <a:blip xmlns:r="http://schemas.openxmlformats.org/officeDocument/2006/relationships" r:embed="rId1"/>
        <a:stretch>
          <a:fillRect/>
        </a:stretch>
      </xdr:blipFill>
      <xdr:spPr>
        <a:xfrm>
          <a:off x="685800" y="552450"/>
          <a:ext cx="9726382" cy="75734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0</xdr:col>
      <xdr:colOff>2054679</xdr:colOff>
      <xdr:row>0</xdr:row>
      <xdr:rowOff>915631</xdr:rowOff>
    </xdr:to>
    <xdr:pic>
      <xdr:nvPicPr>
        <xdr:cNvPr id="2" name="Picture 1" descr="epa-rtp_logo.gif">
          <a:extLst>
            <a:ext uri="{FF2B5EF4-FFF2-40B4-BE49-F238E27FC236}">
              <a16:creationId xmlns:a16="http://schemas.microsoft.com/office/drawing/2014/main" id="{13A2A394-6169-409E-A5F8-E24A26CC64BD}"/>
            </a:ext>
          </a:extLst>
        </xdr:cNvPr>
        <xdr:cNvPicPr>
          <a:picLocks noChangeAspect="1"/>
        </xdr:cNvPicPr>
      </xdr:nvPicPr>
      <xdr:blipFill>
        <a:blip xmlns:r="http://schemas.openxmlformats.org/officeDocument/2006/relationships" r:embed="rId1" cstate="print"/>
        <a:stretch>
          <a:fillRect/>
        </a:stretch>
      </xdr:blipFill>
      <xdr:spPr>
        <a:xfrm>
          <a:off x="1" y="1"/>
          <a:ext cx="2054678" cy="9156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0</xdr:row>
      <xdr:rowOff>1</xdr:rowOff>
    </xdr:from>
    <xdr:to>
      <xdr:col>1</xdr:col>
      <xdr:colOff>2054679</xdr:colOff>
      <xdr:row>0</xdr:row>
      <xdr:rowOff>915631</xdr:rowOff>
    </xdr:to>
    <xdr:pic>
      <xdr:nvPicPr>
        <xdr:cNvPr id="2" name="Picture 1" descr="epa-rtp_logo.gif">
          <a:extLst>
            <a:ext uri="{FF2B5EF4-FFF2-40B4-BE49-F238E27FC236}">
              <a16:creationId xmlns:a16="http://schemas.microsoft.com/office/drawing/2014/main" id="{E4229B42-357F-45F2-9CD0-F22FAEDC1491}"/>
            </a:ext>
          </a:extLst>
        </xdr:cNvPr>
        <xdr:cNvPicPr>
          <a:picLocks noChangeAspect="1"/>
        </xdr:cNvPicPr>
      </xdr:nvPicPr>
      <xdr:blipFill>
        <a:blip xmlns:r="http://schemas.openxmlformats.org/officeDocument/2006/relationships" r:embed="rId1" cstate="print"/>
        <a:stretch>
          <a:fillRect/>
        </a:stretch>
      </xdr:blipFill>
      <xdr:spPr>
        <a:xfrm>
          <a:off x="1" y="1"/>
          <a:ext cx="2054678" cy="91563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Vilgalys, Max" id="{CBAC80ED-1B77-4332-9C5F-D682C4BD840F}" userId="S::vilgalysm@omb.nyc.gov::2f772ca1-1042-4197-962a-1b495cdaaa71" providerId="AD"/>
  <person displayName="Robertson, Aurora" id="{5DD04E9B-EFE7-4B69-9273-9C92004F3582}" userId="S::RobertsonA@omb.nyc.gov::64748c27-f566-469f-bc0b-104e9214689f"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esmia/Documents/VT_NYC_IND_V01_AL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 Witt" refreshedDate="41862.685123148149" createdVersion="3" refreshedVersion="5" minRefreshableVersion="3" recordCount="90" xr:uid="{CB1BD448-6BB9-47D6-BFFC-1AA30B924F97}">
  <cacheSource type="worksheet">
    <worksheetSource ref="A6:G96" sheet="TechInfo" r:id="rId2"/>
  </cacheSource>
  <cacheFields count="7">
    <cacheField name="Facility Name" numFmtId="0">
      <sharedItems/>
    </cacheField>
    <cacheField name="City" numFmtId="0">
      <sharedItems/>
    </cacheField>
    <cacheField name="State" numFmtId="0">
      <sharedItems/>
    </cacheField>
    <cacheField name="CombustorID" numFmtId="0">
      <sharedItems/>
    </cacheField>
    <cacheField name="Fuel Type" numFmtId="0">
      <sharedItems count="4">
        <s v="Coal"/>
        <s v="Biomass"/>
        <s v="Heavy Liquid"/>
        <s v="Light Liquid"/>
      </sharedItems>
    </cacheField>
    <cacheField name="Combustor Design" numFmtId="0">
      <sharedItems count="8">
        <s v="Stoker/Sloped Grate/Other"/>
        <s v="Fluidized Bed"/>
        <s v="Pulverized Coal"/>
        <s v="Suspension Burner"/>
        <s v="Fuel Cell"/>
        <s v="N/A"/>
        <s v="Dutch Oven/Pile Burner"/>
        <s v="Hybrid Suspension Grate"/>
      </sharedItems>
    </cacheField>
    <cacheField name="Efficiency (%)" numFmtId="0">
      <sharedItems containsSemiMixedTypes="0" containsString="0" containsNumber="1" minValue="45.5" maxValue="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s v="Abbott Laboratories - Abbott Park Facility"/>
    <s v="Abbott Park"/>
    <s v="IL"/>
    <s v="Unit 5AP"/>
    <x v="0"/>
    <x v="0"/>
    <n v="79.2"/>
  </r>
  <r>
    <s v="ADM Corn Division - Marshall Facility"/>
    <s v="Marshall"/>
    <s v="MN"/>
    <s v="Coal Boiler #1 EU049"/>
    <x v="0"/>
    <x v="0"/>
    <n v="68.8"/>
  </r>
  <r>
    <s v="ADM Corn Processing CR"/>
    <s v="Cedar Rapids"/>
    <s v="IA"/>
    <s v="EU-530"/>
    <x v="0"/>
    <x v="1"/>
    <n v="96.6"/>
  </r>
  <r>
    <s v="Alcoa Inc. - Warrick Operations"/>
    <s v="Newburgh"/>
    <s v="IN"/>
    <s v="Unit #3"/>
    <x v="0"/>
    <x v="2"/>
    <n v="89.2"/>
  </r>
  <r>
    <s v="Alcoa Inc. - Warrick Operations"/>
    <s v="Newburgh"/>
    <s v="IN"/>
    <s v="Unit #2"/>
    <x v="0"/>
    <x v="2"/>
    <n v="88.6"/>
  </r>
  <r>
    <s v="American Crystal Sugar Company - Crookston"/>
    <s v="Crookston"/>
    <s v="MN"/>
    <s v="Boiler 1"/>
    <x v="0"/>
    <x v="0"/>
    <n v="83.8"/>
  </r>
  <r>
    <s v="Andersen Corporation"/>
    <s v="Bayport"/>
    <s v="MN"/>
    <s v="Boiler 11 EU620"/>
    <x v="1"/>
    <x v="3"/>
    <n v="78.400000000000006"/>
  </r>
  <r>
    <s v="Andersen Corporation"/>
    <s v="Bayport"/>
    <s v="MN"/>
    <s v="Boiler 12 EU621"/>
    <x v="1"/>
    <x v="3"/>
    <n v="78.400000000000006"/>
  </r>
  <r>
    <s v="Anthony Forest Products Company Urbana Sawmill"/>
    <s v="Urbana"/>
    <s v="AR"/>
    <s v="SN-12"/>
    <x v="1"/>
    <x v="4"/>
    <n v="67.2"/>
  </r>
  <r>
    <s v="Appleton"/>
    <s v="West Carrollton"/>
    <s v="OH"/>
    <s v="Boiler 4 (B003)"/>
    <x v="0"/>
    <x v="0"/>
    <n v="79.7"/>
  </r>
  <r>
    <s v="Archer Daniels Midland Co. - Des Moines"/>
    <s v="Des Moines"/>
    <s v="IA"/>
    <s v="Asea Boiler #1"/>
    <x v="0"/>
    <x v="1"/>
    <n v="82.8"/>
  </r>
  <r>
    <s v="BOEING CO. IDS ROTORCRAFT"/>
    <s v="RIDLEY PARK"/>
    <s v="PA"/>
    <s v="033"/>
    <x v="2"/>
    <x v="5"/>
    <n v="88.6"/>
  </r>
  <r>
    <s v="Cargill Inc. Corn Milling Memphis, TN"/>
    <s v="Memphis"/>
    <s v="TN"/>
    <s v="Stoker Boiler 8001"/>
    <x v="0"/>
    <x v="0"/>
    <n v="80.900000000000006"/>
  </r>
  <r>
    <s v="Cargill, Inc. Oilseeds Processing"/>
    <s v="West Fargo"/>
    <s v="ND"/>
    <s v="Foster Wheeler Boiler (EU43)"/>
    <x v="1"/>
    <x v="1"/>
    <n v="62.9"/>
  </r>
  <r>
    <s v="Catalyst Paper (Snowflake) Inc."/>
    <s v="Snowflake"/>
    <s v="AZ"/>
    <s v="Power Boiler #2 Coal"/>
    <x v="0"/>
    <x v="2"/>
    <n v="84.2"/>
  </r>
  <r>
    <s v="City of Escanaba Generating Station"/>
    <s v="Escanaba"/>
    <s v="MI"/>
    <s v="EUBOILER#1"/>
    <x v="0"/>
    <x v="0"/>
    <n v="84.9"/>
  </r>
  <r>
    <s v="Cogen South L.L.C."/>
    <s v="North Charleston"/>
    <s v="SC"/>
    <s v="B001 - Main Boiler"/>
    <x v="0"/>
    <x v="2"/>
    <n v="90.6"/>
  </r>
  <r>
    <s v="Consolidated Grain and Barge Company, Inc."/>
    <s v="Mount Vernon"/>
    <s v="IN"/>
    <s v="P17B"/>
    <x v="1"/>
    <x v="0"/>
    <n v="66.099999999999994"/>
  </r>
  <r>
    <s v="District Energy, St. Paul"/>
    <s v="St. Paul"/>
    <s v="MN"/>
    <s v="EU007"/>
    <x v="1"/>
    <x v="0"/>
    <n v="68.400000000000006"/>
  </r>
  <r>
    <s v="Domtar - Johnsonburg Mill"/>
    <s v="Johnsonburg"/>
    <s v="PA"/>
    <s v="#81 Coal Boiler"/>
    <x v="0"/>
    <x v="0"/>
    <n v="81.3"/>
  </r>
  <r>
    <s v="Domtar - Johnsonburg Mill"/>
    <s v="Johnsonburg"/>
    <s v="PA"/>
    <s v="#82 Coal Boiler"/>
    <x v="0"/>
    <x v="0"/>
    <n v="82.6"/>
  </r>
  <r>
    <s v="Duke Energy Generation Services of Narrows, LLC"/>
    <s v="Narrows"/>
    <s v="VA"/>
    <s v="Boiler #2"/>
    <x v="0"/>
    <x v="2"/>
    <n v="90.8"/>
  </r>
  <r>
    <s v="Duke Energy Generation Services of Narrows, LLC"/>
    <s v="Narrows"/>
    <s v="VA"/>
    <s v="Boiler #3"/>
    <x v="0"/>
    <x v="2"/>
    <n v="91.4"/>
  </r>
  <r>
    <s v="Duke Energy Generation Services of Narrows, LLC"/>
    <s v="Narrows"/>
    <s v="VA"/>
    <s v="Boiler #1"/>
    <x v="0"/>
    <x v="2"/>
    <n v="90.6"/>
  </r>
  <r>
    <s v="DuPont Washington Works"/>
    <s v="Washington"/>
    <s v="WV"/>
    <s v="P05"/>
    <x v="0"/>
    <x v="0"/>
    <n v="76.2"/>
  </r>
  <r>
    <s v="Georgia Pacific - Big Island"/>
    <s v="Big Island"/>
    <s v="VA"/>
    <s v="PWR04 - No. 4 Power Boiler"/>
    <x v="0"/>
    <x v="2"/>
    <n v="66.900000000000006"/>
  </r>
  <r>
    <s v="Georgia Pacific - Leaf River Cellulose, LLC"/>
    <s v="New Augusta"/>
    <s v="MS"/>
    <s v="AA-015 Power Boiler"/>
    <x v="1"/>
    <x v="0"/>
    <n v="80.2"/>
  </r>
  <r>
    <s v="Georgia Pacific - Madison Plywood Facility"/>
    <s v="Madison"/>
    <s v="GA"/>
    <s v="800 Wood Waste Boiler"/>
    <x v="1"/>
    <x v="0"/>
    <n v="91.9"/>
  </r>
  <r>
    <s v="Georgia-Pacific - Brewton Mill"/>
    <s v="Brewton"/>
    <s v="AL"/>
    <s v="BR-PSG0-S026 No. 3 Power Boiler"/>
    <x v="1"/>
    <x v="0"/>
    <n v="68.7"/>
  </r>
  <r>
    <s v="Georgia-Pacific - Muskogee Mill"/>
    <s v="Muskogee"/>
    <s v="OK"/>
    <s v="B-3"/>
    <x v="0"/>
    <x v="2"/>
    <n v="71.5"/>
  </r>
  <r>
    <s v="Georgia-Pacific Chemicals LLC - Russellville, SC"/>
    <s v="Russellville"/>
    <s v="SC"/>
    <s v="FO Boiler"/>
    <x v="3"/>
    <x v="5"/>
    <n v="60.9"/>
  </r>
  <r>
    <s v="Georgia-Pacific Duluth Hardboard"/>
    <s v="Duluth"/>
    <s v="MN"/>
    <s v="EU33 Boiler #3"/>
    <x v="2"/>
    <x v="5"/>
    <n v="73.3"/>
  </r>
  <r>
    <s v="Georgia-Pacific Port Hudson Mill"/>
    <s v="Zachary"/>
    <s v="LA"/>
    <s v="EQT0109 - No. 6 CFB Boiler"/>
    <x v="1"/>
    <x v="1"/>
    <n v="91.7"/>
  </r>
  <r>
    <s v="Georgia-Pacific; Wauna Mill"/>
    <s v="Clatskanie"/>
    <s v="OR"/>
    <s v="EU35 - Fluidized Bed Boiler"/>
    <x v="1"/>
    <x v="1"/>
    <n v="67"/>
  </r>
  <r>
    <s v="Grays Harbor Paper, L. P."/>
    <s v="Hoquiam"/>
    <s v="WA"/>
    <s v="No. 6 Boiler (EU2)"/>
    <x v="1"/>
    <x v="6"/>
    <n v="58.8"/>
  </r>
  <r>
    <s v="Green Bay Packaging Inc.- Green Bay Mill Division"/>
    <s v="Green Bay"/>
    <s v="WI"/>
    <s v="Boiler B26- Coal Fired Boiler"/>
    <x v="0"/>
    <x v="0"/>
    <n v="80.7"/>
  </r>
  <r>
    <s v="Hood Industries, Inc. (Beaumont Plywood Plant)"/>
    <s v="Beaumont"/>
    <s v="MS"/>
    <s v="AA-030 (Wood-Fired Boiler)"/>
    <x v="1"/>
    <x v="0"/>
    <n v="81.2"/>
  </r>
  <r>
    <s v="International Paper Eastover Mill"/>
    <s v="Eastover"/>
    <s v="SC"/>
    <s v="No. 1 Power Boiler"/>
    <x v="0"/>
    <x v="0"/>
    <n v="97"/>
  </r>
  <r>
    <s v="Iowa State University Power Plant"/>
    <s v="Ames"/>
    <s v="IA"/>
    <s v="B2"/>
    <x v="0"/>
    <x v="1"/>
    <n v="82.7"/>
  </r>
  <r>
    <s v="Marlboro Paper Mill"/>
    <s v="Bennettsville"/>
    <s v="SC"/>
    <s v="Hogged Fuel Boiler"/>
    <x v="1"/>
    <x v="0"/>
    <n v="99.8"/>
  </r>
  <r>
    <s v="Monsanto Company - Muscatine"/>
    <s v="Muscatine"/>
    <s v="IA"/>
    <s v="Boiler #8 (EP-195)"/>
    <x v="0"/>
    <x v="0"/>
    <n v="76"/>
  </r>
  <r>
    <s v="Neenah Paper Michigan, Inc."/>
    <s v="Munising"/>
    <s v="MI"/>
    <s v="Boiler 1"/>
    <x v="0"/>
    <x v="0"/>
    <n v="82.9"/>
  </r>
  <r>
    <s v="Nissan North America, Inc."/>
    <s v="Smyrna"/>
    <s v="TN"/>
    <s v="Boiler 3"/>
    <x v="0"/>
    <x v="0"/>
    <n v="67.400000000000006"/>
  </r>
  <r>
    <s v="PolyOne Corporation"/>
    <s v="Henry"/>
    <s v="IL"/>
    <s v="B1"/>
    <x v="0"/>
    <x v="1"/>
    <n v="68.099999999999994"/>
  </r>
  <r>
    <s v="Potlatch Forest Products Corporation"/>
    <s v="St. Maries"/>
    <s v="ID"/>
    <s v="PB-1 CE (Boiler No. 2)"/>
    <x v="1"/>
    <x v="4"/>
    <n v="45.5"/>
  </r>
  <r>
    <s v="Potlatch Forest Products Corporation-Warren"/>
    <s v="Warren"/>
    <s v="AR"/>
    <s v="Wellons Boiler"/>
    <x v="1"/>
    <x v="6"/>
    <n v="60.5"/>
  </r>
  <r>
    <s v="PPG Industries, Inc., Natrium Plant"/>
    <s v="New Martinsville"/>
    <s v="WV"/>
    <s v="R011-Boiler 3"/>
    <x v="0"/>
    <x v="2"/>
    <n v="82.6"/>
  </r>
  <r>
    <s v="Purdue University"/>
    <s v="West Lafayette"/>
    <s v="IN"/>
    <s v="Boiler 5"/>
    <x v="0"/>
    <x v="1"/>
    <n v="76"/>
  </r>
  <r>
    <s v="Riley Creek Lumber Company"/>
    <s v="Laclede"/>
    <s v="ID"/>
    <s v="HFB1"/>
    <x v="1"/>
    <x v="0"/>
    <n v="60"/>
  </r>
  <r>
    <s v="Rock Island Arsenal"/>
    <s v="Rock Island Arsenal"/>
    <s v="IL"/>
    <s v="NBN 12602 (Boiler #1)"/>
    <x v="0"/>
    <x v="0"/>
    <n v="68.099999999999994"/>
  </r>
  <r>
    <s v="Roquette America, INC"/>
    <s v="Keokuk"/>
    <s v="IA"/>
    <s v="Circulating Fluidized Bed Boiler (121)"/>
    <x v="0"/>
    <x v="1"/>
    <n v="87.8"/>
  </r>
  <r>
    <s v="SABIC Innovative Plastics Mt. Vernon, LLC"/>
    <s v="Mt. Vernon"/>
    <s v="IN"/>
    <s v="01-001 BW1 Boiler"/>
    <x v="0"/>
    <x v="2"/>
    <n v="86"/>
  </r>
  <r>
    <s v="SABIC Innovative Plastics Mt. Vernon, LLC"/>
    <s v="Mt. Vernon"/>
    <s v="IN"/>
    <s v="01-001 BW2 Boiler"/>
    <x v="0"/>
    <x v="2"/>
    <n v="83.3"/>
  </r>
  <r>
    <s v="Smart Papers Holdings LLC"/>
    <s v="Hamilton"/>
    <s v="OH"/>
    <s v="B010"/>
    <x v="0"/>
    <x v="2"/>
    <n v="60.9"/>
  </r>
  <r>
    <s v="Smart Papers Holdings LLC"/>
    <s v="Hamilton"/>
    <s v="OH"/>
    <s v="B020"/>
    <x v="0"/>
    <x v="0"/>
    <n v="84.7"/>
  </r>
  <r>
    <s v="Smurfit Stone Container Enterprises, Fernandina Beach Mill"/>
    <s v="Fernandina Beach"/>
    <s v="FL"/>
    <s v="7PB"/>
    <x v="0"/>
    <x v="2"/>
    <n v="85.1"/>
  </r>
  <r>
    <s v="SP Newsprint Co."/>
    <s v="Dublin"/>
    <s v="GA"/>
    <s v="PB2"/>
    <x v="0"/>
    <x v="1"/>
    <n v="83.6"/>
  </r>
  <r>
    <s v="T. B. Simon Power Plant"/>
    <s v="East Lansing"/>
    <s v="MI"/>
    <s v="Unit 1"/>
    <x v="0"/>
    <x v="2"/>
    <n v="79.900000000000006"/>
  </r>
  <r>
    <s v="Tate &amp; Lyle, Sagamore"/>
    <s v="Lafayette"/>
    <s v="IN"/>
    <s v="31B1"/>
    <x v="0"/>
    <x v="2"/>
    <n v="89.2"/>
  </r>
  <r>
    <s v="Temple-Inland"/>
    <s v="Diboll"/>
    <s v="TX"/>
    <s v="PB-44"/>
    <x v="1"/>
    <x v="3"/>
    <n v="87.2"/>
  </r>
  <r>
    <s v="Temple-Inland"/>
    <s v="Thomson"/>
    <s v="GA"/>
    <s v="BW-B001"/>
    <x v="1"/>
    <x v="3"/>
    <n v="98.4"/>
  </r>
  <r>
    <s v="Tennessee Operations, Eastman Chemical Company"/>
    <s v="Kingsport"/>
    <s v="TN"/>
    <s v="Boiler 30"/>
    <x v="0"/>
    <x v="2"/>
    <n v="91.4"/>
  </r>
  <r>
    <s v="Tennessee Operations, Eastman Chemical Company"/>
    <s v="Kingsport"/>
    <s v="TN"/>
    <s v="Boiler 31"/>
    <x v="0"/>
    <x v="2"/>
    <n v="84.7"/>
  </r>
  <r>
    <s v="Tennessee Operations, Eastman Chemical Company"/>
    <s v="Kingsport"/>
    <s v="TN"/>
    <s v="Boiler 27"/>
    <x v="0"/>
    <x v="2"/>
    <n v="88.2"/>
  </r>
  <r>
    <s v="Tennessee Operations, Eastman Chemical Company"/>
    <s v="Kingsport"/>
    <s v="TN"/>
    <s v="Boiler 25"/>
    <x v="0"/>
    <x v="2"/>
    <n v="88.3"/>
  </r>
  <r>
    <s v="The Amalgamated Sugar Company LLC"/>
    <s v="Nampa"/>
    <s v="ID"/>
    <s v="Babcock and Wilcox (B&amp;W)  #1"/>
    <x v="0"/>
    <x v="2"/>
    <n v="79.599999999999994"/>
  </r>
  <r>
    <s v="The Amalgamated Sugar Company LLC"/>
    <s v="Paul"/>
    <s v="ID"/>
    <s v="Erie City Boiler"/>
    <x v="0"/>
    <x v="2"/>
    <n v="77.2"/>
  </r>
  <r>
    <s v="The Amalgamated Sugar Company LLC"/>
    <s v="Nampa"/>
    <s v="ID"/>
    <s v="Riley Boiler"/>
    <x v="0"/>
    <x v="2"/>
    <n v="69.8"/>
  </r>
  <r>
    <s v="The Amalgamated Sugar Company LLC"/>
    <s v="Twin Falls"/>
    <s v="ID"/>
    <s v="S-B1"/>
    <x v="0"/>
    <x v="0"/>
    <n v="75.900000000000006"/>
  </r>
  <r>
    <s v="The Amalgamated Sugar Company LLC"/>
    <s v="Paul"/>
    <s v="ID"/>
    <s v="Babcock and Wilcox (B&amp;W) Boiler"/>
    <x v="0"/>
    <x v="0"/>
    <n v="82.5"/>
  </r>
  <r>
    <s v="The University of Iowa"/>
    <s v="Iowa City"/>
    <s v="IA"/>
    <s v="EP7 Boiler 11"/>
    <x v="0"/>
    <x v="1"/>
    <n v="80.099999999999994"/>
  </r>
  <r>
    <s v="Thilmany Papers Nicolet Mill"/>
    <s v="De Pere"/>
    <s v="WI"/>
    <s v="B23"/>
    <x v="0"/>
    <x v="0"/>
    <n v="98.5"/>
  </r>
  <r>
    <s v="Tyson Foods, Inc."/>
    <s v="Harmony"/>
    <s v="NC"/>
    <s v="TYS-ES-21"/>
    <x v="0"/>
    <x v="0"/>
    <n v="56.6"/>
  </r>
  <r>
    <s v="United States Sugar Corporation Clewiston Mill"/>
    <s v="Clewistion"/>
    <s v="FL"/>
    <s v="Boiler No. 7"/>
    <x v="1"/>
    <x v="7"/>
    <n v="53.6"/>
  </r>
  <r>
    <s v="United States Sugar Corporation Clewiston Mill"/>
    <s v="Clewistion"/>
    <s v="FL"/>
    <s v="Boiler No. 8"/>
    <x v="1"/>
    <x v="7"/>
    <n v="64.900000000000006"/>
  </r>
  <r>
    <s v="United States Sugar Corporation Clewiston Mill"/>
    <s v="Clewistion"/>
    <s v="FL"/>
    <s v="Boiler No. 4"/>
    <x v="1"/>
    <x v="7"/>
    <n v="55"/>
  </r>
  <r>
    <s v="University  of Cincinnati"/>
    <s v="Cincinnati"/>
    <s v="OH"/>
    <s v="B108"/>
    <x v="0"/>
    <x v="0"/>
    <n v="69.8"/>
  </r>
  <r>
    <s v="University of Northern Iowa"/>
    <s v="Cedar Falls"/>
    <s v="IA"/>
    <s v="Boiler #3"/>
    <x v="0"/>
    <x v="2"/>
    <n v="81"/>
  </r>
  <r>
    <s v="University of Notre Dame"/>
    <s v="Notre Dame"/>
    <s v="IN"/>
    <s v="B-4"/>
    <x v="0"/>
    <x v="0"/>
    <n v="90.1"/>
  </r>
  <r>
    <s v="University of Virginia"/>
    <s v="Charlottesville"/>
    <s v="VA"/>
    <s v="7103-1-01R"/>
    <x v="0"/>
    <x v="0"/>
    <n v="58.7"/>
  </r>
  <r>
    <s v="University of Virginia"/>
    <s v="Charlottesville"/>
    <s v="VA"/>
    <s v="7103-1-02R"/>
    <x v="0"/>
    <x v="0"/>
    <n v="80"/>
  </r>
  <r>
    <s v="University of Virginia"/>
    <s v="Charlottesville"/>
    <s v="VA"/>
    <s v="7103-1-05"/>
    <x v="0"/>
    <x v="0"/>
    <n v="71.8"/>
  </r>
  <r>
    <s v="Wausau Paper Corp."/>
    <s v="Mosinee"/>
    <s v="WI"/>
    <s v="# 5 Power Boiler (B24)"/>
    <x v="0"/>
    <x v="0"/>
    <n v="90.2"/>
  </r>
  <r>
    <s v="West Fraser, Inc. - Huttig Mill"/>
    <s v="Huttig"/>
    <s v="AR"/>
    <s v="SN-24"/>
    <x v="1"/>
    <x v="0"/>
    <n v="60.8"/>
  </r>
  <r>
    <s v="Weyerhaeuser Company"/>
    <s v="Bruce"/>
    <s v="MS"/>
    <s v="AA-002 No.2 Boiler"/>
    <x v="1"/>
    <x v="6"/>
    <n v="47.7"/>
  </r>
  <r>
    <s v="Weyerhaeuser Company - Dierks Mill"/>
    <s v="Dierks"/>
    <s v="AR"/>
    <s v="SN-45"/>
    <x v="1"/>
    <x v="6"/>
    <n v="53.4"/>
  </r>
  <r>
    <s v="Weyerhaeuser Company - Dierks Mill"/>
    <s v="Dierks"/>
    <s v="AR"/>
    <s v="SN-32"/>
    <x v="1"/>
    <x v="0"/>
    <n v="77.099999999999994"/>
  </r>
  <r>
    <s v="Weyerhaeuser, Raymond"/>
    <s v="Raymond"/>
    <s v="WA"/>
    <s v="Hog Fuel Boiler EU1"/>
    <x v="1"/>
    <x v="6"/>
    <n v="59.9"/>
  </r>
  <r>
    <s v="Wisconsin Rapids Mill"/>
    <s v="Wisconsin Rapids"/>
    <s v="WI"/>
    <s v="Power Boiler 1 - B21"/>
    <x v="0"/>
    <x v="0"/>
    <n v="67.099999999999994"/>
  </r>
  <r>
    <s v="Wisconsin Rapids Mill"/>
    <s v="Wisconsin Rapids"/>
    <s v="WI"/>
    <s v="Power Boiler 2 - B20"/>
    <x v="0"/>
    <x v="0"/>
    <n v="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AB1E7B-B730-4597-987E-B0DAB5853E91}" name="PivotTable1" cacheId="1295" applyNumberFormats="0" applyBorderFormats="0" applyFontFormats="0" applyPatternFormats="0" applyAlignmentFormats="0" applyWidthHeightFormats="1" dataCaption="Values" updatedVersion="5" minRefreshableVersion="3" showCalcMbrs="0" useAutoFormatting="1" itemPrintTitles="1" createdVersion="3" indent="0" outline="1" outlineData="1" multipleFieldFilters="0">
  <location ref="I6:J22" firstHeaderRow="1" firstDataRow="1" firstDataCol="1"/>
  <pivotFields count="7">
    <pivotField showAll="0"/>
    <pivotField showAll="0"/>
    <pivotField showAll="0"/>
    <pivotField showAll="0"/>
    <pivotField axis="axisRow" showAll="0">
      <items count="5">
        <item x="1"/>
        <item x="0"/>
        <item x="2"/>
        <item x="3"/>
        <item t="default"/>
      </items>
    </pivotField>
    <pivotField axis="axisRow" showAll="0">
      <items count="9">
        <item x="6"/>
        <item x="1"/>
        <item x="4"/>
        <item x="7"/>
        <item x="5"/>
        <item x="2"/>
        <item x="0"/>
        <item x="3"/>
        <item t="default"/>
      </items>
    </pivotField>
    <pivotField dataField="1" showAll="0"/>
  </pivotFields>
  <rowFields count="2">
    <field x="4"/>
    <field x="5"/>
  </rowFields>
  <rowItems count="16">
    <i>
      <x/>
    </i>
    <i r="1">
      <x/>
    </i>
    <i r="1">
      <x v="1"/>
    </i>
    <i r="1">
      <x v="2"/>
    </i>
    <i r="1">
      <x v="3"/>
    </i>
    <i r="1">
      <x v="6"/>
    </i>
    <i r="1">
      <x v="7"/>
    </i>
    <i>
      <x v="1"/>
    </i>
    <i r="1">
      <x v="1"/>
    </i>
    <i r="1">
      <x v="5"/>
    </i>
    <i r="1">
      <x v="6"/>
    </i>
    <i>
      <x v="2"/>
    </i>
    <i r="1">
      <x v="4"/>
    </i>
    <i>
      <x v="3"/>
    </i>
    <i r="1">
      <x v="4"/>
    </i>
    <i t="grand">
      <x/>
    </i>
  </rowItems>
  <colItems count="1">
    <i/>
  </colItems>
  <dataFields count="1">
    <dataField name="Average of Efficiency (%)" fld="6" subtotal="average" baseField="0" baseItem="0" numFmtId="2"/>
  </dataFields>
  <formats count="22">
    <format dxfId="484">
      <pivotArea outline="0" collapsedLevelsAreSubtotals="1" fieldPosition="0"/>
    </format>
    <format dxfId="485">
      <pivotArea type="all" dataOnly="0" outline="0" fieldPosition="0"/>
    </format>
    <format dxfId="486">
      <pivotArea grandRow="1" outline="0" collapsedLevelsAreSubtotals="1" fieldPosition="0"/>
    </format>
    <format dxfId="487">
      <pivotArea dataOnly="0" labelOnly="1" grandRow="1" outline="0" fieldPosition="0"/>
    </format>
    <format dxfId="488">
      <pivotArea field="4" type="button" dataOnly="0" labelOnly="1" outline="0" axis="axisRow" fieldPosition="0"/>
    </format>
    <format dxfId="489">
      <pivotArea dataOnly="0" labelOnly="1" outline="0" axis="axisValues" fieldPosition="0"/>
    </format>
    <format dxfId="490">
      <pivotArea grandRow="1" outline="0" collapsedLevelsAreSubtotals="1" fieldPosition="0"/>
    </format>
    <format dxfId="491">
      <pivotArea dataOnly="0" labelOnly="1" grandRow="1" outline="0" fieldPosition="0"/>
    </format>
    <format dxfId="492">
      <pivotArea outline="0" collapsedLevelsAreSubtotals="1" fieldPosition="0"/>
    </format>
    <format dxfId="493">
      <pivotArea dataOnly="0" labelOnly="1" outline="0" axis="axisValues" fieldPosition="0"/>
    </format>
    <format dxfId="494">
      <pivotArea collapsedLevelsAreSubtotals="1" fieldPosition="0">
        <references count="1">
          <reference field="4" count="1">
            <x v="0"/>
          </reference>
        </references>
      </pivotArea>
    </format>
    <format dxfId="495">
      <pivotArea dataOnly="0" labelOnly="1" fieldPosition="0">
        <references count="1">
          <reference field="4" count="1">
            <x v="0"/>
          </reference>
        </references>
      </pivotArea>
    </format>
    <format dxfId="496">
      <pivotArea collapsedLevelsAreSubtotals="1" fieldPosition="0">
        <references count="1">
          <reference field="4" count="1">
            <x v="1"/>
          </reference>
        </references>
      </pivotArea>
    </format>
    <format dxfId="497">
      <pivotArea dataOnly="0" labelOnly="1" fieldPosition="0">
        <references count="1">
          <reference field="4" count="1">
            <x v="1"/>
          </reference>
        </references>
      </pivotArea>
    </format>
    <format dxfId="498">
      <pivotArea collapsedLevelsAreSubtotals="1" fieldPosition="0">
        <references count="1">
          <reference field="4" count="1">
            <x v="2"/>
          </reference>
        </references>
      </pivotArea>
    </format>
    <format dxfId="499">
      <pivotArea dataOnly="0" labelOnly="1" fieldPosition="0">
        <references count="1">
          <reference field="4" count="1">
            <x v="2"/>
          </reference>
        </references>
      </pivotArea>
    </format>
    <format dxfId="500">
      <pivotArea collapsedLevelsAreSubtotals="1" fieldPosition="0">
        <references count="1">
          <reference field="4" count="1">
            <x v="3"/>
          </reference>
        </references>
      </pivotArea>
    </format>
    <format dxfId="501">
      <pivotArea dataOnly="0" labelOnly="1" fieldPosition="0">
        <references count="1">
          <reference field="4" count="1">
            <x v="3"/>
          </reference>
        </references>
      </pivotArea>
    </format>
    <format dxfId="502">
      <pivotArea collapsedLevelsAreSubtotals="1" fieldPosition="0">
        <references count="2">
          <reference field="4" count="1" selected="0">
            <x v="3"/>
          </reference>
          <reference field="5" count="1">
            <x v="4"/>
          </reference>
        </references>
      </pivotArea>
    </format>
    <format dxfId="503">
      <pivotArea dataOnly="0" labelOnly="1" fieldPosition="0">
        <references count="2">
          <reference field="4" count="1" selected="0">
            <x v="3"/>
          </reference>
          <reference field="5" count="1">
            <x v="4"/>
          </reference>
        </references>
      </pivotArea>
    </format>
    <format dxfId="504">
      <pivotArea field="4" type="button" dataOnly="0" labelOnly="1" outline="0" axis="axisRow" fieldPosition="0"/>
    </format>
    <format dxfId="505">
      <pivotArea dataOnly="0" labelOnly="1" outline="0" axis="axisValues"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07F0E9A-6538-42CC-8A38-3833BE5F55C9}" name="DemandPJ_historic" displayName="DemandPJ_historic" ref="B5:K21" totalsRowShown="0" headerRowDxfId="483" dataDxfId="482">
  <autoFilter ref="B5:K21" xr:uid="{C07F0E9A-6538-42CC-8A38-3833BE5F55C9}"/>
  <tableColumns count="10">
    <tableColumn id="1" xr3:uid="{DFF80BDD-8295-4A70-B316-8F4539D2B2F1}" name="Fuel" dataDxfId="481"/>
    <tableColumn id="10" xr3:uid="{61ABAEF0-B213-473D-A23E-BFD9F8506C09}" name="Year" dataDxfId="480"/>
    <tableColumn id="2" xr3:uid="{F48F0420-7C03-4F97-B1BF-8F107CB6CFC6}" name="Space Heating" dataDxfId="479">
      <calculatedColumnFormula array="1">_xlfn.XLOOKUP(DemandPJ_historic[[#This Row],[Fuel]],FUEL_PCT_DETAIL[Fuel],_xlfn.XLOOKUP(DemandPJ_historic[[#Headers],[Space Heating]],FUEL_PCT_DETAIL[#Headers],FUEL_PCT_DETAIL[])) *
SUMIFS(FuelBySector[Ind_Consumed (PJ)],FuelBySector[Fuel Match],DemandPJ_historic[[#This Row],[Fuel]],FuelBySector[Year Match],DemandPJ_historic[[#This Row],[Year]])</calculatedColumnFormula>
    </tableColumn>
    <tableColumn id="3" xr3:uid="{EC4457CF-75A5-42BA-9047-D6065F0FAB9F}" name="DHW" dataDxfId="478">
      <calculatedColumnFormula array="1">_xlfn.XLOOKUP(DemandPJ_historic[[#This Row],[Fuel]],FUEL_PCT_DETAIL[Fuel],_xlfn.XLOOKUP(DemandPJ_historic[[#Headers],[DHW]],FUEL_PCT_DETAIL[#Headers],FUEL_PCT_DETAIL[])) *
SUMIFS(FuelBySector[Ind_Consumed (PJ)],FuelBySector[Fuel Match],DemandPJ_historic[[#This Row],[Fuel]],FuelBySector[Year Match],DemandPJ_historic[[#This Row],[Year]])</calculatedColumnFormula>
    </tableColumn>
    <tableColumn id="4" xr3:uid="{0F8C60CF-AABD-466E-AC33-142147DD737B}" name="Space Cooling" dataDxfId="477">
      <calculatedColumnFormula array="1">_xlfn.XLOOKUP(DemandPJ_historic[[#This Row],[Fuel]],FUEL_PCT_DETAIL[Fuel],_xlfn.XLOOKUP(DemandPJ_historic[[#Headers],[Space Cooling]],FUEL_PCT_DETAIL[#Headers],FUEL_PCT_DETAIL[])) *
SUMIFS(FuelBySector[Ind_Consumed (PJ)],FuelBySector[Fuel Match],DemandPJ_historic[[#This Row],[Fuel]],FuelBySector[Year Match],DemandPJ_historic[[#This Row],[Year]])</calculatedColumnFormula>
    </tableColumn>
    <tableColumn id="5" xr3:uid="{9627A968-8FC5-4DF0-A4B7-393ABED0308E}" name="Ventilation" dataDxfId="476">
      <calculatedColumnFormula array="1">_xlfn.XLOOKUP(DemandPJ_historic[[#This Row],[Fuel]],FUEL_PCT_DETAIL[Fuel],_xlfn.XLOOKUP(DemandPJ_historic[[#Headers],[Ventilation]],FUEL_PCT_DETAIL[#Headers],FUEL_PCT_DETAIL[])) *
SUMIFS(FuelBySector[Ind_Consumed (PJ)],FuelBySector[Fuel Match],DemandPJ_historic[[#This Row],[Fuel]],FuelBySector[Year Match],DemandPJ_historic[[#This Row],[Year]])</calculatedColumnFormula>
    </tableColumn>
    <tableColumn id="6" xr3:uid="{C688B318-61D6-4DB1-BBC7-FE1752F4A2E5}" name="Lighting" dataDxfId="475">
      <calculatedColumnFormula array="1">_xlfn.XLOOKUP(DemandPJ_historic[[#This Row],[Fuel]],FUEL_PCT_DETAIL[Fuel],_xlfn.XLOOKUP(DemandPJ_historic[[#Headers],[Lighting]],FUEL_PCT_DETAIL[#Headers],FUEL_PCT_DETAIL[])) *
SUMIFS(FuelBySector[Ind_Consumed (PJ)],FuelBySector[Fuel Match],DemandPJ_historic[[#This Row],[Fuel]],FuelBySector[Year Match],DemandPJ_historic[[#This Row],[Year]])</calculatedColumnFormula>
    </tableColumn>
    <tableColumn id="7" xr3:uid="{D8878958-09E8-45D8-89E8-BB4C16F4AA5F}" name="Conveyance" dataDxfId="474">
      <calculatedColumnFormula array="1">_xlfn.XLOOKUP(DemandPJ_historic[[#This Row],[Fuel]],FUEL_PCT_DETAIL[Fuel],_xlfn.XLOOKUP(DemandPJ_historic[[#Headers],[Conveyance]],FUEL_PCT_DETAIL[#Headers],FUEL_PCT_DETAIL[])) *
SUMIFS(FuelBySector[Ind_Consumed (PJ)],FuelBySector[Fuel Match],DemandPJ_historic[[#This Row],[Fuel]],FuelBySector[Year Match],DemandPJ_historic[[#This Row],[Year]])</calculatedColumnFormula>
    </tableColumn>
    <tableColumn id="8" xr3:uid="{EC8E798F-40A2-4FB3-A15A-FFD6A4DBBB8A}" name="Process Loads" dataDxfId="473">
      <calculatedColumnFormula array="1">_xlfn.XLOOKUP(DemandPJ_historic[[#This Row],[Fuel]],FUEL_PCT_DETAIL[Fuel],_xlfn.XLOOKUP(DemandPJ_historic[[#Headers],[Process Loads]],FUEL_PCT_DETAIL[#Headers],FUEL_PCT_DETAIL[])) *
SUMIFS(FuelBySector[Ind_Consumed (PJ)],FuelBySector[Fuel Match],DemandPJ_historic[[#This Row],[Fuel]],FuelBySector[Year Match],DemandPJ_historic[[#This Row],[Year]])</calculatedColumnFormula>
    </tableColumn>
    <tableColumn id="9" xr3:uid="{1CAA19F2-012F-41AF-AFE0-89CC2086177E}" name="Plug Loads/Misc" dataDxfId="472">
      <calculatedColumnFormula array="1">_xlfn.XLOOKUP(DemandPJ_historic[[#This Row],[Fuel]],FUEL_PCT_DETAIL[Fuel],_xlfn.XLOOKUP(DemandPJ_historic[[#Headers],[Plug Loads/Misc]],FUEL_PCT_DETAIL[#Headers],FUEL_PCT_DETAIL[])) *
SUMIFS(FuelBySector[Ind_Consumed (PJ)],FuelBySector[Fuel Match],DemandPJ_historic[[#This Row],[Fuel]],FuelBySector[Year Match],DemandPJ_historic[[#This Row],[Year]])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B78846D-6305-4755-B39A-E1935E1ED5CA}" name="DemandPJ_projection" displayName="DemandPJ_projection" ref="B26:K54" totalsRowShown="0" headerRowDxfId="471">
  <autoFilter ref="B26:K54" xr:uid="{DB78846D-6305-4755-B39A-E1935E1ED5CA}"/>
  <tableColumns count="10">
    <tableColumn id="1" xr3:uid="{6B2C9A5C-C51E-46F3-BAD3-817757EC1E6C}" name="Fuel"/>
    <tableColumn id="2" xr3:uid="{9D359835-04FA-4245-B249-B4ECC97718BD}" name="Year"/>
    <tableColumn id="3" xr3:uid="{40B6E0FE-5F4F-43E6-9BD1-C66ABB09616E}" name="Space Heating" dataDxfId="470" dataCellStyle="Comma">
      <calculatedColumnFormula array="1">(1+_xlfn.XLOOKUP(DemandPJ_projection[[#This Row],[Fuel]],Fuel_GrowthRate[Fuel],_xlfn.XLOOKUP(DemandPJ_projection[[#This Row],[Year]],Fuel_GrowthRate[#Headers],Fuel_GrowthRate[]))) *
_xlfn.XLOOKUP(1,(DemandPJ_projection[[#This Row],[Fuel]]=DemandPJ_historic[Fuel])*(2023=DemandPJ_historic[Year]),DemandPJ_historic[Space Heating])</calculatedColumnFormula>
    </tableColumn>
    <tableColumn id="4" xr3:uid="{7E1B12C8-409C-45F2-9DAF-8A7CB6C28B07}" name="DHW" dataDxfId="469" dataCellStyle="Comma">
      <calculatedColumnFormula array="1">(1+_xlfn.XLOOKUP(DemandPJ_projection[[#This Row],[Fuel]],Fuel_GrowthRate[Fuel],_xlfn.XLOOKUP(DemandPJ_projection[[#This Row],[Year]],Fuel_GrowthRate[#Headers],Fuel_GrowthRate[]))) *
_xlfn.XLOOKUP(1,(DemandPJ_projection[[#This Row],[Fuel]]=DemandPJ_historic[Fuel])*(2023=DemandPJ_historic[Year]),DemandPJ_historic[DHW])</calculatedColumnFormula>
    </tableColumn>
    <tableColumn id="5" xr3:uid="{1AFFEA54-C4C5-41E0-BA2C-751952F2C533}" name="Space Cooling" dataDxfId="468" dataCellStyle="Comma">
      <calculatedColumnFormula array="1">(1+_xlfn.XLOOKUP(DemandPJ_projection[[#This Row],[Fuel]],Fuel_GrowthRate[Fuel],_xlfn.XLOOKUP(DemandPJ_projection[[#This Row],[Year]],Fuel_GrowthRate[#Headers],Fuel_GrowthRate[]))) *
_xlfn.XLOOKUP(1,(DemandPJ_projection[[#This Row],[Fuel]]=DemandPJ_historic[Fuel])*(2023=DemandPJ_historic[Year]),DemandPJ_historic[Space Cooling])</calculatedColumnFormula>
    </tableColumn>
    <tableColumn id="6" xr3:uid="{C6EB1ED0-62EA-4640-ACEB-A82D8301723E}" name="Ventilation" dataDxfId="467" dataCellStyle="Comma">
      <calculatedColumnFormula array="1">(1+_xlfn.XLOOKUP(DemandPJ_projection[[#This Row],[Fuel]],Fuel_GrowthRate[Fuel],_xlfn.XLOOKUP(DemandPJ_projection[[#This Row],[Year]],Fuel_GrowthRate[#Headers],Fuel_GrowthRate[]))) *
_xlfn.XLOOKUP(1,(DemandPJ_projection[[#This Row],[Fuel]]=DemandPJ_historic[Fuel])*(2023=DemandPJ_historic[Year]),DemandPJ_historic[Ventilation])</calculatedColumnFormula>
    </tableColumn>
    <tableColumn id="7" xr3:uid="{D43B45AE-4079-4479-806E-C4BEEA1198BE}" name="Lighting" dataDxfId="466" dataCellStyle="Comma">
      <calculatedColumnFormula array="1">(1+_xlfn.XLOOKUP(DemandPJ_projection[[#This Row],[Fuel]],Fuel_GrowthRate[Fuel],_xlfn.XLOOKUP(DemandPJ_projection[[#This Row],[Year]],Fuel_GrowthRate[#Headers],Fuel_GrowthRate[]))) *
_xlfn.XLOOKUP(1,(DemandPJ_projection[[#This Row],[Fuel]]=DemandPJ_historic[Fuel])*(2023=DemandPJ_historic[Year]),DemandPJ_historic[Lighting])</calculatedColumnFormula>
    </tableColumn>
    <tableColumn id="8" xr3:uid="{DCCAD28E-7DDF-403F-97D2-EC07921D4CFD}" name="Conveyance" dataDxfId="465" dataCellStyle="Comma">
      <calculatedColumnFormula array="1">(1+_xlfn.XLOOKUP(DemandPJ_projection[[#This Row],[Fuel]],Fuel_GrowthRate[Fuel],_xlfn.XLOOKUP(DemandPJ_projection[[#This Row],[Year]],Fuel_GrowthRate[#Headers],Fuel_GrowthRate[]))) *
_xlfn.XLOOKUP(1,(DemandPJ_projection[[#This Row],[Fuel]]=DemandPJ_historic[Fuel])*(2023=DemandPJ_historic[Year]),DemandPJ_historic[Conveyance])</calculatedColumnFormula>
    </tableColumn>
    <tableColumn id="9" xr3:uid="{8FAAB970-42BE-4373-A9E7-4D9A2A31877F}" name="Process Loads" dataDxfId="464" dataCellStyle="Comma">
      <calculatedColumnFormula array="1">(1+_xlfn.XLOOKUP(DemandPJ_projection[[#This Row],[Fuel]],Fuel_GrowthRate[Fuel],_xlfn.XLOOKUP(DemandPJ_projection[[#This Row],[Year]],Fuel_GrowthRate[#Headers],Fuel_GrowthRate[]))) *
_xlfn.XLOOKUP(1,(DemandPJ_projection[[#This Row],[Fuel]]=DemandPJ_historic[Fuel])*(2023=DemandPJ_historic[Year]),DemandPJ_historic[Process Loads])</calculatedColumnFormula>
    </tableColumn>
    <tableColumn id="10" xr3:uid="{27A87F92-3DAA-43F2-9A0E-A4BC42739E25}" name="Plug Loads/Misc" dataDxfId="463" dataCellStyle="Comma">
      <calculatedColumnFormula array="1">(1+_xlfn.XLOOKUP(DemandPJ_projection[[#This Row],[Fuel]],Fuel_GrowthRate[Fuel],_xlfn.XLOOKUP(DemandPJ_projection[[#This Row],[Year]],Fuel_GrowthRate[#Headers],Fuel_GrowthRate[]))) *
_xlfn.XLOOKUP(1,(DemandPJ_projection[[#This Row],[Fuel]]=DemandPJ_historic[Fuel])*(2023=DemandPJ_historic[Year]),DemandPJ_historic[Plug Loads/Misc])</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2798A93-7AAD-48E0-96DB-51EDC5677936}" name="tbl_tech_otr8" displayName="tbl_tech_otr8" ref="M7:P43" totalsRowShown="0" headerRowDxfId="462" dataDxfId="461" headerRowBorderDxfId="459" tableBorderDxfId="460">
  <autoFilter ref="M7:P43" xr:uid="{1428DC12-2AB7-4393-B1F1-E301C8B2023D}"/>
  <tableColumns count="4">
    <tableColumn id="1" xr3:uid="{2A767082-2301-4414-8CB9-AD9DEAD5EA24}" name="TECHNOLOGY - Other" dataDxfId="458"/>
    <tableColumn id="2" xr3:uid="{25FBF130-3863-4C92-838D-E7E983BABE62}" name="NCAP_COST" dataDxfId="457"/>
    <tableColumn id="3" xr3:uid="{05C64984-2C55-4C18-B7A1-BF256BD24A29}" name="NCAP_FOM" dataDxfId="456"/>
    <tableColumn id="8" xr3:uid="{C34175D5-C8B6-4A30-BC25-3C1B4933659C}" name="Source" dataDxfId="455"/>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F6DB44-370A-4320-BD75-BDC5727A272B}" name="tbl_pluto_2010" displayName="tbl_pluto_2010" ref="B3:H33" totalsRowShown="0" headerRowDxfId="454" dataDxfId="453" headerRowBorderDxfId="452">
  <autoFilter ref="B3:H33" xr:uid="{18F6DB44-370A-4320-BD75-BDC5727A272B}"/>
  <tableColumns count="7">
    <tableColumn id="1" xr3:uid="{42D88E80-F9DC-44C0-91DF-3A8F38D64F09}" name="BldgArea 2010" dataDxfId="451"/>
    <tableColumn id="2" xr3:uid="{BB8A3CD6-2406-4620-9673-D638DC52D1E4}" name="BX" dataDxfId="450" dataCellStyle="Comma"/>
    <tableColumn id="3" xr3:uid="{CEC96588-AE7C-4F69-A0A3-AFA2ADA9A00A}" name="BK" dataDxfId="449" dataCellStyle="Comma"/>
    <tableColumn id="4" xr3:uid="{6A159677-CDA1-4E9C-8145-A642BB415EEA}" name="MN" dataDxfId="448" dataCellStyle="Comma"/>
    <tableColumn id="5" xr3:uid="{55231D04-936E-433B-B3F7-954DD2FB3387}" name="QN" dataDxfId="447" dataCellStyle="Comma"/>
    <tableColumn id="6" xr3:uid="{009B74A4-3093-4E37-BD06-1C4207FB0180}" name="SI" dataDxfId="446" dataCellStyle="Comma"/>
    <tableColumn id="8" xr3:uid="{D0FC0001-2573-472D-A85A-F1526FBB1E17}" name="TOTAL" dataDxfId="445"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D2223B-F97B-4084-BD67-AC90C426FA9B}" name="tbl_bldgarea" displayName="tbl_bldgarea" ref="B39:H45" totalsRowCount="1" headerRowDxfId="444" dataDxfId="443" totalsRowDxfId="442" headerRowBorderDxfId="440" tableBorderDxfId="441">
  <autoFilter ref="B39:H44" xr:uid="{ADD2223B-F97B-4084-BD67-AC90C426FA9B}"/>
  <tableColumns count="7">
    <tableColumn id="1" xr3:uid="{D9AC0CCE-FEED-4682-87DF-3ED3D86A17D2}" name="TOTAL BLDGAREA " totalsRowLabel="TOTAL" dataDxfId="438" totalsRowDxfId="439"/>
    <tableColumn id="2" xr3:uid="{155513AF-2ED7-4B05-8567-54F5E1BAEB85}" name="BX" totalsRowFunction="custom" dataDxfId="436" totalsRowDxfId="437" dataCellStyle="Comma" totalsRowCellStyle="Comma">
      <calculatedColumnFormula>SUMIF(tbl_pluto_2010[BldgArea 2010],"*"&amp;tbl_bldgarea[[#This Row],[TOTAL BLDGAREA ]]&amp;"*",tbl_pluto_2010[BX])</calculatedColumnFormula>
      <totalsRowFormula>SUM(tbl_bldgarea[BX])</totalsRowFormula>
    </tableColumn>
    <tableColumn id="3" xr3:uid="{4C550460-A67F-434B-9216-F3E19864A0C6}" name="BK" totalsRowFunction="custom" dataDxfId="434" totalsRowDxfId="435" dataCellStyle="Comma" totalsRowCellStyle="Comma">
      <calculatedColumnFormula>SUMIF(tbl_pluto_2010[BldgArea 2010],"*"&amp;tbl_bldgarea[[#This Row],[TOTAL BLDGAREA ]]&amp;"*",tbl_pluto_2010[BK])</calculatedColumnFormula>
      <totalsRowFormula>SUM(tbl_bldgarea[BK])</totalsRowFormula>
    </tableColumn>
    <tableColumn id="4" xr3:uid="{E51574DE-4F71-404D-907D-8DB6592C9803}" name="MN" totalsRowFunction="custom" dataDxfId="432" totalsRowDxfId="433" dataCellStyle="Comma" totalsRowCellStyle="Comma">
      <calculatedColumnFormula>SUMIF(tbl_pluto_2010[BldgArea 2010],"*"&amp;tbl_bldgarea[[#This Row],[TOTAL BLDGAREA ]]&amp;"*",tbl_pluto_2010[MN])</calculatedColumnFormula>
      <totalsRowFormula>SUM(tbl_bldgarea[MN])</totalsRowFormula>
    </tableColumn>
    <tableColumn id="5" xr3:uid="{CA22F73A-10EA-4572-93F3-FE809112F496}" name="QN" totalsRowFunction="custom" dataDxfId="430" totalsRowDxfId="431" dataCellStyle="Comma" totalsRowCellStyle="Comma">
      <calculatedColumnFormula>SUMIF(tbl_pluto_2010[BldgArea 2010],"*"&amp;tbl_bldgarea[[#This Row],[TOTAL BLDGAREA ]]&amp;"*",tbl_pluto_2010[QN])</calculatedColumnFormula>
      <totalsRowFormula>SUM(tbl_bldgarea[QN])</totalsRowFormula>
    </tableColumn>
    <tableColumn id="6" xr3:uid="{455A1ADB-7996-4D98-96F9-92F9DCC9E4E2}" name="SI" totalsRowFunction="custom" dataDxfId="428" totalsRowDxfId="429" dataCellStyle="Comma" totalsRowCellStyle="Comma">
      <calculatedColumnFormula>SUMIF(tbl_pluto_2010[BldgArea 2010],"*"&amp;tbl_bldgarea[[#This Row],[TOTAL BLDGAREA ]]&amp;"*",tbl_pluto_2010[SI])</calculatedColumnFormula>
      <totalsRowFormula>SUM(tbl_bldgarea[SI])</totalsRowFormula>
    </tableColumn>
    <tableColumn id="8" xr3:uid="{536E9937-2843-45EF-9F08-B1290E50E96C}" name="TOTAL" totalsRowFunction="custom" dataDxfId="426" totalsRowDxfId="427" dataCellStyle="Comma" totalsRowCellStyle="Comma">
      <calculatedColumnFormula>SUM(tbl_bldgarea[[#This Row],[BX]:[SI]])</calculatedColumnFormula>
      <totalsRowFormula>SUM(H40:H44)</totalsRow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9B8D1C-5CE0-4669-807E-BC6BCF3BFC82}" name="tbl_prct_bldgarea_borough" displayName="tbl_prct_bldgarea_borough" ref="B58:H63" totalsRowShown="0" headerRowDxfId="425" dataDxfId="424" headerRowBorderDxfId="423">
  <autoFilter ref="B58:H63" xr:uid="{799B8D1C-5CE0-4669-807E-BC6BCF3BFC82}"/>
  <tableColumns count="7">
    <tableColumn id="1" xr3:uid="{CB3F10FF-5AB2-4AD1-BD50-2B53F879F75A}" name="TOTAL BLDGAREA (%)" dataDxfId="422"/>
    <tableColumn id="2" xr3:uid="{2DCE68D1-4457-44A7-85F4-D1EF64045944}" name="BX" dataDxfId="421">
      <calculatedColumnFormula>SUMIF(tbl_pluto_2010[BldgArea 2010],"*"&amp;tbl_prct_bldgarea_borough[[#This Row],[TOTAL BLDGAREA (%)]]&amp;"*",tbl_pluto_2010[BX])/C$35</calculatedColumnFormula>
    </tableColumn>
    <tableColumn id="3" xr3:uid="{D8AA515E-98BE-4546-9DFE-B46DEE3D80DA}" name="BK" dataDxfId="420">
      <calculatedColumnFormula>SUMIF(tbl_pluto_2010[BldgArea 2010],"*"&amp;tbl_prct_bldgarea_borough[[#This Row],[TOTAL BLDGAREA (%)]]&amp;"*",tbl_pluto_2010[BK])/D$35</calculatedColumnFormula>
    </tableColumn>
    <tableColumn id="4" xr3:uid="{51DF3A18-BD7C-46DB-8DBB-F3976C778E32}" name="MN" dataDxfId="419">
      <calculatedColumnFormula>SUMIF(tbl_pluto_2010[BldgArea 2010],"*"&amp;tbl_prct_bldgarea_borough[[#This Row],[TOTAL BLDGAREA (%)]]&amp;"*",tbl_pluto_2010[MN])/E$35</calculatedColumnFormula>
    </tableColumn>
    <tableColumn id="5" xr3:uid="{5D02681F-5813-4437-A955-B99326782BF9}" name="QN" dataDxfId="418">
      <calculatedColumnFormula>SUMIF(tbl_pluto_2010[BldgArea 2010],"*"&amp;tbl_prct_bldgarea_borough[[#This Row],[TOTAL BLDGAREA (%)]]&amp;"*",tbl_pluto_2010[QN])/F$35</calculatedColumnFormula>
    </tableColumn>
    <tableColumn id="6" xr3:uid="{E37A77A2-15FE-4072-97FA-F6B522924313}" name="SI" dataDxfId="417">
      <calculatedColumnFormula>SUMIF(tbl_pluto_2010[BldgArea 2010],"*"&amp;tbl_prct_bldgarea_borough[[#This Row],[TOTAL BLDGAREA (%)]]&amp;"*",tbl_pluto_2010[SI])/G$35</calculatedColumnFormula>
    </tableColumn>
    <tableColumn id="7" xr3:uid="{DE9DD298-EED4-437E-80F1-CCD12B1C3C4C}" name="TOTAL" dataDxfId="416" dataCellStyle="Percent">
      <calculatedColumnFormula>SUMIF(tbl_pluto_2010[BldgArea 2010],"*"&amp;tbl_prct_bldgarea_borough[[#This Row],[TOTAL BLDGAREA (%)]]&amp;"*",tbl_pluto_2010[TOTAL])/H$35</calculatedColumnFormula>
    </tableColum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67B8C7A-433B-4165-BD62-1B1A2407A150}" name="tbl_prct_bldgarea_typology" displayName="tbl_prct_bldgarea_typology" ref="B49:H54" totalsRowShown="0" headerRowDxfId="415" dataDxfId="414" headerRowBorderDxfId="413">
  <autoFilter ref="B49:H54" xr:uid="{267B8C7A-433B-4165-BD62-1B1A2407A150}"/>
  <tableColumns count="7">
    <tableColumn id="1" xr3:uid="{27FD9453-5928-45D0-91A2-01B5A4453DD2}" name="TOTAL BLDGAREA (%)" dataDxfId="412"/>
    <tableColumn id="2" xr3:uid="{D20B8E73-119A-42AC-88D4-40168C4A776D}" name="BX" dataDxfId="411">
      <calculatedColumnFormula>_xlfn.XLOOKUP(tbl_prct_bldgarea_typology[[#This Row],[TOTAL BLDGAREA (%)]],tbl_bldgarea[[TOTAL BLDGAREA ]],tbl_bldgarea[BX])/_xlfn.XLOOKUP(tbl_prct_bldgarea_typology[[#This Row],[TOTAL BLDGAREA (%)]],tbl_bldgarea[[TOTAL BLDGAREA ]],tbl_bldgarea[TOTAL])</calculatedColumnFormula>
    </tableColumn>
    <tableColumn id="3" xr3:uid="{6EC6DAC2-D5DD-4E3D-B73F-3298A9D1E22E}" name="BK" dataDxfId="410">
      <calculatedColumnFormula>_xlfn.XLOOKUP(tbl_prct_bldgarea_typology[[#This Row],[TOTAL BLDGAREA (%)]],tbl_bldgarea[[TOTAL BLDGAREA ]],tbl_bldgarea[BK])/_xlfn.XLOOKUP(tbl_prct_bldgarea_typology[[#This Row],[TOTAL BLDGAREA (%)]],tbl_bldgarea[[TOTAL BLDGAREA ]],tbl_bldgarea[TOTAL])</calculatedColumnFormula>
    </tableColumn>
    <tableColumn id="4" xr3:uid="{E5B04153-83ED-4560-9C13-837888EB925B}" name="MN" dataDxfId="409">
      <calculatedColumnFormula>_xlfn.XLOOKUP(tbl_prct_bldgarea_typology[[#This Row],[TOTAL BLDGAREA (%)]],tbl_bldgarea[[TOTAL BLDGAREA ]],tbl_bldgarea[MN])/_xlfn.XLOOKUP(tbl_prct_bldgarea_typology[[#This Row],[TOTAL BLDGAREA (%)]],tbl_bldgarea[[TOTAL BLDGAREA ]],tbl_bldgarea[TOTAL])</calculatedColumnFormula>
    </tableColumn>
    <tableColumn id="5" xr3:uid="{6E0EECFF-24BE-44CB-A39F-5BE4EABFC472}" name="QN" dataDxfId="408">
      <calculatedColumnFormula>_xlfn.XLOOKUP(tbl_prct_bldgarea_typology[[#This Row],[TOTAL BLDGAREA (%)]],tbl_bldgarea[[TOTAL BLDGAREA ]],tbl_bldgarea[QN])/_xlfn.XLOOKUP(tbl_prct_bldgarea_typology[[#This Row],[TOTAL BLDGAREA (%)]],tbl_bldgarea[[TOTAL BLDGAREA ]],tbl_bldgarea[TOTAL])</calculatedColumnFormula>
    </tableColumn>
    <tableColumn id="6" xr3:uid="{EC35E5FC-6E9B-48ED-B874-601DA647D6F7}" name="SI" dataDxfId="407">
      <calculatedColumnFormula>_xlfn.XLOOKUP(tbl_prct_bldgarea_typology[[#This Row],[TOTAL BLDGAREA (%)]],tbl_bldgarea[[TOTAL BLDGAREA ]],tbl_bldgarea[SI])/_xlfn.XLOOKUP(tbl_prct_bldgarea_typology[[#This Row],[TOTAL BLDGAREA (%)]],tbl_bldgarea[[TOTAL BLDGAREA ]],tbl_bldgarea[TOTAL])</calculatedColumnFormula>
    </tableColumn>
    <tableColumn id="7" xr3:uid="{57F38234-D07F-4CF8-A7CE-D70A906D5588}" name="TOTAL" dataDxfId="406" dataCellStyle="Percent">
      <calculatedColumnFormula>SUM(tbl_prct_bldgarea_typology[[#This Row],[BX]:[SI]])</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16C8F0-93B5-43A6-9D1E-D9F7D0CDA295}" name="tbl_pluto_2015" displayName="tbl_pluto_2015" ref="J3:P33" totalsRowShown="0" headerRowDxfId="405" dataDxfId="404" headerRowBorderDxfId="403">
  <autoFilter ref="J3:P33" xr:uid="{7516C8F0-93B5-43A6-9D1E-D9F7D0CDA295}"/>
  <tableColumns count="7">
    <tableColumn id="1" xr3:uid="{47C74E60-FC54-40CB-A636-95C679691496}" name="BldgArea 2015" dataDxfId="402"/>
    <tableColumn id="2" xr3:uid="{9FED8645-E71A-4D2B-BD9F-186208324051}" name="BX" dataDxfId="401" dataCellStyle="Comma"/>
    <tableColumn id="3" xr3:uid="{BB814471-E0B1-4FDB-A1EA-44068B0B6FF0}" name="BK" dataDxfId="400" dataCellStyle="Comma"/>
    <tableColumn id="4" xr3:uid="{8D59E8CD-F1A2-48C4-9472-A1EFDE0062E0}" name="MN" dataDxfId="399" dataCellStyle="Comma"/>
    <tableColumn id="5" xr3:uid="{A1D5D292-5D76-44D7-B388-2ABD2CAB76F3}" name="QN" dataDxfId="398" dataCellStyle="Comma"/>
    <tableColumn id="6" xr3:uid="{1717ABFA-72B6-4DE1-AA5E-C7014B4D2430}" name="SI" dataDxfId="397" dataCellStyle="Comma"/>
    <tableColumn id="8" xr3:uid="{514DC5D2-D528-4461-A68D-5AE025009192}" name="TOTAL" dataDxfId="396" dataCellStyle="Comm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B51551A-044C-4781-81FC-FE27BA7E98D0}" name="tbl_pluto_2020" displayName="tbl_pluto_2020" ref="R3:X33" totalsRowShown="0" headerRowDxfId="395" dataDxfId="394" headerRowBorderDxfId="393">
  <autoFilter ref="R3:X33" xr:uid="{7B51551A-044C-4781-81FC-FE27BA7E98D0}"/>
  <tableColumns count="7">
    <tableColumn id="1" xr3:uid="{E945FCA3-A7B9-47B6-8825-77A9768C5DF4}" name="BldgArea 2020" dataDxfId="392"/>
    <tableColumn id="2" xr3:uid="{4F474A51-5731-4CB5-9F1D-32D2A6A476DB}" name="BX" dataDxfId="391" dataCellStyle="Comma"/>
    <tableColumn id="3" xr3:uid="{CB9571D2-89D7-42DC-A4D8-DE5ECE0D8661}" name="BK" dataDxfId="390" dataCellStyle="Comma"/>
    <tableColumn id="4" xr3:uid="{9EC183F7-141A-4686-9868-F0DDEE7D1BE8}" name="MN" dataDxfId="389" dataCellStyle="Comma"/>
    <tableColumn id="5" xr3:uid="{CA19BF22-6B39-430C-A1A6-14CF22DC0338}" name="QN" dataDxfId="388" dataCellStyle="Comma"/>
    <tableColumn id="6" xr3:uid="{860B9508-FAE2-4D82-90C9-5FC732D1A5D7}" name="SI" dataDxfId="387" dataCellStyle="Comma"/>
    <tableColumn id="8" xr3:uid="{E47B5318-69D6-44B7-9420-887ECAA1DD4B}" name="TOTAL" dataDxfId="386" dataCellStyle="Comma"/>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ABDF6F2-ED79-4EED-BA92-A03A2B810FA4}" name="tbl_bldgarea27" displayName="tbl_bldgarea27" ref="J39:P45" totalsRowCount="1" headerRowDxfId="385" dataDxfId="384" totalsRowDxfId="383" headerRowBorderDxfId="381" tableBorderDxfId="382">
  <autoFilter ref="J39:P44" xr:uid="{DABDF6F2-ED79-4EED-BA92-A03A2B810FA4}"/>
  <tableColumns count="7">
    <tableColumn id="1" xr3:uid="{506C0C95-337E-4B51-A727-ABFC0E62B412}" name="TOTAL BLDGAREA " totalsRowLabel="TOTAL" dataDxfId="379" totalsRowDxfId="380"/>
    <tableColumn id="2" xr3:uid="{B7FE6195-13FA-4D70-A409-2EF777BB69CE}" name="BX" totalsRowFunction="custom" dataDxfId="377" totalsRowDxfId="378" dataCellStyle="Comma" totalsRowCellStyle="Comma">
      <calculatedColumnFormula>SUMIF(tbl_pluto_2010[BldgArea 2010],"*"&amp;tbl_bldgarea27[[#This Row],[TOTAL BLDGAREA ]]&amp;"*",tbl_pluto_2010[BX])</calculatedColumnFormula>
      <totalsRowFormula>SUM(tbl_bldgarea27[BX])</totalsRowFormula>
    </tableColumn>
    <tableColumn id="3" xr3:uid="{D0819385-D00D-4304-BD15-9F84C6AE54F9}" name="BK" totalsRowFunction="custom" dataDxfId="375" totalsRowDxfId="376" dataCellStyle="Comma" totalsRowCellStyle="Comma">
      <calculatedColumnFormula>SUMIF(tbl_pluto_2010[BldgArea 2010],"*"&amp;tbl_bldgarea27[[#This Row],[TOTAL BLDGAREA ]]&amp;"*",tbl_pluto_2010[BK])</calculatedColumnFormula>
      <totalsRowFormula>SUM(tbl_bldgarea27[BK])</totalsRowFormula>
    </tableColumn>
    <tableColumn id="4" xr3:uid="{2B27C085-2E45-43D5-90CD-AABF4E5C6598}" name="MN" totalsRowFunction="custom" dataDxfId="373" totalsRowDxfId="374" dataCellStyle="Comma" totalsRowCellStyle="Comma">
      <calculatedColumnFormula>SUMIF(tbl_pluto_2010[BldgArea 2010],"*"&amp;tbl_bldgarea27[[#This Row],[TOTAL BLDGAREA ]]&amp;"*",tbl_pluto_2010[MN])</calculatedColumnFormula>
      <totalsRowFormula>SUM(tbl_bldgarea27[MN])</totalsRowFormula>
    </tableColumn>
    <tableColumn id="5" xr3:uid="{577EEA5F-4634-4276-B6F4-C4DB6E5D3098}" name="QN" totalsRowFunction="custom" dataDxfId="371" totalsRowDxfId="372" dataCellStyle="Comma" totalsRowCellStyle="Comma">
      <calculatedColumnFormula>SUMIF(tbl_pluto_2010[BldgArea 2010],"*"&amp;tbl_bldgarea27[[#This Row],[TOTAL BLDGAREA ]]&amp;"*",tbl_pluto_2010[QN])</calculatedColumnFormula>
      <totalsRowFormula>SUM(tbl_bldgarea27[QN])</totalsRowFormula>
    </tableColumn>
    <tableColumn id="6" xr3:uid="{487BF6C9-8601-4CE1-8A80-412A6E3B8667}" name="SI" totalsRowFunction="custom" dataDxfId="369" totalsRowDxfId="370" dataCellStyle="Comma" totalsRowCellStyle="Comma">
      <calculatedColumnFormula>SUMIF(tbl_pluto_2010[BldgArea 2010],"*"&amp;tbl_bldgarea27[[#This Row],[TOTAL BLDGAREA ]]&amp;"*",tbl_pluto_2010[SI])</calculatedColumnFormula>
      <totalsRowFormula>SUM(tbl_bldgarea27[SI])</totalsRowFormula>
    </tableColumn>
    <tableColumn id="8" xr3:uid="{C8164952-F0C2-4AD4-A92E-6E3EFF0C2467}" name="TOTAL" totalsRowFunction="custom" dataDxfId="367" totalsRowDxfId="368" dataCellStyle="Comma" totalsRowCellStyle="Comma">
      <calculatedColumnFormula>SUM(tbl_bldgarea27[[#This Row],[BX]:[SI]])</calculatedColumnFormula>
      <totalsRowFormula>SUM(P40:P44)</totalsRowFormula>
    </tableColum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70A744-06C0-4CF0-B645-98FC76836B81}" name="tbl_prct_bldgarea_borough28" displayName="tbl_prct_bldgarea_borough28" ref="J58:P63" totalsRowShown="0" headerRowDxfId="366" dataDxfId="365" headerRowBorderDxfId="364">
  <autoFilter ref="J58:P63" xr:uid="{F970A744-06C0-4CF0-B645-98FC76836B81}"/>
  <tableColumns count="7">
    <tableColumn id="1" xr3:uid="{7BBD624D-C946-4A0A-8F62-1B1041E80525}" name="TOTAL BLDGAREA (%)" dataDxfId="363"/>
    <tableColumn id="2" xr3:uid="{93044B4A-BDAE-4177-8886-4ECFC77B26C3}" name="BX" dataDxfId="362">
      <calculatedColumnFormula>SUMIF(tbl_pluto_2010[BldgArea 2010],"*"&amp;tbl_prct_bldgarea_borough28[[#This Row],[TOTAL BLDGAREA (%)]]&amp;"*",tbl_pluto_2010[BX])/K$35</calculatedColumnFormula>
    </tableColumn>
    <tableColumn id="3" xr3:uid="{FD621B91-00C8-4360-A6E4-53E85AEA3AE3}" name="BK" dataDxfId="361">
      <calculatedColumnFormula>SUMIF(tbl_pluto_2010[BldgArea 2010],"*"&amp;tbl_prct_bldgarea_borough28[[#This Row],[TOTAL BLDGAREA (%)]]&amp;"*",tbl_pluto_2010[BK])/L$35</calculatedColumnFormula>
    </tableColumn>
    <tableColumn id="4" xr3:uid="{27734CB5-49EB-4AAB-83BF-2574A18573A0}" name="MN" dataDxfId="360">
      <calculatedColumnFormula>SUMIF(tbl_pluto_2010[BldgArea 2010],"*"&amp;tbl_prct_bldgarea_borough28[[#This Row],[TOTAL BLDGAREA (%)]]&amp;"*",tbl_pluto_2010[MN])/M$35</calculatedColumnFormula>
    </tableColumn>
    <tableColumn id="5" xr3:uid="{DF6BCA9F-DE6D-4D6B-929D-1506959A5CE6}" name="QN" dataDxfId="359">
      <calculatedColumnFormula>SUMIF(tbl_pluto_2010[BldgArea 2010],"*"&amp;tbl_prct_bldgarea_borough28[[#This Row],[TOTAL BLDGAREA (%)]]&amp;"*",tbl_pluto_2010[QN])/N$35</calculatedColumnFormula>
    </tableColumn>
    <tableColumn id="6" xr3:uid="{11F72B62-136A-4CEA-A77A-E086B6EC4A04}" name="SI" dataDxfId="358">
      <calculatedColumnFormula>SUMIF(tbl_pluto_2010[BldgArea 2010],"*"&amp;tbl_prct_bldgarea_borough28[[#This Row],[TOTAL BLDGAREA (%)]]&amp;"*",tbl_pluto_2010[SI])/O$35</calculatedColumnFormula>
    </tableColumn>
    <tableColumn id="7" xr3:uid="{5AC6D906-C235-47D6-A166-086B2AB63921}" name="TOTAL" dataDxfId="357" dataCellStyle="Percent">
      <calculatedColumnFormula>SUMIF(tbl_pluto_2010[BldgArea 2010],"*"&amp;tbl_prct_bldgarea_borough28[[#This Row],[TOTAL BLDGAREA (%)]]&amp;"*",tbl_pluto_2010[TOTAL])/P$35</calculatedColumnFormula>
    </tableColumn>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21D6A52-2693-4C1B-8E11-89CC3459E495}" name="tbl_prct_bldgarea_typology29" displayName="tbl_prct_bldgarea_typology29" ref="J49:P54" totalsRowShown="0" headerRowDxfId="356" dataDxfId="355" headerRowBorderDxfId="354">
  <autoFilter ref="J49:P54" xr:uid="{921D6A52-2693-4C1B-8E11-89CC3459E495}"/>
  <tableColumns count="7">
    <tableColumn id="1" xr3:uid="{BBFE3423-0FA2-4B47-8215-1C830BD39833}" name="TOTAL BLDGAREA (%)" dataDxfId="353"/>
    <tableColumn id="2" xr3:uid="{41541494-009B-4539-BE2D-BF6AA89EB133}" name="BX" dataDxfId="352">
      <calculatedColumnFormula>_xlfn.XLOOKUP(tbl_prct_bldgarea_typology29[[#This Row],[TOTAL BLDGAREA (%)]],tbl_bldgarea27[[TOTAL BLDGAREA ]],tbl_bldgarea27[BX])/_xlfn.XLOOKUP(tbl_prct_bldgarea_typology29[[#This Row],[TOTAL BLDGAREA (%)]],tbl_bldgarea27[[TOTAL BLDGAREA ]],tbl_bldgarea27[TOTAL])</calculatedColumnFormula>
    </tableColumn>
    <tableColumn id="3" xr3:uid="{75DE2C13-04CE-43F7-85F4-C5833911F964}" name="BK" dataDxfId="351">
      <calculatedColumnFormula>_xlfn.XLOOKUP(tbl_prct_bldgarea_typology29[[#This Row],[TOTAL BLDGAREA (%)]],tbl_bldgarea27[[TOTAL BLDGAREA ]],tbl_bldgarea27[BK])/_xlfn.XLOOKUP(tbl_prct_bldgarea_typology29[[#This Row],[TOTAL BLDGAREA (%)]],tbl_bldgarea27[[TOTAL BLDGAREA ]],tbl_bldgarea27[TOTAL])</calculatedColumnFormula>
    </tableColumn>
    <tableColumn id="4" xr3:uid="{F8977BD0-4B78-4273-8D4C-48800DD39E39}" name="MN" dataDxfId="350">
      <calculatedColumnFormula>_xlfn.XLOOKUP(tbl_prct_bldgarea_typology29[[#This Row],[TOTAL BLDGAREA (%)]],tbl_bldgarea27[[TOTAL BLDGAREA ]],tbl_bldgarea27[MN])/_xlfn.XLOOKUP(tbl_prct_bldgarea_typology29[[#This Row],[TOTAL BLDGAREA (%)]],tbl_bldgarea27[[TOTAL BLDGAREA ]],tbl_bldgarea27[TOTAL])</calculatedColumnFormula>
    </tableColumn>
    <tableColumn id="5" xr3:uid="{E1902940-7E76-44A9-874F-014812714F9B}" name="QN" dataDxfId="349">
      <calculatedColumnFormula>_xlfn.XLOOKUP(tbl_prct_bldgarea_typology29[[#This Row],[TOTAL BLDGAREA (%)]],tbl_bldgarea27[[TOTAL BLDGAREA ]],tbl_bldgarea27[QN])/_xlfn.XLOOKUP(tbl_prct_bldgarea_typology29[[#This Row],[TOTAL BLDGAREA (%)]],tbl_bldgarea27[[TOTAL BLDGAREA ]],tbl_bldgarea27[TOTAL])</calculatedColumnFormula>
    </tableColumn>
    <tableColumn id="6" xr3:uid="{15DBF855-4BBC-42C8-AF69-4057EA0709F2}" name="SI" dataDxfId="348">
      <calculatedColumnFormula>_xlfn.XLOOKUP(tbl_prct_bldgarea_typology29[[#This Row],[TOTAL BLDGAREA (%)]],tbl_bldgarea27[[TOTAL BLDGAREA ]],tbl_bldgarea27[SI])/_xlfn.XLOOKUP(tbl_prct_bldgarea_typology29[[#This Row],[TOTAL BLDGAREA (%)]],tbl_bldgarea27[[TOTAL BLDGAREA ]],tbl_bldgarea27[TOTAL])</calculatedColumnFormula>
    </tableColumn>
    <tableColumn id="7" xr3:uid="{A010CEEE-6FDA-4D06-9900-F561D20E06FB}" name="TOTAL" dataDxfId="347" dataCellStyle="Percent">
      <calculatedColumnFormula>SUM(tbl_prct_bldgarea_typology29[[#This Row],[BX]:[SI]])</calculatedColumnFormula>
    </tableColumn>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3CFB879-7F97-40F4-A0D7-CF6FF3D549B4}" name="tbl_bldgarea30" displayName="tbl_bldgarea30" ref="R39:X45" totalsRowCount="1" headerRowDxfId="346" dataDxfId="345" totalsRowDxfId="344" headerRowBorderDxfId="342" tableBorderDxfId="343">
  <autoFilter ref="R39:X44" xr:uid="{F3CFB879-7F97-40F4-A0D7-CF6FF3D549B4}"/>
  <tableColumns count="7">
    <tableColumn id="1" xr3:uid="{3FD432E7-E537-4000-8B9D-146087D61F80}" name="TOTAL BLDGAREA " totalsRowLabel="TOTAL" dataDxfId="340" totalsRowDxfId="341"/>
    <tableColumn id="2" xr3:uid="{CEC39574-452B-4AD9-9822-383F5B9AF31A}" name="BX" totalsRowFunction="custom" dataDxfId="338" totalsRowDxfId="339" dataCellStyle="Comma" totalsRowCellStyle="Comma">
      <calculatedColumnFormula>SUMIF(tbl_pluto_2010[BldgArea 2010],"*"&amp;tbl_bldgarea30[[#This Row],[TOTAL BLDGAREA ]]&amp;"*",tbl_pluto_2010[BX])</calculatedColumnFormula>
      <totalsRowFormula>SUM(tbl_bldgarea30[BX])</totalsRowFormula>
    </tableColumn>
    <tableColumn id="3" xr3:uid="{EFE059F1-0821-4A64-A4E5-BC85396C3DFE}" name="BK" totalsRowFunction="custom" dataDxfId="336" totalsRowDxfId="337" dataCellStyle="Comma" totalsRowCellStyle="Comma">
      <calculatedColumnFormula>SUMIF(tbl_pluto_2010[BldgArea 2010],"*"&amp;tbl_bldgarea30[[#This Row],[TOTAL BLDGAREA ]]&amp;"*",tbl_pluto_2010[BK])</calculatedColumnFormula>
      <totalsRowFormula>SUM(tbl_bldgarea30[BK])</totalsRowFormula>
    </tableColumn>
    <tableColumn id="4" xr3:uid="{CA5BB2C8-DC3A-442E-88CB-5695B203FAE0}" name="MN" totalsRowFunction="custom" dataDxfId="334" totalsRowDxfId="335" dataCellStyle="Comma" totalsRowCellStyle="Comma">
      <calculatedColumnFormula>SUMIF(tbl_pluto_2010[BldgArea 2010],"*"&amp;tbl_bldgarea30[[#This Row],[TOTAL BLDGAREA ]]&amp;"*",tbl_pluto_2010[MN])</calculatedColumnFormula>
      <totalsRowFormula>SUM(tbl_bldgarea30[MN])</totalsRowFormula>
    </tableColumn>
    <tableColumn id="5" xr3:uid="{1E5ADEBE-1ACC-4178-B2B2-927D6FEA8191}" name="QN" totalsRowFunction="custom" dataDxfId="332" totalsRowDxfId="333" dataCellStyle="Comma" totalsRowCellStyle="Comma">
      <calculatedColumnFormula>SUMIF(tbl_pluto_2010[BldgArea 2010],"*"&amp;tbl_bldgarea30[[#This Row],[TOTAL BLDGAREA ]]&amp;"*",tbl_pluto_2010[QN])</calculatedColumnFormula>
      <totalsRowFormula>SUM(tbl_bldgarea30[QN])</totalsRowFormula>
    </tableColumn>
    <tableColumn id="6" xr3:uid="{6CE25776-3215-41D1-A182-6A166C5639FE}" name="SI" totalsRowFunction="custom" dataDxfId="330" totalsRowDxfId="331" dataCellStyle="Comma" totalsRowCellStyle="Comma">
      <calculatedColumnFormula>SUMIF(tbl_pluto_2010[BldgArea 2010],"*"&amp;tbl_bldgarea30[[#This Row],[TOTAL BLDGAREA ]]&amp;"*",tbl_pluto_2010[SI])</calculatedColumnFormula>
      <totalsRowFormula>SUM(tbl_bldgarea30[SI])</totalsRowFormula>
    </tableColumn>
    <tableColumn id="8" xr3:uid="{4DDF895E-A20A-4A89-ABD7-E15F1A47124F}" name="TOTAL" totalsRowFunction="custom" dataDxfId="328" totalsRowDxfId="329" dataCellStyle="Comma" totalsRowCellStyle="Comma">
      <calculatedColumnFormula>SUM(tbl_bldgarea30[[#This Row],[BX]:[SI]])</calculatedColumnFormula>
      <totalsRowFormula>SUM(X40:X44)</totalsRowFormula>
    </tableColumn>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7E3836C-E3A4-4E12-9A0F-498596BE8E74}" name="tbl_prct_bldgarea_borough31" displayName="tbl_prct_bldgarea_borough31" ref="R58:X63" totalsRowShown="0" headerRowDxfId="327" dataDxfId="326" headerRowBorderDxfId="325">
  <autoFilter ref="R58:X63" xr:uid="{F7E3836C-E3A4-4E12-9A0F-498596BE8E74}"/>
  <tableColumns count="7">
    <tableColumn id="1" xr3:uid="{DD982A05-376B-4C8D-8D7E-AF20BA5B8B5A}" name="TOTAL BLDGAREA (%)" dataDxfId="324"/>
    <tableColumn id="2" xr3:uid="{1A1E7FBD-C026-4EB1-ADE9-A27627BB57AE}" name="BX" dataDxfId="323">
      <calculatedColumnFormula>SUMIF(tbl_pluto_2010[BldgArea 2010],"*"&amp;tbl_prct_bldgarea_borough31[[#This Row],[TOTAL BLDGAREA (%)]]&amp;"*",tbl_pluto_2010[BX])/S$35</calculatedColumnFormula>
    </tableColumn>
    <tableColumn id="3" xr3:uid="{E96CE947-4010-43DC-BE45-A1B076527B0D}" name="BK" dataDxfId="322">
      <calculatedColumnFormula>SUMIF(tbl_pluto_2010[BldgArea 2010],"*"&amp;tbl_prct_bldgarea_borough31[[#This Row],[TOTAL BLDGAREA (%)]]&amp;"*",tbl_pluto_2010[BK])/T$35</calculatedColumnFormula>
    </tableColumn>
    <tableColumn id="4" xr3:uid="{C25CC96D-ECD4-40EE-B91A-0EA2A6631899}" name="MN" dataDxfId="321">
      <calculatedColumnFormula>SUMIF(tbl_pluto_2010[BldgArea 2010],"*"&amp;tbl_prct_bldgarea_borough31[[#This Row],[TOTAL BLDGAREA (%)]]&amp;"*",tbl_pluto_2010[MN])/U$35</calculatedColumnFormula>
    </tableColumn>
    <tableColumn id="5" xr3:uid="{069BE805-4163-41D5-B5FF-909A3C77C393}" name="QN" dataDxfId="320">
      <calculatedColumnFormula>SUMIF(tbl_pluto_2010[BldgArea 2010],"*"&amp;tbl_prct_bldgarea_borough31[[#This Row],[TOTAL BLDGAREA (%)]]&amp;"*",tbl_pluto_2010[QN])/V$35</calculatedColumnFormula>
    </tableColumn>
    <tableColumn id="6" xr3:uid="{78085984-DBAE-4AE2-8FF3-F36115542014}" name="SI" dataDxfId="319">
      <calculatedColumnFormula>SUMIF(tbl_pluto_2010[BldgArea 2010],"*"&amp;tbl_prct_bldgarea_borough31[[#This Row],[TOTAL BLDGAREA (%)]]&amp;"*",tbl_pluto_2010[SI])/W$35</calculatedColumnFormula>
    </tableColumn>
    <tableColumn id="7" xr3:uid="{610AA4C9-028B-4CB4-9660-3798067B0769}" name="TOTAL" dataDxfId="318" dataCellStyle="Percent">
      <calculatedColumnFormula>SUMIF(tbl_pluto_2010[BldgArea 2010],"*"&amp;tbl_prct_bldgarea_borough31[[#This Row],[TOTAL BLDGAREA (%)]]&amp;"*",tbl_pluto_2010[TOTAL])/X$35</calculatedColumnFormula>
    </tableColumn>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2216408-CAAB-447F-8C20-F2EF74F53E6D}" name="tbl_prct_bldgarea_typology32" displayName="tbl_prct_bldgarea_typology32" ref="R49:X54" totalsRowShown="0" headerRowDxfId="317" dataDxfId="316" headerRowBorderDxfId="315">
  <autoFilter ref="R49:X54" xr:uid="{E2216408-CAAB-447F-8C20-F2EF74F53E6D}"/>
  <tableColumns count="7">
    <tableColumn id="1" xr3:uid="{C868FE14-4725-4E44-97F6-48625B4C16BC}" name="TOTAL BLDGAREA (%)" dataDxfId="314"/>
    <tableColumn id="2" xr3:uid="{11736EC4-0C96-4EEF-A9AF-65D851724964}" name="BX" dataDxfId="313">
      <calculatedColumnFormula>_xlfn.XLOOKUP(tbl_prct_bldgarea_typology32[[#This Row],[TOTAL BLDGAREA (%)]],tbl_bldgarea30[[TOTAL BLDGAREA ]],tbl_bldgarea30[BX])/_xlfn.XLOOKUP(tbl_prct_bldgarea_typology32[[#This Row],[TOTAL BLDGAREA (%)]],tbl_bldgarea30[[TOTAL BLDGAREA ]],tbl_bldgarea30[TOTAL])</calculatedColumnFormula>
    </tableColumn>
    <tableColumn id="3" xr3:uid="{72AA77DA-7377-4090-9716-B08A602FA625}" name="BK" dataDxfId="312">
      <calculatedColumnFormula>_xlfn.XLOOKUP(tbl_prct_bldgarea_typology32[[#This Row],[TOTAL BLDGAREA (%)]],tbl_bldgarea30[[TOTAL BLDGAREA ]],tbl_bldgarea30[BK])/_xlfn.XLOOKUP(tbl_prct_bldgarea_typology32[[#This Row],[TOTAL BLDGAREA (%)]],tbl_bldgarea30[[TOTAL BLDGAREA ]],tbl_bldgarea30[TOTAL])</calculatedColumnFormula>
    </tableColumn>
    <tableColumn id="4" xr3:uid="{1392E68D-1E5E-4D7A-B436-F6495B658F5A}" name="MN" dataDxfId="311">
      <calculatedColumnFormula>_xlfn.XLOOKUP(tbl_prct_bldgarea_typology32[[#This Row],[TOTAL BLDGAREA (%)]],tbl_bldgarea30[[TOTAL BLDGAREA ]],tbl_bldgarea30[MN])/_xlfn.XLOOKUP(tbl_prct_bldgarea_typology32[[#This Row],[TOTAL BLDGAREA (%)]],tbl_bldgarea30[[TOTAL BLDGAREA ]],tbl_bldgarea30[TOTAL])</calculatedColumnFormula>
    </tableColumn>
    <tableColumn id="5" xr3:uid="{3C551A9B-CE8D-480B-8C4A-3942527EB557}" name="QN" dataDxfId="310">
      <calculatedColumnFormula>_xlfn.XLOOKUP(tbl_prct_bldgarea_typology32[[#This Row],[TOTAL BLDGAREA (%)]],tbl_bldgarea30[[TOTAL BLDGAREA ]],tbl_bldgarea30[QN])/_xlfn.XLOOKUP(tbl_prct_bldgarea_typology32[[#This Row],[TOTAL BLDGAREA (%)]],tbl_bldgarea30[[TOTAL BLDGAREA ]],tbl_bldgarea30[TOTAL])</calculatedColumnFormula>
    </tableColumn>
    <tableColumn id="6" xr3:uid="{A725E9D7-3F57-44FA-A18B-DD84B9DC4539}" name="SI" dataDxfId="309">
      <calculatedColumnFormula>_xlfn.XLOOKUP(tbl_prct_bldgarea_typology32[[#This Row],[TOTAL BLDGAREA (%)]],tbl_bldgarea30[[TOTAL BLDGAREA ]],tbl_bldgarea30[SI])/_xlfn.XLOOKUP(tbl_prct_bldgarea_typology32[[#This Row],[TOTAL BLDGAREA (%)]],tbl_bldgarea30[[TOTAL BLDGAREA ]],tbl_bldgarea30[TOTAL])</calculatedColumnFormula>
    </tableColumn>
    <tableColumn id="7" xr3:uid="{A7A37284-D16D-4B9A-AE1E-152F7F7DD215}" name="TOTAL" dataDxfId="308" dataCellStyle="Percent">
      <calculatedColumnFormula>SUM(tbl_prct_bldgarea_typology32[[#This Row],[BX]:[SI]])</calculatedColumnFormula>
    </tableColumn>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DAD1EE-CE08-4421-A733-B573F8920055}" name="tbl_DEM2015_Fuel" displayName="tbl_DEM2015_Fuel" ref="B36:J63" totalsRowShown="0" headerRowDxfId="307" dataDxfId="306" headerRowBorderDxfId="305">
  <autoFilter ref="B36:J63" xr:uid="{98DAD1EE-CE08-4421-A733-B573F8920055}"/>
  <tableColumns count="9">
    <tableColumn id="1" xr3:uid="{954C84F2-F7E9-4750-891D-05C7EEAEF3BD}" name="Typology" dataDxfId="304"/>
    <tableColumn id="2" xr3:uid="{01FA407B-FAFE-4C6E-9357-431640286571}" name="Sub-Typology" dataDxfId="303"/>
    <tableColumn id="3" xr3:uid="{64BBFDDB-F564-4802-B647-F364330C8155}" name="Fuel Oil 2" dataDxfId="302" dataCellStyle="Comma"/>
    <tableColumn id="4" xr3:uid="{D2BD700D-1441-4BCD-B432-8C9081379A0A}" name="Fuel Oil 4" dataDxfId="301" dataCellStyle="Comma"/>
    <tableColumn id="5" xr3:uid="{4299CF77-08C2-4818-9C52-2A3A7CF75BF3}" name="Fuel Oil 6" dataDxfId="300" dataCellStyle="Comma"/>
    <tableColumn id="6" xr3:uid="{7AC09CA8-0021-4D4F-96A1-8AAD4F27CE04}" name="Biofuel" dataDxfId="299" dataCellStyle="Comma"/>
    <tableColumn id="7" xr3:uid="{40639344-1439-4E3D-B75A-48265CA37B59}" name="Electricity" dataDxfId="298" dataCellStyle="Comma"/>
    <tableColumn id="8" xr3:uid="{9986477E-2F51-4EB9-B027-BD2BF58646E6}" name="Natural Gas" dataDxfId="297" dataCellStyle="Comma"/>
    <tableColumn id="9" xr3:uid="{1B723D49-AB98-4BB1-816C-256774A4683F}" name="Steam" dataDxfId="296" dataCellStyle="Comma"/>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EF4589C-859A-4CDE-B4A1-B9FA6CA0EEF5}" name="tbl_DEM2015_Enduse" displayName="tbl_DEM2015_Enduse" ref="B69:K96" totalsRowShown="0" headerRowDxfId="295" dataDxfId="294" tableBorderDxfId="293">
  <autoFilter ref="B69:K96" xr:uid="{6EF4589C-859A-4CDE-B4A1-B9FA6CA0EEF5}"/>
  <tableColumns count="10">
    <tableColumn id="1" xr3:uid="{BB880114-7243-43E1-BCC9-FFEA20EE761C}" name="Typology" dataDxfId="292"/>
    <tableColumn id="2" xr3:uid="{DCB5E095-B957-4ABB-9CE1-5DBE7B8AA258}" name="Sub-Typology" dataDxfId="291"/>
    <tableColumn id="3" xr3:uid="{7DFDB2B1-AAF1-4676-B3D9-E7920D303DF6}" name="Space Heating" dataDxfId="290" dataCellStyle="Comma"/>
    <tableColumn id="4" xr3:uid="{C1037E37-BDAD-419B-A935-273F96D63DC6}" name="DHW" dataDxfId="289" dataCellStyle="Comma"/>
    <tableColumn id="5" xr3:uid="{F00F22D3-4259-4D37-9D89-9B1B194102D1}" name="Space Cooling" dataDxfId="288" dataCellStyle="Comma"/>
    <tableColumn id="6" xr3:uid="{D05C3FFB-2BA9-4A85-AC89-E9A41E731380}" name="Ventilation" dataDxfId="287" dataCellStyle="Comma"/>
    <tableColumn id="7" xr3:uid="{F200E6F6-F650-4B8E-8356-E58505C99EC6}" name=" Lighting" dataDxfId="286" dataCellStyle="Comma"/>
    <tableColumn id="8" xr3:uid="{23CA9D78-81DF-44DF-9CA2-6A6F09677DB9}" name="Conveyance" dataDxfId="285" dataCellStyle="Comma"/>
    <tableColumn id="9" xr3:uid="{27B609E4-FCE0-47CD-9E95-CF97EE48F3DF}" name=" Process Loads" dataDxfId="284" dataCellStyle="Comma"/>
    <tableColumn id="10" xr3:uid="{7EE336E9-B9C2-443B-860F-E7D832BB7E38}" name="Plug Loads/Misc" dataDxfId="283" dataCellStyle="Comma"/>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906FDAE-864F-4094-8D7B-4D233C7D02E1}" name="tbl_DEM2015_FuelSum" displayName="tbl_DEM2015_FuelSum" ref="M36:S40" headerRowDxfId="282" dataDxfId="281" headerRowBorderDxfId="280" headerRowCellStyle="Comma">
  <autoFilter ref="M36:S40" xr:uid="{B906FDAE-864F-4094-8D7B-4D233C7D02E1}"/>
  <tableColumns count="7">
    <tableColumn id="1" xr3:uid="{600FA16D-4600-470E-BDF6-93FFF5D6E1F9}" name=" " dataDxfId="278" totalsRowDxfId="279"/>
    <tableColumn id="2" xr3:uid="{09C082C3-B516-4051-8717-538A25B3B4FF}" name="1 to 4" dataDxfId="277" dataCellStyle="Comma"/>
    <tableColumn id="3" xr3:uid="{1BD04891-2B53-4756-B3C6-242AC40ED5F2}" name="Multifamily" dataDxfId="275" totalsRowDxfId="276" dataCellStyle="Comma"/>
    <tableColumn id="4" xr3:uid="{96BB5425-8287-4BE2-84E6-4A3C0E9C77B8}" name="Commercial" dataDxfId="273" totalsRowDxfId="274" dataCellStyle="Comma"/>
    <tableColumn id="5" xr3:uid="{2F8CA572-3F9C-4CFB-85E3-E737A978CE2A}" name="Institutional" dataDxfId="271" totalsRowDxfId="272" dataCellStyle="Comma"/>
    <tableColumn id="7" xr3:uid="{BD2F4303-B7D9-4559-ABD4-F8A7C75E0C70}" name="Industrial" dataDxfId="269" totalsRowDxfId="270" dataCellStyle="Comma"/>
    <tableColumn id="8" xr3:uid="{4480A794-A2BE-4547-9962-37C4328BA45E}" name="Total" dataDxfId="267" totalsRowDxfId="268" dataCellStyle="Comma">
      <calculatedColumnFormula>SUM(tbl_DEM2015_FuelSum[[#This Row],[1 to 4]:[Industrial]])</calculatedColumnFormula>
    </tableColumn>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C12631F-A954-44CD-88C0-AFCF7A04D984}" name="Table16" displayName="Table16" ref="M46:S50" totalsRowShown="0" headerRowDxfId="266" dataDxfId="265" headerRowBorderDxfId="264" headerRowCellStyle="Comma" dataCellStyle="Percent">
  <autoFilter ref="M46:S50" xr:uid="{0C12631F-A954-44CD-88C0-AFCF7A04D984}"/>
  <tableColumns count="7">
    <tableColumn id="1" xr3:uid="{080DD15E-804B-40F4-BC92-2EFDA1DA0FAB}" name=" " dataDxfId="263"/>
    <tableColumn id="2" xr3:uid="{C89D1166-F82C-4BC7-8D6A-0F3AAA820616}" name="1 to 4" dataDxfId="262" dataCellStyle="Percent">
      <calculatedColumnFormula>N37/$S37</calculatedColumnFormula>
    </tableColumn>
    <tableColumn id="3" xr3:uid="{E7C300B2-A0BF-478D-947F-0E8A4E530AA9}" name="Multifamily" dataDxfId="261" dataCellStyle="Percent">
      <calculatedColumnFormula>O37/$S37</calculatedColumnFormula>
    </tableColumn>
    <tableColumn id="4" xr3:uid="{2F626B6F-D70B-4F28-B960-DABED946A2E3}" name="Commercial" dataDxfId="260" dataCellStyle="Percent">
      <calculatedColumnFormula>P37/$S37</calculatedColumnFormula>
    </tableColumn>
    <tableColumn id="5" xr3:uid="{29610E1C-B17C-4DF2-A79B-B88D5853F0EB}" name="Institutional" dataDxfId="259" dataCellStyle="Percent">
      <calculatedColumnFormula>Q37/$S37</calculatedColumnFormula>
    </tableColumn>
    <tableColumn id="6" xr3:uid="{9679D380-7477-4883-8CCE-79ABEB033992}" name="Industrial" dataDxfId="258" dataCellStyle="Percent">
      <calculatedColumnFormula>R37/$S37</calculatedColumnFormula>
    </tableColumn>
    <tableColumn id="7" xr3:uid="{9A0B9F70-AC21-4422-8E12-39AF0806E9BD}" name="Total" dataDxfId="257" dataCellStyle="Percent">
      <calculatedColumnFormula>SUM(Table16[[#This Row],[1 to 4]:[Industrial]])</calculatedColumnFormula>
    </tableColumn>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39F0E9D-2DD7-41ED-A97F-8E7825055303}" name="Table812" displayName="Table812" ref="B199:K226" totalsRowShown="0" headerRowDxfId="256" dataDxfId="255" tableBorderDxfId="254">
  <autoFilter ref="B199:K226" xr:uid="{B39F0E9D-2DD7-41ED-A97F-8E7825055303}"/>
  <tableColumns count="10">
    <tableColumn id="1" xr3:uid="{1AD93FEC-CDF5-4B60-9701-1D3628188320}" name="Typology" dataDxfId="253"/>
    <tableColumn id="2" xr3:uid="{7999B3DF-B644-4B59-8AFE-2FA0C3B1A7D8}" name="Sub-Typology" dataDxfId="252"/>
    <tableColumn id="3" xr3:uid="{B7863C85-F379-494C-9735-077DA2CB15F0}" name="Space Heating" dataDxfId="251" dataCellStyle="Comma"/>
    <tableColumn id="4" xr3:uid="{5DDAB354-CAF5-4074-9E55-C7B38BB9ABDF}" name="DHW" dataDxfId="250" dataCellStyle="Comma"/>
    <tableColumn id="5" xr3:uid="{C8C8FD9B-4C7C-455F-896F-3A5C9E478BA9}" name="Space Cooling" dataDxfId="249" dataCellStyle="Comma"/>
    <tableColumn id="6" xr3:uid="{E29253E6-1AA1-42A3-9CD5-2C08F929D3C1}" name="Ventilation" dataDxfId="248" dataCellStyle="Comma"/>
    <tableColumn id="7" xr3:uid="{1381346B-1BDA-4EF8-9188-7BFEF676A888}" name=" Lighting" dataDxfId="247" dataCellStyle="Comma"/>
    <tableColumn id="8" xr3:uid="{C9AAF0E1-91DA-421C-9697-92BC4863ACF5}" name="Conveyance" dataDxfId="246" dataCellStyle="Comma"/>
    <tableColumn id="9" xr3:uid="{73AD86B0-8A8B-425C-A138-A19CD4771D5E}" name=" Process Loads" dataDxfId="245" dataCellStyle="Comma"/>
    <tableColumn id="10" xr3:uid="{442AD8A0-C11D-474F-9F4A-6BD5DDC3BD5D}" name="Plug Loads/Misc" dataDxfId="244" dataCellStyle="Comma"/>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106CF5B-D434-4A4E-871E-21671106984D}" name="Table811" displayName="Table811" ref="B166:K193" totalsRowShown="0" headerRowDxfId="243" dataDxfId="242" tableBorderDxfId="241">
  <autoFilter ref="B166:K193" xr:uid="{4106CF5B-D434-4A4E-871E-21671106984D}"/>
  <tableColumns count="10">
    <tableColumn id="1" xr3:uid="{CBBB2FB8-1B53-45DE-B436-B1D408228EFE}" name="Typology" dataDxfId="240"/>
    <tableColumn id="2" xr3:uid="{64903F4C-20FA-4D3E-BFC1-FD3A3E157FAF}" name="Sub-Typology" dataDxfId="239"/>
    <tableColumn id="3" xr3:uid="{1BBFE0F6-CC9C-4EB7-B7C6-5A642D52B6BF}" name="Space Heating" dataDxfId="238" dataCellStyle="Comma"/>
    <tableColumn id="4" xr3:uid="{7CB89382-6C1B-4C70-A84E-DACF5814AABA}" name="DHW" dataDxfId="237" dataCellStyle="Comma"/>
    <tableColumn id="5" xr3:uid="{0CEFBE47-4513-4458-B83B-9A80C31D9453}" name="Space Cooling" dataDxfId="236" dataCellStyle="Comma"/>
    <tableColumn id="6" xr3:uid="{D708EA39-BC4E-44C3-87D7-887C7B2953D5}" name="Ventilation" dataDxfId="235" dataCellStyle="Comma"/>
    <tableColumn id="7" xr3:uid="{ECF81E44-002B-4CEF-9527-834B45729980}" name=" Lighting" dataDxfId="234" dataCellStyle="Comma"/>
    <tableColumn id="8" xr3:uid="{DFF80F0B-A1EF-4A4A-8A80-12C868F6DCA9}" name="Conveyance" dataDxfId="233" dataCellStyle="Comma"/>
    <tableColumn id="9" xr3:uid="{AA220F56-AAAF-4178-91E9-D4AD3C7F6D78}" name=" Process Loads" dataDxfId="232" dataCellStyle="Comma"/>
    <tableColumn id="10" xr3:uid="{0778FD13-96D3-4F54-8A0B-1B9194AFBB60}" name="Plug Loads/Misc" dataDxfId="231" dataCellStyle="Comma"/>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774320D-00DC-427B-94EB-D5531CD089C0}" name="Table810" displayName="Table810" ref="B134:K161" totalsRowShown="0" headerRowDxfId="230" dataDxfId="229" tableBorderDxfId="228">
  <autoFilter ref="B134:K161" xr:uid="{4774320D-00DC-427B-94EB-D5531CD089C0}"/>
  <tableColumns count="10">
    <tableColumn id="1" xr3:uid="{B5014161-9070-46C5-9285-74E5C015C01E}" name="Typology" dataDxfId="227"/>
    <tableColumn id="2" xr3:uid="{BDC4D486-F6C2-48DC-8F49-180DC68976C9}" name="Sub-Typology" dataDxfId="226"/>
    <tableColumn id="3" xr3:uid="{8ED9BC28-A628-46A1-90C0-3E9EACC19862}" name="Space Heating" dataDxfId="225" dataCellStyle="Comma"/>
    <tableColumn id="4" xr3:uid="{36E4C39A-010C-483C-AAA3-032EE3374D09}" name="DHW" dataDxfId="224" dataCellStyle="Comma"/>
    <tableColumn id="5" xr3:uid="{6C69BD0A-E6BC-44A0-B860-D0299A6CF2AF}" name="Space Cooling" dataDxfId="223" dataCellStyle="Comma"/>
    <tableColumn id="6" xr3:uid="{9ED5DF37-9E1D-456B-ADFF-BEE925AEFFF9}" name="Ventilation" dataDxfId="222" dataCellStyle="Comma"/>
    <tableColumn id="7" xr3:uid="{D6B0235F-11CC-4A5E-BB51-8B184361F67C}" name=" Lighting" dataDxfId="221" dataCellStyle="Comma"/>
    <tableColumn id="8" xr3:uid="{250B8073-729C-4A19-AF44-E63028A8168D}" name="Conveyance" dataDxfId="220" dataCellStyle="Comma"/>
    <tableColumn id="9" xr3:uid="{13B5D173-44EF-48A3-9A1D-13C0DEC8EC9A}" name=" Process Loads" dataDxfId="219" dataCellStyle="Comma"/>
    <tableColumn id="10" xr3:uid="{9C5CA384-4BAE-4E31-BFC8-07E4E631F4A0}" name="Plug Loads/Misc" dataDxfId="218" dataCellStyle="Comma"/>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0D4C5F8-CAB8-405C-8724-14D9C54949DA}" name="Table8" displayName="Table8" ref="B102:K129" totalsRowShown="0" headerRowDxfId="217" dataDxfId="216" tableBorderDxfId="215">
  <autoFilter ref="B102:K129" xr:uid="{80D4C5F8-CAB8-405C-8724-14D9C54949DA}"/>
  <tableColumns count="10">
    <tableColumn id="1" xr3:uid="{1A7EEFD3-B201-4DDE-B7BE-8FF22A90A5ED}" name="Typology" dataDxfId="214"/>
    <tableColumn id="2" xr3:uid="{F241B393-E4A9-4326-9895-B13C61357381}" name="Sub-Typology" dataDxfId="213"/>
    <tableColumn id="3" xr3:uid="{F83BE3A5-C91E-45D6-AFA9-B093DFA74B8F}" name="Space Heating" dataDxfId="212" dataCellStyle="Comma"/>
    <tableColumn id="4" xr3:uid="{63ECAA2F-26DD-4209-B8E0-6834562F4500}" name="DHW" dataDxfId="211" dataCellStyle="Comma"/>
    <tableColumn id="5" xr3:uid="{F4AB9FAD-3C88-4BB3-81C4-7913CF1BC272}" name="Space Cooling" dataDxfId="210" dataCellStyle="Comma"/>
    <tableColumn id="6" xr3:uid="{760777E1-2BD7-443C-8CA5-E68C3333468B}" name="Ventilation" dataDxfId="209" dataCellStyle="Comma"/>
    <tableColumn id="7" xr3:uid="{494A1D45-16A1-49F1-8466-5D3348E63A5E}" name=" Lighting" dataDxfId="208" dataCellStyle="Comma"/>
    <tableColumn id="8" xr3:uid="{51E1C80A-8D99-4A0E-A173-4ACEB395844D}" name="Conveyance" dataDxfId="207" dataCellStyle="Comma"/>
    <tableColumn id="9" xr3:uid="{79984069-C91F-46B1-83A3-3C6DE3672FC2}" name=" Process Loads" dataDxfId="206" dataCellStyle="Comma"/>
    <tableColumn id="10" xr3:uid="{09BDD6A0-B899-45CD-BEB5-7ED232F6A9B4}" name="Plug Loads/Misc" dataDxfId="205" dataCellStyle="Comma"/>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2D49796-4027-48B4-851E-F7EFF08E1231}" name="FUEL_PCT_DETAIL" displayName="FUEL_PCT_DETAIL" ref="M93:V97" totalsRowShown="0" headerRowDxfId="204" dataDxfId="203">
  <autoFilter ref="M93:V97" xr:uid="{22D49796-4027-48B4-851E-F7EFF08E1231}"/>
  <tableColumns count="10">
    <tableColumn id="1" xr3:uid="{6781CAA4-FC0E-446A-9EFF-C0E3F053A5D7}" name="Fuel" dataDxfId="202"/>
    <tableColumn id="2" xr3:uid="{2A6D55B1-6B90-4FB2-96D1-ACA0327AB4ED}" name="Space Heating" dataDxfId="201">
      <calculatedColumnFormula>N86</calculatedColumnFormula>
    </tableColumn>
    <tableColumn id="3" xr3:uid="{856EF620-0193-4EEC-B340-9C3DB6FBA854}" name="DHW" dataDxfId="200">
      <calculatedColumnFormula>O86</calculatedColumnFormula>
    </tableColumn>
    <tableColumn id="4" xr3:uid="{B5DABD0B-167F-496B-BDE7-657A355DF382}" name="Space Cooling" dataDxfId="199">
      <calculatedColumnFormula>P86</calculatedColumnFormula>
    </tableColumn>
    <tableColumn id="5" xr3:uid="{4A2E8074-20DE-4C0B-979F-898CC9EFC8E6}" name="Ventilation" dataDxfId="198"/>
    <tableColumn id="6" xr3:uid="{201E9503-242C-448A-9223-04DF661A2CFF}" name="Lighting" dataDxfId="197">
      <calculatedColumnFormula>Q86</calculatedColumnFormula>
    </tableColumn>
    <tableColumn id="7" xr3:uid="{60725DD2-AF35-4923-9284-8CA1E170B96F}" name="Conveyance" dataDxfId="196"/>
    <tableColumn id="8" xr3:uid="{A57D3471-524A-4750-AA9E-3F6614077518}" name="Process Loads" dataDxfId="195"/>
    <tableColumn id="9" xr3:uid="{8B9B7F31-3A25-4B06-90B9-4EA22F81C993}" name="Plug Loads/Misc" dataDxfId="194"/>
    <tableColumn id="10" xr3:uid="{24A7600A-9211-4379-964F-497AC633D8CC}" name="Total" dataDxfId="193">
      <calculatedColumnFormula>SUM(N94:U94)</calculatedColumnFormula>
    </tableColumn>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02F376B-1A72-4F04-9500-8F351431E69F}" name="GHG_INV" displayName="GHG_INV" ref="B4:N60" totalsRowShown="0" headerRowDxfId="192" dataDxfId="191" dataCellStyle="Comma">
  <autoFilter ref="B4:N60" xr:uid="{D02F376B-1A72-4F04-9500-8F351431E69F}"/>
  <tableColumns count="13">
    <tableColumn id="1" xr3:uid="{2FB52800-033D-48A9-B0C9-37E95C97F3B0}" name="Sector" dataDxfId="190"/>
    <tableColumn id="2" xr3:uid="{28B55AFA-452A-4B16-B4CC-FD4A1DD65632}" name="Category" dataDxfId="189"/>
    <tableColumn id="3" xr3:uid="{6F6AC457-8496-46C8-9681-738043DD58AE}" name="Source" dataDxfId="188"/>
    <tableColumn id="4" xr3:uid="{84C207B2-C73E-46FD-BC10-47D69001E754}" name="Source Units" dataDxfId="187"/>
    <tableColumn id="5" xr3:uid="{6D0E5326-602D-4BB4-B177-A19C1AF6B090}" name="CY 2005 Consumed" dataDxfId="186" dataCellStyle="Comma"/>
    <tableColumn id="6" xr3:uid="{3017958B-10BD-4820-AC1E-A58A2C6F1217}" name="CY 2005 Source MMBtu" dataDxfId="185" dataCellStyle="Comma"/>
    <tableColumn id="7" xr3:uid="{5C08AC55-81BF-4972-9158-04AD4B2A2118}" name="CY 2010 Consumed" dataDxfId="184" dataCellStyle="Comma"/>
    <tableColumn id="8" xr3:uid="{5DBD18C9-A9A7-4023-8450-A092B68C24E9}" name="CY 2010 Source MMBtu" dataDxfId="183" dataCellStyle="Comma"/>
    <tableColumn id="9" xr3:uid="{4A3D5B38-04AF-4EDB-877E-DC2E5AB93A6B}" name="CY 2015 Consumed" dataDxfId="182" dataCellStyle="Comma"/>
    <tableColumn id="10" xr3:uid="{7FD640A2-D615-4AB9-8239-326C7DFF1376}" name="CY 2015 Source MMBtu" dataDxfId="181" dataCellStyle="Comma"/>
    <tableColumn id="11" xr3:uid="{E839EF0B-83CA-44F4-BEDD-FA60A22D604B}" name="CY 2020 Consumed" dataDxfId="180" dataCellStyle="Comma"/>
    <tableColumn id="12" xr3:uid="{570F23BB-80CD-4745-B32D-9745B638E462}" name="CY 2020 Source MMBtu" dataDxfId="179" dataCellStyle="Comma"/>
    <tableColumn id="13" xr3:uid="{6710A725-39B4-4386-8719-8073EDB83914}" name="CY 2023 Consumed" dataDxfId="178" dataCellStyle="Comma"/>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C29A02E-EA89-43FF-A9EC-D7B28C5B0BCA}" name="FuelBySector_2010" displayName="FuelBySector_2010" ref="B66:J73" totalsRowShown="0" headerRowDxfId="177" dataDxfId="176" dataCellStyle="Comma 10 2">
  <autoFilter ref="B66:J73" xr:uid="{CC29A02E-EA89-43FF-A9EC-D7B28C5B0BCA}"/>
  <tableColumns count="9">
    <tableColumn id="1" xr3:uid="{B615D957-2606-40E2-9C4C-4F61F3360534}" name="Fuel Type" dataDxfId="175"/>
    <tableColumn id="9" xr3:uid="{554E56EC-1EF8-4B03-9FA5-46D94219410C}" name="Match" dataDxfId="174"/>
    <tableColumn id="2" xr3:uid="{5C4AB9D8-917A-432C-9A4C-79DA7D68DB2F}" name="Residential" dataDxfId="173" dataCellStyle="Comma 10 2">
      <calculatedColumnFormula>SUMIFS(GHG_INV[CY 2010 Consumed],GHG_INV[Category],"Residential",GHG_INV[Source],GHG_Inv!$B67)</calculatedColumnFormula>
    </tableColumn>
    <tableColumn id="3" xr3:uid="{7CA48E64-31F3-45DA-ABFF-92F129A6FA61}" name="Res_Consumed (PJ)" dataDxfId="172" dataCellStyle="Comma 10 2">
      <calculatedColumnFormula>GHG_Inv!$D67*gal_to_liter*FO2_l_to_gj*GJ_to_PJ</calculatedColumnFormula>
    </tableColumn>
    <tableColumn id="4" xr3:uid="{241FFC58-07AF-4311-8228-81D3EF0EDABA}" name="Commercial" dataDxfId="171" dataCellStyle="Comma 10 2">
      <calculatedColumnFormula>SUMIFS(GHG_INV[CY 2010 Consumed],GHG_INV[Category],"Commercial and Institutional",GHG_INV[Source],GHG_Inv!$B67)</calculatedColumnFormula>
    </tableColumn>
    <tableColumn id="5" xr3:uid="{18D76BB4-4C1E-4765-BF78-64B30D164208}" name="Com_Consumed (PJ)" dataDxfId="170" dataCellStyle="Comma 10 2"/>
    <tableColumn id="6" xr3:uid="{10E70DFD-1C07-4E6F-9696-3B20BE5075B8}" name="Industrial" dataDxfId="169" dataCellStyle="Comma 10 2">
      <calculatedColumnFormula>SUMIFS(GHG_INV[CY 2010 Consumed],GHG_INV[Category],"Manufacturing and Construction",GHG_INV[Source],GHG_Inv!$B67)</calculatedColumnFormula>
    </tableColumn>
    <tableColumn id="7" xr3:uid="{4A1DD2EB-C5AC-4535-9678-4E04CAAB784E}" name="Ind_Consumed (PJ)" dataDxfId="168" dataCellStyle="Comma 10 2"/>
    <tableColumn id="8" xr3:uid="{7EF2F706-618A-4C32-ADF6-E34BAD78AFD4}" name="Total Consumed (PJ)" dataDxfId="167" dataCellStyle="Comma 10 2">
      <calculatedColumnFormula>SUM(E67,G67,I67)</calculatedColumnFormula>
    </tableColumn>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7EB03B9-AC68-4AA7-AF3E-2A12BD3DBED3}" name="FuelBySector_2015" displayName="FuelBySector_2015" ref="B76:J83" totalsRowShown="0" headerRowDxfId="166" dataDxfId="165" dataCellStyle="Comma 10 2">
  <autoFilter ref="B76:J83" xr:uid="{77EB03B9-AC68-4AA7-AF3E-2A12BD3DBED3}"/>
  <tableColumns count="9">
    <tableColumn id="1" xr3:uid="{94FF6AED-B247-4AD1-9E3F-23C500BA1155}" name="Fuel Type" dataDxfId="164"/>
    <tableColumn id="9" xr3:uid="{6FF7E87D-6046-4FA8-B36D-D8F6995CAC93}" name="Match" dataDxfId="163"/>
    <tableColumn id="2" xr3:uid="{2E573F7C-760E-471B-8FFE-4D1183CE4FFB}" name="Residential" dataDxfId="162" dataCellStyle="Comma 10 2">
      <calculatedColumnFormula>SUMIFS(GHG_INV[CY 2010 Consumed],GHG_INV[Category],"Residential",GHG_INV[Source],GHG_Inv!$B77)</calculatedColumnFormula>
    </tableColumn>
    <tableColumn id="3" xr3:uid="{3749C7E9-7FD6-46B8-8884-0AAF43DB9B3A}" name="Res_Consumed (PJ)" dataDxfId="161" dataCellStyle="Comma 10 2"/>
    <tableColumn id="4" xr3:uid="{DB1F36C2-11B5-4766-BBD0-E4F813ECC4C1}" name="Commercial" dataDxfId="160" dataCellStyle="Comma 10 2">
      <calculatedColumnFormula>SUMIFS(GHG_INV[CY 2010 Consumed],GHG_INV[Category],"Commercial and Institutional",GHG_INV[Source],GHG_Inv!$B77)</calculatedColumnFormula>
    </tableColumn>
    <tableColumn id="5" xr3:uid="{B72CA8A4-9CCF-4844-912E-F3D58C0E3AD5}" name="Com_Consumed (PJ)" dataDxfId="159" dataCellStyle="Comma 10 2"/>
    <tableColumn id="6" xr3:uid="{F0FBC52A-5927-49F2-9FDB-EA322DD7D5AB}" name="Industrial" dataDxfId="158" dataCellStyle="Comma 10 2">
      <calculatedColumnFormula>SUMIFS(GHG_INV[CY 2010 Consumed],GHG_INV[Category],"Manufacturing and Construction",GHG_INV[Source],GHG_Inv!$B77)</calculatedColumnFormula>
    </tableColumn>
    <tableColumn id="7" xr3:uid="{036F41DD-3554-4540-8C78-C8B49B9AD3B3}" name="Ind_Consumed (PJ)" dataDxfId="157" dataCellStyle="Comma 10 2"/>
    <tableColumn id="8" xr3:uid="{78D3E68A-A98F-4328-8738-8E91EAF23485}" name="Total Consumed (PJ)" dataDxfId="156" dataCellStyle="Comma 10 2">
      <calculatedColumnFormula>SUM(E77,G77,I77)</calculatedColumnFormula>
    </tableColumn>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9CCA9990-E50F-427B-88F9-27A5B077AFC8}" name="FuelBySector" displayName="FuelBySector" ref="B86:K114" totalsRowShown="0" headerRowDxfId="155" dataDxfId="154" dataCellStyle="Comma 10 2">
  <autoFilter ref="B86:K114" xr:uid="{9CCA9990-E50F-427B-88F9-27A5B077AFC8}"/>
  <tableColumns count="10">
    <tableColumn id="1" xr3:uid="{CA8B8CAC-E3E9-4860-990D-D91876654FBA}" name="Fuel Type" dataDxfId="153"/>
    <tableColumn id="9" xr3:uid="{DA4C895C-3BB2-4D98-87A5-D686B9E416EE}" name="Fuel Match" dataDxfId="152"/>
    <tableColumn id="10" xr3:uid="{01DB8CFA-6597-4EF7-ACD2-F485257E2839}" name="Year Match" dataDxfId="151"/>
    <tableColumn id="2" xr3:uid="{508B164C-0595-4E3D-BA29-6F1357CAFE3C}" name="Residential" dataDxfId="150" dataCellStyle="Comma 10 2">
      <calculatedColumnFormula>SUMIFS(INDIRECT("GHG_INV[CY "&amp;FuelBySector[[#This Row],[Year Match]]&amp;" Consumed]"),GHG_INV[Category],"Residential",GHG_INV[Source],GHG_Inv!$B87)</calculatedColumnFormula>
    </tableColumn>
    <tableColumn id="3" xr3:uid="{DB49AF24-A151-465D-8962-5499244D730A}" name="Res_Consumed (PJ)" dataDxfId="149" dataCellStyle="Comma 10 2">
      <calculatedColumnFormula>FuelBySector[[#This Row],[Residential]]*_xlfn.XLOOKUP(FuelBySector[[#This Row],[Fuel Type]],tbl_ActivityToPJ[Fuel],tbl_ActivityToPJ[Factor])</calculatedColumnFormula>
    </tableColumn>
    <tableColumn id="4" xr3:uid="{F7FF92B2-A647-43BE-931B-0FE478BEED90}" name="Commercial" dataDxfId="148" dataCellStyle="Comma 10 2">
      <calculatedColumnFormula>SUMIFS(INDIRECT("GHG_INV[CY "&amp;FuelBySector[[#This Row],[Year Match]]&amp;" Consumed]"),GHG_INV[Category],"Commercial and Institutional",GHG_INV[Source],GHG_Inv!$B87)</calculatedColumnFormula>
    </tableColumn>
    <tableColumn id="5" xr3:uid="{B60DF22E-CF8E-4926-817B-289AF587A70C}" name="Com_Consumed (PJ)" dataDxfId="147" dataCellStyle="Comma 10 2">
      <calculatedColumnFormula>FuelBySector[[#This Row],[Commercial]]*_xlfn.XLOOKUP(FuelBySector[[#This Row],[Fuel Type]],tbl_ActivityToPJ[Fuel],tbl_ActivityToPJ[Factor])</calculatedColumnFormula>
    </tableColumn>
    <tableColumn id="6" xr3:uid="{795E74F9-FCE4-40DC-A87E-4E6A5F094958}" name="Industrial" dataDxfId="146" dataCellStyle="Comma 10 2">
      <calculatedColumnFormula>SUMIFS(INDIRECT("GHG_INV[CY "&amp;FuelBySector[[#This Row],[Year Match]]&amp;" Consumed]"),GHG_INV[Category],"Manufacturing and Construction",GHG_INV[Source],GHG_Inv!$B87)</calculatedColumnFormula>
    </tableColumn>
    <tableColumn id="7" xr3:uid="{5EDF6EFD-480F-401C-B0E5-480B42E0529E}" name="Ind_Consumed (PJ)" dataDxfId="145" dataCellStyle="Comma 10 2">
      <calculatedColumnFormula>FuelBySector[[#This Row],[Industrial]]*_xlfn.XLOOKUP(FuelBySector[[#This Row],[Fuel Type]],tbl_ActivityToPJ[Fuel],tbl_ActivityToPJ[Factor])</calculatedColumnFormula>
    </tableColumn>
    <tableColumn id="8" xr3:uid="{6D1FB368-5BB1-4EC3-9A60-A1C81083D99D}" name="Total Consumed (PJ)" dataDxfId="144" dataCellStyle="Comma 10 2">
      <calculatedColumnFormula>SUM(F87,H87,J87)</calculatedColumnFormula>
    </tableColumn>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3190F44-C772-4D2D-BCE5-8B34091C3A85}" name="Table37" displayName="Table37" ref="L66:O69" totalsRowShown="0" headerRowDxfId="143" dataDxfId="142">
  <autoFilter ref="L66:O69" xr:uid="{E3190F44-C772-4D2D-BCE5-8B34091C3A85}"/>
  <tableColumns count="4">
    <tableColumn id="1" xr3:uid="{4A537933-FD2E-49B7-9949-1B24678A0EB9}" name="Fuel Type" dataDxfId="141"/>
    <tableColumn id="2" xr3:uid="{1A8CB814-BFA4-429F-A8C0-05949A152E98}" name="2010" dataDxfId="140">
      <calculatedColumnFormula>J67/SUM($J$67:$J$69)</calculatedColumnFormula>
    </tableColumn>
    <tableColumn id="3" xr3:uid="{F63D1F9D-19CB-464B-878B-EBF85534ECE1}" name="2015" dataDxfId="139">
      <calculatedColumnFormula>J77/SUM($J$77:$J$79)</calculatedColumnFormula>
    </tableColumn>
    <tableColumn id="4" xr3:uid="{CDFB29C3-8E43-4C97-B1E5-490081C11F0C}" name="2020" dataDxfId="138">
      <calculatedColumnFormula>K87/SUM($K$87:$K$89)</calculatedColumnFormula>
    </tableColumn>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41633AB-27AC-4C96-A555-D1C542A2E738}" name="Fuel_GrowthRate" displayName="Fuel_GrowthRate" ref="B46:J50" totalsRowShown="0" headerRowDxfId="137" dataDxfId="136" dataCellStyle="Comma">
  <autoFilter ref="B46:J50" xr:uid="{B41633AB-27AC-4C96-A555-D1C542A2E738}"/>
  <tableColumns count="9">
    <tableColumn id="1" xr3:uid="{9139E003-1285-4DDF-9958-CA617A46B3BA}" name="Fuel" dataDxfId="135"/>
    <tableColumn id="2" xr3:uid="{3FABE6AB-1142-43C4-8F28-7CE3AA39233F}" name="2023" dataDxfId="134" dataCellStyle="Comma"/>
    <tableColumn id="3" xr3:uid="{D1CE5022-D1BC-4E45-B725-4EFCA492ABF7}" name="2025" dataDxfId="133" dataCellStyle="Comma">
      <calculatedColumnFormula>(E40-C40)/C40</calculatedColumnFormula>
    </tableColumn>
    <tableColumn id="4" xr3:uid="{8AA55455-4A20-4887-AAC9-E3938216658E}" name="2030" dataDxfId="132" dataCellStyle="Comma">
      <calculatedColumnFormula>(J40-C40)/C40</calculatedColumnFormula>
    </tableColumn>
    <tableColumn id="5" xr3:uid="{475A4344-5C05-4FFD-9E46-3E6EE6C6878B}" name="2035" dataDxfId="131" dataCellStyle="Comma">
      <calculatedColumnFormula>(O40-C40)/C40</calculatedColumnFormula>
    </tableColumn>
    <tableColumn id="6" xr3:uid="{081BAE1D-EEE0-4E30-BE86-F7043471092C}" name="2040" dataDxfId="130" dataCellStyle="Comma">
      <calculatedColumnFormula>(T40-C40)/C40</calculatedColumnFormula>
    </tableColumn>
    <tableColumn id="7" xr3:uid="{F0E4A70B-6D62-477A-97AB-C99106DA37EA}" name="2045" dataDxfId="129" dataCellStyle="Comma">
      <calculatedColumnFormula>(Y40-C40)/C40</calculatedColumnFormula>
    </tableColumn>
    <tableColumn id="8" xr3:uid="{ED6C82B1-AB25-40E9-A5C2-EC30AEB36B1C}" name="2050" dataDxfId="128" dataCellStyle="Comma">
      <calculatedColumnFormula>(J40-C40)/C40</calculatedColumnFormula>
    </tableColumn>
    <tableColumn id="9" xr3:uid="{5BF2E703-4822-48E2-A50F-CAFE48638B65}" name="2055" dataDxfId="127" dataCellStyle="Comma">
      <calculatedColumnFormula>Fuel_GrowthRate[[#This Row],[2050]]</calculatedColumnFormula>
    </tableColumn>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28DC12-2AB7-4393-B1F1-E301C8B2023D}" name="tbl_tech" displayName="tbl_tech" ref="B7:E44" totalsRowShown="0" headerRowDxfId="126" dataDxfId="125" headerRowBorderDxfId="123" tableBorderDxfId="124">
  <autoFilter ref="B7:E44" xr:uid="{1428DC12-2AB7-4393-B1F1-E301C8B2023D}"/>
  <tableColumns count="4">
    <tableColumn id="1" xr3:uid="{A6D84D86-6168-47A4-9767-8325DD059CB7}" name="TECHNOLOGY - Other" dataDxfId="122"/>
    <tableColumn id="2" xr3:uid="{D2B1D723-0EAC-4690-8CE3-9557022B7B72}" name="NCAP_COST" dataDxfId="121"/>
    <tableColumn id="3" xr3:uid="{9C7C3C69-2F12-4C18-9B62-BA57991EAE46}" name="NCAP_FOM" dataDxfId="120"/>
    <tableColumn id="8" xr3:uid="{1133023B-B28B-4C9E-96E4-D9F099F0D373}" name="Source" dataDxfId="119"/>
  </tableColumns>
  <tableStyleInfo name="TableStyleLight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3E07ECC-FE5D-45BE-9A19-82C52DA209E5}" name="tbl_inventory" displayName="tbl_inventory" ref="A1:CI86" totalsRowShown="0" headerRowDxfId="118" dataDxfId="117">
  <autoFilter ref="A1:CI86" xr:uid="{F3E07ECC-FE5D-45BE-9A19-82C52DA209E5}"/>
  <tableColumns count="87">
    <tableColumn id="1" xr3:uid="{1B318A61-913C-46D3-A1D0-BA65835B2CFC}" name="Inventory Type" dataDxfId="116"/>
    <tableColumn id="2" xr3:uid="{6C818D50-A904-48C3-ABC8-57CCAC6D648D}" name="Sectors Sector" dataDxfId="115"/>
    <tableColumn id="3" xr3:uid="{24C3243B-832A-40E0-8E1E-03BE65A54182}" name="Category Full" dataDxfId="114"/>
    <tableColumn id="4" xr3:uid="{204E4C87-7805-4AEF-862C-62BBBFDAE2CC}" name="Category Label" dataDxfId="113"/>
    <tableColumn id="5" xr3:uid="{9386BDD1-2650-4AFB-A4C4-6AA3BB6423EC}" name="Source Full" dataDxfId="112"/>
    <tableColumn id="6" xr3:uid="{F9D024E9-D415-4468-B9DA-85C6D11A4BFC}" name="Source Label" dataDxfId="111"/>
    <tableColumn id="7" xr3:uid="{9130EA0E-5644-49F5-A8C2-079EF198AFE0}" name="Source Units" dataDxfId="110"/>
    <tableColumn id="8" xr3:uid="{97C32F67-AC2C-42B9-9687-936B6919687F}" name="CY 2005 Consumed" dataDxfId="109"/>
    <tableColumn id="9" xr3:uid="{708C7B10-F44D-4F68-A10E-CB643848AA3E}" name="CY 2005 tCO2e (100 yr GWP)" dataDxfId="108"/>
    <tableColumn id="10" xr3:uid="{1845BAE1-6631-46CD-92FD-0D5EAAC3BBE1}" name="CY 2005 Source MMBtu" dataDxfId="107"/>
    <tableColumn id="11" xr3:uid="{100C2F84-3241-475F-B75A-27350DE87D38}" name="CY 2005 tCO2e (20 yr GWP)" dataDxfId="106"/>
    <tableColumn id="12" xr3:uid="{FCE4BF6B-1A86-41F3-ACEE-FDDA2F2C2ACB}" name="CY 2006 Consumed" dataDxfId="105"/>
    <tableColumn id="13" xr3:uid="{42872788-9225-47F8-896A-443752C582E3}" name="CY 2006 tCO2e (100 yr GWP)" dataDxfId="104"/>
    <tableColumn id="14" xr3:uid="{FCE6143F-DE48-460D-9AE8-6AE769C42CF8}" name="CY 2006 Source MMBtu" dataDxfId="103"/>
    <tableColumn id="15" xr3:uid="{5CFCC8EF-6A29-45A4-B655-25DE5567B581}" name="CY 2006 tCO2e (20 yr GWP)" dataDxfId="102"/>
    <tableColumn id="16" xr3:uid="{0A549D00-C737-4F14-B2A4-8D6B7987F771}" name="CY 2007 Consumed" dataDxfId="101"/>
    <tableColumn id="17" xr3:uid="{2F168ABE-CBD1-4CCF-A783-152A65C39E8D}" name="CY 2007 tCO2e (100 yr GWP)" dataDxfId="100"/>
    <tableColumn id="18" xr3:uid="{0C3F5AB6-0B94-4DEA-97D7-31321D6A0048}" name="CY 2007 Source MMBtu" dataDxfId="99"/>
    <tableColumn id="19" xr3:uid="{62FB9816-5E4E-4D05-8F55-DF7A225219DF}" name="CY 2007 tCO2e (20 yr GWP)" dataDxfId="98"/>
    <tableColumn id="20" xr3:uid="{233C6111-D2DC-4FC8-9608-5EA09D19798C}" name="CY 2008 Consumed" dataDxfId="97"/>
    <tableColumn id="21" xr3:uid="{E0DC29CE-6F74-4B64-B250-686A73E36996}" name="CY 2008 tCO2e (100 yr GWP)" dataDxfId="96"/>
    <tableColumn id="22" xr3:uid="{819C08E4-C41D-4E18-B0CC-6D967824F341}" name="CY 2008 Source MMBtu" dataDxfId="95"/>
    <tableColumn id="23" xr3:uid="{522157B8-C8E0-40AE-AF08-750F68ED7C4B}" name="CY 2008 tCO2e (20 yr GWP)" dataDxfId="94"/>
    <tableColumn id="24" xr3:uid="{A253EF88-E96F-4E02-8C21-3E6C9FCE7492}" name="CY 2009 Consumed" dataDxfId="93"/>
    <tableColumn id="25" xr3:uid="{73AC837A-7D63-40B3-9D12-F75EFA9010AA}" name="CY 2009 tCO2e (100 yr GWP)" dataDxfId="92"/>
    <tableColumn id="26" xr3:uid="{D7A4C7A2-CD6B-44D0-8C7B-7F0A01FF9EC2}" name="CY 2009 Source MMBtu" dataDxfId="91"/>
    <tableColumn id="27" xr3:uid="{8854C7E2-0127-46B8-AFBD-82A38EB56620}" name="CY 2009 tCO2e (20 yr GWP)" dataDxfId="90"/>
    <tableColumn id="28" xr3:uid="{192F3D15-FDED-4EBB-93B3-7FA8796438AC}" name="CY 2010 Consumed" dataDxfId="89"/>
    <tableColumn id="29" xr3:uid="{6659551F-54B9-41FA-AE8A-F5919273DFF1}" name="CY 2010 tCO2e (100 yr GWP)" dataDxfId="88"/>
    <tableColumn id="30" xr3:uid="{412657A7-3543-412E-8033-FE6A08E550C6}" name="CY 2010 Source MMBtu" dataDxfId="87"/>
    <tableColumn id="31" xr3:uid="{BE6A567E-A61E-4BC5-81A8-4AEF6D933E30}" name="CY 2010 tCO2e (20 yr GWP)" dataDxfId="86"/>
    <tableColumn id="32" xr3:uid="{97F38671-6996-45BB-AA54-3C75F01EFCC8}" name="CY 2011 Consumed" dataDxfId="85"/>
    <tableColumn id="33" xr3:uid="{A4CF46B2-B79E-4B70-AC50-F4EA09C212C6}" name="CY 2011 tCO2e (100 yr GWP)" dataDxfId="84"/>
    <tableColumn id="34" xr3:uid="{F3D1CEA9-62FD-4B91-BE51-018E0C5E3509}" name="CY 2011 Source MMBtu" dataDxfId="83"/>
    <tableColumn id="35" xr3:uid="{04029366-F6E6-4E41-BA6F-D6A8130CF8D5}" name="CY 2011 tCO2e (20 yr GWP)" dataDxfId="82"/>
    <tableColumn id="36" xr3:uid="{2177E7FA-56BB-4A44-B786-C0F7B6E983A7}" name="CY 2012 Consumed" dataDxfId="81"/>
    <tableColumn id="37" xr3:uid="{518EE3EA-8425-458B-9F26-B3BE5D31CEDF}" name="CY 2012 tCO2e (100 yr GWP)" dataDxfId="80"/>
    <tableColumn id="38" xr3:uid="{7D70E2DC-353F-42FE-9DA6-4001984B68BB}" name="CY 2012 Source MMBtu" dataDxfId="79"/>
    <tableColumn id="39" xr3:uid="{6BC98A82-7F81-48BC-AFAA-7D45EDC31501}" name="CY 2012 tCO2e (20 yr GWP)" dataDxfId="78"/>
    <tableColumn id="40" xr3:uid="{57BFCA96-B61F-4C1C-A577-25EECE3EF907}" name="CY 2013 Consumed" dataDxfId="77"/>
    <tableColumn id="41" xr3:uid="{76328EB8-BAD5-4407-8553-CAF47FE495C9}" name="CY 2013 tCO2e (100 yr GWP)" dataDxfId="76"/>
    <tableColumn id="42" xr3:uid="{32430041-F9CC-4038-9D6A-C6AE48F60264}" name="CY 2013 Source MMBtu" dataDxfId="75"/>
    <tableColumn id="43" xr3:uid="{A715ABBE-FECC-4734-A726-00FAE5138DF6}" name="CY 2013 tCO2e (20 yr GWP)" dataDxfId="74"/>
    <tableColumn id="44" xr3:uid="{DE0974FF-C948-45F0-8F9A-6E9AF6214184}" name="CY 2014 Consumed" dataDxfId="73"/>
    <tableColumn id="45" xr3:uid="{5123C578-0252-41A8-8FD0-CF3DB3847365}" name="CY 2014 tCO2e (100 yr GWP)" dataDxfId="72"/>
    <tableColumn id="46" xr3:uid="{D7DECF19-CE23-473A-8F36-7138CC90C44D}" name="CY 2014 Source MMBtu" dataDxfId="71"/>
    <tableColumn id="47" xr3:uid="{FBB47822-1D61-4FE9-B76E-D7A3939E42D0}" name="CY 2014 tCO2e (20 yr GWP)" dataDxfId="70"/>
    <tableColumn id="48" xr3:uid="{5F2CB9ED-78C0-433F-B765-14F931B77E9A}" name="CY 2015 Consumed" dataDxfId="69"/>
    <tableColumn id="49" xr3:uid="{7442ADC5-A316-497F-82A7-6593A2AB20FC}" name="CY 2015 tCO2e (100 yr GWP)" dataDxfId="68"/>
    <tableColumn id="50" xr3:uid="{5E8D8741-17F5-4C59-9BAF-D63B5FAE5756}" name="CY 2015 Source MMBtu" dataDxfId="67"/>
    <tableColumn id="51" xr3:uid="{8FC93054-33C1-4258-AF7B-1851FF634271}" name="CY 2015 tCO2e (20 yr GWP)" dataDxfId="66"/>
    <tableColumn id="52" xr3:uid="{0F192BE8-A765-43D0-B572-BFCD00B639E9}" name="CY 2016 Consumed" dataDxfId="65"/>
    <tableColumn id="53" xr3:uid="{3EEB6078-36A1-496D-8F53-0B02D2689247}" name="CY 2016 tCO2e (100 yr GWP)" dataDxfId="64"/>
    <tableColumn id="54" xr3:uid="{2C9CEC6B-18F5-4D29-AD74-D436FDB1D0C9}" name="CY 2016 Source MMBtu" dataDxfId="63"/>
    <tableColumn id="55" xr3:uid="{5676636D-0852-4065-B061-7587880B66FE}" name="CY 2016 tCO2e (20 yr GWP)" dataDxfId="62"/>
    <tableColumn id="56" xr3:uid="{645B0E95-585F-4BB6-A984-B4A393A3D4DB}" name="CY 2017 Consumed" dataDxfId="61"/>
    <tableColumn id="57" xr3:uid="{87D1F7E3-2B27-44F0-9776-D4BAD6B2BFD5}" name="CY 2017 tCO2e (100 yr GWP)" dataDxfId="60"/>
    <tableColumn id="58" xr3:uid="{C837D9B0-AA11-430F-AC2D-8AB7CBE567C3}" name="CY 2017 Source MMBtu" dataDxfId="59"/>
    <tableColumn id="59" xr3:uid="{44D5CE72-4171-4B86-A53D-0A7DD2BCC95A}" name="CY 2017 tCO2e (20 yr GWP)" dataDxfId="58"/>
    <tableColumn id="60" xr3:uid="{6629B6AB-978A-4EEB-BC6A-66E458A246D5}" name="CY 2018 Consumed" dataDxfId="57"/>
    <tableColumn id="61" xr3:uid="{302CADF0-0226-4E23-88D4-655E6E50D3B1}" name="CY 2018 tCO2e (100 yr GWP)" dataDxfId="56"/>
    <tableColumn id="62" xr3:uid="{FB168104-B59F-4A3D-BFCE-47154208A1C2}" name="CY 2018 Source MMBtu" dataDxfId="55"/>
    <tableColumn id="63" xr3:uid="{65831F0F-0B83-47D1-876C-B3D003AA177B}" name="CY 2018 tCO2e (20 yr GWP)" dataDxfId="54"/>
    <tableColumn id="64" xr3:uid="{C4F26A50-8F9D-4EB2-AE40-D1F22F08B84B}" name="CY 2019 Consumed" dataDxfId="53"/>
    <tableColumn id="65" xr3:uid="{053E5A63-5E0E-408C-AF1D-EE56968E2315}" name="CY 2019 tCO2e (100 yr GWP)" dataDxfId="52"/>
    <tableColumn id="66" xr3:uid="{0658353C-550C-431B-BE00-7AF6F8F278D6}" name="CY 2019 Source MMBtu" dataDxfId="51"/>
    <tableColumn id="67" xr3:uid="{AC656C27-FDB7-4FE3-891A-E029B57033F6}" name="CY 2019 tCO2e (20 yr GWP)" dataDxfId="50"/>
    <tableColumn id="68" xr3:uid="{1432AB22-0B67-45C4-AA7D-1B60EB422413}" name="CY 2020 Consumed" dataDxfId="49"/>
    <tableColumn id="69" xr3:uid="{2BD91D90-798B-42E2-BB4C-3D1C0EC94F77}" name="CY 2020 tCO2e (100 yr GWP)" dataDxfId="48"/>
    <tableColumn id="70" xr3:uid="{0172AF67-FD72-49CB-B0DF-22ECCC173FB6}" name="CY 2020 Source MMBtu" dataDxfId="47"/>
    <tableColumn id="71" xr3:uid="{A48DCF14-151A-42E8-9453-E4F74C95F46B}" name="CY 2020 tCO2e (20 yr GWP)" dataDxfId="46"/>
    <tableColumn id="72" xr3:uid="{2755D271-ACAA-4110-8594-808A31B86706}" name="CY 2021 Consumed" dataDxfId="45"/>
    <tableColumn id="73" xr3:uid="{1FFC1E8D-5545-48F5-8F41-098EF01CB6F7}" name="CY 2021 tCO2e (100 yr GWP)" dataDxfId="44"/>
    <tableColumn id="74" xr3:uid="{2469C2C8-423C-44F0-83A8-08E33A9BF708}" name="CY 2021 Source MMBtu" dataDxfId="43"/>
    <tableColumn id="75" xr3:uid="{889E89DA-2C88-4379-BC5B-FEF16AC49B60}" name="CY 2021 tCO2e (20 yr GWP)" dataDxfId="42"/>
    <tableColumn id="76" xr3:uid="{AD16793E-DC69-402F-877A-F9E125BE3495}" name="CY 2022 Consumed" dataDxfId="41"/>
    <tableColumn id="77" xr3:uid="{4B846EDE-A2C4-4B39-A054-35660DDB60E6}" name="CY 2022 tCO2e (100 yr GWP)" dataDxfId="40"/>
    <tableColumn id="78" xr3:uid="{489F80AE-522B-4C0E-91A3-B28580CD3D88}" name="CY 2022 Source MMBtu" dataDxfId="39"/>
    <tableColumn id="79" xr3:uid="{BCB0ACBF-A955-4EFB-AAEE-3D4E3DE5BD81}" name="CY 2022 tCO2e (20 yr GWP)" dataDxfId="38"/>
    <tableColumn id="80" xr3:uid="{2C3D795E-BA22-4643-99B1-1B4B46D1084D}" name="CY 2023 Consumed" dataDxfId="37"/>
    <tableColumn id="81" xr3:uid="{F9C53236-DAF6-4027-B1AD-10A71A074CD3}" name="CY 2023 tCO2e (100 yr GWP)" dataDxfId="36"/>
    <tableColumn id="82" xr3:uid="{A58673AA-E662-4724-8750-95E2DAB10ED2}" name="CY 2023 Source MMBtu" dataDxfId="35"/>
    <tableColumn id="83" xr3:uid="{DA51E3FF-6FDC-4D2B-BBCD-265EEC3839A0}" name="CY 2023 tCO2e (20 yr GWP)" dataDxfId="34"/>
    <tableColumn id="84" xr3:uid="{67F8BE73-1ED0-4147-A116-7406785F4F7B}" name="2005 - 2022 % change Consumed" dataDxfId="33"/>
    <tableColumn id="85" xr3:uid="{943EADF0-145F-411F-917D-9167167812C7}" name="2005 - 2022 % change tCO2e" dataDxfId="32"/>
    <tableColumn id="86" xr3:uid="{5FF261D0-C8FF-4C1B-8004-8CBFAC9A6D4A}" name="2005 - 2022 % change Source MMBtu" dataDxfId="31"/>
    <tableColumn id="87" xr3:uid="{41F93986-61E6-41E2-9A41-BBD0E7C4AEA7}" name="2005 - 2022 % change tCO2e 20 yr GWP" dataDxfId="30"/>
  </tableColumns>
  <tableStyleInfo name="TableStyleMedium3"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ACA40F2-CDD1-425B-89CC-9E0839BC8BD0}" name="Table18" displayName="Table18" ref="CL15:CS19" totalsRowShown="0" headerRowDxfId="29" dataDxfId="28" headerRowBorderDxfId="26" tableBorderDxfId="27">
  <autoFilter ref="CL15:CS19" xr:uid="{BACA40F2-CDD1-425B-89CC-9E0839BC8BD0}"/>
  <tableColumns count="8">
    <tableColumn id="1" xr3:uid="{1F9B3DA8-3E5D-462A-A101-31ED8C408108}" name=" " dataDxfId="25"/>
    <tableColumn id="2" xr3:uid="{E4CEFDA4-71EE-4E22-B81A-606D60A57C67}" name="2010 Fuel Cons" dataDxfId="24"/>
    <tableColumn id="3" xr3:uid="{95E30895-5EA9-459D-B3D7-3FAE56D16E23}" name="1 to 4" dataDxfId="23" dataCellStyle="Comma">
      <calculatedColumnFormula>Table18[[#This Row],[2010 Fuel Cons]]*Original!N47</calculatedColumnFormula>
    </tableColumn>
    <tableColumn id="4" xr3:uid="{5D961673-EF9B-430D-8CEB-DA406D27E186}" name="Multifamily" dataDxfId="22" dataCellStyle="Comma">
      <calculatedColumnFormula>Table18[[#This Row],[2010 Fuel Cons]]*Original!O47</calculatedColumnFormula>
    </tableColumn>
    <tableColumn id="5" xr3:uid="{CC7B95E2-F026-429F-A2AE-79264B3D4CBC}" name="Commercial" dataDxfId="21" dataCellStyle="Comma">
      <calculatedColumnFormula>Table18[[#This Row],[2010 Fuel Cons]]*Original!P47</calculatedColumnFormula>
    </tableColumn>
    <tableColumn id="6" xr3:uid="{214DA125-ECB8-443B-BEDF-7FDE06E6F99B}" name="Institutional" dataDxfId="20" dataCellStyle="Comma">
      <calculatedColumnFormula>Table18[[#This Row],[2010 Fuel Cons]]*Original!Q47</calculatedColumnFormula>
    </tableColumn>
    <tableColumn id="7" xr3:uid="{FD76C7E4-E6B7-47FC-A9AF-AF5B3D883E8D}" name="Industrial" dataDxfId="19" dataCellStyle="Comma">
      <calculatedColumnFormula>Table18[[#This Row],[2010 Fuel Cons]]*Original!R47</calculatedColumnFormula>
    </tableColumn>
    <tableColumn id="8" xr3:uid="{8EBA9B38-4A99-4FF3-959D-95253CE4B8AC}" name="Industrial %" dataDxfId="18" dataCellStyle="Percent">
      <calculatedColumnFormula>Table18[[#This Row],[Industrial]]/SUM(Table18[Industrial])</calculatedColumnFormula>
    </tableColumn>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8DB05E0-FBD0-4C48-AF88-4C38E61F176D}" name="Table15" displayName="Table15" ref="C3:J7" totalsRowShown="0" headerRowDxfId="17" dataDxfId="16" headerRowBorderDxfId="14" tableBorderDxfId="15" totalsRowBorderDxfId="13">
  <autoFilter ref="C3:J7" xr:uid="{F8DB05E0-FBD0-4C48-AF88-4C38E61F176D}"/>
  <tableColumns count="8">
    <tableColumn id="1" xr3:uid="{EB819B52-4810-410F-9575-2C6F3DED360C}" name="Column1" dataDxfId="12"/>
    <tableColumn id="2" xr3:uid="{D694BB3D-BDC3-4DCF-A61C-02894753F4D3}" name="TOTAL (PJ)" dataDxfId="11">
      <calculatedColumnFormula>Original!Z57</calculatedColumnFormula>
    </tableColumn>
    <tableColumn id="3" xr3:uid="{9791ADBA-CA98-4767-89D7-7F6995C938B2}" name="BK" dataDxfId="10"/>
    <tableColumn id="4" xr3:uid="{26D1D788-5F38-4598-A567-7F4BCBAE0BA7}" name="BX" dataDxfId="9"/>
    <tableColumn id="5" xr3:uid="{B1696F5F-80E9-4A73-AC7C-D38ECAF09A68}" name="MN" dataDxfId="8"/>
    <tableColumn id="6" xr3:uid="{26FB814B-8F08-46E6-8586-DB22B5952E9D}" name="QN" dataDxfId="7"/>
    <tableColumn id="7" xr3:uid="{C9E2525D-0A29-4B6D-A545-FA2189C1ACB6}" name="SI" dataDxfId="6"/>
    <tableColumn id="8" xr3:uid="{1DB9A83E-3FCF-4483-BADA-50850392C80C}" name="NYC" dataDxfId="5">
      <calculatedColumnFormula>SUM(E4:I4)-D4</calculatedColumnFormula>
    </tableColumn>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9E437C-4598-4D1F-8252-EEA02007D157}" name="tbl_ActivityToPJ" displayName="tbl_ActivityToPJ" ref="H3:J10" totalsRowShown="0" headerRowDxfId="4" dataDxfId="3">
  <autoFilter ref="H3:J10" xr:uid="{8B9E437C-4598-4D1F-8252-EEA02007D157}"/>
  <tableColumns count="3">
    <tableColumn id="1" xr3:uid="{1FACF12F-293E-4030-8D78-3AF8989A79D9}" name="Fuel" dataDxfId="2"/>
    <tableColumn id="2" xr3:uid="{EE4D5B01-185C-4013-87BA-F892AACE8728}" name="Activity Unit" dataDxfId="1"/>
    <tableColumn id="3" xr3:uid="{C6DA5A00-5547-4B6C-8D44-61FB351F29EE}" name="Factor"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4" dT="2024-11-07T15:15:30.24" personId="{5DD04E9B-EFE7-4B69-9273-9C92004F3582}" id="{4DC4F5CD-9392-45BD-AE96-DF7916A986D3}">
    <text>Was originally under vintage</text>
  </threadedComment>
</ThreadedComments>
</file>

<file path=xl/threadedComments/threadedComment2.xml><?xml version="1.0" encoding="utf-8"?>
<ThreadedComments xmlns="http://schemas.microsoft.com/office/spreadsheetml/2018/threadedcomments" xmlns:x="http://schemas.openxmlformats.org/spreadsheetml/2006/main">
  <threadedComment ref="J44" dT="2024-11-07T15:15:30.24" personId="{5DD04E9B-EFE7-4B69-9273-9C92004F3582}" id="{D65C3EAD-8427-4978-9F59-B82996FCFA4F}">
    <text>Was originally under vintage</text>
  </threadedComment>
</ThreadedComments>
</file>

<file path=xl/threadedComments/threadedComment3.xml><?xml version="1.0" encoding="utf-8"?>
<ThreadedComments xmlns="http://schemas.microsoft.com/office/spreadsheetml/2018/threadedcomments" xmlns:x="http://schemas.openxmlformats.org/spreadsheetml/2006/main">
  <threadedComment ref="H4" dT="2024-11-07T15:21:15.54" personId="{5DD04E9B-EFE7-4B69-9273-9C92004F3582}" id="{AA8FD501-DA88-4FF2-8F07-5B9CB27932B3}">
    <text>Originally NAP_START</text>
  </threadedComment>
  <threadedComment ref="J4" dT="2024-10-25T17:00:55.11" personId="{5DD04E9B-EFE7-4B69-9273-9C92004F3582}" id="{189FD2C1-34B5-4A44-83E5-9F325ECF3B4A}">
    <text>Same as AFA?</text>
  </threadedComment>
  <threadedComment ref="H9" dT="2024-10-29T19:42:44.82" personId="{5DD04E9B-EFE7-4B69-9273-9C92004F3582}" id="{2C4FC2D6-8DF3-41B6-94E4-751D3B313D1B}">
    <text>NAP, NACP, or NCAP</text>
  </threadedComment>
  <threadedComment ref="H9" dT="2024-11-07T15:17:48.85" personId="{5DD04E9B-EFE7-4B69-9273-9C92004F3582}" id="{D9D1581E-4C91-411A-843B-6CBE865AB50F}" parentId="{2C4FC2D6-8DF3-41B6-94E4-751D3B313D1B}">
    <text>Originally NAP_START</text>
  </threadedComment>
  <threadedComment ref="K9" dT="2024-11-07T15:17:58.44" personId="{5DD04E9B-EFE7-4B69-9273-9C92004F3582}" id="{DA295B21-9562-4B16-AADE-4A8DD6C23906}">
    <text>Originally NACP_DRATE</text>
  </threadedComment>
  <threadedComment ref="AG9" dT="2024-11-07T15:18:26.46" personId="{5DD04E9B-EFE7-4B69-9273-9C92004F3582}" id="{049EA6F4-1A01-49BD-AFF8-25A282EF4930}">
    <text>Why are there two of the same column?</text>
  </threadedComment>
</ThreadedComments>
</file>

<file path=xl/threadedComments/threadedComment4.xml><?xml version="1.0" encoding="utf-8"?>
<ThreadedComments xmlns="http://schemas.microsoft.com/office/spreadsheetml/2018/threadedcomments" xmlns:x="http://schemas.openxmlformats.org/spreadsheetml/2006/main">
  <threadedComment ref="L4" dT="2024-10-25T17:00:55.11" personId="{5DD04E9B-EFE7-4B69-9273-9C92004F3582}" id="{5AA6965A-EC61-4776-97FA-277095D392DB}">
    <text>Same as AFA?</text>
  </threadedComment>
</ThreadedComments>
</file>

<file path=xl/threadedComments/threadedComment5.xml><?xml version="1.0" encoding="utf-8"?>
<ThreadedComments xmlns="http://schemas.microsoft.com/office/spreadsheetml/2018/threadedcomments" xmlns:x="http://schemas.openxmlformats.org/spreadsheetml/2006/main">
  <threadedComment ref="H4" dT="2024-11-07T15:21:15.54" personId="{5DD04E9B-EFE7-4B69-9273-9C92004F3582}" id="{5C981F17-25BB-41B1-AA7C-A81BCD9AF3AF}">
    <text>Originally NAP_START</text>
  </threadedComment>
  <threadedComment ref="J4" dT="2024-10-25T17:00:55.11" personId="{5DD04E9B-EFE7-4B69-9273-9C92004F3582}" id="{BEB3ADD4-9D3E-4BEB-9A1F-31B7D1758AAF}">
    <text>Same as AFA?</text>
  </threadedComment>
  <threadedComment ref="J4" dT="2024-11-15T15:10:21.01" personId="{CBAC80ED-1B77-4332-9C5F-D682C4BD840F}" id="{F2D51957-C415-4C6F-9026-BEF287902A67}" parentId="{BEB3ADD4-9D3E-4BEB-9A1F-31B7D1758AAF}">
    <text>Definition is in Veda - "Availability factor relating a unit of production to the installed capacity according to the year initial installed."</text>
  </threadedComment>
  <threadedComment ref="H10" dT="2024-10-29T19:42:44.82" personId="{5DD04E9B-EFE7-4B69-9273-9C92004F3582}" id="{9C942AF8-D30D-4A5C-952E-8B7BC83F8102}">
    <text>NAP, NACP, or NCAP</text>
  </threadedComment>
  <threadedComment ref="H10" dT="2024-11-07T15:17:48.85" personId="{5DD04E9B-EFE7-4B69-9273-9C92004F3582}" id="{74F87A6A-C4FF-4650-AB06-520708048610}" parentId="{9C942AF8-D30D-4A5C-952E-8B7BC83F8102}">
    <text>Originally NAP_START</text>
  </threadedComment>
  <threadedComment ref="K10" dT="2024-11-07T15:17:58.44" personId="{5DD04E9B-EFE7-4B69-9273-9C92004F3582}" id="{6396C0E0-3BAB-4C68-BE38-83917A37BC11}">
    <text>Originally NACP_DRATE</text>
  </threadedComment>
  <threadedComment ref="AD10" dT="2024-11-07T15:18:26.46" personId="{5DD04E9B-EFE7-4B69-9273-9C92004F3582}" id="{9F868929-EC40-49CB-B81A-8194C09E8214}">
    <text>Why are there two of the same column?</text>
  </threadedComment>
  <threadedComment ref="L12" dT="2024-11-07T17:26:51.01" personId="{5DD04E9B-EFE7-4B69-9273-9C92004F3582}" id="{60672724-B54C-4CD1-A438-5FD7BB9C002A}">
    <text>These 100s were hardcoded in, no source</text>
  </threadedComment>
  <threadedComment ref="M12" dT="2024-11-07T17:27:04.31" personId="{5DD04E9B-EFE7-4B69-9273-9C92004F3582}" id="{ACA524EC-ABB9-4F59-806B-3C572BF7AECE}">
    <text>These 1s were hardcoded in, no source</text>
  </threadedComment>
  <threadedComment ref="L27" dT="2024-10-25T17:00:55.11" personId="{5DD04E9B-EFE7-4B69-9273-9C92004F3582}" id="{A6D5150A-6160-497C-99F3-91620102520F}">
    <text>Same as AFA?</text>
  </threadedComment>
</ThreadedComments>
</file>

<file path=xl/threadedComments/threadedComment6.xml><?xml version="1.0" encoding="utf-8"?>
<ThreadedComments xmlns="http://schemas.microsoft.com/office/spreadsheetml/2018/threadedcomments" xmlns:x="http://schemas.openxmlformats.org/spreadsheetml/2006/main">
  <threadedComment ref="I5" dT="2025-01-23T21:07:11.63" personId="{5DD04E9B-EFE7-4B69-9273-9C92004F3582}" id="{0C82B71F-D05A-47C7-863D-F373C95DA950}">
    <text>Matched to com file</text>
  </threadedComment>
</ThreadedComments>
</file>

<file path=xl/threadedComments/threadedComment7.xml><?xml version="1.0" encoding="utf-8"?>
<ThreadedComments xmlns="http://schemas.microsoft.com/office/spreadsheetml/2018/threadedcomments" xmlns:x="http://schemas.openxmlformats.org/spreadsheetml/2006/main">
  <threadedComment ref="CM16" dT="2024-11-21T20:48:02.11" personId="{5DD04E9B-EFE7-4B69-9273-9C92004F3582}" id="{10DF318C-737F-4B90-8C50-AA0DC8A491B0}">
    <text>138.114359 in res &amp; com</text>
  </threadedComment>
  <threadedComment ref="CM17" dT="2024-11-21T20:48:09.05" personId="{5DD04E9B-EFE7-4B69-9273-9C92004F3582}" id="{EF335149-A834-46D5-A0B1-1E2CE6D888C3}">
    <text>178.090456 in res and com</text>
  </threadedComment>
  <threadedComment ref="CM18" dT="2024-11-21T20:48:15.50" personId="{5DD04E9B-EFE7-4B69-9273-9C92004F3582}" id="{08B84BAC-18FB-49AC-86A4-5D8D61BD12F7}">
    <text>271.992112 in res and com</text>
  </threadedComment>
  <threadedComment ref="CM19" dT="2024-11-21T20:48:21.74" personId="{5DD04E9B-EFE7-4B69-9273-9C92004F3582}" id="{D6614F3A-8BFA-4EF5-91CB-00A5803118D3}">
    <text>26.017955 in res and com</text>
  </threadedComment>
  <threadedComment ref="CS19" dT="2024-11-21T20:23:50.47" personId="{5DD04E9B-EFE7-4B69-9273-9C92004F3582}" id="{3887A8EA-B156-4056-9710-70010C6EA91A}">
    <text>Originally, had zero steam</text>
  </threadedComment>
</ThreadedComments>
</file>

<file path=xl/threadedComments/threadedComment8.xml><?xml version="1.0" encoding="utf-8"?>
<ThreadedComments xmlns="http://schemas.microsoft.com/office/spreadsheetml/2018/threadedcomments" xmlns:x="http://schemas.openxmlformats.org/spreadsheetml/2006/main">
  <threadedComment ref="B9" dT="2024-11-19T14:36:49.89" personId="{5DD04E9B-EFE7-4B69-9273-9C92004F3582}" id="{DCCAFF79-3DD6-45AA-A5CD-4037FE62C47F}">
    <text>Table 25. Food Industry Energy Consumption</text>
  </threadedComment>
</ThreadedComments>
</file>

<file path=xl/threadedComments/threadedComment9.xml><?xml version="1.0" encoding="utf-8"?>
<ThreadedComments xmlns="http://schemas.microsoft.com/office/spreadsheetml/2018/threadedcomments" xmlns:x="http://schemas.openxmlformats.org/spreadsheetml/2006/main">
  <threadedComment ref="B9" dT="2024-11-19T14:36:49.89" personId="{5DD04E9B-EFE7-4B69-9273-9C92004F3582}" id="{E989199A-A005-48AA-85B6-BDD7C392E66A}">
    <text>Table 25. Food Industry Energy Consumption</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usepa.sharepoint.com/:x:/r/sites/COMET-NYC2/Shared%20Documents/General/Data/Time%20Slice%20Data/national%20end%20use%20shapes%20for%20BNL_2009_updatessept2024_RESCOM.xlsx?d=w7c9e8dfdfeeb402387e74c0dcb750f01&amp;csf=1&amp;web=1&amp;e=DKQct6"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energy.gov/sites/default/files/2021-12/2018_mecs_forest_products_energy_carbon_footprint_0.pdf" TargetMode="Externa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eddinger.jim@epa.gov" TargetMode="External"/><Relationship Id="rId1" Type="http://schemas.openxmlformats.org/officeDocument/2006/relationships/pivotTable" Target="../pivotTables/pivotTable1.xml"/><Relationship Id="rId6" Type="http://schemas.openxmlformats.org/officeDocument/2006/relationships/comments" Target="../comments7.xml"/><Relationship Id="rId5" Type="http://schemas.openxmlformats.org/officeDocument/2006/relationships/table" Target="../tables/table3.xml"/><Relationship Id="rId4" Type="http://schemas.openxmlformats.org/officeDocument/2006/relationships/vmlDrawing" Target="../drawings/vmlDrawing7.vml"/></Relationships>
</file>

<file path=xl/worksheets/_rels/sheet18.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table" Target="../tables/table4.xml"/><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table" Target="../tables/table16.xml"/><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 Id="rId9" Type="http://schemas.openxmlformats.org/officeDocument/2006/relationships/table" Target="../tables/table24.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table" Target="../tables/table25.xml"/><Relationship Id="rId5" Type="http://schemas.openxmlformats.org/officeDocument/2006/relationships/table" Target="../tables/table29.xml"/><Relationship Id="rId4" Type="http://schemas.openxmlformats.org/officeDocument/2006/relationships/table" Target="../tables/table2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drawing" Target="../drawings/drawing3.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vmlDrawing" Target="../drawings/vmlDrawing8.vml"/><Relationship Id="rId5" Type="http://schemas.microsoft.com/office/2017/10/relationships/threadedComment" Target="../threadedComments/threadedComment7.xml"/><Relationship Id="rId4" Type="http://schemas.openxmlformats.org/officeDocument/2006/relationships/comments" Target="../comments8.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hyperlink" Target="http://www.eia.gov/oiaf/aeo/tablebrowser/" TargetMode="External"/><Relationship Id="rId4" Type="http://schemas.microsoft.com/office/2017/10/relationships/threadedComment" Target="../threadedComments/threadedComment8.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hyperlink" Target="http://www.bea.gov/national/nipaweb/SelectTable.asp?Selected=Y" TargetMode="External"/></Relationships>
</file>

<file path=xl/worksheets/_rels/sheet3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hyperlink" Target="http://www.eia.gov/oiaf/aeo/tablebrowser/" TargetMode="External"/><Relationship Id="rId4" Type="http://schemas.microsoft.com/office/2017/10/relationships/threadedComment" Target="../threadedComments/threadedComment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B3:J37"/>
  <sheetViews>
    <sheetView showGridLines="0" workbookViewId="0">
      <selection activeCell="D17" sqref="D17"/>
    </sheetView>
  </sheetViews>
  <sheetFormatPr defaultColWidth="9" defaultRowHeight="14.45"/>
  <cols>
    <col min="1" max="1" width="3.625" style="366" customWidth="1"/>
    <col min="2" max="2" width="15.75" style="366" customWidth="1"/>
    <col min="3" max="3" width="5" style="366" bestFit="1" customWidth="1"/>
    <col min="4" max="4" width="10.625" style="366" bestFit="1" customWidth="1"/>
    <col min="5" max="5" width="49.75" style="366" bestFit="1" customWidth="1"/>
    <col min="6" max="6" width="4" style="366" bestFit="1" customWidth="1"/>
    <col min="7" max="8" width="7.75" style="366" bestFit="1" customWidth="1"/>
    <col min="9" max="9" width="7.375" style="366" bestFit="1" customWidth="1"/>
    <col min="10" max="10" width="5.375" style="366" bestFit="1" customWidth="1"/>
    <col min="11" max="16384" width="9" style="366"/>
  </cols>
  <sheetData>
    <row r="3" spans="2:10" s="362" customFormat="1">
      <c r="B3" s="361" t="s">
        <v>0</v>
      </c>
      <c r="D3" s="363"/>
      <c r="E3" s="363"/>
      <c r="F3" s="363"/>
      <c r="G3" s="363"/>
      <c r="H3" s="363"/>
      <c r="I3" s="363"/>
      <c r="J3" s="363"/>
    </row>
    <row r="4" spans="2:10" s="362" customFormat="1" ht="15" thickBot="1">
      <c r="B4" s="1170" t="s">
        <v>1</v>
      </c>
      <c r="C4" s="1170" t="s">
        <v>2</v>
      </c>
      <c r="D4" s="1170" t="s">
        <v>3</v>
      </c>
      <c r="E4" s="1170" t="s">
        <v>4</v>
      </c>
      <c r="F4" s="1170" t="s">
        <v>5</v>
      </c>
      <c r="G4" s="1170" t="s">
        <v>6</v>
      </c>
      <c r="H4" s="1170" t="s">
        <v>7</v>
      </c>
      <c r="I4" s="1170" t="s">
        <v>8</v>
      </c>
      <c r="J4" s="1170" t="s">
        <v>9</v>
      </c>
    </row>
    <row r="5" spans="2:10" s="362" customFormat="1">
      <c r="B5" s="364" t="s">
        <v>10</v>
      </c>
      <c r="C5" s="364"/>
      <c r="D5" s="364"/>
      <c r="E5" s="364"/>
      <c r="F5" s="364"/>
      <c r="G5" s="364"/>
      <c r="H5" s="364"/>
      <c r="I5" s="364"/>
      <c r="J5" s="364"/>
    </row>
    <row r="6" spans="2:10" s="362" customFormat="1">
      <c r="B6" s="365" t="s">
        <v>11</v>
      </c>
      <c r="C6" s="365" t="s">
        <v>12</v>
      </c>
      <c r="D6" s="365" t="s">
        <v>13</v>
      </c>
      <c r="E6" s="365" t="s">
        <v>14</v>
      </c>
      <c r="F6" s="365" t="s">
        <v>15</v>
      </c>
      <c r="G6" s="365"/>
      <c r="H6" s="365"/>
      <c r="I6" s="365"/>
      <c r="J6" s="365"/>
    </row>
    <row r="7" spans="2:10" s="362" customFormat="1">
      <c r="B7" s="365" t="s">
        <v>11</v>
      </c>
      <c r="C7" s="365" t="s">
        <v>12</v>
      </c>
      <c r="D7" s="365" t="s">
        <v>16</v>
      </c>
      <c r="E7" s="365" t="s">
        <v>17</v>
      </c>
      <c r="F7" s="365" t="s">
        <v>15</v>
      </c>
      <c r="G7" s="365"/>
      <c r="H7" s="365"/>
      <c r="I7" s="365"/>
      <c r="J7" s="365"/>
    </row>
    <row r="8" spans="2:10" s="362" customFormat="1">
      <c r="B8" s="365" t="s">
        <v>11</v>
      </c>
      <c r="C8" s="365" t="s">
        <v>12</v>
      </c>
      <c r="D8" s="365" t="s">
        <v>18</v>
      </c>
      <c r="E8" s="365" t="s">
        <v>19</v>
      </c>
      <c r="F8" s="365" t="s">
        <v>15</v>
      </c>
      <c r="G8" s="365"/>
      <c r="H8" s="365"/>
      <c r="I8" s="365"/>
      <c r="J8" s="365"/>
    </row>
    <row r="9" spans="2:10" s="362" customFormat="1">
      <c r="B9" s="365" t="s">
        <v>11</v>
      </c>
      <c r="C9" s="365" t="s">
        <v>12</v>
      </c>
      <c r="D9" s="365" t="s">
        <v>20</v>
      </c>
      <c r="E9" s="365" t="s">
        <v>21</v>
      </c>
      <c r="F9" s="365" t="s">
        <v>15</v>
      </c>
      <c r="G9" s="365"/>
      <c r="H9" s="365"/>
      <c r="I9" s="365"/>
      <c r="J9" s="365"/>
    </row>
    <row r="10" spans="2:10" s="362" customFormat="1">
      <c r="B10" s="365" t="s">
        <v>11</v>
      </c>
      <c r="C10" s="365" t="s">
        <v>12</v>
      </c>
      <c r="D10" s="365" t="s">
        <v>22</v>
      </c>
      <c r="E10" s="1168" t="s">
        <v>23</v>
      </c>
      <c r="F10" s="365" t="s">
        <v>15</v>
      </c>
      <c r="G10" s="365"/>
      <c r="H10" s="365"/>
      <c r="I10" s="365"/>
      <c r="J10" s="365"/>
    </row>
    <row r="11" spans="2:10" s="362" customFormat="1">
      <c r="B11" s="365" t="s">
        <v>11</v>
      </c>
      <c r="C11" s="365" t="s">
        <v>12</v>
      </c>
      <c r="D11" s="365" t="s">
        <v>24</v>
      </c>
      <c r="E11" s="1168" t="s">
        <v>25</v>
      </c>
      <c r="F11" s="365" t="s">
        <v>15</v>
      </c>
      <c r="G11" s="365"/>
      <c r="H11" s="365"/>
      <c r="I11" s="365"/>
      <c r="J11" s="365"/>
    </row>
    <row r="12" spans="2:10">
      <c r="B12" s="367" t="s">
        <v>26</v>
      </c>
      <c r="C12" s="367"/>
      <c r="D12" s="367"/>
      <c r="E12" s="367"/>
      <c r="F12" s="367"/>
      <c r="G12" s="367"/>
      <c r="H12" s="367"/>
      <c r="I12" s="367"/>
      <c r="J12" s="367"/>
    </row>
    <row r="13" spans="2:10">
      <c r="B13" s="365" t="s">
        <v>11</v>
      </c>
      <c r="C13" s="365" t="s">
        <v>27</v>
      </c>
      <c r="D13" s="365" t="s">
        <v>28</v>
      </c>
      <c r="E13" s="365" t="s">
        <v>29</v>
      </c>
      <c r="F13" s="365" t="s">
        <v>15</v>
      </c>
      <c r="G13" s="365"/>
      <c r="H13" s="368" t="s">
        <v>30</v>
      </c>
      <c r="I13" s="368" t="s">
        <v>31</v>
      </c>
      <c r="J13" s="368" t="s">
        <v>32</v>
      </c>
    </row>
    <row r="14" spans="2:10">
      <c r="B14" s="365" t="s">
        <v>11</v>
      </c>
      <c r="C14" s="365" t="s">
        <v>27</v>
      </c>
      <c r="D14" s="365" t="s">
        <v>33</v>
      </c>
      <c r="E14" s="369" t="s">
        <v>34</v>
      </c>
      <c r="F14" s="365" t="s">
        <v>15</v>
      </c>
      <c r="G14" s="365"/>
      <c r="H14" s="365"/>
      <c r="I14" s="365"/>
      <c r="J14" s="365"/>
    </row>
    <row r="15" spans="2:10">
      <c r="B15" s="365" t="s">
        <v>11</v>
      </c>
      <c r="C15" s="365" t="s">
        <v>27</v>
      </c>
      <c r="D15" s="365" t="s">
        <v>35</v>
      </c>
      <c r="E15" s="369" t="s">
        <v>36</v>
      </c>
      <c r="F15" s="365" t="s">
        <v>15</v>
      </c>
      <c r="G15" s="365"/>
      <c r="H15" s="365"/>
      <c r="I15" s="365"/>
      <c r="J15" s="365"/>
    </row>
    <row r="16" spans="2:10">
      <c r="B16" s="367" t="s">
        <v>37</v>
      </c>
      <c r="C16" s="367"/>
      <c r="D16" s="367"/>
      <c r="E16" s="367"/>
      <c r="F16" s="367"/>
      <c r="G16" s="367"/>
      <c r="H16" s="367"/>
      <c r="I16" s="367"/>
      <c r="J16" s="367"/>
    </row>
    <row r="17" spans="2:10">
      <c r="B17" s="365" t="s">
        <v>38</v>
      </c>
      <c r="C17" s="365" t="s">
        <v>27</v>
      </c>
      <c r="D17" s="365" t="s">
        <v>39</v>
      </c>
      <c r="E17" s="365" t="s">
        <v>40</v>
      </c>
      <c r="F17" s="365" t="s">
        <v>15</v>
      </c>
      <c r="G17" s="365"/>
      <c r="H17" s="368"/>
      <c r="I17" s="368"/>
      <c r="J17" s="368"/>
    </row>
    <row r="18" spans="2:10">
      <c r="B18" s="365" t="s">
        <v>38</v>
      </c>
      <c r="C18" s="365" t="s">
        <v>27</v>
      </c>
      <c r="D18" s="365" t="s">
        <v>41</v>
      </c>
      <c r="E18" s="365" t="s">
        <v>42</v>
      </c>
      <c r="F18" s="365" t="s">
        <v>15</v>
      </c>
      <c r="G18" s="365"/>
      <c r="H18" s="368"/>
      <c r="I18" s="368"/>
      <c r="J18" s="368"/>
    </row>
    <row r="19" spans="2:10">
      <c r="B19" s="365" t="s">
        <v>11</v>
      </c>
      <c r="C19" s="365" t="s">
        <v>27</v>
      </c>
      <c r="D19" s="365" t="s">
        <v>43</v>
      </c>
      <c r="E19" s="365" t="s">
        <v>44</v>
      </c>
      <c r="F19" s="365" t="s">
        <v>15</v>
      </c>
      <c r="G19" s="365"/>
      <c r="H19" s="368"/>
      <c r="I19" s="368"/>
      <c r="J19" s="368"/>
    </row>
    <row r="20" spans="2:10">
      <c r="B20" s="365" t="s">
        <v>11</v>
      </c>
      <c r="C20" s="365" t="s">
        <v>27</v>
      </c>
      <c r="D20" s="365" t="s">
        <v>45</v>
      </c>
      <c r="E20" s="365" t="s">
        <v>46</v>
      </c>
      <c r="F20" s="365" t="s">
        <v>15</v>
      </c>
      <c r="G20" s="365"/>
      <c r="H20" s="368"/>
      <c r="I20" s="368"/>
      <c r="J20" s="368"/>
    </row>
    <row r="21" spans="2:10">
      <c r="B21" s="367" t="s">
        <v>47</v>
      </c>
      <c r="C21" s="367"/>
      <c r="D21" s="367"/>
      <c r="E21" s="367"/>
      <c r="F21" s="367"/>
      <c r="G21" s="367"/>
      <c r="H21" s="367"/>
      <c r="I21" s="367"/>
      <c r="J21" s="367"/>
    </row>
    <row r="22" spans="2:10">
      <c r="B22" s="365" t="s">
        <v>11</v>
      </c>
      <c r="C22" s="365" t="s">
        <v>27</v>
      </c>
      <c r="D22" s="365" t="s">
        <v>48</v>
      </c>
      <c r="E22" s="369" t="s">
        <v>49</v>
      </c>
      <c r="F22" s="365" t="s">
        <v>15</v>
      </c>
      <c r="G22" s="365"/>
      <c r="H22" s="365"/>
      <c r="I22" s="365"/>
      <c r="J22" s="365"/>
    </row>
    <row r="23" spans="2:10">
      <c r="B23" s="365" t="s">
        <v>11</v>
      </c>
      <c r="C23" s="365" t="s">
        <v>27</v>
      </c>
      <c r="D23" s="365" t="s">
        <v>50</v>
      </c>
      <c r="E23" s="369" t="s">
        <v>51</v>
      </c>
      <c r="F23" s="365" t="s">
        <v>15</v>
      </c>
      <c r="G23" s="365"/>
      <c r="H23" s="365"/>
      <c r="I23" s="365"/>
      <c r="J23" s="365"/>
    </row>
    <row r="24" spans="2:10">
      <c r="B24" s="367" t="s">
        <v>52</v>
      </c>
      <c r="C24" s="367"/>
      <c r="D24" s="367"/>
      <c r="E24" s="367"/>
      <c r="F24" s="367"/>
      <c r="G24" s="367"/>
      <c r="H24" s="367"/>
      <c r="I24" s="367"/>
      <c r="J24" s="367"/>
    </row>
    <row r="25" spans="2:10">
      <c r="B25" s="365" t="s">
        <v>38</v>
      </c>
      <c r="C25" s="365" t="s">
        <v>53</v>
      </c>
      <c r="D25" s="369" t="s">
        <v>54</v>
      </c>
      <c r="E25" s="369" t="s">
        <v>55</v>
      </c>
      <c r="F25" s="365" t="s">
        <v>56</v>
      </c>
      <c r="G25" s="365"/>
      <c r="H25" s="365"/>
      <c r="I25" s="365"/>
      <c r="J25" s="365"/>
    </row>
    <row r="26" spans="2:10">
      <c r="B26" s="365" t="s">
        <v>38</v>
      </c>
      <c r="C26" s="365" t="s">
        <v>53</v>
      </c>
      <c r="D26" s="369" t="s">
        <v>57</v>
      </c>
      <c r="E26" s="369" t="s">
        <v>58</v>
      </c>
      <c r="F26" s="365" t="s">
        <v>59</v>
      </c>
      <c r="G26" s="365"/>
      <c r="H26" s="365"/>
      <c r="I26" s="365"/>
      <c r="J26" s="365"/>
    </row>
    <row r="27" spans="2:10">
      <c r="B27" s="365" t="s">
        <v>38</v>
      </c>
      <c r="C27" s="365" t="s">
        <v>53</v>
      </c>
      <c r="D27" s="369" t="s">
        <v>60</v>
      </c>
      <c r="E27" s="369" t="s">
        <v>61</v>
      </c>
      <c r="F27" s="365" t="s">
        <v>59</v>
      </c>
      <c r="G27" s="365"/>
      <c r="H27" s="365"/>
      <c r="I27" s="365"/>
      <c r="J27" s="365"/>
    </row>
    <row r="28" spans="2:10">
      <c r="B28" s="365" t="s">
        <v>38</v>
      </c>
      <c r="C28" s="365" t="s">
        <v>53</v>
      </c>
      <c r="D28" s="369" t="s">
        <v>62</v>
      </c>
      <c r="E28" s="369" t="s">
        <v>63</v>
      </c>
      <c r="F28" s="365" t="s">
        <v>59</v>
      </c>
      <c r="G28" s="365"/>
      <c r="H28" s="365"/>
      <c r="I28" s="365"/>
      <c r="J28" s="365"/>
    </row>
    <row r="29" spans="2:10">
      <c r="B29" s="365" t="s">
        <v>38</v>
      </c>
      <c r="C29" s="365" t="s">
        <v>53</v>
      </c>
      <c r="D29" s="369" t="s">
        <v>64</v>
      </c>
      <c r="E29" s="369" t="s">
        <v>65</v>
      </c>
      <c r="F29" s="365" t="s">
        <v>59</v>
      </c>
      <c r="G29" s="365"/>
      <c r="H29" s="365"/>
      <c r="I29" s="365"/>
      <c r="J29" s="365"/>
    </row>
    <row r="30" spans="2:10">
      <c r="B30" s="365" t="s">
        <v>38</v>
      </c>
      <c r="C30" s="365" t="s">
        <v>53</v>
      </c>
      <c r="D30" s="369" t="s">
        <v>66</v>
      </c>
      <c r="E30" s="369" t="s">
        <v>67</v>
      </c>
      <c r="F30" s="365" t="s">
        <v>59</v>
      </c>
      <c r="G30" s="365"/>
      <c r="H30" s="365"/>
      <c r="I30" s="365"/>
      <c r="J30" s="365"/>
    </row>
    <row r="31" spans="2:10">
      <c r="B31" s="365" t="s">
        <v>38</v>
      </c>
      <c r="C31" s="365" t="s">
        <v>53</v>
      </c>
      <c r="D31" s="369" t="s">
        <v>68</v>
      </c>
      <c r="E31" s="369" t="s">
        <v>69</v>
      </c>
      <c r="F31" s="365" t="s">
        <v>59</v>
      </c>
      <c r="G31" s="365"/>
      <c r="H31" s="365"/>
      <c r="I31" s="365"/>
      <c r="J31" s="365"/>
    </row>
    <row r="32" spans="2:10">
      <c r="B32" s="365" t="s">
        <v>38</v>
      </c>
      <c r="C32" s="365" t="s">
        <v>53</v>
      </c>
      <c r="D32" s="369" t="s">
        <v>70</v>
      </c>
      <c r="E32" s="369" t="s">
        <v>70</v>
      </c>
      <c r="F32" s="365" t="s">
        <v>59</v>
      </c>
      <c r="G32" s="365"/>
      <c r="H32" s="365"/>
      <c r="I32" s="365"/>
      <c r="J32" s="365"/>
    </row>
    <row r="33" spans="2:10">
      <c r="B33" s="365" t="s">
        <v>38</v>
      </c>
      <c r="C33" s="365" t="s">
        <v>53</v>
      </c>
      <c r="D33" s="369" t="s">
        <v>71</v>
      </c>
      <c r="E33" s="369" t="s">
        <v>72</v>
      </c>
      <c r="F33" s="365" t="s">
        <v>59</v>
      </c>
      <c r="G33" s="365"/>
      <c r="H33" s="365"/>
      <c r="I33" s="365"/>
      <c r="J33" s="365"/>
    </row>
    <row r="34" spans="2:10">
      <c r="B34" s="365" t="s">
        <v>38</v>
      </c>
      <c r="C34" s="365" t="s">
        <v>53</v>
      </c>
      <c r="D34" s="369" t="s">
        <v>73</v>
      </c>
      <c r="E34" s="369" t="s">
        <v>74</v>
      </c>
      <c r="F34" s="365" t="s">
        <v>59</v>
      </c>
      <c r="G34" s="365"/>
      <c r="H34" s="365"/>
      <c r="I34" s="365"/>
      <c r="J34" s="365"/>
    </row>
    <row r="35" spans="2:10">
      <c r="B35" s="365" t="s">
        <v>38</v>
      </c>
      <c r="C35" s="365" t="s">
        <v>53</v>
      </c>
      <c r="D35" s="369" t="s">
        <v>75</v>
      </c>
      <c r="E35" s="369" t="s">
        <v>76</v>
      </c>
      <c r="F35" s="365" t="s">
        <v>59</v>
      </c>
      <c r="G35" s="365"/>
      <c r="H35" s="365"/>
      <c r="I35" s="365"/>
      <c r="J35" s="365"/>
    </row>
    <row r="36" spans="2:10">
      <c r="B36" s="371" t="s">
        <v>77</v>
      </c>
    </row>
    <row r="37" spans="2:10">
      <c r="B37" s="372"/>
    </row>
  </sheetData>
  <sortState xmlns:xlrd2="http://schemas.microsoft.com/office/spreadsheetml/2017/richdata2" ref="D22:D23">
    <sortCondition ref="D22:D23"/>
  </sortState>
  <phoneticPr fontId="68" type="noConversion"/>
  <dataValidations count="9">
    <dataValidation allowBlank="1" showInputMessage="1" showErrorMessage="1" prompt="Region Name" sqref="B4" xr:uid="{BE3495A1-FE0B-4526-8CA5-D538F1B26B6F}"/>
    <dataValidation allowBlank="1" showInputMessage="1" showErrorMessage="1" prompt="Commodity Description" sqref="E4" xr:uid="{4B55B353-F6C8-4806-B6DC-30455D4849EC}"/>
    <dataValidation allowBlank="1" showInputMessage="1" showErrorMessage="1" prompt="Commodity Name" sqref="D4" xr:uid="{83773EF3-CF1B-4E72-A87B-6C3A3040F778}"/>
    <dataValidation allowBlank="1" showInputMessage="1" showErrorMessage="1" promptTitle="Commodity Set Membership" prompt="Csets declarations are inherited until the next one is encountered._x000a__x000a_NRG (Energy)_x000a_ENV (Emission)_x000a_DEM (Demand)_x000a_MAT (Material)_x000a_FIN (Financial)" sqref="C4" xr:uid="{D9F12AF5-791C-4F08-910F-9F55536718E2}"/>
    <dataValidation allowBlank="1" showInputMessage="1" showErrorMessage="1" promptTitle="Electricity Indicator" prompt="ELC (Electricity)_x000a_HTHEAT_x000a_LTHEAT" sqref="J4" xr:uid="{7E174AC5-4B23-41BE-AEB7-F375B6B5FF41}"/>
    <dataValidation allowBlank="1" showInputMessage="1" showErrorMessage="1" promptTitle="Peak Timeslice Monitoring" prompt="ANNUAL (to generate Peak Equation for all the TimeSlices) (default)_x000a_User TS already specified in SysSettings (to generate Peak Equation for a single TS)" sqref="I4" xr:uid="{C59536F8-EDDA-410B-81A0-E83D2D2C0FE1}"/>
    <dataValidation allowBlank="1" showInputMessage="1" showErrorMessage="1" promptTitle="Comm. Timeslice Tracking Level" prompt="ANNUAL (default)_x000a_SEASON_x000a_WEEKLY_x000a_DAYNITE" sqref="H4" xr:uid="{0CB76EA8-1AEB-4730-9252-EAF2371BBD54}"/>
    <dataValidation allowBlank="1" showInputMessage="1" showErrorMessage="1" promptTitle="Sense of the balance equation" prompt="LO for PRODUCTION &gt;= CONSUMPTION (Default)_x000a_FX for PRODUCTION  = CONSUMPTION_x000a_UP for PRODUCTION &lt;= CONSUMPTION" sqref="G4" xr:uid="{F962CAAD-5ACA-40DB-A294-56299A1CB0FC}"/>
    <dataValidation allowBlank="1" showInputMessage="1" showErrorMessage="1" prompt="Declare total primary supply for the given commodity(s)." sqref="B3" xr:uid="{E930093C-618A-4403-897E-E0D8A0C894A2}"/>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22788-F7BC-40E6-8579-AE271A645493}">
  <sheetPr>
    <tabColor rgb="FFFFC000"/>
  </sheetPr>
  <dimension ref="B2:J84"/>
  <sheetViews>
    <sheetView showGridLines="0" topLeftCell="A57" workbookViewId="0">
      <selection activeCell="D84" sqref="D84"/>
    </sheetView>
  </sheetViews>
  <sheetFormatPr defaultColWidth="9" defaultRowHeight="14.45"/>
  <cols>
    <col min="1" max="1" width="3.625" style="366" customWidth="1"/>
    <col min="2" max="2" width="14" style="366" customWidth="1"/>
    <col min="3" max="3" width="4.75" style="366" customWidth="1"/>
    <col min="4" max="4" width="13.25" style="366" customWidth="1"/>
    <col min="5" max="5" width="32" style="366" bestFit="1" customWidth="1"/>
    <col min="6" max="6" width="4.75" style="366" customWidth="1"/>
    <col min="7" max="7" width="5.375" style="366" customWidth="1"/>
    <col min="8" max="8" width="10.75" style="366" customWidth="1"/>
    <col min="9" max="9" width="7.875" style="366" customWidth="1"/>
    <col min="10" max="16384" width="9" style="366"/>
  </cols>
  <sheetData>
    <row r="2" spans="2:10">
      <c r="B2" s="371" t="s">
        <v>78</v>
      </c>
    </row>
    <row r="3" spans="2:10" s="362" customFormat="1">
      <c r="B3" s="373" t="s">
        <v>79</v>
      </c>
      <c r="C3" s="363"/>
      <c r="D3" s="363"/>
      <c r="E3" s="363"/>
      <c r="F3" s="363"/>
      <c r="G3" s="363"/>
      <c r="H3" s="363"/>
      <c r="I3" s="363"/>
    </row>
    <row r="4" spans="2:10" s="362" customFormat="1" ht="15" thickBot="1">
      <c r="B4" s="1170" t="s">
        <v>1</v>
      </c>
      <c r="C4" s="1170" t="s">
        <v>80</v>
      </c>
      <c r="D4" s="1265" t="s">
        <v>81</v>
      </c>
      <c r="E4" s="1265" t="s">
        <v>82</v>
      </c>
      <c r="F4" s="1265" t="s">
        <v>83</v>
      </c>
      <c r="G4" s="1265" t="s">
        <v>84</v>
      </c>
      <c r="H4" s="1265" t="s">
        <v>85</v>
      </c>
      <c r="I4" s="1265" t="s">
        <v>86</v>
      </c>
      <c r="J4" s="1265" t="s">
        <v>87</v>
      </c>
    </row>
    <row r="5" spans="2:10">
      <c r="B5" s="375" t="s">
        <v>88</v>
      </c>
      <c r="C5" s="375"/>
      <c r="D5" s="375"/>
      <c r="E5" s="375"/>
      <c r="F5" s="375"/>
      <c r="G5" s="375"/>
      <c r="H5" s="375"/>
      <c r="I5" s="375"/>
      <c r="J5" s="375"/>
    </row>
    <row r="6" spans="2:10">
      <c r="B6" s="365" t="s">
        <v>11</v>
      </c>
      <c r="C6" s="365" t="s">
        <v>89</v>
      </c>
      <c r="D6" s="365" t="s">
        <v>90</v>
      </c>
      <c r="E6" s="365" t="s">
        <v>91</v>
      </c>
      <c r="F6" s="365" t="s">
        <v>15</v>
      </c>
      <c r="G6" s="365" t="s">
        <v>92</v>
      </c>
      <c r="H6" s="365"/>
      <c r="I6" s="365"/>
      <c r="J6" s="365"/>
    </row>
    <row r="7" spans="2:10">
      <c r="B7" s="365" t="s">
        <v>11</v>
      </c>
      <c r="C7" s="365" t="s">
        <v>89</v>
      </c>
      <c r="D7" s="365" t="s">
        <v>93</v>
      </c>
      <c r="E7" s="365" t="s">
        <v>94</v>
      </c>
      <c r="F7" s="365" t="s">
        <v>15</v>
      </c>
      <c r="G7" s="365" t="s">
        <v>92</v>
      </c>
      <c r="H7" s="365"/>
      <c r="I7" s="365"/>
      <c r="J7" s="365"/>
    </row>
    <row r="8" spans="2:10" ht="15" thickBot="1">
      <c r="B8" s="370" t="s">
        <v>11</v>
      </c>
      <c r="C8" s="370" t="s">
        <v>89</v>
      </c>
      <c r="D8" s="370" t="s">
        <v>95</v>
      </c>
      <c r="E8" s="370" t="s">
        <v>96</v>
      </c>
      <c r="F8" s="370" t="s">
        <v>15</v>
      </c>
      <c r="G8" s="370" t="s">
        <v>92</v>
      </c>
      <c r="H8" s="370"/>
      <c r="I8" s="370"/>
      <c r="J8" s="370"/>
    </row>
    <row r="9" spans="2:10">
      <c r="B9" s="375" t="s">
        <v>97</v>
      </c>
      <c r="C9" s="375"/>
      <c r="D9" s="375"/>
      <c r="E9" s="375"/>
      <c r="F9" s="375"/>
      <c r="G9" s="375"/>
      <c r="H9" s="375"/>
      <c r="I9" s="375"/>
      <c r="J9" s="375"/>
    </row>
    <row r="10" spans="2:10">
      <c r="B10" s="365" t="s">
        <v>11</v>
      </c>
      <c r="C10" s="365" t="s">
        <v>98</v>
      </c>
      <c r="D10" s="365" t="s">
        <v>99</v>
      </c>
      <c r="E10" s="365" t="s">
        <v>100</v>
      </c>
      <c r="F10" s="365" t="s">
        <v>15</v>
      </c>
      <c r="G10" s="365" t="s">
        <v>92</v>
      </c>
      <c r="H10" s="365"/>
      <c r="I10" s="365"/>
      <c r="J10" s="365"/>
    </row>
    <row r="11" spans="2:10">
      <c r="B11" s="365" t="s">
        <v>11</v>
      </c>
      <c r="C11" s="365" t="s">
        <v>98</v>
      </c>
      <c r="D11" s="365" t="s">
        <v>101</v>
      </c>
      <c r="E11" s="365" t="s">
        <v>102</v>
      </c>
      <c r="F11" s="365" t="s">
        <v>15</v>
      </c>
      <c r="G11" s="365" t="s">
        <v>92</v>
      </c>
      <c r="H11" s="365"/>
      <c r="I11" s="365"/>
      <c r="J11" s="365"/>
    </row>
    <row r="12" spans="2:10" ht="15" thickBot="1">
      <c r="B12" s="370" t="s">
        <v>11</v>
      </c>
      <c r="C12" s="370" t="s">
        <v>98</v>
      </c>
      <c r="D12" s="370" t="s">
        <v>103</v>
      </c>
      <c r="E12" s="370" t="s">
        <v>104</v>
      </c>
      <c r="F12" s="370" t="s">
        <v>15</v>
      </c>
      <c r="G12" s="370" t="s">
        <v>92</v>
      </c>
      <c r="H12" s="370"/>
      <c r="I12" s="370"/>
      <c r="J12" s="370"/>
    </row>
    <row r="13" spans="2:10">
      <c r="B13" s="375" t="s">
        <v>105</v>
      </c>
      <c r="C13" s="375"/>
      <c r="D13" s="375"/>
      <c r="E13" s="375"/>
      <c r="F13" s="375"/>
      <c r="G13" s="375"/>
      <c r="H13" s="375"/>
      <c r="I13" s="375"/>
      <c r="J13" s="375"/>
    </row>
    <row r="14" spans="2:10">
      <c r="B14" s="365" t="s">
        <v>11</v>
      </c>
      <c r="C14" s="365" t="s">
        <v>98</v>
      </c>
      <c r="D14" s="365" t="s">
        <v>106</v>
      </c>
      <c r="E14" s="365" t="s">
        <v>107</v>
      </c>
      <c r="F14" s="365" t="s">
        <v>15</v>
      </c>
      <c r="G14" s="365" t="s">
        <v>92</v>
      </c>
      <c r="H14" s="365"/>
      <c r="I14" s="374"/>
      <c r="J14" s="374"/>
    </row>
    <row r="15" spans="2:10">
      <c r="B15" s="365" t="s">
        <v>11</v>
      </c>
      <c r="C15" s="365" t="s">
        <v>98</v>
      </c>
      <c r="D15" s="365" t="s">
        <v>108</v>
      </c>
      <c r="E15" s="365" t="s">
        <v>109</v>
      </c>
      <c r="F15" s="365" t="s">
        <v>15</v>
      </c>
      <c r="G15" s="365" t="s">
        <v>92</v>
      </c>
      <c r="H15" s="365"/>
      <c r="I15" s="374"/>
      <c r="J15" s="374"/>
    </row>
    <row r="16" spans="2:10">
      <c r="B16" s="365" t="s">
        <v>11</v>
      </c>
      <c r="C16" s="365" t="s">
        <v>98</v>
      </c>
      <c r="D16" s="365" t="s">
        <v>110</v>
      </c>
      <c r="E16" s="365" t="s">
        <v>111</v>
      </c>
      <c r="F16" s="365" t="s">
        <v>15</v>
      </c>
      <c r="G16" s="365" t="s">
        <v>92</v>
      </c>
      <c r="H16" s="365"/>
      <c r="I16" s="374"/>
      <c r="J16" s="374"/>
    </row>
    <row r="17" spans="2:10">
      <c r="B17" s="365" t="s">
        <v>11</v>
      </c>
      <c r="C17" s="365" t="s">
        <v>98</v>
      </c>
      <c r="D17" s="365" t="s">
        <v>112</v>
      </c>
      <c r="E17" s="365" t="s">
        <v>113</v>
      </c>
      <c r="F17" s="365" t="s">
        <v>15</v>
      </c>
      <c r="G17" s="365" t="s">
        <v>92</v>
      </c>
      <c r="H17" s="365"/>
      <c r="I17" s="374"/>
      <c r="J17" s="374"/>
    </row>
    <row r="18" spans="2:10" ht="15" thickBot="1">
      <c r="B18" s="365" t="s">
        <v>11</v>
      </c>
      <c r="C18" s="365" t="s">
        <v>98</v>
      </c>
      <c r="D18" s="365" t="s">
        <v>114</v>
      </c>
      <c r="E18" s="1168" t="s">
        <v>115</v>
      </c>
      <c r="F18" s="365" t="s">
        <v>15</v>
      </c>
      <c r="G18" s="365" t="s">
        <v>92</v>
      </c>
      <c r="H18" s="365"/>
      <c r="I18" s="365"/>
      <c r="J18" s="365"/>
    </row>
    <row r="19" spans="2:10">
      <c r="B19" s="364" t="s">
        <v>116</v>
      </c>
      <c r="C19" s="364"/>
      <c r="D19" s="364"/>
      <c r="E19" s="364"/>
      <c r="F19" s="364"/>
      <c r="G19" s="364"/>
      <c r="H19" s="364"/>
      <c r="I19" s="364"/>
      <c r="J19" s="364"/>
    </row>
    <row r="20" spans="2:10">
      <c r="B20" s="1177" t="s">
        <v>117</v>
      </c>
      <c r="C20" s="1176"/>
      <c r="D20" s="1176"/>
      <c r="E20" s="1176"/>
      <c r="F20" s="1176"/>
      <c r="G20" s="1176"/>
      <c r="H20" s="1176"/>
      <c r="I20" s="1176"/>
      <c r="J20" s="1176"/>
    </row>
    <row r="21" spans="2:10">
      <c r="B21" s="1168" t="s">
        <v>11</v>
      </c>
      <c r="C21" s="365" t="s">
        <v>98</v>
      </c>
      <c r="D21" s="1174" t="s">
        <v>118</v>
      </c>
      <c r="E21" s="1174" t="s">
        <v>119</v>
      </c>
      <c r="F21" s="365" t="s">
        <v>15</v>
      </c>
      <c r="G21" s="365" t="s">
        <v>92</v>
      </c>
      <c r="H21" s="1169"/>
      <c r="I21" s="1169"/>
      <c r="J21" s="1169"/>
    </row>
    <row r="22" spans="2:10">
      <c r="B22" s="1177" t="s">
        <v>120</v>
      </c>
      <c r="C22" s="1176"/>
      <c r="D22" s="1176"/>
      <c r="E22" s="1176"/>
      <c r="F22" s="1176"/>
      <c r="G22" s="1176"/>
      <c r="H22" s="1176"/>
      <c r="I22" s="1176"/>
      <c r="J22" s="1176"/>
    </row>
    <row r="23" spans="2:10">
      <c r="B23" s="1168" t="s">
        <v>11</v>
      </c>
      <c r="C23" s="365" t="s">
        <v>98</v>
      </c>
      <c r="D23" s="1174" t="s">
        <v>121</v>
      </c>
      <c r="E23" s="1174" t="s">
        <v>122</v>
      </c>
      <c r="F23" s="365" t="s">
        <v>15</v>
      </c>
      <c r="G23" s="365" t="s">
        <v>92</v>
      </c>
      <c r="H23" s="1169"/>
      <c r="I23" s="1169"/>
      <c r="J23" s="1169"/>
    </row>
    <row r="24" spans="2:10">
      <c r="B24" s="1177" t="s">
        <v>123</v>
      </c>
      <c r="C24" s="1176"/>
      <c r="D24" s="1176"/>
      <c r="E24" s="1176"/>
      <c r="F24" s="1176"/>
      <c r="G24" s="1176"/>
      <c r="H24" s="1176"/>
      <c r="I24" s="1176"/>
      <c r="J24" s="1176"/>
    </row>
    <row r="25" spans="2:10">
      <c r="B25" s="1168" t="s">
        <v>11</v>
      </c>
      <c r="C25" s="365" t="s">
        <v>98</v>
      </c>
      <c r="D25" s="1174" t="s">
        <v>124</v>
      </c>
      <c r="E25" s="1174" t="s">
        <v>125</v>
      </c>
      <c r="F25" s="365" t="s">
        <v>15</v>
      </c>
      <c r="G25" s="365" t="s">
        <v>92</v>
      </c>
      <c r="H25" s="1169"/>
      <c r="I25" s="1169"/>
      <c r="J25" s="1169"/>
    </row>
    <row r="26" spans="2:10">
      <c r="B26" s="1177" t="s">
        <v>126</v>
      </c>
      <c r="C26" s="1176"/>
      <c r="D26" s="1176"/>
      <c r="E26" s="1176"/>
      <c r="F26" s="1176"/>
      <c r="G26" s="1176"/>
      <c r="H26" s="1176"/>
      <c r="I26" s="1176"/>
      <c r="J26" s="1176"/>
    </row>
    <row r="27" spans="2:10">
      <c r="B27" s="1168" t="s">
        <v>11</v>
      </c>
      <c r="C27" s="365" t="s">
        <v>98</v>
      </c>
      <c r="D27" s="1174" t="s">
        <v>127</v>
      </c>
      <c r="E27" s="1174" t="s">
        <v>128</v>
      </c>
      <c r="F27" s="365" t="s">
        <v>15</v>
      </c>
      <c r="G27" s="365" t="s">
        <v>92</v>
      </c>
      <c r="H27" s="1169"/>
      <c r="I27" s="1169"/>
      <c r="J27" s="1169"/>
    </row>
    <row r="28" spans="2:10">
      <c r="B28" s="1168" t="s">
        <v>11</v>
      </c>
      <c r="C28" s="365" t="s">
        <v>98</v>
      </c>
      <c r="D28" s="1174" t="s">
        <v>129</v>
      </c>
      <c r="E28" s="1174" t="s">
        <v>130</v>
      </c>
      <c r="F28" s="365" t="s">
        <v>15</v>
      </c>
      <c r="G28" s="365" t="s">
        <v>92</v>
      </c>
      <c r="H28" s="1169"/>
      <c r="I28" s="1169"/>
      <c r="J28" s="1169"/>
    </row>
    <row r="29" spans="2:10">
      <c r="B29" s="1177" t="s">
        <v>131</v>
      </c>
      <c r="C29" s="1176"/>
      <c r="D29" s="1176"/>
      <c r="E29" s="1176"/>
      <c r="F29" s="1176"/>
      <c r="G29" s="1176"/>
      <c r="H29" s="1176"/>
      <c r="I29" s="1176"/>
      <c r="J29" s="1176"/>
    </row>
    <row r="30" spans="2:10">
      <c r="B30" s="1168" t="s">
        <v>11</v>
      </c>
      <c r="C30" s="365" t="s">
        <v>98</v>
      </c>
      <c r="D30" s="1174" t="s">
        <v>132</v>
      </c>
      <c r="E30" s="1174" t="s">
        <v>133</v>
      </c>
      <c r="F30" s="365" t="s">
        <v>15</v>
      </c>
      <c r="G30" s="365" t="s">
        <v>92</v>
      </c>
      <c r="H30" s="1169"/>
      <c r="I30" s="1169"/>
      <c r="J30" s="1169"/>
    </row>
    <row r="31" spans="2:10">
      <c r="B31" s="1177" t="s">
        <v>134</v>
      </c>
      <c r="C31" s="1176"/>
      <c r="D31" s="1176"/>
      <c r="E31" s="1176"/>
      <c r="F31" s="1176"/>
      <c r="G31" s="1176"/>
      <c r="H31" s="1176"/>
      <c r="I31" s="1176"/>
      <c r="J31" s="1176"/>
    </row>
    <row r="32" spans="2:10">
      <c r="B32" s="1168" t="s">
        <v>11</v>
      </c>
      <c r="C32" s="365" t="s">
        <v>98</v>
      </c>
      <c r="D32" s="1174" t="s">
        <v>135</v>
      </c>
      <c r="E32" s="1174" t="s">
        <v>136</v>
      </c>
      <c r="F32" s="365" t="s">
        <v>15</v>
      </c>
      <c r="G32" s="365" t="s">
        <v>92</v>
      </c>
      <c r="H32" s="1169"/>
      <c r="I32" s="1169"/>
      <c r="J32" s="1169"/>
    </row>
    <row r="33" spans="2:10">
      <c r="B33" s="1177" t="s">
        <v>137</v>
      </c>
      <c r="C33" s="1176"/>
      <c r="D33" s="1176"/>
      <c r="E33" s="1176"/>
      <c r="F33" s="1176"/>
      <c r="G33" s="1176"/>
      <c r="H33" s="1176"/>
      <c r="I33" s="1176"/>
      <c r="J33" s="1176"/>
    </row>
    <row r="34" spans="2:10">
      <c r="B34" s="1168" t="s">
        <v>11</v>
      </c>
      <c r="C34" s="365" t="s">
        <v>98</v>
      </c>
      <c r="D34" s="1174" t="s">
        <v>138</v>
      </c>
      <c r="E34" s="1174" t="s">
        <v>139</v>
      </c>
      <c r="F34" s="365" t="s">
        <v>15</v>
      </c>
      <c r="G34" s="365" t="s">
        <v>92</v>
      </c>
      <c r="H34" s="1169"/>
      <c r="I34" s="1169"/>
      <c r="J34" s="1169"/>
    </row>
    <row r="35" spans="2:10">
      <c r="B35" s="1177" t="s">
        <v>140</v>
      </c>
      <c r="C35" s="1176"/>
      <c r="D35" s="1176"/>
      <c r="E35" s="1176"/>
      <c r="F35" s="1176"/>
      <c r="G35" s="1176"/>
      <c r="H35" s="1176"/>
      <c r="I35" s="1176"/>
      <c r="J35" s="1176"/>
    </row>
    <row r="36" spans="2:10">
      <c r="B36" s="1168" t="s">
        <v>11</v>
      </c>
      <c r="C36" s="365" t="s">
        <v>98</v>
      </c>
      <c r="D36" s="1174" t="s">
        <v>141</v>
      </c>
      <c r="E36" s="1174" t="s">
        <v>142</v>
      </c>
      <c r="F36" s="365" t="s">
        <v>15</v>
      </c>
      <c r="G36" s="365" t="s">
        <v>92</v>
      </c>
      <c r="H36" s="1169"/>
      <c r="I36" s="1169"/>
      <c r="J36" s="1169"/>
    </row>
    <row r="37" spans="2:10">
      <c r="B37" s="1177" t="s">
        <v>143</v>
      </c>
      <c r="C37" s="1176"/>
      <c r="D37" s="1176"/>
      <c r="E37" s="1176"/>
      <c r="F37" s="1176"/>
      <c r="G37" s="1176"/>
      <c r="H37" s="1176"/>
      <c r="I37" s="1176"/>
      <c r="J37" s="1176"/>
    </row>
    <row r="38" spans="2:10">
      <c r="B38" s="1168" t="s">
        <v>144</v>
      </c>
      <c r="C38" s="365" t="s">
        <v>98</v>
      </c>
      <c r="D38" s="1174" t="s">
        <v>145</v>
      </c>
      <c r="E38" s="1174" t="s">
        <v>146</v>
      </c>
      <c r="F38" s="365" t="s">
        <v>15</v>
      </c>
      <c r="G38" s="365" t="s">
        <v>92</v>
      </c>
      <c r="H38" s="1169"/>
      <c r="I38" s="1169"/>
      <c r="J38" s="1169"/>
    </row>
    <row r="39" spans="2:10">
      <c r="B39" s="1168" t="s">
        <v>144</v>
      </c>
      <c r="C39" s="365" t="s">
        <v>98</v>
      </c>
      <c r="D39" s="1174" t="s">
        <v>147</v>
      </c>
      <c r="E39" s="1174" t="s">
        <v>148</v>
      </c>
      <c r="F39" s="365" t="s">
        <v>15</v>
      </c>
      <c r="G39" s="365" t="s">
        <v>92</v>
      </c>
      <c r="H39" s="1169"/>
      <c r="I39" s="1169"/>
      <c r="J39" s="1169"/>
    </row>
    <row r="40" spans="2:10" ht="15" thickBot="1">
      <c r="B40" s="1168" t="s">
        <v>144</v>
      </c>
      <c r="C40" s="365" t="s">
        <v>98</v>
      </c>
      <c r="D40" s="1174" t="s">
        <v>149</v>
      </c>
      <c r="E40" s="1174" t="s">
        <v>150</v>
      </c>
      <c r="F40" s="365" t="s">
        <v>15</v>
      </c>
      <c r="G40" s="365" t="s">
        <v>92</v>
      </c>
      <c r="H40" s="1169"/>
      <c r="I40" s="1169"/>
      <c r="J40" s="1169"/>
    </row>
    <row r="41" spans="2:10">
      <c r="B41" s="364" t="s">
        <v>151</v>
      </c>
      <c r="C41" s="364"/>
      <c r="D41" s="364"/>
      <c r="E41" s="364"/>
      <c r="F41" s="364"/>
      <c r="G41" s="364"/>
      <c r="H41" s="364"/>
      <c r="I41" s="364"/>
      <c r="J41" s="364"/>
    </row>
    <row r="42" spans="2:10">
      <c r="B42" s="1177" t="s">
        <v>152</v>
      </c>
      <c r="C42" s="1176"/>
      <c r="D42" s="1176"/>
      <c r="E42" s="1176"/>
      <c r="F42" s="1176"/>
      <c r="G42" s="1176"/>
      <c r="H42" s="1176"/>
      <c r="I42" s="1176"/>
      <c r="J42" s="1176"/>
    </row>
    <row r="43" spans="2:10">
      <c r="B43" s="1168" t="s">
        <v>11</v>
      </c>
      <c r="C43" s="365" t="s">
        <v>98</v>
      </c>
      <c r="D43" s="1174" t="s">
        <v>153</v>
      </c>
      <c r="E43" s="1174" t="s">
        <v>154</v>
      </c>
      <c r="F43" s="365" t="s">
        <v>15</v>
      </c>
      <c r="G43" s="365" t="s">
        <v>92</v>
      </c>
      <c r="H43" s="1169"/>
      <c r="I43" s="1169"/>
      <c r="J43" s="1169"/>
    </row>
    <row r="44" spans="2:10">
      <c r="B44" s="1168" t="s">
        <v>11</v>
      </c>
      <c r="C44" s="365" t="s">
        <v>98</v>
      </c>
      <c r="D44" s="1174" t="s">
        <v>155</v>
      </c>
      <c r="E44" s="1174" t="s">
        <v>156</v>
      </c>
      <c r="F44" s="365" t="s">
        <v>15</v>
      </c>
      <c r="G44" s="365" t="s">
        <v>92</v>
      </c>
      <c r="H44" s="1169"/>
      <c r="I44" s="1169"/>
      <c r="J44" s="1169"/>
    </row>
    <row r="45" spans="2:10">
      <c r="B45" s="1168" t="s">
        <v>11</v>
      </c>
      <c r="C45" s="365" t="s">
        <v>98</v>
      </c>
      <c r="D45" s="1174" t="s">
        <v>157</v>
      </c>
      <c r="E45" s="1174" t="s">
        <v>158</v>
      </c>
      <c r="F45" s="365" t="s">
        <v>15</v>
      </c>
      <c r="G45" s="365" t="s">
        <v>92</v>
      </c>
      <c r="H45" s="1169"/>
      <c r="I45" s="1169"/>
      <c r="J45" s="1169"/>
    </row>
    <row r="46" spans="2:10">
      <c r="B46" s="1245" t="s">
        <v>159</v>
      </c>
      <c r="C46" s="1246" t="s">
        <v>98</v>
      </c>
      <c r="D46" s="1247" t="s">
        <v>160</v>
      </c>
      <c r="E46" s="1247" t="s">
        <v>161</v>
      </c>
      <c r="F46" s="1246" t="s">
        <v>15</v>
      </c>
      <c r="G46" s="1246" t="s">
        <v>92</v>
      </c>
      <c r="H46" s="1246"/>
      <c r="I46" s="1246"/>
      <c r="J46" s="1246"/>
    </row>
    <row r="47" spans="2:10">
      <c r="B47" s="1168" t="s">
        <v>11</v>
      </c>
      <c r="C47" s="365" t="s">
        <v>98</v>
      </c>
      <c r="D47" s="1174" t="s">
        <v>162</v>
      </c>
      <c r="E47" s="1174" t="s">
        <v>163</v>
      </c>
      <c r="F47" s="365" t="s">
        <v>15</v>
      </c>
      <c r="G47" s="365" t="s">
        <v>92</v>
      </c>
      <c r="H47" s="1169"/>
      <c r="I47" s="1169"/>
      <c r="J47" s="1169"/>
    </row>
    <row r="48" spans="2:10">
      <c r="B48" s="1168" t="s">
        <v>11</v>
      </c>
      <c r="C48" s="365" t="s">
        <v>98</v>
      </c>
      <c r="D48" s="1174" t="s">
        <v>164</v>
      </c>
      <c r="E48" s="1174" t="s">
        <v>165</v>
      </c>
      <c r="F48" s="365" t="s">
        <v>15</v>
      </c>
      <c r="G48" s="365" t="s">
        <v>92</v>
      </c>
      <c r="H48" s="1169"/>
      <c r="I48" s="1169"/>
      <c r="J48" s="1169"/>
    </row>
    <row r="49" spans="2:10">
      <c r="B49" s="1168" t="s">
        <v>11</v>
      </c>
      <c r="C49" s="365" t="s">
        <v>98</v>
      </c>
      <c r="D49" s="1174" t="s">
        <v>166</v>
      </c>
      <c r="E49" s="1174" t="s">
        <v>167</v>
      </c>
      <c r="F49" s="365" t="s">
        <v>15</v>
      </c>
      <c r="G49" s="365" t="s">
        <v>92</v>
      </c>
      <c r="H49" s="1169"/>
      <c r="I49" s="1169"/>
      <c r="J49" s="1169"/>
    </row>
    <row r="50" spans="2:10">
      <c r="B50" s="1177" t="s">
        <v>168</v>
      </c>
      <c r="C50" s="1176"/>
      <c r="D50" s="1176"/>
      <c r="E50" s="1176"/>
      <c r="F50" s="1176"/>
      <c r="G50" s="1176"/>
      <c r="H50" s="1176"/>
      <c r="I50" s="1176"/>
      <c r="J50" s="1176"/>
    </row>
    <row r="51" spans="2:10">
      <c r="B51" s="1245" t="s">
        <v>159</v>
      </c>
      <c r="C51" s="1246" t="s">
        <v>98</v>
      </c>
      <c r="D51" s="1247" t="s">
        <v>169</v>
      </c>
      <c r="E51" s="1247" t="s">
        <v>170</v>
      </c>
      <c r="F51" s="1246" t="s">
        <v>15</v>
      </c>
      <c r="G51" s="1246" t="s">
        <v>92</v>
      </c>
      <c r="H51" s="1246"/>
      <c r="I51" s="1246"/>
      <c r="J51" s="1246"/>
    </row>
    <row r="52" spans="2:10" ht="15" thickBot="1">
      <c r="B52" s="1245" t="s">
        <v>159</v>
      </c>
      <c r="C52" s="1246" t="s">
        <v>98</v>
      </c>
      <c r="D52" s="1247" t="s">
        <v>171</v>
      </c>
      <c r="E52" s="1247" t="s">
        <v>172</v>
      </c>
      <c r="F52" s="1246" t="s">
        <v>15</v>
      </c>
      <c r="G52" s="1246" t="s">
        <v>92</v>
      </c>
      <c r="H52" s="1246"/>
      <c r="I52" s="1246"/>
      <c r="J52" s="1246"/>
    </row>
    <row r="53" spans="2:10">
      <c r="B53" s="364" t="s">
        <v>173</v>
      </c>
      <c r="C53" s="364"/>
      <c r="D53" s="364"/>
      <c r="E53" s="364"/>
      <c r="F53" s="364"/>
      <c r="G53" s="364"/>
      <c r="H53" s="364"/>
      <c r="I53" s="364"/>
      <c r="J53" s="364"/>
    </row>
    <row r="54" spans="2:10">
      <c r="B54" s="1177" t="s">
        <v>174</v>
      </c>
      <c r="C54" s="1176"/>
      <c r="D54" s="1176"/>
      <c r="E54" s="1176"/>
      <c r="F54" s="1176"/>
      <c r="G54" s="1176"/>
      <c r="H54" s="1176"/>
      <c r="I54" s="1176"/>
      <c r="J54" s="1176"/>
    </row>
    <row r="55" spans="2:10">
      <c r="B55" s="1168" t="s">
        <v>11</v>
      </c>
      <c r="C55" s="365" t="s">
        <v>98</v>
      </c>
      <c r="D55" s="1174" t="s">
        <v>175</v>
      </c>
      <c r="E55" s="1174" t="s">
        <v>176</v>
      </c>
      <c r="F55" s="365" t="s">
        <v>15</v>
      </c>
      <c r="G55" s="365" t="s">
        <v>92</v>
      </c>
      <c r="H55" s="1169"/>
      <c r="I55" s="1169"/>
      <c r="J55" s="1169"/>
    </row>
    <row r="56" spans="2:10">
      <c r="B56" s="1177" t="s">
        <v>177</v>
      </c>
      <c r="C56" s="1176"/>
      <c r="D56" s="1176"/>
      <c r="E56" s="1176"/>
      <c r="F56" s="1176"/>
      <c r="G56" s="1176"/>
      <c r="H56" s="1176"/>
      <c r="I56" s="1176"/>
      <c r="J56" s="1176"/>
    </row>
    <row r="57" spans="2:10">
      <c r="B57" s="1168" t="s">
        <v>11</v>
      </c>
      <c r="C57" s="365" t="s">
        <v>98</v>
      </c>
      <c r="D57" s="1174" t="s">
        <v>178</v>
      </c>
      <c r="E57" s="1174" t="s">
        <v>179</v>
      </c>
      <c r="F57" s="365" t="s">
        <v>15</v>
      </c>
      <c r="G57" s="365" t="s">
        <v>92</v>
      </c>
      <c r="H57" s="1169"/>
      <c r="I57" s="1169"/>
      <c r="J57" s="1169"/>
    </row>
    <row r="58" spans="2:10">
      <c r="B58" s="1177" t="s">
        <v>180</v>
      </c>
      <c r="C58" s="1176"/>
      <c r="D58" s="1176"/>
      <c r="E58" s="1176"/>
      <c r="F58" s="1176"/>
      <c r="G58" s="1176"/>
      <c r="H58" s="1176"/>
      <c r="I58" s="1176"/>
      <c r="J58" s="1176"/>
    </row>
    <row r="59" spans="2:10">
      <c r="B59" s="1168" t="s">
        <v>11</v>
      </c>
      <c r="C59" s="365" t="s">
        <v>98</v>
      </c>
      <c r="D59" s="1174" t="s">
        <v>181</v>
      </c>
      <c r="E59" s="1174" t="s">
        <v>182</v>
      </c>
      <c r="F59" s="365" t="s">
        <v>15</v>
      </c>
      <c r="G59" s="365" t="s">
        <v>92</v>
      </c>
      <c r="H59" s="1169"/>
      <c r="I59" s="1169"/>
      <c r="J59" s="1169"/>
    </row>
    <row r="60" spans="2:10">
      <c r="B60" s="1177" t="s">
        <v>183</v>
      </c>
      <c r="C60" s="1176"/>
      <c r="D60" s="1176"/>
      <c r="E60" s="1176"/>
      <c r="F60" s="1176"/>
      <c r="G60" s="1176"/>
      <c r="H60" s="1176"/>
      <c r="I60" s="1176"/>
      <c r="J60" s="1176"/>
    </row>
    <row r="61" spans="2:10">
      <c r="B61" s="1168" t="s">
        <v>11</v>
      </c>
      <c r="C61" s="365" t="s">
        <v>98</v>
      </c>
      <c r="D61" s="1174" t="s">
        <v>184</v>
      </c>
      <c r="E61" s="1174" t="s">
        <v>185</v>
      </c>
      <c r="F61" s="365" t="s">
        <v>15</v>
      </c>
      <c r="G61" s="365" t="s">
        <v>92</v>
      </c>
      <c r="H61" s="1169"/>
      <c r="I61" s="1169"/>
      <c r="J61" s="1169"/>
    </row>
    <row r="62" spans="2:10">
      <c r="B62" s="1177" t="s">
        <v>186</v>
      </c>
      <c r="C62" s="1176"/>
      <c r="D62" s="1176"/>
      <c r="E62" s="1176"/>
      <c r="F62" s="1176"/>
      <c r="G62" s="1176"/>
      <c r="H62" s="1176"/>
      <c r="I62" s="1176"/>
      <c r="J62" s="1176"/>
    </row>
    <row r="63" spans="2:10">
      <c r="B63" s="1245" t="s">
        <v>159</v>
      </c>
      <c r="C63" s="1246" t="s">
        <v>98</v>
      </c>
      <c r="D63" s="1247" t="s">
        <v>187</v>
      </c>
      <c r="E63" s="1247" t="s">
        <v>188</v>
      </c>
      <c r="F63" s="1246" t="s">
        <v>15</v>
      </c>
      <c r="G63" s="1246" t="s">
        <v>92</v>
      </c>
      <c r="H63" s="1246"/>
      <c r="I63" s="1246"/>
      <c r="J63" s="1246"/>
    </row>
    <row r="64" spans="2:10">
      <c r="B64" s="1177" t="s">
        <v>189</v>
      </c>
      <c r="C64" s="1176"/>
      <c r="D64" s="1176"/>
      <c r="E64" s="1176"/>
      <c r="F64" s="1176"/>
      <c r="G64" s="1176"/>
      <c r="H64" s="1176"/>
      <c r="I64" s="1176"/>
      <c r="J64" s="1176"/>
    </row>
    <row r="65" spans="2:10">
      <c r="B65" s="1168" t="s">
        <v>144</v>
      </c>
      <c r="C65" s="365" t="s">
        <v>98</v>
      </c>
      <c r="D65" s="1174" t="s">
        <v>190</v>
      </c>
      <c r="E65" s="1174" t="s">
        <v>191</v>
      </c>
      <c r="F65" s="365" t="s">
        <v>15</v>
      </c>
      <c r="G65" s="365" t="s">
        <v>92</v>
      </c>
      <c r="H65" s="1169"/>
      <c r="I65" s="1169"/>
      <c r="J65" s="1169"/>
    </row>
    <row r="66" spans="2:10">
      <c r="B66" s="1168" t="s">
        <v>144</v>
      </c>
      <c r="C66" s="365" t="s">
        <v>98</v>
      </c>
      <c r="D66" s="1174" t="s">
        <v>192</v>
      </c>
      <c r="E66" s="1174" t="s">
        <v>193</v>
      </c>
      <c r="F66" s="365" t="s">
        <v>15</v>
      </c>
      <c r="G66" s="365" t="s">
        <v>92</v>
      </c>
      <c r="H66" s="1169"/>
      <c r="I66" s="1169"/>
      <c r="J66" s="1169"/>
    </row>
    <row r="67" spans="2:10" ht="15" thickBot="1">
      <c r="B67" s="1168" t="s">
        <v>144</v>
      </c>
      <c r="C67" s="365" t="s">
        <v>98</v>
      </c>
      <c r="D67" s="1174" t="s">
        <v>194</v>
      </c>
      <c r="E67" s="1174" t="s">
        <v>195</v>
      </c>
      <c r="F67" s="365" t="s">
        <v>15</v>
      </c>
      <c r="G67" s="365" t="s">
        <v>92</v>
      </c>
      <c r="H67" s="1169"/>
      <c r="I67" s="1169"/>
      <c r="J67" s="1169"/>
    </row>
    <row r="68" spans="2:10">
      <c r="B68" s="364" t="s">
        <v>196</v>
      </c>
      <c r="C68" s="364"/>
      <c r="D68" s="364"/>
      <c r="E68" s="364"/>
      <c r="F68" s="364"/>
      <c r="G68" s="364"/>
      <c r="H68" s="364"/>
      <c r="I68" s="364"/>
      <c r="J68" s="364"/>
    </row>
    <row r="69" spans="2:10">
      <c r="B69" s="1168" t="s">
        <v>11</v>
      </c>
      <c r="C69" s="365" t="s">
        <v>98</v>
      </c>
      <c r="D69" s="1174" t="s">
        <v>197</v>
      </c>
      <c r="E69" s="1174" t="s">
        <v>198</v>
      </c>
      <c r="F69" s="365" t="s">
        <v>15</v>
      </c>
      <c r="G69" s="365" t="s">
        <v>92</v>
      </c>
      <c r="H69" s="1169"/>
      <c r="I69" s="1169"/>
      <c r="J69" s="1169"/>
    </row>
    <row r="70" spans="2:10">
      <c r="B70" s="1168" t="s">
        <v>11</v>
      </c>
      <c r="C70" s="365" t="s">
        <v>98</v>
      </c>
      <c r="D70" s="1174" t="s">
        <v>199</v>
      </c>
      <c r="E70" s="1174" t="s">
        <v>200</v>
      </c>
      <c r="F70" s="365" t="s">
        <v>15</v>
      </c>
      <c r="G70" s="365" t="s">
        <v>92</v>
      </c>
      <c r="H70" s="1169"/>
      <c r="I70" s="1169"/>
      <c r="J70" s="1169"/>
    </row>
    <row r="71" spans="2:10">
      <c r="B71" s="1168" t="s">
        <v>11</v>
      </c>
      <c r="C71" s="365" t="s">
        <v>98</v>
      </c>
      <c r="D71" s="1174" t="s">
        <v>201</v>
      </c>
      <c r="E71" s="1174" t="s">
        <v>202</v>
      </c>
      <c r="F71" s="365" t="s">
        <v>15</v>
      </c>
      <c r="G71" s="365" t="s">
        <v>92</v>
      </c>
      <c r="H71" s="1169"/>
      <c r="I71" s="1169"/>
      <c r="J71" s="1169"/>
    </row>
    <row r="72" spans="2:10">
      <c r="B72" s="1168" t="s">
        <v>11</v>
      </c>
      <c r="C72" s="365" t="s">
        <v>98</v>
      </c>
      <c r="D72" s="1174" t="s">
        <v>203</v>
      </c>
      <c r="E72" s="1174" t="s">
        <v>204</v>
      </c>
      <c r="F72" s="365" t="s">
        <v>15</v>
      </c>
      <c r="G72" s="365" t="s">
        <v>92</v>
      </c>
      <c r="H72" s="1169"/>
      <c r="I72" s="1169"/>
      <c r="J72" s="1169"/>
    </row>
    <row r="73" spans="2:10">
      <c r="B73" s="1168" t="s">
        <v>11</v>
      </c>
      <c r="C73" s="365" t="s">
        <v>98</v>
      </c>
      <c r="D73" s="1174" t="s">
        <v>205</v>
      </c>
      <c r="E73" s="1174" t="s">
        <v>206</v>
      </c>
      <c r="F73" s="365" t="s">
        <v>15</v>
      </c>
      <c r="G73" s="365" t="s">
        <v>92</v>
      </c>
      <c r="H73" s="1169"/>
      <c r="I73" s="1169"/>
      <c r="J73" s="1169"/>
    </row>
    <row r="74" spans="2:10">
      <c r="B74" s="1168" t="s">
        <v>11</v>
      </c>
      <c r="C74" s="365" t="s">
        <v>98</v>
      </c>
      <c r="D74" s="1174" t="s">
        <v>207</v>
      </c>
      <c r="E74" s="1174" t="s">
        <v>208</v>
      </c>
      <c r="F74" s="365" t="s">
        <v>15</v>
      </c>
      <c r="G74" s="365" t="s">
        <v>92</v>
      </c>
      <c r="H74" s="1169"/>
      <c r="I74" s="1169"/>
      <c r="J74" s="1169"/>
    </row>
    <row r="75" spans="2:10">
      <c r="B75" s="1168" t="s">
        <v>11</v>
      </c>
      <c r="C75" s="365" t="s">
        <v>98</v>
      </c>
      <c r="D75" s="1174" t="s">
        <v>209</v>
      </c>
      <c r="E75" s="1174" t="s">
        <v>210</v>
      </c>
      <c r="F75" s="365" t="s">
        <v>15</v>
      </c>
      <c r="G75" s="365" t="s">
        <v>92</v>
      </c>
      <c r="H75" s="1169"/>
      <c r="I75" s="1169"/>
      <c r="J75" s="1169"/>
    </row>
    <row r="76" spans="2:10">
      <c r="B76" s="1168" t="s">
        <v>11</v>
      </c>
      <c r="C76" s="365" t="s">
        <v>98</v>
      </c>
      <c r="D76" s="1174" t="s">
        <v>211</v>
      </c>
      <c r="E76" s="1174" t="s">
        <v>212</v>
      </c>
      <c r="F76" s="365" t="s">
        <v>15</v>
      </c>
      <c r="G76" s="365" t="s">
        <v>92</v>
      </c>
      <c r="H76" s="1169"/>
      <c r="I76" s="1169"/>
      <c r="J76" s="1169"/>
    </row>
    <row r="77" spans="2:10">
      <c r="B77" s="1168" t="s">
        <v>11</v>
      </c>
      <c r="C77" s="365" t="s">
        <v>98</v>
      </c>
      <c r="D77" s="1174" t="s">
        <v>213</v>
      </c>
      <c r="E77" s="1174" t="s">
        <v>214</v>
      </c>
      <c r="F77" s="365" t="s">
        <v>15</v>
      </c>
      <c r="G77" s="365" t="s">
        <v>92</v>
      </c>
      <c r="H77" s="1169"/>
      <c r="I77" s="1169"/>
      <c r="J77" s="1169"/>
    </row>
    <row r="78" spans="2:10">
      <c r="B78" s="1168" t="s">
        <v>11</v>
      </c>
      <c r="C78" s="365" t="s">
        <v>98</v>
      </c>
      <c r="D78" s="1174" t="s">
        <v>215</v>
      </c>
      <c r="E78" s="1174" t="s">
        <v>216</v>
      </c>
      <c r="F78" s="365" t="s">
        <v>15</v>
      </c>
      <c r="G78" s="365" t="s">
        <v>92</v>
      </c>
      <c r="H78" s="1169"/>
      <c r="I78" s="1169"/>
      <c r="J78" s="1169"/>
    </row>
    <row r="79" spans="2:10" ht="15" thickBot="1">
      <c r="B79" s="1168" t="s">
        <v>11</v>
      </c>
      <c r="C79" s="365" t="s">
        <v>98</v>
      </c>
      <c r="D79" s="1174" t="s">
        <v>217</v>
      </c>
      <c r="E79" s="1174" t="s">
        <v>218</v>
      </c>
      <c r="F79" s="365" t="s">
        <v>15</v>
      </c>
      <c r="G79" s="365" t="s">
        <v>92</v>
      </c>
      <c r="H79" s="1169"/>
      <c r="I79" s="1169"/>
      <c r="J79" s="1169"/>
    </row>
    <row r="80" spans="2:10">
      <c r="B80" s="364" t="s">
        <v>219</v>
      </c>
      <c r="C80" s="364"/>
      <c r="D80" s="364"/>
      <c r="E80" s="364"/>
      <c r="F80" s="364"/>
      <c r="G80" s="364"/>
      <c r="H80" s="364"/>
      <c r="I80" s="364"/>
      <c r="J80" s="364"/>
    </row>
    <row r="81" spans="2:10">
      <c r="B81" s="1168" t="s">
        <v>11</v>
      </c>
      <c r="C81" s="365" t="s">
        <v>98</v>
      </c>
      <c r="D81" s="1174" t="s">
        <v>220</v>
      </c>
      <c r="E81" s="1174" t="s">
        <v>221</v>
      </c>
      <c r="F81" s="365" t="s">
        <v>15</v>
      </c>
      <c r="G81" s="365" t="s">
        <v>92</v>
      </c>
      <c r="H81" s="1169"/>
      <c r="I81" s="1169"/>
      <c r="J81" s="1169"/>
    </row>
    <row r="82" spans="2:10">
      <c r="B82" s="1168" t="s">
        <v>11</v>
      </c>
      <c r="C82" s="365" t="s">
        <v>98</v>
      </c>
      <c r="D82" s="1174" t="s">
        <v>222</v>
      </c>
      <c r="E82" s="1174" t="s">
        <v>223</v>
      </c>
      <c r="F82" s="365" t="s">
        <v>15</v>
      </c>
      <c r="G82" s="365" t="s">
        <v>92</v>
      </c>
      <c r="H82" s="1169"/>
      <c r="I82" s="1169"/>
      <c r="J82" s="1169"/>
    </row>
    <row r="83" spans="2:10">
      <c r="B83" s="1168" t="s">
        <v>11</v>
      </c>
      <c r="C83" s="365" t="s">
        <v>98</v>
      </c>
      <c r="D83" s="1174" t="s">
        <v>224</v>
      </c>
      <c r="E83" s="1174" t="s">
        <v>225</v>
      </c>
      <c r="F83" s="365" t="s">
        <v>15</v>
      </c>
      <c r="G83" s="365" t="s">
        <v>92</v>
      </c>
      <c r="H83" s="1169"/>
      <c r="I83" s="1169"/>
      <c r="J83" s="1169"/>
    </row>
    <row r="84" spans="2:10">
      <c r="B84" s="1168" t="s">
        <v>11</v>
      </c>
      <c r="C84" s="365" t="s">
        <v>98</v>
      </c>
      <c r="D84" s="1174" t="s">
        <v>226</v>
      </c>
      <c r="E84" s="1174" t="s">
        <v>227</v>
      </c>
      <c r="F84" s="365" t="s">
        <v>15</v>
      </c>
      <c r="G84" s="365" t="s">
        <v>92</v>
      </c>
      <c r="H84" s="1169"/>
      <c r="I84" s="1169"/>
      <c r="J84" s="1169"/>
    </row>
  </sheetData>
  <dataValidations count="9">
    <dataValidation allowBlank="1" showInputMessage="1" showErrorMessage="1" prompt="Define demand technology options." sqref="B3" xr:uid="{8A21602E-79FA-48E4-938E-25E14969A6B5}"/>
    <dataValidation allowBlank="1" showInputMessage="1" showErrorMessage="1" prompt="Capacity Unit" sqref="G4" xr:uid="{B5B45F87-49C2-4FF7-9837-0227E4CB5AF5}"/>
    <dataValidation allowBlank="1" showInputMessage="1" showErrorMessage="1" prompt="Activity Unit" sqref="F4" xr:uid="{7A92CF08-5C61-4B38-9F7C-C3DF6543F23E}"/>
    <dataValidation allowBlank="1" showInputMessage="1" showErrorMessage="1" prompt="Technology Description" sqref="E4" xr:uid="{4C4FC093-92F2-4F82-8BD3-5449E90B6D58}"/>
    <dataValidation allowBlank="1" showInputMessage="1" showErrorMessage="1" prompt="Technology Name" sqref="D4" xr:uid="{AA144286-D7F5-4D10-9868-F6F23DC822D3}"/>
    <dataValidation allowBlank="1" showInputMessage="1" showErrorMessage="1" promptTitle="Process Set Membership" prompt="Set declarations are inherited._x000a_ELE (Thermal Electric Power Plant)_x000a_CHP (Combined Heat &amp; Power)_x000a_PRE (Generic)_x000a_STGTSS (Pump Storage)_x000a_STGIPS (Pump Storage IP)_x000a_DMD (Demand Device)_x000a_IMP (Import)_x000a_EXP (Export)_x000a_MIN (Mining)_x000a_RNW (Renewable Tech)_x000a_HPL (Heating Plant)" sqref="C4" xr:uid="{A67FAF76-A68B-425D-821F-DABFA700A74C}"/>
    <dataValidation allowBlank="1" showInputMessage="1" showErrorMessage="1" promptTitle="Vintage Tracking" prompt="NO (default)_x000a_YES" sqref="I4" xr:uid="{8AA7B7AC-2049-417E-91F6-20434B8D90E9}"/>
    <dataValidation allowBlank="1" showInputMessage="1" showErrorMessage="1" promptTitle="Primary Commodity Group" prompt="Needed only when one wants to override the VEDA default assignment." sqref="H4" xr:uid="{2D9C287F-ADBD-4F99-8C37-106D6FE94F7A}"/>
    <dataValidation allowBlank="1" showInputMessage="1" showErrorMessage="1" promptTitle="Timeslice level" prompt="ANNUAL (def: all others)_x000a_SEASON (def: CHP, HPL)_x000a_WEEKLY_x000a_DAYNITE (def: ELE, STGSS, STGIPS)" sqref="J4" xr:uid="{342B0424-C8D1-43BC-81D0-8C55810A2A03}"/>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59D7-2CA3-456E-A61C-A0BBB98C7F91}">
  <sheetPr>
    <tabColor theme="7"/>
  </sheetPr>
  <dimension ref="B2:AD19"/>
  <sheetViews>
    <sheetView showGridLines="0" workbookViewId="0">
      <selection activeCell="G18" sqref="G18"/>
    </sheetView>
  </sheetViews>
  <sheetFormatPr defaultColWidth="9" defaultRowHeight="14.45"/>
  <cols>
    <col min="1" max="1" width="3.625" style="366" customWidth="1"/>
    <col min="2" max="2" width="14.125" style="366" customWidth="1"/>
    <col min="3" max="3" width="10.5" style="366" bestFit="1" customWidth="1"/>
    <col min="4" max="4" width="19.625" style="366" bestFit="1" customWidth="1"/>
    <col min="5" max="5" width="25.875" style="366" bestFit="1" customWidth="1"/>
    <col min="6" max="6" width="9.375" style="366" bestFit="1" customWidth="1"/>
    <col min="7" max="17" width="14" style="366" customWidth="1"/>
    <col min="18" max="18" width="10.875" style="366" bestFit="1" customWidth="1"/>
    <col min="19" max="19" width="12.75" style="366" bestFit="1" customWidth="1"/>
    <col min="20" max="20" width="12.625" style="366" bestFit="1" customWidth="1"/>
    <col min="21" max="21" width="10.125" style="366" bestFit="1" customWidth="1"/>
    <col min="22" max="22" width="9.875" style="366" bestFit="1" customWidth="1"/>
    <col min="23" max="23" width="13.25" style="366" bestFit="1" customWidth="1"/>
    <col min="24" max="24" width="13.125" style="366" bestFit="1" customWidth="1"/>
    <col min="25" max="25" width="10.5" style="366" bestFit="1" customWidth="1"/>
    <col min="26" max="26" width="10.25" style="366" bestFit="1" customWidth="1"/>
    <col min="27" max="27" width="14.125" style="366" bestFit="1" customWidth="1"/>
    <col min="28" max="28" width="14" style="366" bestFit="1" customWidth="1"/>
    <col min="29" max="29" width="11.375" style="366" bestFit="1" customWidth="1"/>
    <col min="30" max="30" width="11.125" style="366" bestFit="1" customWidth="1"/>
    <col min="31" max="16384" width="9" style="366"/>
  </cols>
  <sheetData>
    <row r="2" spans="2:30" s="1199" customFormat="1">
      <c r="B2" s="372" t="s">
        <v>228</v>
      </c>
      <c r="F2" s="1196" t="s">
        <v>229</v>
      </c>
      <c r="G2" s="1196">
        <f>_xlfn.NUMBERVALUE(RIGHT(G5,4))</f>
        <v>2010</v>
      </c>
      <c r="H2" s="1196">
        <f t="shared" ref="H2:Q2" si="0">_xlfn.NUMBERVALUE(RIGHT(H5,4))</f>
        <v>2015</v>
      </c>
      <c r="I2" s="1196">
        <f t="shared" si="0"/>
        <v>2020</v>
      </c>
      <c r="J2" s="1196">
        <f t="shared" si="0"/>
        <v>2023</v>
      </c>
      <c r="K2" s="1196">
        <f t="shared" si="0"/>
        <v>2025</v>
      </c>
      <c r="L2" s="1196">
        <f t="shared" si="0"/>
        <v>2030</v>
      </c>
      <c r="M2" s="1196">
        <f t="shared" si="0"/>
        <v>2035</v>
      </c>
      <c r="N2" s="1196">
        <f t="shared" si="0"/>
        <v>2040</v>
      </c>
      <c r="O2" s="1196">
        <f t="shared" si="0"/>
        <v>2045</v>
      </c>
      <c r="P2" s="1196">
        <f t="shared" si="0"/>
        <v>2050</v>
      </c>
      <c r="Q2" s="1196">
        <f t="shared" si="0"/>
        <v>2055</v>
      </c>
      <c r="R2" s="1196"/>
    </row>
    <row r="3" spans="2:30">
      <c r="B3" s="1197" t="s">
        <v>230</v>
      </c>
      <c r="S3" s="1200" t="s">
        <v>231</v>
      </c>
    </row>
    <row r="4" spans="2:30">
      <c r="C4" s="1198"/>
      <c r="D4" s="1198"/>
      <c r="E4" s="1198"/>
      <c r="F4" s="1198"/>
      <c r="G4" s="378" t="s">
        <v>232</v>
      </c>
      <c r="H4" s="1198"/>
      <c r="I4" s="1198"/>
      <c r="J4" s="1198"/>
      <c r="K4" s="1198"/>
      <c r="L4" s="1198"/>
      <c r="M4" s="1198"/>
      <c r="N4" s="1198"/>
      <c r="O4" s="1198"/>
      <c r="P4" s="1198"/>
      <c r="Q4" s="1198"/>
      <c r="R4" s="1198"/>
      <c r="S4" s="1198"/>
      <c r="T4" s="1198"/>
      <c r="U4" s="1198"/>
      <c r="V4" s="1198"/>
      <c r="W4" s="1198"/>
      <c r="X4" s="1198"/>
      <c r="Y4" s="1198"/>
      <c r="Z4" s="1198"/>
      <c r="AA4" s="1198"/>
      <c r="AB4" s="1198"/>
      <c r="AC4" s="1198"/>
      <c r="AD4" s="1198"/>
    </row>
    <row r="5" spans="2:30" ht="15" thickBot="1">
      <c r="B5" s="1170" t="s">
        <v>1</v>
      </c>
      <c r="C5" s="1170" t="s">
        <v>3</v>
      </c>
      <c r="D5" s="1170" t="s">
        <v>233</v>
      </c>
      <c r="E5" s="1170" t="s">
        <v>234</v>
      </c>
      <c r="F5" s="1170" t="s">
        <v>235</v>
      </c>
      <c r="G5" s="1170" t="s">
        <v>236</v>
      </c>
      <c r="H5" s="1170" t="s">
        <v>237</v>
      </c>
      <c r="I5" s="1170" t="s">
        <v>238</v>
      </c>
      <c r="J5" s="1170" t="s">
        <v>239</v>
      </c>
      <c r="K5" s="1170" t="s">
        <v>240</v>
      </c>
      <c r="L5" s="1170" t="s">
        <v>241</v>
      </c>
      <c r="M5" s="1170" t="s">
        <v>242</v>
      </c>
      <c r="N5" s="1170" t="s">
        <v>243</v>
      </c>
      <c r="O5" s="1170" t="s">
        <v>244</v>
      </c>
      <c r="P5" s="1170" t="s">
        <v>245</v>
      </c>
      <c r="Q5" s="1170" t="s">
        <v>246</v>
      </c>
      <c r="R5" s="1244" t="s">
        <v>247</v>
      </c>
      <c r="S5" s="1170" t="s">
        <v>248</v>
      </c>
      <c r="T5" s="1170" t="s">
        <v>249</v>
      </c>
      <c r="U5" s="1170" t="s">
        <v>250</v>
      </c>
      <c r="V5" s="1170" t="s">
        <v>251</v>
      </c>
      <c r="W5" s="1170" t="s">
        <v>252</v>
      </c>
      <c r="X5" s="1170" t="s">
        <v>253</v>
      </c>
      <c r="Y5" s="1170" t="s">
        <v>254</v>
      </c>
      <c r="Z5" s="1170" t="s">
        <v>255</v>
      </c>
      <c r="AA5" s="1170" t="s">
        <v>256</v>
      </c>
      <c r="AB5" s="1170" t="s">
        <v>257</v>
      </c>
      <c r="AC5" s="1170" t="s">
        <v>258</v>
      </c>
      <c r="AD5" s="1170" t="s">
        <v>259</v>
      </c>
    </row>
    <row r="6" spans="2:30">
      <c r="B6" s="1168" t="s">
        <v>11</v>
      </c>
      <c r="C6" s="1168" t="s">
        <v>13</v>
      </c>
      <c r="D6" s="1168" t="s">
        <v>260</v>
      </c>
      <c r="E6" s="1168" t="s">
        <v>14</v>
      </c>
      <c r="F6" s="1168" t="s">
        <v>15</v>
      </c>
      <c r="G6" s="1171">
        <f ca="1">IF(G$2&lt;YEAR(TODAY()),SUMIF(DemandPJ_historic[Year],CommDemand!G$2,_xlfn.XLOOKUP(CommDemand!$D6,DemandPJ_historic[#Headers],DemandPJ_historic[])),
SUMIF(DemandPJ_projection[Year],CommDemand!G$2,_xlfn.XLOOKUP(CommDemand!$D6,DemandPJ_projection[#Headers],DemandPJ_projection[])))/5</f>
        <v>6.0169066038227283</v>
      </c>
      <c r="H6" s="1171">
        <f ca="1">IF(H$2&lt;YEAR(TODAY()),SUMIF(DemandPJ_historic[Year],CommDemand!H$2,_xlfn.XLOOKUP(CommDemand!$D6,DemandPJ_historic[#Headers],DemandPJ_historic[])),
SUMIF(DemandPJ_projection[Year],CommDemand!H$2,_xlfn.XLOOKUP(CommDemand!$D6,DemandPJ_projection[#Headers],DemandPJ_projection[])))/5</f>
        <v>6.7614679783901481</v>
      </c>
      <c r="I6" s="1171">
        <f ca="1">IF(I$2&lt;YEAR(TODAY()),SUMIF(DemandPJ_historic[Year],CommDemand!I$2,_xlfn.XLOOKUP(CommDemand!$D6,DemandPJ_historic[#Headers],DemandPJ_historic[])),
SUMIF(DemandPJ_projection[Year],CommDemand!I$2,_xlfn.XLOOKUP(CommDemand!$D6,DemandPJ_projection[#Headers],DemandPJ_projection[])))/5</f>
        <v>6.4221478617706609</v>
      </c>
      <c r="J6" s="1171">
        <f ca="1">IF(J$2&lt;YEAR(TODAY()),SUMIF(DemandPJ_historic[Year],CommDemand!J$2,_xlfn.XLOOKUP(CommDemand!$D6,DemandPJ_historic[#Headers],DemandPJ_historic[])),
SUMIF(DemandPJ_projection[Year],CommDemand!J$2,_xlfn.XLOOKUP(CommDemand!$D6,DemandPJ_projection[#Headers],DemandPJ_projection[])))/5</f>
        <v>4.0412745467616249</v>
      </c>
      <c r="K6" s="1171">
        <f ca="1">IF(K$2&lt;YEAR(TODAY()),SUMIF(DemandPJ_historic[Year],CommDemand!K$2,_xlfn.XLOOKUP(CommDemand!$D6,DemandPJ_historic[#Headers],DemandPJ_historic[])),
SUMIF(DemandPJ_projection[Year],CommDemand!K$2,_xlfn.XLOOKUP(CommDemand!$D6,DemandPJ_projection[#Headers],DemandPJ_projection[])))/5</f>
        <v>3.8855519777837424</v>
      </c>
      <c r="L6" s="1171">
        <f ca="1">IF(L$2&lt;YEAR(TODAY()),SUMIF(DemandPJ_historic[Year],CommDemand!L$2,_xlfn.XLOOKUP(CommDemand!$D6,DemandPJ_historic[#Headers],DemandPJ_historic[])),
SUMIF(DemandPJ_projection[Year],CommDemand!L$2,_xlfn.XLOOKUP(CommDemand!$D6,DemandPJ_projection[#Headers],DemandPJ_projection[])))/5</f>
        <v>3.7208848006764121</v>
      </c>
      <c r="M6" s="1171">
        <f ca="1">IF(M$2&lt;YEAR(TODAY()),SUMIF(DemandPJ_historic[Year],CommDemand!M$2,_xlfn.XLOOKUP(CommDemand!$D6,DemandPJ_historic[#Headers],DemandPJ_historic[])),
SUMIF(DemandPJ_projection[Year],CommDemand!M$2,_xlfn.XLOOKUP(CommDemand!$D6,DemandPJ_projection[#Headers],DemandPJ_projection[])))/5</f>
        <v>3.5446772398883404</v>
      </c>
      <c r="N6" s="1171">
        <f ca="1">IF(N$2&lt;YEAR(TODAY()),SUMIF(DemandPJ_historic[Year],CommDemand!N$2,_xlfn.XLOOKUP(CommDemand!$D6,DemandPJ_historic[#Headers],DemandPJ_historic[])),
SUMIF(DemandPJ_projection[Year],CommDemand!N$2,_xlfn.XLOOKUP(CommDemand!$D6,DemandPJ_projection[#Headers],DemandPJ_projection[])))/5</f>
        <v>3.4468982979419196</v>
      </c>
      <c r="O6" s="1171">
        <f ca="1">IF(O$2&lt;YEAR(TODAY()),SUMIF(DemandPJ_historic[Year],CommDemand!O$2,_xlfn.XLOOKUP(CommDemand!$D6,DemandPJ_historic[#Headers],DemandPJ_historic[])),
SUMIF(DemandPJ_projection[Year],CommDemand!O$2,_xlfn.XLOOKUP(CommDemand!$D6,DemandPJ_projection[#Headers],DemandPJ_projection[])))/5</f>
        <v>3.3754952234965963</v>
      </c>
      <c r="P6" s="1171">
        <f ca="1">IF(P$2&lt;YEAR(TODAY()),SUMIF(DemandPJ_historic[Year],CommDemand!P$2,_xlfn.XLOOKUP(CommDemand!$D6,DemandPJ_historic[#Headers],DemandPJ_historic[])),
SUMIF(DemandPJ_projection[Year],CommDemand!P$2,_xlfn.XLOOKUP(CommDemand!$D6,DemandPJ_projection[#Headers],DemandPJ_projection[])))/5</f>
        <v>3.7208848006764121</v>
      </c>
      <c r="Q6" s="1171">
        <f ca="1">IF(Q$2&lt;YEAR(TODAY()),SUMIF(DemandPJ_historic[Year],CommDemand!Q$2,_xlfn.XLOOKUP(CommDemand!$D6,DemandPJ_historic[#Headers],DemandPJ_historic[])),
SUMIF(DemandPJ_projection[Year],CommDemand!Q$2,_xlfn.XLOOKUP(CommDemand!$D6,DemandPJ_projection[#Headers],DemandPJ_projection[])))/5</f>
        <v>3.7208848006764121</v>
      </c>
      <c r="R6" s="390" t="s">
        <v>261</v>
      </c>
      <c r="S6" s="1173">
        <v>9.5837469999999786E-2</v>
      </c>
      <c r="T6" s="1173">
        <v>0.10546803000000003</v>
      </c>
      <c r="U6" s="1173">
        <v>0.12880173000000009</v>
      </c>
      <c r="V6" s="1173">
        <v>4.2262799999999998E-3</v>
      </c>
      <c r="W6" s="1173">
        <v>0.10930424000000002</v>
      </c>
      <c r="X6" s="1173">
        <v>0.11723673000000001</v>
      </c>
      <c r="Y6" s="1173">
        <v>0.10392566999999998</v>
      </c>
      <c r="Z6" s="1173">
        <v>3.8677000000000004E-3</v>
      </c>
      <c r="AA6" s="1173">
        <v>9.4890020000000005E-2</v>
      </c>
      <c r="AB6" s="1173">
        <v>0.11774265000000002</v>
      </c>
      <c r="AC6" s="1173">
        <v>0.11453188000000003</v>
      </c>
      <c r="AD6" s="1173">
        <v>4.1675999999999987E-3</v>
      </c>
    </row>
    <row r="7" spans="2:30">
      <c r="B7" s="1168" t="s">
        <v>11</v>
      </c>
      <c r="C7" s="1169" t="s">
        <v>16</v>
      </c>
      <c r="D7" s="1168" t="s">
        <v>262</v>
      </c>
      <c r="E7" s="1169" t="s">
        <v>17</v>
      </c>
      <c r="F7" s="1168" t="s">
        <v>15</v>
      </c>
      <c r="G7" s="1171">
        <f ca="1">IF(G$2&lt;YEAR(TODAY()),SUMIF(DemandPJ_historic[Year],CommDemand!G$2,_xlfn.XLOOKUP(CommDemand!$D7,DemandPJ_historic[#Headers],DemandPJ_historic[])),
SUMIF(DemandPJ_projection[Year],CommDemand!G$2,_xlfn.XLOOKUP(CommDemand!$D7,DemandPJ_projection[#Headers],DemandPJ_projection[])))/5</f>
        <v>0.82556488786180771</v>
      </c>
      <c r="H7" s="1171">
        <f ca="1">IF(H$2&lt;YEAR(TODAY()),SUMIF(DemandPJ_historic[Year],CommDemand!H$2,_xlfn.XLOOKUP(CommDemand!$D7,DemandPJ_historic[#Headers],DemandPJ_historic[])),
SUMIF(DemandPJ_projection[Year],CommDemand!H$2,_xlfn.XLOOKUP(CommDemand!$D7,DemandPJ_projection[#Headers],DemandPJ_projection[])))/5</f>
        <v>0.83968448211989399</v>
      </c>
      <c r="I7" s="1171">
        <f ca="1">IF(I$2&lt;YEAR(TODAY()),SUMIF(DemandPJ_historic[Year],CommDemand!I$2,_xlfn.XLOOKUP(CommDemand!$D7,DemandPJ_historic[#Headers],DemandPJ_historic[])),
SUMIF(DemandPJ_projection[Year],CommDemand!I$2,_xlfn.XLOOKUP(CommDemand!$D7,DemandPJ_projection[#Headers],DemandPJ_projection[])))/5</f>
        <v>0.6845700976491923</v>
      </c>
      <c r="J7" s="1171">
        <f ca="1">IF(J$2&lt;YEAR(TODAY()),SUMIF(DemandPJ_historic[Year],CommDemand!J$2,_xlfn.XLOOKUP(CommDemand!$D7,DemandPJ_historic[#Headers],DemandPJ_historic[])),
SUMIF(DemandPJ_projection[Year],CommDemand!J$2,_xlfn.XLOOKUP(CommDemand!$D7,DemandPJ_projection[#Headers],DemandPJ_projection[])))/5</f>
        <v>0.74225731725438004</v>
      </c>
      <c r="K7" s="1171">
        <f ca="1">IF(K$2&lt;YEAR(TODAY()),SUMIF(DemandPJ_historic[Year],CommDemand!K$2,_xlfn.XLOOKUP(CommDemand!$D7,DemandPJ_historic[#Headers],DemandPJ_historic[])),
SUMIF(DemandPJ_projection[Year],CommDemand!K$2,_xlfn.XLOOKUP(CommDemand!$D7,DemandPJ_projection[#Headers],DemandPJ_projection[])))/5</f>
        <v>0.72605622177917195</v>
      </c>
      <c r="L7" s="1171">
        <f ca="1">IF(L$2&lt;YEAR(TODAY()),SUMIF(DemandPJ_historic[Year],CommDemand!L$2,_xlfn.XLOOKUP(CommDemand!$D7,DemandPJ_historic[#Headers],DemandPJ_historic[])),
SUMIF(DemandPJ_projection[Year],CommDemand!L$2,_xlfn.XLOOKUP(CommDemand!$D7,DemandPJ_projection[#Headers],DemandPJ_projection[])))/5</f>
        <v>0.73787664562445632</v>
      </c>
      <c r="M7" s="1171">
        <f ca="1">IF(M$2&lt;YEAR(TODAY()),SUMIF(DemandPJ_historic[Year],CommDemand!M$2,_xlfn.XLOOKUP(CommDemand!$D7,DemandPJ_historic[#Headers],DemandPJ_historic[])),
SUMIF(DemandPJ_projection[Year],CommDemand!M$2,_xlfn.XLOOKUP(CommDemand!$D7,DemandPJ_projection[#Headers],DemandPJ_projection[])))/5</f>
        <v>0.75251792229113568</v>
      </c>
      <c r="N7" s="1171">
        <f ca="1">IF(N$2&lt;YEAR(TODAY()),SUMIF(DemandPJ_historic[Year],CommDemand!N$2,_xlfn.XLOOKUP(CommDemand!$D7,DemandPJ_historic[#Headers],DemandPJ_historic[])),
SUMIF(DemandPJ_projection[Year],CommDemand!N$2,_xlfn.XLOOKUP(CommDemand!$D7,DemandPJ_projection[#Headers],DemandPJ_projection[])))/5</f>
        <v>0.77250658346565482</v>
      </c>
      <c r="O7" s="1171">
        <f ca="1">IF(O$2&lt;YEAR(TODAY()),SUMIF(DemandPJ_historic[Year],CommDemand!O$2,_xlfn.XLOOKUP(CommDemand!$D7,DemandPJ_historic[#Headers],DemandPJ_historic[])),
SUMIF(DemandPJ_projection[Year],CommDemand!O$2,_xlfn.XLOOKUP(CommDemand!$D7,DemandPJ_projection[#Headers],DemandPJ_projection[])))/5</f>
        <v>0.79132886215277487</v>
      </c>
      <c r="P7" s="1171">
        <f ca="1">IF(P$2&lt;YEAR(TODAY()),SUMIF(DemandPJ_historic[Year],CommDemand!P$2,_xlfn.XLOOKUP(CommDemand!$D7,DemandPJ_historic[#Headers],DemandPJ_historic[])),
SUMIF(DemandPJ_projection[Year],CommDemand!P$2,_xlfn.XLOOKUP(CommDemand!$D7,DemandPJ_projection[#Headers],DemandPJ_projection[])))/5</f>
        <v>0.73787664562445632</v>
      </c>
      <c r="Q7" s="1171">
        <f ca="1">IF(Q$2&lt;YEAR(TODAY()),SUMIF(DemandPJ_historic[Year],CommDemand!Q$2,_xlfn.XLOOKUP(CommDemand!$D7,DemandPJ_historic[#Headers],DemandPJ_historic[])),
SUMIF(DemandPJ_projection[Year],CommDemand!Q$2,_xlfn.XLOOKUP(CommDemand!$D7,DemandPJ_projection[#Headers],DemandPJ_projection[])))/5</f>
        <v>0.73787664562445632</v>
      </c>
      <c r="R7" s="390" t="s">
        <v>263</v>
      </c>
      <c r="S7" s="1169">
        <v>2.3993999999999797E-2</v>
      </c>
      <c r="T7" s="1169">
        <v>5.1143000000000015E-2</v>
      </c>
      <c r="U7" s="1169">
        <v>2.4567999999999982E-2</v>
      </c>
      <c r="V7" s="1169">
        <v>1.637E-3</v>
      </c>
      <c r="W7" s="1169">
        <v>0.2536830000000001</v>
      </c>
      <c r="X7" s="1169">
        <v>0.43003800000000003</v>
      </c>
      <c r="Y7" s="1169">
        <v>0.18748799999999999</v>
      </c>
      <c r="Z7" s="1169">
        <v>1.7987999999999997E-2</v>
      </c>
      <c r="AA7" s="1169">
        <v>1.9040000000000001E-3</v>
      </c>
      <c r="AB7" s="1169">
        <v>5.1490000000000008E-3</v>
      </c>
      <c r="AC7" s="1169">
        <v>2.2329999999999997E-3</v>
      </c>
      <c r="AD7" s="1169">
        <v>1.7500000000000003E-4</v>
      </c>
    </row>
    <row r="8" spans="2:30">
      <c r="B8" s="1168" t="s">
        <v>11</v>
      </c>
      <c r="C8" s="1169" t="s">
        <v>18</v>
      </c>
      <c r="D8" s="1168" t="s">
        <v>264</v>
      </c>
      <c r="E8" s="1169" t="s">
        <v>19</v>
      </c>
      <c r="F8" s="1168" t="s">
        <v>15</v>
      </c>
      <c r="G8" s="1171">
        <f ca="1">IF(G$2&lt;YEAR(TODAY()),SUMIF(DemandPJ_historic[Year],CommDemand!G$2,_xlfn.XLOOKUP(CommDemand!$D8,DemandPJ_historic[#Headers],DemandPJ_historic[])),
SUMIF(DemandPJ_projection[Year],CommDemand!G$2,_xlfn.XLOOKUP(CommDemand!$D8,DemandPJ_projection[#Headers],DemandPJ_projection[])))/5</f>
        <v>0.56345288911882674</v>
      </c>
      <c r="H8" s="1171">
        <f ca="1">IF(H$2&lt;YEAR(TODAY()),SUMIF(DemandPJ_historic[Year],CommDemand!H$2,_xlfn.XLOOKUP(CommDemand!$D8,DemandPJ_historic[#Headers],DemandPJ_historic[])),
SUMIF(DemandPJ_projection[Year],CommDemand!H$2,_xlfn.XLOOKUP(CommDemand!$D8,DemandPJ_projection[#Headers],DemandPJ_projection[])))/5</f>
        <v>0.56763639950548073</v>
      </c>
      <c r="I8" s="1171">
        <f ca="1">IF(I$2&lt;YEAR(TODAY()),SUMIF(DemandPJ_historic[Year],CommDemand!I$2,_xlfn.XLOOKUP(CommDemand!$D8,DemandPJ_historic[#Headers],DemandPJ_historic[])),
SUMIF(DemandPJ_projection[Year],CommDemand!I$2,_xlfn.XLOOKUP(CommDemand!$D8,DemandPJ_projection[#Headers],DemandPJ_projection[])))/5</f>
        <v>0.46820617237048162</v>
      </c>
      <c r="J8" s="1171">
        <f ca="1">IF(J$2&lt;YEAR(TODAY()),SUMIF(DemandPJ_historic[Year],CommDemand!J$2,_xlfn.XLOOKUP(CommDemand!$D8,DemandPJ_historic[#Headers],DemandPJ_historic[])),
SUMIF(DemandPJ_projection[Year],CommDemand!J$2,_xlfn.XLOOKUP(CommDemand!$D8,DemandPJ_projection[#Headers],DemandPJ_projection[])))/5</f>
        <v>0.38960222637759234</v>
      </c>
      <c r="K8" s="1171">
        <f ca="1">IF(K$2&lt;YEAR(TODAY()),SUMIF(DemandPJ_historic[Year],CommDemand!K$2,_xlfn.XLOOKUP(CommDemand!$D8,DemandPJ_historic[#Headers],DemandPJ_historic[])),
SUMIF(DemandPJ_projection[Year],CommDemand!K$2,_xlfn.XLOOKUP(CommDemand!$D8,DemandPJ_projection[#Headers],DemandPJ_projection[])))/5</f>
        <v>0.36767920558688988</v>
      </c>
      <c r="L8" s="1171">
        <f ca="1">IF(L$2&lt;YEAR(TODAY()),SUMIF(DemandPJ_historic[Year],CommDemand!L$2,_xlfn.XLOOKUP(CommDemand!$D8,DemandPJ_historic[#Headers],DemandPJ_historic[])),
SUMIF(DemandPJ_projection[Year],CommDemand!L$2,_xlfn.XLOOKUP(CommDemand!$D8,DemandPJ_projection[#Headers],DemandPJ_projection[])))/5</f>
        <v>0.35032437989354004</v>
      </c>
      <c r="M8" s="1171">
        <f ca="1">IF(M$2&lt;YEAR(TODAY()),SUMIF(DemandPJ_historic[Year],CommDemand!M$2,_xlfn.XLOOKUP(CommDemand!$D8,DemandPJ_historic[#Headers],DemandPJ_historic[])),
SUMIF(DemandPJ_projection[Year],CommDemand!M$2,_xlfn.XLOOKUP(CommDemand!$D8,DemandPJ_projection[#Headers],DemandPJ_projection[])))/5</f>
        <v>0.33639626193407318</v>
      </c>
      <c r="N8" s="1171">
        <f ca="1">IF(N$2&lt;YEAR(TODAY()),SUMIF(DemandPJ_historic[Year],CommDemand!N$2,_xlfn.XLOOKUP(CommDemand!$D8,DemandPJ_historic[#Headers],DemandPJ_historic[])),
SUMIF(DemandPJ_projection[Year],CommDemand!N$2,_xlfn.XLOOKUP(CommDemand!$D8,DemandPJ_projection[#Headers],DemandPJ_projection[])))/5</f>
        <v>0.32582419122891448</v>
      </c>
      <c r="O8" s="1171">
        <f ca="1">IF(O$2&lt;YEAR(TODAY()),SUMIF(DemandPJ_historic[Year],CommDemand!O$2,_xlfn.XLOOKUP(CommDemand!$D8,DemandPJ_historic[#Headers],DemandPJ_historic[])),
SUMIF(DemandPJ_projection[Year],CommDemand!O$2,_xlfn.XLOOKUP(CommDemand!$D8,DemandPJ_projection[#Headers],DemandPJ_projection[])))/5</f>
        <v>0.3149558080138084</v>
      </c>
      <c r="P8" s="1171">
        <f ca="1">IF(P$2&lt;YEAR(TODAY()),SUMIF(DemandPJ_historic[Year],CommDemand!P$2,_xlfn.XLOOKUP(CommDemand!$D8,DemandPJ_historic[#Headers],DemandPJ_historic[])),
SUMIF(DemandPJ_projection[Year],CommDemand!P$2,_xlfn.XLOOKUP(CommDemand!$D8,DemandPJ_projection[#Headers],DemandPJ_projection[])))/5</f>
        <v>0.35032437989354004</v>
      </c>
      <c r="Q8" s="1171">
        <f ca="1">IF(Q$2&lt;YEAR(TODAY()),SUMIF(DemandPJ_historic[Year],CommDemand!Q$2,_xlfn.XLOOKUP(CommDemand!$D8,DemandPJ_historic[#Headers],DemandPJ_historic[])),
SUMIF(DemandPJ_projection[Year],CommDemand!Q$2,_xlfn.XLOOKUP(CommDemand!$D8,DemandPJ_projection[#Headers],DemandPJ_projection[])))/5</f>
        <v>0.35032437989354004</v>
      </c>
      <c r="R8" s="390" t="s">
        <v>265</v>
      </c>
      <c r="S8" s="1169">
        <v>8.4433000000000133E-2</v>
      </c>
      <c r="T8" s="1169">
        <v>0.18645699999999998</v>
      </c>
      <c r="U8" s="1169">
        <v>7.1358999999999978E-2</v>
      </c>
      <c r="V8" s="1169">
        <v>4.1339999999999997E-3</v>
      </c>
      <c r="W8" s="1169">
        <v>6.9287999999999988E-2</v>
      </c>
      <c r="X8" s="1169">
        <v>0.14637099999999995</v>
      </c>
      <c r="Y8" s="1169">
        <v>4.2194999999999983E-2</v>
      </c>
      <c r="Z8" s="1169">
        <v>4.7939999999999997E-3</v>
      </c>
      <c r="AA8" s="1169">
        <v>9.6435999999999966E-2</v>
      </c>
      <c r="AB8" s="1169">
        <v>0.22775099999999998</v>
      </c>
      <c r="AC8" s="1169">
        <v>6.239500000000002E-2</v>
      </c>
      <c r="AD8" s="1169">
        <v>4.3870000000000003E-3</v>
      </c>
    </row>
    <row r="9" spans="2:30">
      <c r="B9" s="1168" t="s">
        <v>11</v>
      </c>
      <c r="C9" s="1169" t="s">
        <v>20</v>
      </c>
      <c r="D9" s="1168" t="s">
        <v>266</v>
      </c>
      <c r="E9" s="1169" t="s">
        <v>21</v>
      </c>
      <c r="F9" s="1168" t="s">
        <v>15</v>
      </c>
      <c r="G9" s="1171">
        <f ca="1">IF(G$2&lt;YEAR(TODAY()),SUMIF(DemandPJ_historic[Year],CommDemand!G$2,_xlfn.XLOOKUP(CommDemand!$D9,DemandPJ_historic[#Headers],DemandPJ_historic[])),
SUMIF(DemandPJ_projection[Year],CommDemand!G$2,_xlfn.XLOOKUP(CommDemand!$D9,DemandPJ_projection[#Headers],DemandPJ_projection[])))/5</f>
        <v>2.5771532259281433</v>
      </c>
      <c r="H9" s="1171">
        <f ca="1">IF(H$2&lt;YEAR(TODAY()),SUMIF(DemandPJ_historic[Year],CommDemand!H$2,_xlfn.XLOOKUP(CommDemand!$D9,DemandPJ_historic[#Headers],DemandPJ_historic[])),
SUMIF(DemandPJ_projection[Year],CommDemand!H$2,_xlfn.XLOOKUP(CommDemand!$D9,DemandPJ_projection[#Headers],DemandPJ_projection[])))/5</f>
        <v>2.6212301463810812</v>
      </c>
      <c r="I9" s="1171">
        <f ca="1">IF(I$2&lt;YEAR(TODAY()),SUMIF(DemandPJ_historic[Year],CommDemand!I$2,_xlfn.XLOOKUP(CommDemand!$D9,DemandPJ_historic[#Headers],DemandPJ_historic[])),
SUMIF(DemandPJ_projection[Year],CommDemand!I$2,_xlfn.XLOOKUP(CommDemand!$D9,DemandPJ_projection[#Headers],DemandPJ_projection[])))/5</f>
        <v>2.1370119556560874</v>
      </c>
      <c r="J9" s="1171">
        <f ca="1">IF(J$2&lt;YEAR(TODAY()),SUMIF(DemandPJ_historic[Year],CommDemand!J$2,_xlfn.XLOOKUP(CommDemand!$D9,DemandPJ_historic[#Headers],DemandPJ_historic[])),
SUMIF(DemandPJ_projection[Year],CommDemand!J$2,_xlfn.XLOOKUP(CommDemand!$D9,DemandPJ_projection[#Headers],DemandPJ_projection[])))/5</f>
        <v>2.3170932627540468</v>
      </c>
      <c r="K9" s="1171">
        <f ca="1">IF(K$2&lt;YEAR(TODAY()),SUMIF(DemandPJ_historic[Year],CommDemand!K$2,_xlfn.XLOOKUP(CommDemand!$D9,DemandPJ_historic[#Headers],DemandPJ_historic[])),
SUMIF(DemandPJ_projection[Year],CommDemand!K$2,_xlfn.XLOOKUP(CommDemand!$D9,DemandPJ_projection[#Headers],DemandPJ_projection[])))/5</f>
        <v>2.2665185519331432</v>
      </c>
      <c r="L9" s="1171">
        <f ca="1">IF(L$2&lt;YEAR(TODAY()),SUMIF(DemandPJ_historic[Year],CommDemand!L$2,_xlfn.XLOOKUP(CommDemand!$D9,DemandPJ_historic[#Headers],DemandPJ_historic[])),
SUMIF(DemandPJ_projection[Year],CommDemand!L$2,_xlfn.XLOOKUP(CommDemand!$D9,DemandPJ_projection[#Headers],DemandPJ_projection[])))/5</f>
        <v>2.3034181874343713</v>
      </c>
      <c r="M9" s="1171">
        <f ca="1">IF(M$2&lt;YEAR(TODAY()),SUMIF(DemandPJ_historic[Year],CommDemand!M$2,_xlfn.XLOOKUP(CommDemand!$D9,DemandPJ_historic[#Headers],DemandPJ_historic[])),
SUMIF(DemandPJ_projection[Year],CommDemand!M$2,_xlfn.XLOOKUP(CommDemand!$D9,DemandPJ_projection[#Headers],DemandPJ_projection[])))/5</f>
        <v>2.3491236358467495</v>
      </c>
      <c r="N9" s="1171">
        <f ca="1">IF(N$2&lt;YEAR(TODAY()),SUMIF(DemandPJ_historic[Year],CommDemand!N$2,_xlfn.XLOOKUP(CommDemand!$D9,DemandPJ_historic[#Headers],DemandPJ_historic[])),
SUMIF(DemandPJ_projection[Year],CommDemand!N$2,_xlfn.XLOOKUP(CommDemand!$D9,DemandPJ_projection[#Headers],DemandPJ_projection[])))/5</f>
        <v>2.4115219323165964</v>
      </c>
      <c r="O9" s="1171">
        <f ca="1">IF(O$2&lt;YEAR(TODAY()),SUMIF(DemandPJ_historic[Year],CommDemand!O$2,_xlfn.XLOOKUP(CommDemand!$D9,DemandPJ_historic[#Headers],DemandPJ_historic[])),
SUMIF(DemandPJ_projection[Year],CommDemand!O$2,_xlfn.XLOOKUP(CommDemand!$D9,DemandPJ_projection[#Headers],DemandPJ_projection[])))/5</f>
        <v>2.4702791504965798</v>
      </c>
      <c r="P9" s="1171">
        <f ca="1">IF(P$2&lt;YEAR(TODAY()),SUMIF(DemandPJ_historic[Year],CommDemand!P$2,_xlfn.XLOOKUP(CommDemand!$D9,DemandPJ_historic[#Headers],DemandPJ_historic[])),
SUMIF(DemandPJ_projection[Year],CommDemand!P$2,_xlfn.XLOOKUP(CommDemand!$D9,DemandPJ_projection[#Headers],DemandPJ_projection[])))/5</f>
        <v>2.3034181874343713</v>
      </c>
      <c r="Q9" s="1171">
        <f ca="1">IF(Q$2&lt;YEAR(TODAY()),SUMIF(DemandPJ_historic[Year],CommDemand!Q$2,_xlfn.XLOOKUP(CommDemand!$D9,DemandPJ_historic[#Headers],DemandPJ_historic[])),
SUMIF(DemandPJ_projection[Year],CommDemand!Q$2,_xlfn.XLOOKUP(CommDemand!$D9,DemandPJ_projection[#Headers],DemandPJ_projection[])))/5</f>
        <v>2.3034181874343713</v>
      </c>
      <c r="R9" s="390" t="s">
        <v>267</v>
      </c>
      <c r="S9" s="1169">
        <v>9.9018000000000092E-2</v>
      </c>
      <c r="T9" s="1169">
        <v>0.14438600000000001</v>
      </c>
      <c r="U9" s="1169">
        <v>9.2334999999999959E-2</v>
      </c>
      <c r="V9" s="1169">
        <v>4.2130000000000015E-3</v>
      </c>
      <c r="W9" s="1169">
        <v>9.923300000000003E-2</v>
      </c>
      <c r="X9" s="1169">
        <v>0.14939999999999998</v>
      </c>
      <c r="Y9" s="1169">
        <v>7.1367999999999945E-2</v>
      </c>
      <c r="Z9" s="1169">
        <v>4.5740000000000008E-3</v>
      </c>
      <c r="AA9" s="1169">
        <v>9.6950999999999996E-2</v>
      </c>
      <c r="AB9" s="1169">
        <v>0.15672099999999994</v>
      </c>
      <c r="AC9" s="1169">
        <v>7.7829999999999941E-2</v>
      </c>
      <c r="AD9" s="1169">
        <v>3.9710000000000014E-3</v>
      </c>
    </row>
    <row r="10" spans="2:30">
      <c r="B10" s="1234" t="s">
        <v>159</v>
      </c>
      <c r="C10" s="1235" t="s">
        <v>268</v>
      </c>
      <c r="D10" s="1234" t="s">
        <v>269</v>
      </c>
      <c r="E10" s="1235" t="s">
        <v>270</v>
      </c>
      <c r="F10" s="1234" t="s">
        <v>15</v>
      </c>
      <c r="G10" s="1236">
        <f ca="1">IF(G$2&lt;YEAR(TODAY()),SUMIFS(_xlfn.XLOOKUP(CommDemand!$D10,DemandPJ_historic[#Headers],DemandPJ_historic[]),DemandPJ_historic[Year],CommDemand!G$2,DemandPJ_historic[Fuel],"ELC"),
SUMIFS(_xlfn.XLOOKUP(CommDemand!$D10,DemandPJ_projection[#Headers],DemandPJ_projection[]),DemandPJ_projection[Year],CommDemand!G$2,DemandPJ_projection[Fuel],"ELC"))/5</f>
        <v>0.54680551378083631</v>
      </c>
      <c r="H10" s="1236">
        <f ca="1">IF(H$2&lt;YEAR(TODAY()),SUMIFS(_xlfn.XLOOKUP(CommDemand!$D10,DemandPJ_historic[#Headers],DemandPJ_historic[]),DemandPJ_historic[Year],CommDemand!H$2,DemandPJ_historic[Fuel],"ELC"),
SUMIFS(_xlfn.XLOOKUP(CommDemand!$D10,DemandPJ_projection[#Headers],DemandPJ_projection[]),DemandPJ_projection[Year],CommDemand!H$2,DemandPJ_projection[Fuel],"ELC"))/5</f>
        <v>0.55615750065211211</v>
      </c>
      <c r="I10" s="1236">
        <f ca="1">IF(I$2&lt;YEAR(TODAY()),SUMIFS(_xlfn.XLOOKUP(CommDemand!$D10,DemandPJ_historic[#Headers],DemandPJ_historic[]),DemandPJ_historic[Year],CommDemand!I$2,DemandPJ_historic[Fuel],"ELC"),
SUMIFS(_xlfn.XLOOKUP(CommDemand!$D10,DemandPJ_projection[#Headers],DemandPJ_projection[]),DemandPJ_projection[Year],CommDemand!I$2,DemandPJ_projection[Fuel],"ELC"))/5</f>
        <v>0.45341887653865792</v>
      </c>
      <c r="J10" s="1236">
        <f ca="1">IF(J$2&lt;YEAR(TODAY()),SUMIFS(_xlfn.XLOOKUP(CommDemand!$D10,DemandPJ_historic[#Headers],DemandPJ_historic[]),DemandPJ_historic[Year],CommDemand!J$2,DemandPJ_historic[Fuel],"ELC"),
SUMIFS(_xlfn.XLOOKUP(CommDemand!$D10,DemandPJ_projection[#Headers],DemandPJ_projection[]),DemandPJ_projection[Year],CommDemand!J$2,DemandPJ_projection[Fuel],"ELC"))/5</f>
        <v>0.49162749008144069</v>
      </c>
      <c r="K10" s="1236">
        <f ca="1">IF(K$2&lt;YEAR(TODAY()),SUMIFS(_xlfn.XLOOKUP(CommDemand!$D10,DemandPJ_historic[#Headers],DemandPJ_historic[]),DemandPJ_historic[Year],CommDemand!K$2,DemandPJ_historic[Fuel],"ELC"),
SUMIFS(_xlfn.XLOOKUP(CommDemand!$D10,DemandPJ_projection[#Headers],DemandPJ_projection[]),DemandPJ_projection[Year],CommDemand!K$2,DemandPJ_projection[Fuel],"ELC"))/5</f>
        <v>0.48089683951068085</v>
      </c>
      <c r="L10" s="1236">
        <f ca="1">IF(L$2&lt;YEAR(TODAY()),SUMIFS(_xlfn.XLOOKUP(CommDemand!$D10,DemandPJ_historic[#Headers],DemandPJ_historic[]),DemandPJ_historic[Year],CommDemand!L$2,DemandPJ_historic[Fuel],"ELC"),
SUMIFS(_xlfn.XLOOKUP(CommDemand!$D10,DemandPJ_projection[#Headers],DemandPJ_projection[]),DemandPJ_projection[Year],CommDemand!L$2,DemandPJ_projection[Fuel],"ELC"))/5</f>
        <v>0.48872599143908746</v>
      </c>
      <c r="M10" s="1236">
        <f ca="1">IF(M$2&lt;YEAR(TODAY()),SUMIFS(_xlfn.XLOOKUP(CommDemand!$D10,DemandPJ_historic[#Headers],DemandPJ_historic[]),DemandPJ_historic[Year],CommDemand!M$2,DemandPJ_historic[Fuel],"ELC"),
SUMIFS(_xlfn.XLOOKUP(CommDemand!$D10,DemandPJ_projection[#Headers],DemandPJ_projection[]),DemandPJ_projection[Year],CommDemand!M$2,DemandPJ_projection[Fuel],"ELC"))/5</f>
        <v>0.49842350998407553</v>
      </c>
      <c r="N10" s="1236">
        <f ca="1">IF(N$2&lt;YEAR(TODAY()),SUMIFS(_xlfn.XLOOKUP(CommDemand!$D10,DemandPJ_historic[#Headers],DemandPJ_historic[]),DemandPJ_historic[Year],CommDemand!N$2,DemandPJ_historic[Fuel],"ELC"),
SUMIFS(_xlfn.XLOOKUP(CommDemand!$D10,DemandPJ_projection[#Headers],DemandPJ_projection[]),DemandPJ_projection[Year],CommDemand!N$2,DemandPJ_projection[Fuel],"ELC"))/5</f>
        <v>0.51166282079298386</v>
      </c>
      <c r="O10" s="1236">
        <f ca="1">IF(O$2&lt;YEAR(TODAY()),SUMIFS(_xlfn.XLOOKUP(CommDemand!$D10,DemandPJ_historic[#Headers],DemandPJ_historic[]),DemandPJ_historic[Year],CommDemand!O$2,DemandPJ_historic[Fuel],"ELC"),
SUMIFS(_xlfn.XLOOKUP(CommDemand!$D10,DemandPJ_projection[#Headers],DemandPJ_projection[]),DemandPJ_projection[Year],CommDemand!O$2,DemandPJ_projection[Fuel],"ELC"))/5</f>
        <v>0.52412958860174219</v>
      </c>
      <c r="P10" s="1236">
        <f ca="1">IF(P$2&lt;YEAR(TODAY()),SUMIFS(_xlfn.XLOOKUP(CommDemand!$D10,DemandPJ_historic[#Headers],DemandPJ_historic[]),DemandPJ_historic[Year],CommDemand!P$2,DemandPJ_historic[Fuel],"ELC"),
SUMIFS(_xlfn.XLOOKUP(CommDemand!$D10,DemandPJ_projection[#Headers],DemandPJ_projection[]),DemandPJ_projection[Year],CommDemand!P$2,DemandPJ_projection[Fuel],"ELC"))/5</f>
        <v>0.48872599143908746</v>
      </c>
      <c r="Q10" s="1236">
        <f ca="1">IF(Q$2&lt;YEAR(TODAY()),SUMIFS(_xlfn.XLOOKUP(CommDemand!$D10,DemandPJ_historic[#Headers],DemandPJ_historic[]),DemandPJ_historic[Year],CommDemand!Q$2,DemandPJ_historic[Fuel],"ELC"),
SUMIFS(_xlfn.XLOOKUP(CommDemand!$D10,DemandPJ_projection[#Headers],DemandPJ_projection[]),DemandPJ_projection[Year],CommDemand!Q$2,DemandPJ_projection[Fuel],"ELC"))/5</f>
        <v>0.48872599143908746</v>
      </c>
      <c r="R10" s="390" t="s">
        <v>271</v>
      </c>
      <c r="S10" s="1235">
        <v>8.3493930000000147E-2</v>
      </c>
      <c r="T10" s="1235">
        <v>0.10305700000000004</v>
      </c>
      <c r="U10" s="1235">
        <v>0.15240838999999989</v>
      </c>
      <c r="V10" s="1235">
        <v>3.46679E-3</v>
      </c>
      <c r="W10" s="1235">
        <v>0.10221034999999998</v>
      </c>
      <c r="X10" s="1235">
        <v>0.11540132999999998</v>
      </c>
      <c r="Y10" s="1235">
        <v>0.12991177000000001</v>
      </c>
      <c r="Z10" s="1235">
        <v>2.8994900000000002E-3</v>
      </c>
      <c r="AA10" s="1235">
        <v>7.4243309999999993E-2</v>
      </c>
      <c r="AB10" s="1235">
        <v>0.10591607000000001</v>
      </c>
      <c r="AC10" s="1235">
        <v>0.12385355000000006</v>
      </c>
      <c r="AD10" s="1235">
        <v>3.13802E-3</v>
      </c>
    </row>
    <row r="11" spans="2:30">
      <c r="B11" s="1234" t="s">
        <v>159</v>
      </c>
      <c r="C11" s="1235" t="s">
        <v>272</v>
      </c>
      <c r="D11" s="1234" t="s">
        <v>269</v>
      </c>
      <c r="E11" s="1235" t="s">
        <v>273</v>
      </c>
      <c r="F11" s="1234" t="s">
        <v>15</v>
      </c>
      <c r="G11" s="1236">
        <f ca="1">(IF(G$2&lt;YEAR(TODAY()),SUMIF(DemandPJ_historic[Year],CommDemand!G$2,_xlfn.XLOOKUP(CommDemand!$D11,DemandPJ_historic[#Headers],DemandPJ_historic[])),
SUMIF(DemandPJ_projection[Year],CommDemand!G$2,_xlfn.XLOOKUP(CommDemand!$D11,DemandPJ_projection[#Headers],DemandPJ_projection[])))/5)-G10</f>
        <v>0</v>
      </c>
      <c r="H11" s="1236">
        <f ca="1">(IF(H$2&lt;YEAR(TODAY()),SUMIF(DemandPJ_historic[Year],CommDemand!H$2,_xlfn.XLOOKUP(CommDemand!$D11,DemandPJ_historic[#Headers],DemandPJ_historic[])),
SUMIF(DemandPJ_projection[Year],CommDemand!H$2,_xlfn.XLOOKUP(CommDemand!$D11,DemandPJ_projection[#Headers],DemandPJ_projection[])))/5)-H10</f>
        <v>0</v>
      </c>
      <c r="I11" s="1236">
        <f ca="1">(IF(I$2&lt;YEAR(TODAY()),SUMIF(DemandPJ_historic[Year],CommDemand!I$2,_xlfn.XLOOKUP(CommDemand!$D11,DemandPJ_historic[#Headers],DemandPJ_historic[])),
SUMIF(DemandPJ_projection[Year],CommDemand!I$2,_xlfn.XLOOKUP(CommDemand!$D11,DemandPJ_projection[#Headers],DemandPJ_projection[])))/5)-I10</f>
        <v>0</v>
      </c>
      <c r="J11" s="1236">
        <f ca="1">(IF(J$2&lt;YEAR(TODAY()),SUMIF(DemandPJ_historic[Year],CommDemand!J$2,_xlfn.XLOOKUP(CommDemand!$D11,DemandPJ_historic[#Headers],DemandPJ_historic[])),
SUMIF(DemandPJ_projection[Year],CommDemand!J$2,_xlfn.XLOOKUP(CommDemand!$D11,DemandPJ_projection[#Headers],DemandPJ_projection[])))/5)-J10</f>
        <v>0</v>
      </c>
      <c r="K11" s="1236">
        <f ca="1">(IF(K$2&lt;YEAR(TODAY()),SUMIF(DemandPJ_historic[Year],CommDemand!K$2,_xlfn.XLOOKUP(CommDemand!$D11,DemandPJ_historic[#Headers],DemandPJ_historic[])),
SUMIF(DemandPJ_projection[Year],CommDemand!K$2,_xlfn.XLOOKUP(CommDemand!$D11,DemandPJ_projection[#Headers],DemandPJ_projection[])))/5)-K10</f>
        <v>0</v>
      </c>
      <c r="L11" s="1236">
        <f ca="1">(IF(L$2&lt;YEAR(TODAY()),SUMIF(DemandPJ_historic[Year],CommDemand!L$2,_xlfn.XLOOKUP(CommDemand!$D11,DemandPJ_historic[#Headers],DemandPJ_historic[])),
SUMIF(DemandPJ_projection[Year],CommDemand!L$2,_xlfn.XLOOKUP(CommDemand!$D11,DemandPJ_projection[#Headers],DemandPJ_projection[])))/5)-L10</f>
        <v>0</v>
      </c>
      <c r="M11" s="1236">
        <f ca="1">(IF(M$2&lt;YEAR(TODAY()),SUMIF(DemandPJ_historic[Year],CommDemand!M$2,_xlfn.XLOOKUP(CommDemand!$D11,DemandPJ_historic[#Headers],DemandPJ_historic[])),
SUMIF(DemandPJ_projection[Year],CommDemand!M$2,_xlfn.XLOOKUP(CommDemand!$D11,DemandPJ_projection[#Headers],DemandPJ_projection[])))/5)-M10</f>
        <v>0</v>
      </c>
      <c r="N11" s="1236">
        <f ca="1">(IF(N$2&lt;YEAR(TODAY()),SUMIF(DemandPJ_historic[Year],CommDemand!N$2,_xlfn.XLOOKUP(CommDemand!$D11,DemandPJ_historic[#Headers],DemandPJ_historic[])),
SUMIF(DemandPJ_projection[Year],CommDemand!N$2,_xlfn.XLOOKUP(CommDemand!$D11,DemandPJ_projection[#Headers],DemandPJ_projection[])))/5)-N10</f>
        <v>0</v>
      </c>
      <c r="O11" s="1236">
        <f ca="1">(IF(O$2&lt;YEAR(TODAY()),SUMIF(DemandPJ_historic[Year],CommDemand!O$2,_xlfn.XLOOKUP(CommDemand!$D11,DemandPJ_historic[#Headers],DemandPJ_historic[])),
SUMIF(DemandPJ_projection[Year],CommDemand!O$2,_xlfn.XLOOKUP(CommDemand!$D11,DemandPJ_projection[#Headers],DemandPJ_projection[])))/5)-O10</f>
        <v>0</v>
      </c>
      <c r="P11" s="1236">
        <f ca="1">(IF(P$2&lt;YEAR(TODAY()),SUMIF(DemandPJ_historic[Year],CommDemand!P$2,_xlfn.XLOOKUP(CommDemand!$D11,DemandPJ_historic[#Headers],DemandPJ_historic[])),
SUMIF(DemandPJ_projection[Year],CommDemand!P$2,_xlfn.XLOOKUP(CommDemand!$D11,DemandPJ_projection[#Headers],DemandPJ_projection[])))/5)-P10</f>
        <v>0</v>
      </c>
      <c r="Q11" s="1236">
        <f ca="1">(IF(Q$2&lt;YEAR(TODAY()),SUMIF(DemandPJ_historic[Year],CommDemand!Q$2,_xlfn.XLOOKUP(CommDemand!$D11,DemandPJ_historic[#Headers],DemandPJ_historic[])),
SUMIF(DemandPJ_projection[Year],CommDemand!Q$2,_xlfn.XLOOKUP(CommDemand!$D11,DemandPJ_projection[#Headers],DemandPJ_projection[])))/5)-Q10</f>
        <v>0</v>
      </c>
      <c r="R11" s="390" t="s">
        <v>271</v>
      </c>
      <c r="S11" s="1235">
        <v>8.3493930000000147E-2</v>
      </c>
      <c r="T11" s="1235">
        <v>0.10305700000000004</v>
      </c>
      <c r="U11" s="1235">
        <v>0.15240838999999989</v>
      </c>
      <c r="V11" s="1235">
        <v>3.46679E-3</v>
      </c>
      <c r="W11" s="1235">
        <v>0.10221034999999998</v>
      </c>
      <c r="X11" s="1235">
        <v>0.11540132999999998</v>
      </c>
      <c r="Y11" s="1235">
        <v>0.12991177000000001</v>
      </c>
      <c r="Z11" s="1235">
        <v>2.8994900000000002E-3</v>
      </c>
      <c r="AA11" s="1235">
        <v>7.4243309999999993E-2</v>
      </c>
      <c r="AB11" s="1235">
        <v>0.10591607000000001</v>
      </c>
      <c r="AC11" s="1235">
        <v>0.12385355000000006</v>
      </c>
      <c r="AD11" s="1235">
        <v>3.13802E-3</v>
      </c>
    </row>
    <row r="12" spans="2:30">
      <c r="B12" s="1234" t="s">
        <v>159</v>
      </c>
      <c r="C12" s="1235" t="s">
        <v>274</v>
      </c>
      <c r="D12" s="1234" t="s">
        <v>275</v>
      </c>
      <c r="E12" s="1235" t="s">
        <v>276</v>
      </c>
      <c r="F12" s="1234" t="s">
        <v>15</v>
      </c>
      <c r="G12" s="1236">
        <f ca="1">IF(G$2&lt;YEAR(TODAY()),SUMIFS(_xlfn.XLOOKUP(CommDemand!$D12,DemandPJ_historic[#Headers],DemandPJ_historic[]),DemandPJ_historic[Year],CommDemand!G$2,DemandPJ_historic[Fuel],"ELC"),
SUMIFS(_xlfn.XLOOKUP(CommDemand!$D12,DemandPJ_projection[#Headers],DemandPJ_projection[]),DemandPJ_projection[Year],CommDemand!G$2,DemandPJ_projection[Fuel],"ELC"))/5</f>
        <v>0.38878958177242401</v>
      </c>
      <c r="H12" s="1236">
        <f ca="1">IF(H$2&lt;YEAR(TODAY()),SUMIFS(_xlfn.XLOOKUP(CommDemand!$D12,DemandPJ_historic[#Headers],DemandPJ_historic[]),DemandPJ_historic[Year],CommDemand!H$2,DemandPJ_historic[Fuel],"ELC"),
SUMIFS(_xlfn.XLOOKUP(CommDemand!$D12,DemandPJ_projection[#Headers],DemandPJ_projection[]),DemandPJ_projection[Year],CommDemand!H$2,DemandPJ_projection[Fuel],"ELC"))/5</f>
        <v>0.39543903020114229</v>
      </c>
      <c r="I12" s="1236">
        <f ca="1">IF(I$2&lt;YEAR(TODAY()),SUMIFS(_xlfn.XLOOKUP(CommDemand!$D12,DemandPJ_historic[#Headers],DemandPJ_historic[]),DemandPJ_historic[Year],CommDemand!I$2,DemandPJ_historic[Fuel],"ELC"),
SUMIFS(_xlfn.XLOOKUP(CommDemand!$D12,DemandPJ_projection[#Headers],DemandPJ_projection[]),DemandPJ_projection[Year],CommDemand!I$2,DemandPJ_projection[Fuel],"ELC"))/5</f>
        <v>0.32238982770726649</v>
      </c>
      <c r="J12" s="1236">
        <f ca="1">IF(J$2&lt;YEAR(TODAY()),SUMIFS(_xlfn.XLOOKUP(CommDemand!$D12,DemandPJ_historic[#Headers],DemandPJ_historic[]),DemandPJ_historic[Year],CommDemand!J$2,DemandPJ_historic[Fuel],"ELC"),
SUMIFS(_xlfn.XLOOKUP(CommDemand!$D12,DemandPJ_projection[#Headers],DemandPJ_projection[]),DemandPJ_projection[Year],CommDemand!J$2,DemandPJ_projection[Fuel],"ELC"))/5</f>
        <v>0.34955691089318464</v>
      </c>
      <c r="K12" s="1236">
        <f ca="1">IF(K$2&lt;YEAR(TODAY()),SUMIFS(_xlfn.XLOOKUP(CommDemand!$D12,DemandPJ_historic[#Headers],DemandPJ_historic[]),DemandPJ_historic[Year],CommDemand!K$2,DemandPJ_historic[Fuel],"ELC"),
SUMIFS(_xlfn.XLOOKUP(CommDemand!$D12,DemandPJ_projection[#Headers],DemandPJ_projection[]),DemandPJ_projection[Year],CommDemand!K$2,DemandPJ_projection[Fuel],"ELC"))/5</f>
        <v>0.34192720518903941</v>
      </c>
      <c r="L12" s="1236">
        <f ca="1">IF(L$2&lt;YEAR(TODAY()),SUMIFS(_xlfn.XLOOKUP(CommDemand!$D12,DemandPJ_historic[#Headers],DemandPJ_historic[]),DemandPJ_historic[Year],CommDemand!L$2,DemandPJ_historic[Fuel],"ELC"),
SUMIFS(_xlfn.XLOOKUP(CommDemand!$D12,DemandPJ_projection[#Headers],DemandPJ_projection[]),DemandPJ_projection[Year],CommDemand!L$2,DemandPJ_projection[Fuel],"ELC"))/5</f>
        <v>0.34749388772453765</v>
      </c>
      <c r="M12" s="1236">
        <f ca="1">IF(M$2&lt;YEAR(TODAY()),SUMIFS(_xlfn.XLOOKUP(CommDemand!$D12,DemandPJ_historic[#Headers],DemandPJ_historic[]),DemandPJ_historic[Year],CommDemand!M$2,DemandPJ_historic[Fuel],"ELC"),
SUMIFS(_xlfn.XLOOKUP(CommDemand!$D12,DemandPJ_projection[#Headers],DemandPJ_projection[]),DemandPJ_projection[Year],CommDemand!M$2,DemandPJ_projection[Fuel],"ELC"))/5</f>
        <v>0.35438901603673573</v>
      </c>
      <c r="N12" s="1236">
        <f ca="1">IF(N$2&lt;YEAR(TODAY()),SUMIFS(_xlfn.XLOOKUP(CommDemand!$D12,DemandPJ_historic[#Headers],DemandPJ_historic[]),DemandPJ_historic[Year],CommDemand!N$2,DemandPJ_historic[Fuel],"ELC"),
SUMIFS(_xlfn.XLOOKUP(CommDemand!$D12,DemandPJ_projection[#Headers],DemandPJ_projection[]),DemandPJ_projection[Year],CommDemand!N$2,DemandPJ_projection[Fuel],"ELC"))/5</f>
        <v>0.36380242900099069</v>
      </c>
      <c r="O12" s="1236">
        <f ca="1">IF(O$2&lt;YEAR(TODAY()),SUMIFS(_xlfn.XLOOKUP(CommDemand!$D12,DemandPJ_historic[#Headers],DemandPJ_historic[]),DemandPJ_historic[Year],CommDemand!O$2,DemandPJ_historic[Fuel],"ELC"),
SUMIFS(_xlfn.XLOOKUP(CommDemand!$D12,DemandPJ_projection[#Headers],DemandPJ_projection[]),DemandPJ_projection[Year],CommDemand!O$2,DemandPJ_projection[Fuel],"ELC"))/5</f>
        <v>0.37266654854672698</v>
      </c>
      <c r="P12" s="1236">
        <f ca="1">IF(P$2&lt;YEAR(TODAY()),SUMIFS(_xlfn.XLOOKUP(CommDemand!$D12,DemandPJ_historic[#Headers],DemandPJ_historic[]),DemandPJ_historic[Year],CommDemand!P$2,DemandPJ_historic[Fuel],"ELC"),
SUMIFS(_xlfn.XLOOKUP(CommDemand!$D12,DemandPJ_projection[#Headers],DemandPJ_projection[]),DemandPJ_projection[Year],CommDemand!P$2,DemandPJ_projection[Fuel],"ELC"))/5</f>
        <v>0.34749388772453765</v>
      </c>
      <c r="Q12" s="1236">
        <f ca="1">IF(Q$2&lt;YEAR(TODAY()),SUMIFS(_xlfn.XLOOKUP(CommDemand!$D12,DemandPJ_historic[#Headers],DemandPJ_historic[]),DemandPJ_historic[Year],CommDemand!Q$2,DemandPJ_historic[Fuel],"ELC"),
SUMIFS(_xlfn.XLOOKUP(CommDemand!$D12,DemandPJ_projection[#Headers],DemandPJ_projection[]),DemandPJ_projection[Year],CommDemand!Q$2,DemandPJ_projection[Fuel],"ELC"))/5</f>
        <v>0.34749388772453765</v>
      </c>
      <c r="R12" s="390" t="s">
        <v>277</v>
      </c>
      <c r="S12" s="1235">
        <v>9.5411000000000065E-2</v>
      </c>
      <c r="T12" s="1235">
        <v>0.17412999999999998</v>
      </c>
      <c r="U12" s="1235">
        <v>6.7175000000000026E-2</v>
      </c>
      <c r="V12" s="1235">
        <v>3.4660000000000008E-3</v>
      </c>
      <c r="W12" s="1235">
        <v>8.9707999999999996E-2</v>
      </c>
      <c r="X12" s="1235">
        <v>0.18588199999999996</v>
      </c>
      <c r="Y12" s="1235">
        <v>4.2991999999999982E-2</v>
      </c>
      <c r="Z12" s="1235">
        <v>4.9529999999999999E-3</v>
      </c>
      <c r="AA12" s="1235">
        <v>9.3811000000000019E-2</v>
      </c>
      <c r="AB12" s="1235">
        <v>0.19487299999999996</v>
      </c>
      <c r="AC12" s="1235">
        <v>4.3931999999999964E-2</v>
      </c>
      <c r="AD12" s="1235">
        <v>3.6669999999999997E-3</v>
      </c>
    </row>
    <row r="13" spans="2:30">
      <c r="B13" s="1234"/>
      <c r="C13" s="1235" t="s">
        <v>274</v>
      </c>
      <c r="D13" s="1234" t="s">
        <v>275</v>
      </c>
      <c r="E13" s="1235" t="s">
        <v>278</v>
      </c>
      <c r="F13" s="1234" t="s">
        <v>15</v>
      </c>
      <c r="G13" s="1236">
        <f ca="1">(IF(G$2&lt;YEAR(TODAY()),SUMIF(DemandPJ_historic[Year],CommDemand!G$2,_xlfn.XLOOKUP(CommDemand!$D13,DemandPJ_historic[#Headers],DemandPJ_historic[])),
SUMIF(DemandPJ_projection[Year],CommDemand!G$2,_xlfn.XLOOKUP(CommDemand!$D13,DemandPJ_projection[#Headers],DemandPJ_projection[])))/5)-G12</f>
        <v>0</v>
      </c>
      <c r="H13" s="1236">
        <f ca="1">(IF(H$2&lt;YEAR(TODAY()),SUMIF(DemandPJ_historic[Year],CommDemand!H$2,_xlfn.XLOOKUP(CommDemand!$D13,DemandPJ_historic[#Headers],DemandPJ_historic[])),
SUMIF(DemandPJ_projection[Year],CommDemand!H$2,_xlfn.XLOOKUP(CommDemand!$D13,DemandPJ_projection[#Headers],DemandPJ_projection[])))/5)-H12</f>
        <v>0</v>
      </c>
      <c r="I13" s="1236">
        <f ca="1">(IF(I$2&lt;YEAR(TODAY()),SUMIF(DemandPJ_historic[Year],CommDemand!I$2,_xlfn.XLOOKUP(CommDemand!$D13,DemandPJ_historic[#Headers],DemandPJ_historic[])),
SUMIF(DemandPJ_projection[Year],CommDemand!I$2,_xlfn.XLOOKUP(CommDemand!$D13,DemandPJ_projection[#Headers],DemandPJ_projection[])))/5)-I12</f>
        <v>0</v>
      </c>
      <c r="J13" s="1236">
        <f ca="1">(IF(J$2&lt;YEAR(TODAY()),SUMIF(DemandPJ_historic[Year],CommDemand!J$2,_xlfn.XLOOKUP(CommDemand!$D13,DemandPJ_historic[#Headers],DemandPJ_historic[])),
SUMIF(DemandPJ_projection[Year],CommDemand!J$2,_xlfn.XLOOKUP(CommDemand!$D13,DemandPJ_projection[#Headers],DemandPJ_projection[])))/5)-J12</f>
        <v>0</v>
      </c>
      <c r="K13" s="1236">
        <f ca="1">(IF(K$2&lt;YEAR(TODAY()),SUMIF(DemandPJ_historic[Year],CommDemand!K$2,_xlfn.XLOOKUP(CommDemand!$D13,DemandPJ_historic[#Headers],DemandPJ_historic[])),
SUMIF(DemandPJ_projection[Year],CommDemand!K$2,_xlfn.XLOOKUP(CommDemand!$D13,DemandPJ_projection[#Headers],DemandPJ_projection[])))/5)-K12</f>
        <v>0</v>
      </c>
      <c r="L13" s="1236">
        <f ca="1">(IF(L$2&lt;YEAR(TODAY()),SUMIF(DemandPJ_historic[Year],CommDemand!L$2,_xlfn.XLOOKUP(CommDemand!$D13,DemandPJ_historic[#Headers],DemandPJ_historic[])),
SUMIF(DemandPJ_projection[Year],CommDemand!L$2,_xlfn.XLOOKUP(CommDemand!$D13,DemandPJ_projection[#Headers],DemandPJ_projection[])))/5)-L12</f>
        <v>0</v>
      </c>
      <c r="M13" s="1236">
        <f ca="1">(IF(M$2&lt;YEAR(TODAY()),SUMIF(DemandPJ_historic[Year],CommDemand!M$2,_xlfn.XLOOKUP(CommDemand!$D13,DemandPJ_historic[#Headers],DemandPJ_historic[])),
SUMIF(DemandPJ_projection[Year],CommDemand!M$2,_xlfn.XLOOKUP(CommDemand!$D13,DemandPJ_projection[#Headers],DemandPJ_projection[])))/5)-M12</f>
        <v>0</v>
      </c>
      <c r="N13" s="1236">
        <f ca="1">(IF(N$2&lt;YEAR(TODAY()),SUMIF(DemandPJ_historic[Year],CommDemand!N$2,_xlfn.XLOOKUP(CommDemand!$D13,DemandPJ_historic[#Headers],DemandPJ_historic[])),
SUMIF(DemandPJ_projection[Year],CommDemand!N$2,_xlfn.XLOOKUP(CommDemand!$D13,DemandPJ_projection[#Headers],DemandPJ_projection[])))/5)-N12</f>
        <v>0</v>
      </c>
      <c r="O13" s="1236">
        <f ca="1">(IF(O$2&lt;YEAR(TODAY()),SUMIF(DemandPJ_historic[Year],CommDemand!O$2,_xlfn.XLOOKUP(CommDemand!$D13,DemandPJ_historic[#Headers],DemandPJ_historic[])),
SUMIF(DemandPJ_projection[Year],CommDemand!O$2,_xlfn.XLOOKUP(CommDemand!$D13,DemandPJ_projection[#Headers],DemandPJ_projection[])))/5)-O12</f>
        <v>0</v>
      </c>
      <c r="P13" s="1236">
        <f ca="1">(IF(P$2&lt;YEAR(TODAY()),SUMIF(DemandPJ_historic[Year],CommDemand!P$2,_xlfn.XLOOKUP(CommDemand!$D13,DemandPJ_historic[#Headers],DemandPJ_historic[])),
SUMIF(DemandPJ_projection[Year],CommDemand!P$2,_xlfn.XLOOKUP(CommDemand!$D13,DemandPJ_projection[#Headers],DemandPJ_projection[])))/5)-P12</f>
        <v>0</v>
      </c>
      <c r="Q13" s="1236">
        <f ca="1">(IF(Q$2&lt;YEAR(TODAY()),SUMIF(DemandPJ_historic[Year],CommDemand!Q$2,_xlfn.XLOOKUP(CommDemand!$D13,DemandPJ_historic[#Headers],DemandPJ_historic[])),
SUMIF(DemandPJ_projection[Year],CommDemand!Q$2,_xlfn.XLOOKUP(CommDemand!$D13,DemandPJ_projection[#Headers],DemandPJ_projection[])))/5)-Q12</f>
        <v>0</v>
      </c>
      <c r="R13" s="390" t="s">
        <v>277</v>
      </c>
      <c r="S13" s="1235">
        <v>9.5411000000000065E-2</v>
      </c>
      <c r="T13" s="1235">
        <v>0.17412999999999998</v>
      </c>
      <c r="U13" s="1235">
        <v>6.7175000000000026E-2</v>
      </c>
      <c r="V13" s="1235">
        <v>3.4660000000000008E-3</v>
      </c>
      <c r="W13" s="1235">
        <v>8.9707999999999996E-2</v>
      </c>
      <c r="X13" s="1235">
        <v>0.18588199999999996</v>
      </c>
      <c r="Y13" s="1235">
        <v>4.2991999999999982E-2</v>
      </c>
      <c r="Z13" s="1235">
        <v>4.9529999999999999E-3</v>
      </c>
      <c r="AA13" s="1235">
        <v>9.3811000000000019E-2</v>
      </c>
      <c r="AB13" s="1235">
        <v>0.19487299999999996</v>
      </c>
      <c r="AC13" s="1235">
        <v>4.3931999999999964E-2</v>
      </c>
      <c r="AD13" s="1235">
        <v>3.6669999999999997E-3</v>
      </c>
    </row>
    <row r="14" spans="2:30">
      <c r="B14" s="1234" t="s">
        <v>159</v>
      </c>
      <c r="C14" s="1235" t="s">
        <v>279</v>
      </c>
      <c r="D14" s="1234" t="s">
        <v>280</v>
      </c>
      <c r="E14" s="1235" t="s">
        <v>281</v>
      </c>
      <c r="F14" s="1234" t="s">
        <v>15</v>
      </c>
      <c r="G14" s="1236">
        <f ca="1">IF(G$2&lt;YEAR(TODAY()),SUMIFS(_xlfn.XLOOKUP(CommDemand!$D14,DemandPJ_historic[#Headers],DemandPJ_historic[]),DemandPJ_historic[Year],CommDemand!G$2,DemandPJ_historic[Fuel],"ELC"),
SUMIFS(_xlfn.XLOOKUP(CommDemand!$D14,DemandPJ_projection[#Headers],DemandPJ_projection[]),DemandPJ_projection[Year],CommDemand!G$2,DemandPJ_projection[Fuel],"ELC"))/5</f>
        <v>0.85331797090193773</v>
      </c>
      <c r="H14" s="1236">
        <f ca="1">IF(H$2&lt;YEAR(TODAY()),SUMIFS(_xlfn.XLOOKUP(CommDemand!$D14,DemandPJ_historic[#Headers],DemandPJ_historic[]),DemandPJ_historic[Year],CommDemand!H$2,DemandPJ_historic[Fuel],"ELC"),
SUMIFS(_xlfn.XLOOKUP(CommDemand!$D14,DemandPJ_projection[#Headers],DemandPJ_projection[]),DemandPJ_projection[Year],CommDemand!H$2,DemandPJ_projection[Fuel],"ELC"))/5</f>
        <v>0.86791222472670282</v>
      </c>
      <c r="I14" s="1236">
        <f ca="1">IF(I$2&lt;YEAR(TODAY()),SUMIFS(_xlfn.XLOOKUP(CommDemand!$D14,DemandPJ_historic[#Headers],DemandPJ_historic[]),DemandPJ_historic[Year],CommDemand!I$2,DemandPJ_historic[Fuel],"ELC"),
SUMIFS(_xlfn.XLOOKUP(CommDemand!$D14,DemandPJ_projection[#Headers],DemandPJ_projection[]),DemandPJ_projection[Year],CommDemand!I$2,DemandPJ_projection[Fuel],"ELC"))/5</f>
        <v>0.7075833471783175</v>
      </c>
      <c r="J14" s="1236">
        <f ca="1">IF(J$2&lt;YEAR(TODAY()),SUMIFS(_xlfn.XLOOKUP(CommDemand!$D14,DemandPJ_historic[#Headers],DemandPJ_historic[]),DemandPJ_historic[Year],CommDemand!J$2,DemandPJ_historic[Fuel],"ELC"),
SUMIFS(_xlfn.XLOOKUP(CommDemand!$D14,DemandPJ_projection[#Headers],DemandPJ_projection[]),DemandPJ_projection[Year],CommDemand!J$2,DemandPJ_projection[Fuel],"ELC"))/5</f>
        <v>0.7672098428108608</v>
      </c>
      <c r="K14" s="1236">
        <f ca="1">IF(K$2&lt;YEAR(TODAY()),SUMIFS(_xlfn.XLOOKUP(CommDemand!$D14,DemandPJ_historic[#Headers],DemandPJ_historic[]),DemandPJ_historic[Year],CommDemand!K$2,DemandPJ_historic[Fuel],"ELC"),
SUMIFS(_xlfn.XLOOKUP(CommDemand!$D14,DemandPJ_projection[#Headers],DemandPJ_projection[]),DemandPJ_projection[Year],CommDemand!K$2,DemandPJ_projection[Fuel],"ELC"))/5</f>
        <v>0.75046411377059274</v>
      </c>
      <c r="L14" s="1236">
        <f ca="1">IF(L$2&lt;YEAR(TODAY()),SUMIFS(_xlfn.XLOOKUP(CommDemand!$D14,DemandPJ_historic[#Headers],DemandPJ_historic[]),DemandPJ_historic[Year],CommDemand!L$2,DemandPJ_historic[Fuel],"ELC"),
SUMIFS(_xlfn.XLOOKUP(CommDemand!$D14,DemandPJ_projection[#Headers],DemandPJ_projection[]),DemandPJ_projection[Year],CommDemand!L$2,DemandPJ_projection[Fuel],"ELC"))/5</f>
        <v>0.76268190578084039</v>
      </c>
      <c r="M14" s="1236">
        <f ca="1">IF(M$2&lt;YEAR(TODAY()),SUMIFS(_xlfn.XLOOKUP(CommDemand!$D14,DemandPJ_historic[#Headers],DemandPJ_historic[]),DemandPJ_historic[Year],CommDemand!M$2,DemandPJ_historic[Fuel],"ELC"),
SUMIFS(_xlfn.XLOOKUP(CommDemand!$D14,DemandPJ_projection[#Headers],DemandPJ_projection[]),DemandPJ_projection[Year],CommDemand!M$2,DemandPJ_projection[Fuel],"ELC"))/5</f>
        <v>0.77781537945482726</v>
      </c>
      <c r="N14" s="1236">
        <f ca="1">IF(N$2&lt;YEAR(TODAY()),SUMIFS(_xlfn.XLOOKUP(CommDemand!$D14,DemandPJ_historic[#Headers],DemandPJ_historic[]),DemandPJ_historic[Year],CommDemand!N$2,DemandPJ_historic[Fuel],"ELC"),
SUMIFS(_xlfn.XLOOKUP(CommDemand!$D14,DemandPJ_projection[#Headers],DemandPJ_projection[]),DemandPJ_projection[Year],CommDemand!N$2,DemandPJ_projection[Fuel],"ELC"))/5</f>
        <v>0.79847600110343386</v>
      </c>
      <c r="O14" s="1236">
        <f ca="1">IF(O$2&lt;YEAR(TODAY()),SUMIFS(_xlfn.XLOOKUP(CommDemand!$D14,DemandPJ_historic[#Headers],DemandPJ_historic[]),DemandPJ_historic[Year],CommDemand!O$2,DemandPJ_historic[Fuel],"ELC"),
SUMIFS(_xlfn.XLOOKUP(CommDemand!$D14,DemandPJ_projection[#Headers],DemandPJ_projection[]),DemandPJ_projection[Year],CommDemand!O$2,DemandPJ_projection[Fuel],"ELC"))/5</f>
        <v>0.81793102988820043</v>
      </c>
      <c r="P14" s="1236">
        <f ca="1">IF(P$2&lt;YEAR(TODAY()),SUMIFS(_xlfn.XLOOKUP(CommDemand!$D14,DemandPJ_historic[#Headers],DemandPJ_historic[]),DemandPJ_historic[Year],CommDemand!P$2,DemandPJ_historic[Fuel],"ELC"),
SUMIFS(_xlfn.XLOOKUP(CommDemand!$D14,DemandPJ_projection[#Headers],DemandPJ_projection[]),DemandPJ_projection[Year],CommDemand!P$2,DemandPJ_projection[Fuel],"ELC"))/5</f>
        <v>0.76268190578084039</v>
      </c>
      <c r="Q14" s="1236">
        <f ca="1">IF(Q$2&lt;YEAR(TODAY()),SUMIFS(_xlfn.XLOOKUP(CommDemand!$D14,DemandPJ_historic[#Headers],DemandPJ_historic[]),DemandPJ_historic[Year],CommDemand!Q$2,DemandPJ_historic[Fuel],"ELC"),
SUMIFS(_xlfn.XLOOKUP(CommDemand!$D14,DemandPJ_projection[#Headers],DemandPJ_projection[]),DemandPJ_projection[Year],CommDemand!Q$2,DemandPJ_projection[Fuel],"ELC"))/5</f>
        <v>0.76268190578084039</v>
      </c>
      <c r="R14" s="390" t="s">
        <v>282</v>
      </c>
      <c r="S14" s="1235">
        <v>8.8409180000000157E-2</v>
      </c>
      <c r="T14" s="1235">
        <v>0.10056910999999999</v>
      </c>
      <c r="U14" s="1235">
        <v>0.14146522</v>
      </c>
      <c r="V14" s="1235">
        <v>3.8906599999999998E-3</v>
      </c>
      <c r="W14" s="1235">
        <v>0.10269187999999997</v>
      </c>
      <c r="X14" s="1235">
        <v>0.11269183000000003</v>
      </c>
      <c r="Y14" s="1235">
        <v>0.11543107000000002</v>
      </c>
      <c r="Z14" s="1235">
        <v>3.5194299999999996E-3</v>
      </c>
      <c r="AA14" s="1235">
        <v>8.756230999999999E-2</v>
      </c>
      <c r="AB14" s="1235">
        <v>0.11300045000000006</v>
      </c>
      <c r="AC14" s="1235">
        <v>0.12691578999999997</v>
      </c>
      <c r="AD14" s="1235">
        <v>3.8530700000000005E-3</v>
      </c>
    </row>
    <row r="15" spans="2:30">
      <c r="B15" s="1234"/>
      <c r="C15" s="1235" t="s">
        <v>283</v>
      </c>
      <c r="D15" s="1234" t="s">
        <v>280</v>
      </c>
      <c r="E15" s="1235" t="s">
        <v>284</v>
      </c>
      <c r="F15" s="1234" t="s">
        <v>15</v>
      </c>
      <c r="G15" s="1236">
        <f ca="1">(IF(G$2&lt;YEAR(TODAY()),SUMIF(DemandPJ_historic[Year],CommDemand!G$2,_xlfn.XLOOKUP(CommDemand!$D15,DemandPJ_historic[#Headers],DemandPJ_historic[])),
SUMIF(DemandPJ_projection[Year],CommDemand!G$2,_xlfn.XLOOKUP(CommDemand!$D15,DemandPJ_projection[#Headers],DemandPJ_projection[])))/5)-G14</f>
        <v>7.351398002172671E-2</v>
      </c>
      <c r="H15" s="1236">
        <f ca="1">(IF(H$2&lt;YEAR(TODAY()),SUMIF(DemandPJ_historic[Year],CommDemand!H$2,_xlfn.XLOOKUP(CommDemand!$D15,DemandPJ_historic[#Headers],DemandPJ_historic[])),
SUMIF(DemandPJ_projection[Year],CommDemand!H$2,_xlfn.XLOOKUP(CommDemand!$D15,DemandPJ_projection[#Headers],DemandPJ_projection[])))/5)-H14</f>
        <v>8.469062247481407E-2</v>
      </c>
      <c r="I15" s="1236">
        <f ca="1">(IF(I$2&lt;YEAR(TODAY()),SUMIF(DemandPJ_historic[Year],CommDemand!I$2,_xlfn.XLOOKUP(CommDemand!$D15,DemandPJ_historic[#Headers],DemandPJ_historic[])),
SUMIF(DemandPJ_projection[Year],CommDemand!I$2,_xlfn.XLOOKUP(CommDemand!$D15,DemandPJ_projection[#Headers],DemandPJ_projection[])))/5)-I14</f>
        <v>7.7758159272538041E-2</v>
      </c>
      <c r="J15" s="1236">
        <f ca="1">(IF(J$2&lt;YEAR(TODAY()),SUMIF(DemandPJ_historic[Year],CommDemand!J$2,_xlfn.XLOOKUP(CommDemand!$D15,DemandPJ_historic[#Headers],DemandPJ_historic[])),
SUMIF(DemandPJ_projection[Year],CommDemand!J$2,_xlfn.XLOOKUP(CommDemand!$D15,DemandPJ_projection[#Headers],DemandPJ_projection[])))/5)-J14</f>
        <v>4.7818160130425169E-2</v>
      </c>
      <c r="K15" s="1236">
        <f ca="1">(IF(K$2&lt;YEAR(TODAY()),SUMIF(DemandPJ_historic[Year],CommDemand!K$2,_xlfn.XLOOKUP(CommDemand!$D15,DemandPJ_historic[#Headers],DemandPJ_historic[])),
SUMIF(DemandPJ_projection[Year],CommDemand!K$2,_xlfn.XLOOKUP(CommDemand!$D15,DemandPJ_projection[#Headers],DemandPJ_projection[])))/5)-K14</f>
        <v>4.6104527746777424E-2</v>
      </c>
      <c r="L15" s="1236">
        <f ca="1">(IF(L$2&lt;YEAR(TODAY()),SUMIF(DemandPJ_historic[Year],CommDemand!L$2,_xlfn.XLOOKUP(CommDemand!$D15,DemandPJ_historic[#Headers],DemandPJ_historic[])),
SUMIF(DemandPJ_projection[Year],CommDemand!L$2,_xlfn.XLOOKUP(CommDemand!$D15,DemandPJ_projection[#Headers],DemandPJ_projection[])))/5)-L14</f>
        <v>4.4532909506133422E-2</v>
      </c>
      <c r="M15" s="1236">
        <f ca="1">(IF(M$2&lt;YEAR(TODAY()),SUMIF(DemandPJ_historic[Year],CommDemand!M$2,_xlfn.XLOOKUP(CommDemand!$D15,DemandPJ_historic[#Headers],DemandPJ_historic[])),
SUMIF(DemandPJ_projection[Year],CommDemand!M$2,_xlfn.XLOOKUP(CommDemand!$D15,DemandPJ_projection[#Headers],DemandPJ_projection[])))/5)-M14</f>
        <v>4.2641030621516696E-2</v>
      </c>
      <c r="N15" s="1236">
        <f ca="1">(IF(N$2&lt;YEAR(TODAY()),SUMIF(DemandPJ_historic[Year],CommDemand!N$2,_xlfn.XLOOKUP(CommDemand!$D15,DemandPJ_historic[#Headers],DemandPJ_historic[])),
SUMIF(DemandPJ_projection[Year],CommDemand!N$2,_xlfn.XLOOKUP(CommDemand!$D15,DemandPJ_projection[#Headers],DemandPJ_projection[])))/5)-N14</f>
        <v>4.2143204737098872E-2</v>
      </c>
      <c r="O15" s="1236">
        <f ca="1">(IF(O$2&lt;YEAR(TODAY()),SUMIF(DemandPJ_historic[Year],CommDemand!O$2,_xlfn.XLOOKUP(CommDemand!$D15,DemandPJ_historic[#Headers],DemandPJ_historic[])),
SUMIF(DemandPJ_projection[Year],CommDemand!O$2,_xlfn.XLOOKUP(CommDemand!$D15,DemandPJ_projection[#Headers],DemandPJ_projection[])))/5)-O14</f>
        <v>4.2000195343964819E-2</v>
      </c>
      <c r="P15" s="1236">
        <f ca="1">(IF(P$2&lt;YEAR(TODAY()),SUMIF(DemandPJ_historic[Year],CommDemand!P$2,_xlfn.XLOOKUP(CommDemand!$D15,DemandPJ_historic[#Headers],DemandPJ_historic[])),
SUMIF(DemandPJ_projection[Year],CommDemand!P$2,_xlfn.XLOOKUP(CommDemand!$D15,DemandPJ_projection[#Headers],DemandPJ_projection[])))/5)-P14</f>
        <v>4.4532909506133422E-2</v>
      </c>
      <c r="Q15" s="1236">
        <f ca="1">(IF(Q$2&lt;YEAR(TODAY()),SUMIF(DemandPJ_historic[Year],CommDemand!Q$2,_xlfn.XLOOKUP(CommDemand!$D15,DemandPJ_historic[#Headers],DemandPJ_historic[])),
SUMIF(DemandPJ_projection[Year],CommDemand!Q$2,_xlfn.XLOOKUP(CommDemand!$D15,DemandPJ_projection[#Headers],DemandPJ_projection[])))/5)-Q14</f>
        <v>4.4532909506133422E-2</v>
      </c>
      <c r="R15" s="390" t="s">
        <v>282</v>
      </c>
      <c r="S15" s="1235">
        <v>8.8409180000000157E-2</v>
      </c>
      <c r="T15" s="1235">
        <v>0.10056910999999999</v>
      </c>
      <c r="U15" s="1235">
        <v>0.14146522</v>
      </c>
      <c r="V15" s="1235">
        <v>3.8906599999999998E-3</v>
      </c>
      <c r="W15" s="1235">
        <v>0.10269187999999997</v>
      </c>
      <c r="X15" s="1235">
        <v>0.11269183000000003</v>
      </c>
      <c r="Y15" s="1235">
        <v>0.11543107000000002</v>
      </c>
      <c r="Z15" s="1235">
        <v>3.5194299999999996E-3</v>
      </c>
      <c r="AA15" s="1235">
        <v>8.756230999999999E-2</v>
      </c>
      <c r="AB15" s="1235">
        <v>0.11300045000000006</v>
      </c>
      <c r="AC15" s="1235">
        <v>0.12691578999999997</v>
      </c>
      <c r="AD15" s="1235">
        <v>3.8530700000000005E-3</v>
      </c>
    </row>
    <row r="16" spans="2:30">
      <c r="B16" s="1234" t="s">
        <v>159</v>
      </c>
      <c r="C16" s="1235" t="s">
        <v>285</v>
      </c>
      <c r="D16" s="1234" t="s">
        <v>286</v>
      </c>
      <c r="E16" s="1235" t="s">
        <v>287</v>
      </c>
      <c r="F16" s="1234" t="s">
        <v>15</v>
      </c>
      <c r="G16" s="1236">
        <f ca="1">IF(G$2&lt;YEAR(TODAY()),SUMIFS(_xlfn.XLOOKUP(CommDemand!$D16,DemandPJ_historic[#Headers],DemandPJ_historic[]),DemandPJ_historic[Year],CommDemand!G$2,DemandPJ_historic[Fuel],"ELC"),
SUMIFS(_xlfn.XLOOKUP(CommDemand!$D16,DemandPJ_projection[#Headers],DemandPJ_projection[]),DemandPJ_projection[Year],CommDemand!G$2,DemandPJ_projection[Fuel],"ELC"))/5</f>
        <v>0.80485747527166929</v>
      </c>
      <c r="H16" s="1236">
        <f ca="1">IF(H$2&lt;YEAR(TODAY()),SUMIFS(_xlfn.XLOOKUP(CommDemand!$D16,DemandPJ_historic[#Headers],DemandPJ_historic[]),DemandPJ_historic[Year],CommDemand!H$2,DemandPJ_historic[Fuel],"ELC"),
SUMIFS(_xlfn.XLOOKUP(CommDemand!$D16,DemandPJ_projection[#Headers],DemandPJ_projection[]),DemandPJ_projection[Year],CommDemand!H$2,DemandPJ_projection[Fuel],"ELC"))/5</f>
        <v>0.81862291170617763</v>
      </c>
      <c r="I16" s="1236">
        <f ca="1">IF(I$2&lt;YEAR(TODAY()),SUMIFS(_xlfn.XLOOKUP(CommDemand!$D16,DemandPJ_historic[#Headers],DemandPJ_historic[]),DemandPJ_historic[Year],CommDemand!I$2,DemandPJ_historic[Fuel],"ELC"),
SUMIFS(_xlfn.XLOOKUP(CommDemand!$D16,DemandPJ_projection[#Headers],DemandPJ_projection[]),DemandPJ_projection[Year],CommDemand!I$2,DemandPJ_projection[Fuel],"ELC"))/5</f>
        <v>0.66739921784638512</v>
      </c>
      <c r="J16" s="1236">
        <f ca="1">IF(J$2&lt;YEAR(TODAY()),SUMIFS(_xlfn.XLOOKUP(CommDemand!$D16,DemandPJ_historic[#Headers],DemandPJ_historic[]),DemandPJ_historic[Year],CommDemand!J$2,DemandPJ_historic[Fuel],"ELC"),
SUMIFS(_xlfn.XLOOKUP(CommDemand!$D16,DemandPJ_projection[#Headers],DemandPJ_projection[]),DemandPJ_projection[Year],CommDemand!J$2,DemandPJ_projection[Fuel],"ELC"))/5</f>
        <v>0.72363948509797105</v>
      </c>
      <c r="K16" s="1236">
        <f ca="1">IF(K$2&lt;YEAR(TODAY()),SUMIFS(_xlfn.XLOOKUP(CommDemand!$D16,DemandPJ_historic[#Headers],DemandPJ_historic[]),DemandPJ_historic[Year],CommDemand!K$2,DemandPJ_historic[Fuel],"ELC"),
SUMIFS(_xlfn.XLOOKUP(CommDemand!$D16,DemandPJ_projection[#Headers],DemandPJ_projection[]),DemandPJ_projection[Year],CommDemand!K$2,DemandPJ_projection[Fuel],"ELC"))/5</f>
        <v>0.70784475715770778</v>
      </c>
      <c r="L16" s="1236">
        <f ca="1">IF(L$2&lt;YEAR(TODAY()),SUMIFS(_xlfn.XLOOKUP(CommDemand!$D16,DemandPJ_historic[#Headers],DemandPJ_historic[]),DemandPJ_historic[Year],CommDemand!L$2,DemandPJ_historic[Fuel],"ELC"),
SUMIFS(_xlfn.XLOOKUP(CommDemand!$D16,DemandPJ_projection[#Headers],DemandPJ_projection[]),DemandPJ_projection[Year],CommDemand!L$2,DemandPJ_projection[Fuel],"ELC"))/5</f>
        <v>0.71936869262618075</v>
      </c>
      <c r="M16" s="1236">
        <f ca="1">IF(M$2&lt;YEAR(TODAY()),SUMIFS(_xlfn.XLOOKUP(CommDemand!$D16,DemandPJ_historic[#Headers],DemandPJ_historic[]),DemandPJ_historic[Year],CommDemand!M$2,DemandPJ_historic[Fuel],"ELC"),
SUMIFS(_xlfn.XLOOKUP(CommDemand!$D16,DemandPJ_projection[#Headers],DemandPJ_projection[]),DemandPJ_projection[Year],CommDemand!M$2,DemandPJ_projection[Fuel],"ELC"))/5</f>
        <v>0.73364272625570937</v>
      </c>
      <c r="N16" s="1236">
        <f ca="1">IF(N$2&lt;YEAR(TODAY()),SUMIFS(_xlfn.XLOOKUP(CommDemand!$D16,DemandPJ_historic[#Headers],DemandPJ_historic[]),DemandPJ_historic[Year],CommDemand!N$2,DemandPJ_historic[Fuel],"ELC"),
SUMIFS(_xlfn.XLOOKUP(CommDemand!$D16,DemandPJ_projection[#Headers],DemandPJ_projection[]),DemandPJ_projection[Year],CommDemand!N$2,DemandPJ_projection[Fuel],"ELC"))/5</f>
        <v>0.75313001744689845</v>
      </c>
      <c r="O16" s="1236">
        <f ca="1">IF(O$2&lt;YEAR(TODAY()),SUMIFS(_xlfn.XLOOKUP(CommDemand!$D16,DemandPJ_historic[#Headers],DemandPJ_historic[]),DemandPJ_historic[Year],CommDemand!O$2,DemandPJ_historic[Fuel],"ELC"),
SUMIFS(_xlfn.XLOOKUP(CommDemand!$D16,DemandPJ_projection[#Headers],DemandPJ_projection[]),DemandPJ_projection[Year],CommDemand!O$2,DemandPJ_projection[Fuel],"ELC"))/5</f>
        <v>0.77148018219556092</v>
      </c>
      <c r="P16" s="1236">
        <f ca="1">IF(P$2&lt;YEAR(TODAY()),SUMIFS(_xlfn.XLOOKUP(CommDemand!$D16,DemandPJ_historic[#Headers],DemandPJ_historic[]),DemandPJ_historic[Year],CommDemand!P$2,DemandPJ_historic[Fuel],"ELC"),
SUMIFS(_xlfn.XLOOKUP(CommDemand!$D16,DemandPJ_projection[#Headers],DemandPJ_projection[]),DemandPJ_projection[Year],CommDemand!P$2,DemandPJ_projection[Fuel],"ELC"))/5</f>
        <v>0.71936869262618075</v>
      </c>
      <c r="Q16" s="1236">
        <f ca="1">IF(Q$2&lt;YEAR(TODAY()),SUMIFS(_xlfn.XLOOKUP(CommDemand!$D16,DemandPJ_historic[#Headers],DemandPJ_historic[]),DemandPJ_historic[Year],CommDemand!Q$2,DemandPJ_historic[Fuel],"ELC"),
SUMIFS(_xlfn.XLOOKUP(CommDemand!$D16,DemandPJ_projection[#Headers],DemandPJ_projection[]),DemandPJ_projection[Year],CommDemand!Q$2,DemandPJ_projection[Fuel],"ELC"))/5</f>
        <v>0.71936869262618075</v>
      </c>
      <c r="R16" s="390" t="s">
        <v>288</v>
      </c>
      <c r="S16" s="1235">
        <v>8.4093389999999948E-2</v>
      </c>
      <c r="T16" s="1235">
        <v>9.7681580000000032E-2</v>
      </c>
      <c r="U16" s="1235">
        <v>0.14881920999999992</v>
      </c>
      <c r="V16" s="1235">
        <v>3.6185900000000005E-3</v>
      </c>
      <c r="W16" s="1235">
        <v>9.9103949999999996E-2</v>
      </c>
      <c r="X16" s="1235">
        <v>0.11041002000000001</v>
      </c>
      <c r="Y16" s="1235">
        <v>0.12152309000000004</v>
      </c>
      <c r="Z16" s="1235">
        <v>3.1765500000000002E-3</v>
      </c>
      <c r="AA16" s="1235">
        <v>8.3393229999999971E-2</v>
      </c>
      <c r="AB16" s="1235">
        <v>0.11061763000000001</v>
      </c>
      <c r="AC16" s="1235">
        <v>0.13394507999999999</v>
      </c>
      <c r="AD16" s="1235">
        <v>3.6176799999999999E-3</v>
      </c>
    </row>
    <row r="17" spans="2:30">
      <c r="B17" s="1234"/>
      <c r="C17" s="1235" t="s">
        <v>289</v>
      </c>
      <c r="D17" s="1234" t="s">
        <v>286</v>
      </c>
      <c r="E17" s="1235" t="s">
        <v>290</v>
      </c>
      <c r="F17" s="1234" t="s">
        <v>15</v>
      </c>
      <c r="G17" s="1236">
        <f ca="1">(IF(G$2&lt;YEAR(TODAY()),SUMIF(DemandPJ_historic[Year],CommDemand!G$2,_xlfn.XLOOKUP(CommDemand!$D17,DemandPJ_historic[#Headers],DemandPJ_historic[])),
SUMIF(DemandPJ_projection[Year],CommDemand!G$2,_xlfn.XLOOKUP(CommDemand!$D17,DemandPJ_projection[#Headers],DemandPJ_projection[])))/5)-G16</f>
        <v>1.5180915870690148E-2</v>
      </c>
      <c r="H17" s="1236">
        <f ca="1">(IF(H$2&lt;YEAR(TODAY()),SUMIF(DemandPJ_historic[Year],CommDemand!H$2,_xlfn.XLOOKUP(CommDemand!$D17,DemandPJ_historic[#Headers],DemandPJ_historic[])),
SUMIF(DemandPJ_projection[Year],CommDemand!H$2,_xlfn.XLOOKUP(CommDemand!$D17,DemandPJ_projection[#Headers],DemandPJ_projection[])))/5)-H16</f>
        <v>1.7937930970050919E-2</v>
      </c>
      <c r="I17" s="1236">
        <f ca="1">(IF(I$2&lt;YEAR(TODAY()),SUMIF(DemandPJ_historic[Year],CommDemand!I$2,_xlfn.XLOOKUP(CommDemand!$D17,DemandPJ_historic[#Headers],DemandPJ_historic[])),
SUMIF(DemandPJ_projection[Year],CommDemand!I$2,_xlfn.XLOOKUP(CommDemand!$D17,DemandPJ_projection[#Headers],DemandPJ_projection[])))/5)-I16</f>
        <v>1.8510636014070436E-2</v>
      </c>
      <c r="J17" s="1236">
        <f ca="1">(IF(J$2&lt;YEAR(TODAY()),SUMIF(DemandPJ_historic[Year],CommDemand!J$2,_xlfn.XLOOKUP(CommDemand!$D17,DemandPJ_historic[#Headers],DemandPJ_historic[])),
SUMIF(DemandPJ_projection[Year],CommDemand!J$2,_xlfn.XLOOKUP(CommDemand!$D17,DemandPJ_projection[#Headers],DemandPJ_projection[])))/5)-J16</f>
        <v>1.0318930478851018E-2</v>
      </c>
      <c r="K17" s="1236">
        <f ca="1">(IF(K$2&lt;YEAR(TODAY()),SUMIF(DemandPJ_historic[Year],CommDemand!K$2,_xlfn.XLOOKUP(CommDemand!$D17,DemandPJ_historic[#Headers],DemandPJ_historic[])),
SUMIF(DemandPJ_projection[Year],CommDemand!K$2,_xlfn.XLOOKUP(CommDemand!$D17,DemandPJ_projection[#Headers],DemandPJ_projection[])))/5)-K16</f>
        <v>1.0041483830148357E-2</v>
      </c>
      <c r="L17" s="1236">
        <f ca="1">(IF(L$2&lt;YEAR(TODAY()),SUMIF(DemandPJ_historic[Year],CommDemand!L$2,_xlfn.XLOOKUP(CommDemand!$D17,DemandPJ_historic[#Headers],DemandPJ_historic[])),
SUMIF(DemandPJ_projection[Year],CommDemand!L$2,_xlfn.XLOOKUP(CommDemand!$D17,DemandPJ_projection[#Headers],DemandPJ_projection[])))/5)-L16</f>
        <v>9.6410102462551883E-3</v>
      </c>
      <c r="M17" s="1236">
        <f ca="1">(IF(M$2&lt;YEAR(TODAY()),SUMIF(DemandPJ_historic[Year],CommDemand!M$2,_xlfn.XLOOKUP(CommDemand!$D17,DemandPJ_historic[#Headers],DemandPJ_historic[])),
SUMIF(DemandPJ_projection[Year],CommDemand!M$2,_xlfn.XLOOKUP(CommDemand!$D17,DemandPJ_projection[#Headers],DemandPJ_projection[])))/5)-M16</f>
        <v>9.153597674016134E-3</v>
      </c>
      <c r="N17" s="1236">
        <f ca="1">(IF(N$2&lt;YEAR(TODAY()),SUMIF(DemandPJ_historic[Year],CommDemand!N$2,_xlfn.XLOOKUP(CommDemand!$D17,DemandPJ_historic[#Headers],DemandPJ_historic[])),
SUMIF(DemandPJ_projection[Year],CommDemand!N$2,_xlfn.XLOOKUP(CommDemand!$D17,DemandPJ_projection[#Headers],DemandPJ_projection[])))/5)-N16</f>
        <v>8.8838435873548338E-3</v>
      </c>
      <c r="O17" s="1236">
        <f ca="1">(IF(O$2&lt;YEAR(TODAY()),SUMIF(DemandPJ_historic[Year],CommDemand!O$2,_xlfn.XLOOKUP(CommDemand!$D17,DemandPJ_historic[#Headers],DemandPJ_historic[])),
SUMIF(DemandPJ_projection[Year],CommDemand!O$2,_xlfn.XLOOKUP(CommDemand!$D17,DemandPJ_projection[#Headers],DemandPJ_projection[])))/5)-O16</f>
        <v>8.7228441381675959E-3</v>
      </c>
      <c r="P17" s="1236">
        <f ca="1">(IF(P$2&lt;YEAR(TODAY()),SUMIF(DemandPJ_historic[Year],CommDemand!P$2,_xlfn.XLOOKUP(CommDemand!$D17,DemandPJ_historic[#Headers],DemandPJ_historic[])),
SUMIF(DemandPJ_projection[Year],CommDemand!P$2,_xlfn.XLOOKUP(CommDemand!$D17,DemandPJ_projection[#Headers],DemandPJ_projection[])))/5)-P16</f>
        <v>9.6410102462551883E-3</v>
      </c>
      <c r="Q17" s="1236">
        <f ca="1">(IF(Q$2&lt;YEAR(TODAY()),SUMIF(DemandPJ_historic[Year],CommDemand!Q$2,_xlfn.XLOOKUP(CommDemand!$D17,DemandPJ_historic[#Headers],DemandPJ_historic[])),
SUMIF(DemandPJ_projection[Year],CommDemand!Q$2,_xlfn.XLOOKUP(CommDemand!$D17,DemandPJ_projection[#Headers],DemandPJ_projection[])))/5)-Q16</f>
        <v>9.6410102462551883E-3</v>
      </c>
      <c r="R17" s="390" t="s">
        <v>288</v>
      </c>
      <c r="S17" s="1235">
        <v>8.4093389999999948E-2</v>
      </c>
      <c r="T17" s="1235">
        <v>9.7681580000000032E-2</v>
      </c>
      <c r="U17" s="1235">
        <v>0.14881920999999992</v>
      </c>
      <c r="V17" s="1235">
        <v>3.6185900000000005E-3</v>
      </c>
      <c r="W17" s="1235">
        <v>9.9103949999999996E-2</v>
      </c>
      <c r="X17" s="1235">
        <v>0.11041002000000001</v>
      </c>
      <c r="Y17" s="1235">
        <v>0.12152309000000004</v>
      </c>
      <c r="Z17" s="1235">
        <v>3.1765500000000002E-3</v>
      </c>
      <c r="AA17" s="1235">
        <v>8.3393229999999971E-2</v>
      </c>
      <c r="AB17" s="1235">
        <v>0.11061763000000001</v>
      </c>
      <c r="AC17" s="1235">
        <v>0.13394507999999999</v>
      </c>
      <c r="AD17" s="1235">
        <v>3.6176799999999999E-3</v>
      </c>
    </row>
    <row r="18" spans="2:30">
      <c r="B18" s="1168" t="s">
        <v>11</v>
      </c>
      <c r="C18" s="1169" t="s">
        <v>22</v>
      </c>
      <c r="D18" s="1168" t="s">
        <v>291</v>
      </c>
      <c r="E18" s="1168" t="s">
        <v>292</v>
      </c>
      <c r="F18" s="1168" t="s">
        <v>15</v>
      </c>
      <c r="G18" s="1171">
        <f ca="1">SUM(G10,G12,G14,G16)</f>
        <v>2.5937705417268675</v>
      </c>
      <c r="H18" s="1171">
        <f t="shared" ref="H18:Q18" ca="1" si="1">SUM(H10,H12,H14,H16)</f>
        <v>2.6381316672861348</v>
      </c>
      <c r="I18" s="1171">
        <f t="shared" ca="1" si="1"/>
        <v>2.150791269270627</v>
      </c>
      <c r="J18" s="1171">
        <f t="shared" ca="1" si="1"/>
        <v>2.3320337288834572</v>
      </c>
      <c r="K18" s="1171">
        <f t="shared" ca="1" si="1"/>
        <v>2.2811329156280209</v>
      </c>
      <c r="L18" s="1171">
        <f t="shared" ca="1" si="1"/>
        <v>2.3182704775706462</v>
      </c>
      <c r="M18" s="1171">
        <f t="shared" ca="1" si="1"/>
        <v>2.364270631731348</v>
      </c>
      <c r="N18" s="1171">
        <f t="shared" ca="1" si="1"/>
        <v>2.4270712683443065</v>
      </c>
      <c r="O18" s="1171">
        <f t="shared" ca="1" si="1"/>
        <v>2.4862073492322305</v>
      </c>
      <c r="P18" s="1171">
        <f t="shared" ca="1" si="1"/>
        <v>2.3182704775706462</v>
      </c>
      <c r="Q18" s="1171">
        <f t="shared" ca="1" si="1"/>
        <v>2.3182704775706462</v>
      </c>
      <c r="R18" s="390" t="s">
        <v>282</v>
      </c>
      <c r="S18" s="1169">
        <v>8.8409180000000157E-2</v>
      </c>
      <c r="T18" s="1169">
        <v>0.10056910999999999</v>
      </c>
      <c r="U18" s="1169">
        <v>0.14146522</v>
      </c>
      <c r="V18" s="1169">
        <v>3.8906599999999998E-3</v>
      </c>
      <c r="W18" s="1169">
        <v>0.10269187999999997</v>
      </c>
      <c r="X18" s="1169">
        <v>0.11269183000000003</v>
      </c>
      <c r="Y18" s="1169">
        <v>0.11543107000000002</v>
      </c>
      <c r="Z18" s="1169">
        <v>3.5194299999999996E-3</v>
      </c>
      <c r="AA18" s="1169">
        <v>8.756230999999999E-2</v>
      </c>
      <c r="AB18" s="1169">
        <v>0.11300045000000006</v>
      </c>
      <c r="AC18" s="1169">
        <v>0.12691578999999997</v>
      </c>
      <c r="AD18" s="1169">
        <v>3.8530700000000005E-3</v>
      </c>
    </row>
    <row r="19" spans="2:30">
      <c r="B19" s="1168" t="s">
        <v>11</v>
      </c>
      <c r="C19" s="1169" t="s">
        <v>24</v>
      </c>
      <c r="D19" s="1168" t="s">
        <v>291</v>
      </c>
      <c r="E19" s="1168" t="s">
        <v>292</v>
      </c>
      <c r="F19" s="1168" t="s">
        <v>15</v>
      </c>
      <c r="G19" s="1171">
        <f ca="1">SUM(G11,G13,G15,G17)</f>
        <v>8.8694895892416858E-2</v>
      </c>
      <c r="H19" s="1171">
        <f t="shared" ref="H19:Q19" ca="1" si="2">SUM(H11,H13,H15,H17)</f>
        <v>0.10262855344486499</v>
      </c>
      <c r="I19" s="1171">
        <f t="shared" ca="1" si="2"/>
        <v>9.6268795286608477E-2</v>
      </c>
      <c r="J19" s="1171">
        <f t="shared" ca="1" si="2"/>
        <v>5.8137090609276187E-2</v>
      </c>
      <c r="K19" s="1171">
        <f t="shared" ca="1" si="2"/>
        <v>5.6146011576925781E-2</v>
      </c>
      <c r="L19" s="1171">
        <f t="shared" ca="1" si="2"/>
        <v>5.4173919752388611E-2</v>
      </c>
      <c r="M19" s="1171">
        <f t="shared" ca="1" si="2"/>
        <v>5.179462829553283E-2</v>
      </c>
      <c r="N19" s="1171">
        <f t="shared" ca="1" si="2"/>
        <v>5.1027048324453705E-2</v>
      </c>
      <c r="O19" s="1171">
        <f t="shared" ca="1" si="2"/>
        <v>5.0723039482132415E-2</v>
      </c>
      <c r="P19" s="1171">
        <f t="shared" ca="1" si="2"/>
        <v>5.4173919752388611E-2</v>
      </c>
      <c r="Q19" s="1171">
        <f t="shared" ca="1" si="2"/>
        <v>5.4173919752388611E-2</v>
      </c>
      <c r="R19" s="390" t="s">
        <v>282</v>
      </c>
      <c r="S19" s="1169">
        <v>8.8409180000000157E-2</v>
      </c>
      <c r="T19" s="1169">
        <v>0.10056910999999999</v>
      </c>
      <c r="U19" s="1169">
        <v>0.14146522</v>
      </c>
      <c r="V19" s="1169">
        <v>3.8906599999999998E-3</v>
      </c>
      <c r="W19" s="1169">
        <v>0.10269187999999997</v>
      </c>
      <c r="X19" s="1169">
        <v>0.11269183000000003</v>
      </c>
      <c r="Y19" s="1169">
        <v>0.11543107000000002</v>
      </c>
      <c r="Z19" s="1169">
        <v>3.5194299999999996E-3</v>
      </c>
      <c r="AA19" s="1169">
        <v>8.756230999999999E-2</v>
      </c>
      <c r="AB19" s="1169">
        <v>0.11300045000000006</v>
      </c>
      <c r="AC19" s="1169">
        <v>0.12691578999999997</v>
      </c>
      <c r="AD19" s="1169">
        <v>3.8530700000000005E-3</v>
      </c>
    </row>
  </sheetData>
  <hyperlinks>
    <hyperlink ref="S3" r:id="rId1" xr:uid="{6A03DD11-F573-4359-9C73-B917C9FBDCE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2318-CEBE-4C36-AE98-82096FA57A76}">
  <dimension ref="B3:P9"/>
  <sheetViews>
    <sheetView workbookViewId="0"/>
  </sheetViews>
  <sheetFormatPr defaultColWidth="9" defaultRowHeight="13.9"/>
  <cols>
    <col min="1" max="1" width="3.625" style="224" customWidth="1"/>
    <col min="2" max="2" width="6.5" style="224" bestFit="1" customWidth="1"/>
    <col min="3" max="3" width="10.625" style="224" bestFit="1" customWidth="1"/>
    <col min="4" max="4" width="21.375" style="224" bestFit="1" customWidth="1"/>
    <col min="5" max="5" width="5.375" style="224" bestFit="1" customWidth="1"/>
    <col min="6" max="15" width="14.5" style="224" bestFit="1" customWidth="1"/>
    <col min="16" max="16384" width="9" style="224"/>
  </cols>
  <sheetData>
    <row r="3" spans="2:16" s="1" customFormat="1" thickBot="1">
      <c r="B3" s="1266" t="s">
        <v>1</v>
      </c>
      <c r="C3" s="1266" t="s">
        <v>3</v>
      </c>
      <c r="D3" s="1266" t="s">
        <v>234</v>
      </c>
      <c r="E3" s="1266" t="s">
        <v>235</v>
      </c>
      <c r="F3" s="1266" t="s">
        <v>236</v>
      </c>
      <c r="G3" s="1266" t="s">
        <v>237</v>
      </c>
      <c r="H3" s="1266" t="s">
        <v>238</v>
      </c>
      <c r="I3" s="1266" t="s">
        <v>240</v>
      </c>
      <c r="J3" s="1266" t="s">
        <v>241</v>
      </c>
      <c r="K3" s="1266" t="s">
        <v>242</v>
      </c>
      <c r="L3" s="1266" t="s">
        <v>243</v>
      </c>
      <c r="M3" s="1266" t="s">
        <v>244</v>
      </c>
      <c r="N3" s="1266" t="s">
        <v>245</v>
      </c>
      <c r="O3" s="1266" t="s">
        <v>246</v>
      </c>
    </row>
    <row r="4" spans="2:16" s="1" customFormat="1" ht="13.15">
      <c r="B4" s="283" t="s">
        <v>293</v>
      </c>
      <c r="C4" s="284"/>
      <c r="D4" s="284"/>
      <c r="E4" s="284"/>
      <c r="F4" s="285"/>
      <c r="G4" s="285"/>
      <c r="H4" s="285"/>
      <c r="I4" s="285"/>
      <c r="J4" s="285"/>
      <c r="K4" s="285"/>
      <c r="L4" s="285"/>
      <c r="M4" s="285"/>
      <c r="N4" s="285"/>
      <c r="O4" s="285"/>
    </row>
    <row r="5" spans="2:16" s="1" customFormat="1" ht="13.15">
      <c r="B5" s="281" t="s">
        <v>294</v>
      </c>
      <c r="C5" s="281" t="s">
        <v>295</v>
      </c>
      <c r="D5" s="281" t="s">
        <v>296</v>
      </c>
      <c r="E5" s="281" t="s">
        <v>15</v>
      </c>
      <c r="F5" s="282">
        <f>NYCIND_DMD!D53</f>
        <v>8.3091800427230442</v>
      </c>
      <c r="G5" s="282">
        <f>NYCIND_DMD!E53</f>
        <v>9.362242352210421</v>
      </c>
      <c r="H5" s="282">
        <f>NYCIND_DMD!F53</f>
        <v>10.402576080173072</v>
      </c>
      <c r="I5" s="282">
        <f>NYCIND_DMD!G53</f>
        <v>11.132577072492589</v>
      </c>
      <c r="J5" s="282">
        <f>NYCIND_DMD!H53</f>
        <v>12.024885465331284</v>
      </c>
      <c r="K5" s="282">
        <f>NYCIND_DMD!I53</f>
        <v>11.425520630592349</v>
      </c>
      <c r="L5" s="282">
        <f>NYCIND_DMD!J53</f>
        <v>11.314905526953542</v>
      </c>
      <c r="M5" s="282">
        <f>NYCIND_DMD!K53</f>
        <v>12.034574746497753</v>
      </c>
      <c r="N5" s="282">
        <f>NYCIND_DMD!L53</f>
        <v>12.22899908703646</v>
      </c>
      <c r="O5" s="282">
        <f>NYCIND_DMD!M53</f>
        <v>12.379511635833079</v>
      </c>
      <c r="P5" s="223"/>
    </row>
    <row r="6" spans="2:16" s="1" customFormat="1" ht="13.15">
      <c r="B6" s="281" t="s">
        <v>297</v>
      </c>
      <c r="C6" s="281" t="s">
        <v>295</v>
      </c>
      <c r="D6" s="281" t="s">
        <v>296</v>
      </c>
      <c r="E6" s="281" t="s">
        <v>15</v>
      </c>
      <c r="F6" s="282">
        <f>NYCIND_DMD!D54</f>
        <v>23.925625036157648</v>
      </c>
      <c r="G6" s="282">
        <f>NYCIND_DMD!E54</f>
        <v>24.506901963861626</v>
      </c>
      <c r="H6" s="282">
        <f>NYCIND_DMD!F54</f>
        <v>25.069198816701999</v>
      </c>
      <c r="I6" s="282">
        <f>NYCIND_DMD!G54</f>
        <v>25.475583727822816</v>
      </c>
      <c r="J6" s="282">
        <f>NYCIND_DMD!H54</f>
        <v>25.975055196164774</v>
      </c>
      <c r="K6" s="282">
        <f>NYCIND_DMD!I54</f>
        <v>25.651448922826667</v>
      </c>
      <c r="L6" s="282">
        <f>NYCIND_DMD!J54</f>
        <v>25.596716451421941</v>
      </c>
      <c r="M6" s="282">
        <f>NYCIND_DMD!K54</f>
        <v>26.008436177081009</v>
      </c>
      <c r="N6" s="282">
        <f>NYCIND_DMD!L54</f>
        <v>26.125078597409498</v>
      </c>
      <c r="O6" s="282">
        <f>NYCIND_DMD!M54</f>
        <v>26.217499947188415</v>
      </c>
      <c r="P6" s="223"/>
    </row>
    <row r="7" spans="2:16" s="1" customFormat="1" ht="13.15">
      <c r="B7" s="281" t="s">
        <v>144</v>
      </c>
      <c r="C7" s="281" t="s">
        <v>295</v>
      </c>
      <c r="D7" s="281" t="s">
        <v>296</v>
      </c>
      <c r="E7" s="281" t="s">
        <v>15</v>
      </c>
      <c r="F7" s="282">
        <f>NYCIND_DMD!D55</f>
        <v>8.9383948249559957</v>
      </c>
      <c r="G7" s="282">
        <f>NYCIND_DMD!E55</f>
        <v>9.5951843480114274</v>
      </c>
      <c r="H7" s="282">
        <f>NYCIND_DMD!F55</f>
        <v>10.233328980315303</v>
      </c>
      <c r="I7" s="282">
        <f>NYCIND_DMD!G55</f>
        <v>10.670857859318128</v>
      </c>
      <c r="J7" s="282">
        <f>NYCIND_DMD!H55</f>
        <v>11.200623305761866</v>
      </c>
      <c r="K7" s="282">
        <f>NYCIND_DMD!I55</f>
        <v>10.814670008326395</v>
      </c>
      <c r="L7" s="282">
        <f>NYCIND_DMD!J55</f>
        <v>10.7283936197061</v>
      </c>
      <c r="M7" s="282">
        <f>NYCIND_DMD!K55</f>
        <v>11.158541047614454</v>
      </c>
      <c r="N7" s="282">
        <f>NYCIND_DMD!L55</f>
        <v>11.260661571482963</v>
      </c>
      <c r="O7" s="282">
        <f>NYCIND_DMD!M55</f>
        <v>11.336042906768213</v>
      </c>
      <c r="P7" s="223"/>
    </row>
    <row r="8" spans="2:16" s="1" customFormat="1" ht="13.15">
      <c r="B8" s="281" t="s">
        <v>298</v>
      </c>
      <c r="C8" s="281" t="s">
        <v>295</v>
      </c>
      <c r="D8" s="281" t="s">
        <v>296</v>
      </c>
      <c r="E8" s="281" t="s">
        <v>15</v>
      </c>
      <c r="F8" s="282">
        <f>NYCIND_DMD!D56</f>
        <v>20.115575636066577</v>
      </c>
      <c r="G8" s="282">
        <f>NYCIND_DMD!E56</f>
        <v>21.049788100056091</v>
      </c>
      <c r="H8" s="282">
        <f>NYCIND_DMD!F56</f>
        <v>21.95749322380825</v>
      </c>
      <c r="I8" s="282">
        <f>NYCIND_DMD!G56</f>
        <v>22.57386729701394</v>
      </c>
      <c r="J8" s="282">
        <f>NYCIND_DMD!H56</f>
        <v>23.317967611378641</v>
      </c>
      <c r="K8" s="282">
        <f>NYCIND_DMD!I56</f>
        <v>22.781647434300368</v>
      </c>
      <c r="L8" s="282">
        <f>NYCIND_DMD!J56</f>
        <v>22.668540522417942</v>
      </c>
      <c r="M8" s="282">
        <f>NYCIND_DMD!K56</f>
        <v>23.313584689642944</v>
      </c>
      <c r="N8" s="282">
        <f>NYCIND_DMD!L56</f>
        <v>23.471423734733229</v>
      </c>
      <c r="O8" s="282">
        <f>NYCIND_DMD!M56</f>
        <v>23.591191630173071</v>
      </c>
      <c r="P8" s="223"/>
    </row>
    <row r="9" spans="2:16" s="1" customFormat="1" ht="13.15">
      <c r="B9" s="281" t="s">
        <v>299</v>
      </c>
      <c r="C9" s="281" t="s">
        <v>295</v>
      </c>
      <c r="D9" s="281" t="s">
        <v>296</v>
      </c>
      <c r="E9" s="281" t="s">
        <v>15</v>
      </c>
      <c r="F9" s="282">
        <f>NYCIND_DMD!D57</f>
        <v>2.1282639796583438</v>
      </c>
      <c r="G9" s="282">
        <f>NYCIND_DMD!E57</f>
        <v>2.3177935089685358</v>
      </c>
      <c r="H9" s="282">
        <f>NYCIND_DMD!F57</f>
        <v>2.5133222501589865</v>
      </c>
      <c r="I9" s="282">
        <f>NYCIND_DMD!G57</f>
        <v>2.642987737628673</v>
      </c>
      <c r="J9" s="282">
        <f>NYCIND_DMD!H57</f>
        <v>2.799826294232417</v>
      </c>
      <c r="K9" s="282">
        <f>NYCIND_DMD!I57</f>
        <v>2.6846609426436361</v>
      </c>
      <c r="L9" s="282">
        <f>NYCIND_DMD!J57</f>
        <v>2.6585166940957312</v>
      </c>
      <c r="M9" s="282">
        <f>NYCIND_DMD!K57</f>
        <v>2.80581864678242</v>
      </c>
      <c r="N9" s="282">
        <f>NYCIND_DMD!L57</f>
        <v>2.8424935193391283</v>
      </c>
      <c r="O9" s="282">
        <f>NYCIND_DMD!M57</f>
        <v>2.8712364373607375</v>
      </c>
      <c r="P9" s="22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D664-9723-4B88-9718-E00331D83097}">
  <dimension ref="B3:J53"/>
  <sheetViews>
    <sheetView workbookViewId="0"/>
  </sheetViews>
  <sheetFormatPr defaultColWidth="9" defaultRowHeight="13.15"/>
  <cols>
    <col min="1" max="1" width="3.625" style="280" customWidth="1"/>
    <col min="2" max="2" width="14" style="280" customWidth="1"/>
    <col min="3" max="3" width="4.75" style="280" customWidth="1"/>
    <col min="4" max="4" width="13.25" style="280" customWidth="1"/>
    <col min="5" max="5" width="40.375" style="280" customWidth="1"/>
    <col min="6" max="6" width="4.75" style="280" customWidth="1"/>
    <col min="7" max="7" width="5.375" style="280" customWidth="1"/>
    <col min="8" max="8" width="10.75" style="280" customWidth="1"/>
    <col min="9" max="9" width="7.875" style="280" customWidth="1"/>
    <col min="10" max="16384" width="9" style="280"/>
  </cols>
  <sheetData>
    <row r="3" spans="2:10" s="1" customFormat="1">
      <c r="B3" s="304" t="s">
        <v>300</v>
      </c>
      <c r="C3" s="279"/>
      <c r="D3" s="279"/>
      <c r="E3" s="279"/>
      <c r="F3" s="279"/>
      <c r="G3" s="279"/>
      <c r="H3" s="279"/>
      <c r="I3" s="279"/>
    </row>
    <row r="4" spans="2:10" s="1" customFormat="1" ht="13.9" thickBot="1">
      <c r="B4" s="1267" t="s">
        <v>1</v>
      </c>
      <c r="C4" s="1267" t="s">
        <v>80</v>
      </c>
      <c r="D4" s="1268" t="s">
        <v>81</v>
      </c>
      <c r="E4" s="1268" t="s">
        <v>301</v>
      </c>
      <c r="F4" s="1268" t="s">
        <v>83</v>
      </c>
      <c r="G4" s="1268" t="s">
        <v>84</v>
      </c>
      <c r="H4" s="1268" t="s">
        <v>85</v>
      </c>
      <c r="I4" s="1268" t="s">
        <v>86</v>
      </c>
      <c r="J4" s="1268" t="s">
        <v>87</v>
      </c>
    </row>
    <row r="5" spans="2:10">
      <c r="B5" s="309" t="s">
        <v>293</v>
      </c>
      <c r="C5" s="309"/>
      <c r="D5" s="309"/>
      <c r="E5" s="309"/>
      <c r="F5" s="309"/>
      <c r="G5" s="309"/>
      <c r="H5" s="309"/>
      <c r="I5" s="309"/>
      <c r="J5" s="309"/>
    </row>
    <row r="6" spans="2:10">
      <c r="B6" s="308" t="str">
        <f>TechData_OTR_dep!B5</f>
        <v>R2,R3,R4,R5,R6</v>
      </c>
      <c r="C6" s="308" t="s">
        <v>89</v>
      </c>
      <c r="D6" s="308" t="str">
        <f>TechData_OTR_dep!C5</f>
        <v>INDELC000</v>
      </c>
      <c r="E6" s="308" t="str">
        <f>TechData_OTR_dep!D5</f>
        <v>Electricity Going to the Industrial Sector</v>
      </c>
      <c r="F6" s="308" t="s">
        <v>15</v>
      </c>
      <c r="G6" s="308" t="s">
        <v>92</v>
      </c>
      <c r="H6" s="308"/>
      <c r="I6" s="308"/>
      <c r="J6" s="311" t="s">
        <v>30</v>
      </c>
    </row>
    <row r="7" spans="2:10">
      <c r="B7" s="308" t="str">
        <f>TechData_OTR_dep!B11</f>
        <v>*</v>
      </c>
      <c r="C7" s="308" t="s">
        <v>89</v>
      </c>
      <c r="D7" s="308" t="str">
        <f>TechData_OTR_dep!C11</f>
        <v>IOTEMETCOK</v>
      </c>
      <c r="E7" s="308" t="str">
        <f>TechData_OTR_dep!D11</f>
        <v>Other Industry Metallurgical Coal Plant</v>
      </c>
      <c r="F7" s="308" t="s">
        <v>15</v>
      </c>
      <c r="G7" s="308" t="s">
        <v>92</v>
      </c>
      <c r="H7" s="308"/>
      <c r="I7" s="308"/>
      <c r="J7" s="308"/>
    </row>
    <row r="8" spans="2:10">
      <c r="B8" s="308" t="str">
        <f>TechData_OTR_dep!B12</f>
        <v>*</v>
      </c>
      <c r="C8" s="308" t="s">
        <v>89</v>
      </c>
      <c r="D8" s="308" t="str">
        <f>TechData_OTR_dep!C12</f>
        <v>IOTEFEDRFL</v>
      </c>
      <c r="E8" s="308" t="str">
        <f>TechData_OTR_dep!D12</f>
        <v>Other Industry Residual Oil Feedstock</v>
      </c>
      <c r="F8" s="308" t="s">
        <v>15</v>
      </c>
      <c r="G8" s="308" t="s">
        <v>92</v>
      </c>
      <c r="H8" s="308"/>
      <c r="I8" s="308"/>
      <c r="J8" s="308"/>
    </row>
    <row r="9" spans="2:10">
      <c r="B9" s="308" t="str">
        <f>TechData_OTR_dep!B13</f>
        <v>*</v>
      </c>
      <c r="C9" s="308" t="s">
        <v>89</v>
      </c>
      <c r="D9" s="308" t="str">
        <f>TechData_OTR_dep!C13</f>
        <v>IOTEFEDDST</v>
      </c>
      <c r="E9" s="308" t="str">
        <f>TechData_OTR_dep!D13</f>
        <v>Other Industry Distillate Oil Feedstock</v>
      </c>
      <c r="F9" s="308" t="s">
        <v>15</v>
      </c>
      <c r="G9" s="308" t="s">
        <v>92</v>
      </c>
      <c r="H9" s="308"/>
      <c r="I9" s="308"/>
      <c r="J9" s="308"/>
    </row>
    <row r="10" spans="2:10">
      <c r="B10" s="308" t="str">
        <f>TechData_OTR_dep!B14</f>
        <v>*</v>
      </c>
      <c r="C10" s="308" t="s">
        <v>89</v>
      </c>
      <c r="D10" s="308" t="str">
        <f>TechData_OTR_dep!C14</f>
        <v>IOTEFEDNGA</v>
      </c>
      <c r="E10" s="308" t="str">
        <f>TechData_OTR_dep!D14</f>
        <v>Other Industry Natural Gas Feedstock</v>
      </c>
      <c r="F10" s="308" t="s">
        <v>15</v>
      </c>
      <c r="G10" s="308" t="s">
        <v>92</v>
      </c>
      <c r="H10" s="308"/>
      <c r="I10" s="308"/>
      <c r="J10" s="308"/>
    </row>
    <row r="11" spans="2:10">
      <c r="B11" s="308" t="str">
        <f>TechData_OTR_dep!B15</f>
        <v>*</v>
      </c>
      <c r="C11" s="308" t="s">
        <v>89</v>
      </c>
      <c r="D11" s="308" t="str">
        <f>TechData_OTR_dep!C15</f>
        <v>IOTEFEDLPG</v>
      </c>
      <c r="E11" s="308" t="str">
        <f>TechData_OTR_dep!D15</f>
        <v>Other Industry LPG Feedstock</v>
      </c>
      <c r="F11" s="308" t="s">
        <v>15</v>
      </c>
      <c r="G11" s="308" t="s">
        <v>92</v>
      </c>
      <c r="H11" s="308"/>
      <c r="I11" s="308"/>
      <c r="J11" s="308"/>
    </row>
    <row r="12" spans="2:10">
      <c r="B12" s="308" t="str">
        <f>TechData_OTR_dep!B16</f>
        <v>*</v>
      </c>
      <c r="C12" s="308" t="s">
        <v>89</v>
      </c>
      <c r="D12" s="308" t="str">
        <f>TechData_OTR_dep!C16</f>
        <v>IOTEFEDCOK</v>
      </c>
      <c r="E12" s="308" t="str">
        <f>TechData_OTR_dep!D16</f>
        <v>Other Industry Coke Feedstock</v>
      </c>
      <c r="F12" s="308" t="s">
        <v>15</v>
      </c>
      <c r="G12" s="308" t="s">
        <v>92</v>
      </c>
      <c r="H12" s="308"/>
      <c r="I12" s="308"/>
      <c r="J12" s="308"/>
    </row>
    <row r="13" spans="2:10">
      <c r="B13" s="308" t="str">
        <f>TechData_OTR_dep!B17</f>
        <v>*</v>
      </c>
      <c r="C13" s="308" t="s">
        <v>89</v>
      </c>
      <c r="D13" s="308" t="str">
        <f>TechData_OTR_dep!C17</f>
        <v>IOTEFEDBIO</v>
      </c>
      <c r="E13" s="308" t="str">
        <f>TechData_OTR_dep!D17</f>
        <v>Other Industry Renewables Feedstock</v>
      </c>
      <c r="F13" s="308" t="s">
        <v>15</v>
      </c>
      <c r="G13" s="308" t="s">
        <v>92</v>
      </c>
      <c r="H13" s="308"/>
      <c r="I13" s="308"/>
      <c r="J13" s="308"/>
    </row>
    <row r="14" spans="2:10">
      <c r="B14" s="308" t="str">
        <f>TechData_OTR_dep!B18</f>
        <v>*</v>
      </c>
      <c r="C14" s="308" t="s">
        <v>89</v>
      </c>
      <c r="D14" s="308" t="str">
        <f>TechData_OTR_dep!C18</f>
        <v>IOTEFEDPTC</v>
      </c>
      <c r="E14" s="308" t="str">
        <f>TechData_OTR_dep!D18</f>
        <v>Other Industry Petroleum Coke Feedstock</v>
      </c>
      <c r="F14" s="308" t="s">
        <v>15</v>
      </c>
      <c r="G14" s="308" t="s">
        <v>92</v>
      </c>
      <c r="H14" s="308"/>
      <c r="I14" s="308"/>
      <c r="J14" s="308"/>
    </row>
    <row r="15" spans="2:10">
      <c r="B15" s="308" t="str">
        <f>TechData_OTR_dep!B19</f>
        <v>*</v>
      </c>
      <c r="C15" s="308" t="s">
        <v>89</v>
      </c>
      <c r="D15" s="308" t="str">
        <f>TechData_OTR_dep!C19</f>
        <v>IOTEFEDOTP</v>
      </c>
      <c r="E15" s="308" t="str">
        <f>TechData_OTR_dep!D19</f>
        <v>Other Industry Other Petroleum Feedstock</v>
      </c>
      <c r="F15" s="308" t="s">
        <v>15</v>
      </c>
      <c r="G15" s="308" t="s">
        <v>92</v>
      </c>
      <c r="H15" s="308"/>
      <c r="I15" s="308"/>
      <c r="J15" s="308"/>
    </row>
    <row r="16" spans="2:10">
      <c r="B16" s="308" t="str">
        <f>TechData_OTR_dep!B20</f>
        <v>*</v>
      </c>
      <c r="C16" s="308" t="s">
        <v>89</v>
      </c>
      <c r="D16" s="308" t="str">
        <f>TechData_OTR_dep!C20</f>
        <v>IOTEETCELC</v>
      </c>
      <c r="E16" s="308" t="str">
        <f>TechData_OTR_dep!D20</f>
        <v>Other Industry Electrochemical</v>
      </c>
      <c r="F16" s="308" t="s">
        <v>15</v>
      </c>
      <c r="G16" s="308" t="s">
        <v>92</v>
      </c>
      <c r="H16" s="308"/>
      <c r="I16" s="308"/>
      <c r="J16" s="308"/>
    </row>
    <row r="17" spans="2:10">
      <c r="B17" s="308" t="str">
        <f>TechData_OTR_dep!B21</f>
        <v>*</v>
      </c>
      <c r="C17" s="308" t="s">
        <v>89</v>
      </c>
      <c r="D17" s="308" t="str">
        <f>TechData_OTR_dep!C21</f>
        <v>IOTEPRHELC</v>
      </c>
      <c r="E17" s="308" t="str">
        <f>TechData_OTR_dep!D21</f>
        <v>Other Industry Electricity Process Heat</v>
      </c>
      <c r="F17" s="308" t="s">
        <v>15</v>
      </c>
      <c r="G17" s="308" t="s">
        <v>92</v>
      </c>
      <c r="H17" s="308"/>
      <c r="I17" s="308"/>
      <c r="J17" s="308"/>
    </row>
    <row r="18" spans="2:10">
      <c r="B18" s="308" t="str">
        <f>TechData_OTR_dep!B22</f>
        <v>*</v>
      </c>
      <c r="C18" s="308" t="s">
        <v>89</v>
      </c>
      <c r="D18" s="308" t="str">
        <f>TechData_OTR_dep!C22</f>
        <v>IOTEPRHRFL</v>
      </c>
      <c r="E18" s="308" t="str">
        <f>TechData_OTR_dep!D22</f>
        <v>Other Industry Residual Oil Process Heat</v>
      </c>
      <c r="F18" s="308" t="s">
        <v>15</v>
      </c>
      <c r="G18" s="308" t="s">
        <v>92</v>
      </c>
      <c r="H18" s="308"/>
      <c r="I18" s="308"/>
      <c r="J18" s="308"/>
    </row>
    <row r="19" spans="2:10">
      <c r="B19" s="308" t="str">
        <f>TechData_OTR_dep!B23</f>
        <v>*</v>
      </c>
      <c r="C19" s="308" t="s">
        <v>89</v>
      </c>
      <c r="D19" s="308" t="str">
        <f>TechData_OTR_dep!C23</f>
        <v>IOTEPRHDST</v>
      </c>
      <c r="E19" s="308" t="str">
        <f>TechData_OTR_dep!D23</f>
        <v>Other Industry Distillate Oil Process Heat</v>
      </c>
      <c r="F19" s="308" t="s">
        <v>15</v>
      </c>
      <c r="G19" s="308" t="s">
        <v>92</v>
      </c>
      <c r="H19" s="308"/>
      <c r="I19" s="308"/>
      <c r="J19" s="308"/>
    </row>
    <row r="20" spans="2:10">
      <c r="B20" s="308" t="str">
        <f>TechData_OTR_dep!B24</f>
        <v>*</v>
      </c>
      <c r="C20" s="308" t="s">
        <v>89</v>
      </c>
      <c r="D20" s="308" t="str">
        <f>TechData_OTR_dep!C24</f>
        <v>IOTEPRHNGA</v>
      </c>
      <c r="E20" s="308" t="str">
        <f>TechData_OTR_dep!D24</f>
        <v>Other Industry Natural Gas Process Heat</v>
      </c>
      <c r="F20" s="308" t="s">
        <v>15</v>
      </c>
      <c r="G20" s="308" t="s">
        <v>92</v>
      </c>
      <c r="H20" s="308"/>
      <c r="I20" s="308"/>
      <c r="J20" s="308"/>
    </row>
    <row r="21" spans="2:10">
      <c r="B21" s="308" t="str">
        <f>TechData_OTR_dep!B25</f>
        <v>*</v>
      </c>
      <c r="C21" s="308" t="s">
        <v>89</v>
      </c>
      <c r="D21" s="308" t="str">
        <f>TechData_OTR_dep!C25</f>
        <v>IOTEPRHLPG</v>
      </c>
      <c r="E21" s="308" t="str">
        <f>TechData_OTR_dep!D25</f>
        <v>Other Industry LPG Process Heat</v>
      </c>
      <c r="F21" s="308" t="s">
        <v>15</v>
      </c>
      <c r="G21" s="308" t="s">
        <v>92</v>
      </c>
      <c r="H21" s="308"/>
      <c r="I21" s="308"/>
      <c r="J21" s="308"/>
    </row>
    <row r="22" spans="2:10">
      <c r="B22" s="308" t="str">
        <f>TechData_OTR_dep!B26</f>
        <v>*</v>
      </c>
      <c r="C22" s="308" t="s">
        <v>89</v>
      </c>
      <c r="D22" s="308" t="str">
        <f>TechData_OTR_dep!C26</f>
        <v>IOTEPRHCOA</v>
      </c>
      <c r="E22" s="308" t="str">
        <f>TechData_OTR_dep!D26</f>
        <v>Other Industry Coal Process Heat</v>
      </c>
      <c r="F22" s="308" t="s">
        <v>15</v>
      </c>
      <c r="G22" s="308" t="s">
        <v>92</v>
      </c>
      <c r="H22" s="308"/>
      <c r="I22" s="308"/>
      <c r="J22" s="308"/>
    </row>
    <row r="23" spans="2:10">
      <c r="B23" s="308" t="str">
        <f>TechData_OTR_dep!B27</f>
        <v>*</v>
      </c>
      <c r="C23" s="308" t="s">
        <v>89</v>
      </c>
      <c r="D23" s="308" t="str">
        <f>TechData_OTR_dep!C27</f>
        <v>IOTEMDRELC</v>
      </c>
      <c r="E23" s="308" t="str">
        <f>TechData_OTR_dep!D27</f>
        <v>Other Industry Electricity Machine Drive</v>
      </c>
      <c r="F23" s="308" t="s">
        <v>15</v>
      </c>
      <c r="G23" s="308" t="s">
        <v>92</v>
      </c>
      <c r="H23" s="308"/>
      <c r="I23" s="308"/>
      <c r="J23" s="308"/>
    </row>
    <row r="24" spans="2:10">
      <c r="B24" s="308" t="str">
        <f>TechData_OTR_dep!B28</f>
        <v>*</v>
      </c>
      <c r="C24" s="308" t="s">
        <v>89</v>
      </c>
      <c r="D24" s="308" t="str">
        <f>TechData_OTR_dep!C28</f>
        <v>IOTEMDRDST</v>
      </c>
      <c r="E24" s="308" t="str">
        <f>TechData_OTR_dep!D28</f>
        <v>Other Industry Distillate Oil Machine Drive</v>
      </c>
      <c r="F24" s="308" t="s">
        <v>15</v>
      </c>
      <c r="G24" s="308" t="s">
        <v>92</v>
      </c>
      <c r="H24" s="308"/>
      <c r="I24" s="308"/>
      <c r="J24" s="308"/>
    </row>
    <row r="25" spans="2:10">
      <c r="B25" s="308" t="str">
        <f>TechData_OTR_dep!B29</f>
        <v>*</v>
      </c>
      <c r="C25" s="308" t="s">
        <v>89</v>
      </c>
      <c r="D25" s="308" t="str">
        <f>TechData_OTR_dep!C29</f>
        <v>IOTEMDRNGA</v>
      </c>
      <c r="E25" s="308" t="str">
        <f>TechData_OTR_dep!D29</f>
        <v>Other Industry Natural Gas Machine Drive</v>
      </c>
      <c r="F25" s="308" t="s">
        <v>15</v>
      </c>
      <c r="G25" s="308" t="s">
        <v>92</v>
      </c>
      <c r="H25" s="308"/>
      <c r="I25" s="308"/>
      <c r="J25" s="308"/>
    </row>
    <row r="26" spans="2:10">
      <c r="B26" s="308" t="str">
        <f>TechData_OTR_dep!B30</f>
        <v>*</v>
      </c>
      <c r="C26" s="308" t="s">
        <v>89</v>
      </c>
      <c r="D26" s="308" t="str">
        <f>TechData_OTR_dep!C30</f>
        <v>IOTEMDRLPG</v>
      </c>
      <c r="E26" s="308" t="str">
        <f>TechData_OTR_dep!D30</f>
        <v>Other Industry LPG Machine Drive</v>
      </c>
      <c r="F26" s="308" t="s">
        <v>15</v>
      </c>
      <c r="G26" s="308" t="s">
        <v>92</v>
      </c>
      <c r="H26" s="308"/>
      <c r="I26" s="308"/>
      <c r="J26" s="308"/>
    </row>
    <row r="27" spans="2:10">
      <c r="B27" s="308" t="str">
        <f>TechData_OTR_dep!B31</f>
        <v>*</v>
      </c>
      <c r="C27" s="308" t="s">
        <v>89</v>
      </c>
      <c r="D27" s="308" t="str">
        <f>TechData_OTR_dep!C31</f>
        <v>IOTEMDRCOA</v>
      </c>
      <c r="E27" s="308" t="str">
        <f>TechData_OTR_dep!D31</f>
        <v>Other Industry Coal Machine Drive</v>
      </c>
      <c r="F27" s="308" t="s">
        <v>15</v>
      </c>
      <c r="G27" s="308" t="s">
        <v>92</v>
      </c>
      <c r="H27" s="308"/>
      <c r="I27" s="308"/>
      <c r="J27" s="308"/>
    </row>
    <row r="28" spans="2:10">
      <c r="B28" s="308" t="str">
        <f>TechData_OTR_dep!B32</f>
        <v>R2,R3,R4,R5,R6</v>
      </c>
      <c r="C28" s="308" t="s">
        <v>89</v>
      </c>
      <c r="D28" s="308" t="str">
        <f>TechData_OTR_dep!C32</f>
        <v>IOTEFACELC</v>
      </c>
      <c r="E28" s="308" t="str">
        <f>TechData_OTR_dep!D32</f>
        <v>Other Industry Electricity Facilities</v>
      </c>
      <c r="F28" s="308" t="s">
        <v>15</v>
      </c>
      <c r="G28" s="308" t="s">
        <v>92</v>
      </c>
      <c r="H28" s="308"/>
      <c r="I28" s="308"/>
      <c r="J28" s="308"/>
    </row>
    <row r="29" spans="2:10">
      <c r="B29" s="308" t="str">
        <f>TechData_OTR_dep!B33</f>
        <v>R2,R3,R4,R5,R6</v>
      </c>
      <c r="C29" s="308" t="s">
        <v>89</v>
      </c>
      <c r="D29" s="308" t="str">
        <f>TechData_OTR_dep!C33</f>
        <v>IOTEFACRFL</v>
      </c>
      <c r="E29" s="308" t="str">
        <f>TechData_OTR_dep!D33</f>
        <v>Other Industry Residual Oil Facilities</v>
      </c>
      <c r="F29" s="308" t="s">
        <v>15</v>
      </c>
      <c r="G29" s="308" t="s">
        <v>92</v>
      </c>
      <c r="H29" s="308"/>
      <c r="I29" s="308"/>
      <c r="J29" s="308"/>
    </row>
    <row r="30" spans="2:10">
      <c r="B30" s="308" t="str">
        <f>TechData_OTR_dep!B34</f>
        <v>*</v>
      </c>
      <c r="C30" s="308" t="s">
        <v>89</v>
      </c>
      <c r="D30" s="308" t="str">
        <f>TechData_OTR_dep!C34</f>
        <v>IOTEFACDST</v>
      </c>
      <c r="E30" s="308" t="str">
        <f>TechData_OTR_dep!D34</f>
        <v>Other Industry Distillate Oil Facilities</v>
      </c>
      <c r="F30" s="308" t="s">
        <v>15</v>
      </c>
      <c r="G30" s="308" t="s">
        <v>92</v>
      </c>
      <c r="H30" s="308"/>
      <c r="I30" s="308"/>
      <c r="J30" s="308"/>
    </row>
    <row r="31" spans="2:10">
      <c r="B31" s="308" t="str">
        <f>TechData_OTR_dep!B35</f>
        <v>R2,R3,R4,R5,R6</v>
      </c>
      <c r="C31" s="308" t="s">
        <v>89</v>
      </c>
      <c r="D31" s="308" t="str">
        <f>TechData_OTR_dep!C35</f>
        <v>IOTEFACNGA</v>
      </c>
      <c r="E31" s="308" t="str">
        <f>TechData_OTR_dep!D35</f>
        <v>Other Industry Natural Gas Facilities</v>
      </c>
      <c r="F31" s="308" t="s">
        <v>15</v>
      </c>
      <c r="G31" s="308" t="s">
        <v>92</v>
      </c>
      <c r="H31" s="308"/>
      <c r="I31" s="308"/>
      <c r="J31" s="308"/>
    </row>
    <row r="32" spans="2:10">
      <c r="B32" s="308" t="str">
        <f>TechData_OTR_dep!B36</f>
        <v>*</v>
      </c>
      <c r="C32" s="308" t="s">
        <v>89</v>
      </c>
      <c r="D32" s="308" t="str">
        <f>TechData_OTR_dep!C36</f>
        <v>IOTEFACLPG</v>
      </c>
      <c r="E32" s="308" t="str">
        <f>TechData_OTR_dep!D36</f>
        <v>Other Industry LPG Facilities</v>
      </c>
      <c r="F32" s="308" t="s">
        <v>15</v>
      </c>
      <c r="G32" s="308" t="s">
        <v>92</v>
      </c>
      <c r="H32" s="308"/>
      <c r="I32" s="308"/>
      <c r="J32" s="308"/>
    </row>
    <row r="33" spans="2:10">
      <c r="B33" s="308" t="str">
        <f>TechData_OTR_dep!B37</f>
        <v>*</v>
      </c>
      <c r="C33" s="308" t="s">
        <v>89</v>
      </c>
      <c r="D33" s="308" t="str">
        <f>TechData_OTR_dep!C37</f>
        <v>IOTEFACCOA</v>
      </c>
      <c r="E33" s="308" t="str">
        <f>TechData_OTR_dep!D37</f>
        <v>Other Industry Coal Facilities</v>
      </c>
      <c r="F33" s="308" t="s">
        <v>15</v>
      </c>
      <c r="G33" s="308" t="s">
        <v>92</v>
      </c>
      <c r="H33" s="308"/>
      <c r="I33" s="308"/>
      <c r="J33" s="308"/>
    </row>
    <row r="34" spans="2:10">
      <c r="B34" s="308" t="str">
        <f>TechData_OTR_dep!B38</f>
        <v>*</v>
      </c>
      <c r="C34" s="308" t="s">
        <v>89</v>
      </c>
      <c r="D34" s="308" t="str">
        <f>TechData_OTR_dep!C38</f>
        <v>IOTEOHTELC</v>
      </c>
      <c r="E34" s="308" t="str">
        <f>TechData_OTR_dep!D38</f>
        <v>Other Industry Electricity Other Heat</v>
      </c>
      <c r="F34" s="308" t="s">
        <v>15</v>
      </c>
      <c r="G34" s="308" t="s">
        <v>92</v>
      </c>
      <c r="H34" s="308"/>
      <c r="I34" s="308"/>
      <c r="J34" s="308"/>
    </row>
    <row r="35" spans="2:10">
      <c r="B35" s="308" t="str">
        <f>TechData_OTR_dep!B39</f>
        <v>*</v>
      </c>
      <c r="C35" s="308" t="s">
        <v>89</v>
      </c>
      <c r="D35" s="308" t="str">
        <f>TechData_OTR_dep!C39</f>
        <v>IOTEOHTRFL</v>
      </c>
      <c r="E35" s="308" t="str">
        <f>TechData_OTR_dep!D39</f>
        <v>Other Industry Residual Oil Other Heat</v>
      </c>
      <c r="F35" s="308" t="s">
        <v>15</v>
      </c>
      <c r="G35" s="308" t="s">
        <v>92</v>
      </c>
      <c r="H35" s="308"/>
      <c r="I35" s="308"/>
      <c r="J35" s="308"/>
    </row>
    <row r="36" spans="2:10">
      <c r="B36" s="308" t="str">
        <f>TechData_OTR_dep!B40</f>
        <v>*</v>
      </c>
      <c r="C36" s="308" t="s">
        <v>89</v>
      </c>
      <c r="D36" s="308" t="str">
        <f>TechData_OTR_dep!C40</f>
        <v>IOTEOHTDST</v>
      </c>
      <c r="E36" s="308" t="str">
        <f>TechData_OTR_dep!D40</f>
        <v>Other Industry Distillate Oil Other Heat</v>
      </c>
      <c r="F36" s="308" t="s">
        <v>15</v>
      </c>
      <c r="G36" s="308" t="s">
        <v>92</v>
      </c>
      <c r="H36" s="308"/>
      <c r="I36" s="308"/>
      <c r="J36" s="308"/>
    </row>
    <row r="37" spans="2:10">
      <c r="B37" s="308" t="str">
        <f>TechData_OTR_dep!B41</f>
        <v>*</v>
      </c>
      <c r="C37" s="308" t="s">
        <v>89</v>
      </c>
      <c r="D37" s="308" t="str">
        <f>TechData_OTR_dep!C41</f>
        <v>IOTEOHTNGA</v>
      </c>
      <c r="E37" s="308" t="str">
        <f>TechData_OTR_dep!D41</f>
        <v>Other Industry Natural Gas Other Heat</v>
      </c>
      <c r="F37" s="308" t="s">
        <v>15</v>
      </c>
      <c r="G37" s="308" t="s">
        <v>92</v>
      </c>
      <c r="H37" s="308"/>
      <c r="I37" s="308"/>
      <c r="J37" s="308"/>
    </row>
    <row r="38" spans="2:10">
      <c r="B38" s="308" t="str">
        <f>TechData_OTR_dep!B42</f>
        <v>*</v>
      </c>
      <c r="C38" s="308" t="s">
        <v>89</v>
      </c>
      <c r="D38" s="308" t="str">
        <f>TechData_OTR_dep!C42</f>
        <v>IOTEOHTLPG</v>
      </c>
      <c r="E38" s="308" t="str">
        <f>TechData_OTR_dep!D42</f>
        <v>Other Industry LPG Other Heat</v>
      </c>
      <c r="F38" s="308" t="s">
        <v>15</v>
      </c>
      <c r="G38" s="308" t="s">
        <v>92</v>
      </c>
      <c r="H38" s="308"/>
      <c r="I38" s="308"/>
      <c r="J38" s="308"/>
    </row>
    <row r="39" spans="2:10">
      <c r="B39" s="308" t="str">
        <f>TechData_OTR_dep!B43</f>
        <v>*</v>
      </c>
      <c r="C39" s="308" t="s">
        <v>89</v>
      </c>
      <c r="D39" s="308" t="str">
        <f>TechData_OTR_dep!C43</f>
        <v>IOTEOHTBIO</v>
      </c>
      <c r="E39" s="308" t="str">
        <f>TechData_OTR_dep!D43</f>
        <v>Other Industry Renewables Other Heat</v>
      </c>
      <c r="F39" s="308" t="s">
        <v>15</v>
      </c>
      <c r="G39" s="308" t="s">
        <v>92</v>
      </c>
      <c r="H39" s="308"/>
      <c r="I39" s="308"/>
      <c r="J39" s="308"/>
    </row>
    <row r="40" spans="2:10">
      <c r="B40" s="308" t="str">
        <f>TechData_OTR_dep!B44</f>
        <v>*</v>
      </c>
      <c r="C40" s="308" t="s">
        <v>89</v>
      </c>
      <c r="D40" s="308" t="str">
        <f>TechData_OTR_dep!C44</f>
        <v>IOTEOHTPTC</v>
      </c>
      <c r="E40" s="308" t="str">
        <f>TechData_OTR_dep!D44</f>
        <v>Other Industry Petroleum Coke Other Heat</v>
      </c>
      <c r="F40" s="308" t="s">
        <v>15</v>
      </c>
      <c r="G40" s="308" t="s">
        <v>92</v>
      </c>
      <c r="H40" s="308"/>
      <c r="I40" s="308"/>
      <c r="J40" s="308"/>
    </row>
    <row r="41" spans="2:10">
      <c r="B41" s="308" t="str">
        <f>TechData_OTR_dep!B45</f>
        <v>*</v>
      </c>
      <c r="C41" s="308" t="s">
        <v>89</v>
      </c>
      <c r="D41" s="308" t="str">
        <f>TechData_OTR_dep!C45</f>
        <v>IOTEOHTOTP</v>
      </c>
      <c r="E41" s="308" t="str">
        <f>TechData_OTR_dep!D45</f>
        <v>Other Industry Other Petroleum Other Heat</v>
      </c>
      <c r="F41" s="308" t="s">
        <v>15</v>
      </c>
      <c r="G41" s="308" t="s">
        <v>92</v>
      </c>
      <c r="H41" s="308"/>
      <c r="I41" s="308"/>
      <c r="J41" s="308"/>
    </row>
    <row r="42" spans="2:10">
      <c r="B42" s="308" t="str">
        <f>TechData_OTR_dep!B46</f>
        <v>R2,R3,R4,R5,R6</v>
      </c>
      <c r="C42" s="308" t="s">
        <v>98</v>
      </c>
      <c r="D42" s="308" t="str">
        <f>TechData_OTR_dep!C46</f>
        <v>IOTTECHEXT</v>
      </c>
      <c r="E42" s="308" t="str">
        <f>TechData_OTR_dep!D46</f>
        <v>Existing Other Industry Technologies</v>
      </c>
      <c r="F42" s="308" t="s">
        <v>15</v>
      </c>
      <c r="G42" s="308" t="s">
        <v>92</v>
      </c>
      <c r="H42" s="308"/>
      <c r="I42" s="308"/>
      <c r="J42" s="308"/>
    </row>
    <row r="43" spans="2:10">
      <c r="B43" s="310" t="s">
        <v>302</v>
      </c>
      <c r="C43" s="310"/>
      <c r="D43" s="310"/>
      <c r="E43" s="310"/>
      <c r="F43" s="310"/>
      <c r="G43" s="310"/>
      <c r="H43" s="310"/>
      <c r="I43" s="310"/>
      <c r="J43" s="310"/>
    </row>
    <row r="44" spans="2:10">
      <c r="B44" s="308" t="s">
        <v>11</v>
      </c>
      <c r="C44" s="308" t="s">
        <v>89</v>
      </c>
      <c r="D44" s="308" t="s">
        <v>303</v>
      </c>
      <c r="E44" s="308" t="s">
        <v>304</v>
      </c>
      <c r="F44" s="308" t="s">
        <v>15</v>
      </c>
      <c r="G44" s="308" t="s">
        <v>92</v>
      </c>
      <c r="H44" s="308"/>
      <c r="I44" s="311" t="s">
        <v>30</v>
      </c>
      <c r="J44" s="311"/>
    </row>
    <row r="45" spans="2:10">
      <c r="B45" s="308" t="s">
        <v>11</v>
      </c>
      <c r="C45" s="308" t="s">
        <v>89</v>
      </c>
      <c r="D45" s="308" t="s">
        <v>90</v>
      </c>
      <c r="E45" s="308" t="s">
        <v>91</v>
      </c>
      <c r="F45" s="308" t="s">
        <v>15</v>
      </c>
      <c r="G45" s="308" t="s">
        <v>92</v>
      </c>
      <c r="H45" s="308"/>
      <c r="I45" s="308"/>
      <c r="J45" s="308"/>
    </row>
    <row r="46" spans="2:10">
      <c r="B46" s="308" t="s">
        <v>11</v>
      </c>
      <c r="C46" s="308" t="s">
        <v>89</v>
      </c>
      <c r="D46" s="308" t="s">
        <v>305</v>
      </c>
      <c r="E46" s="308" t="s">
        <v>306</v>
      </c>
      <c r="F46" s="308" t="s">
        <v>15</v>
      </c>
      <c r="G46" s="308" t="s">
        <v>92</v>
      </c>
      <c r="H46" s="308"/>
      <c r="I46" s="308"/>
      <c r="J46" s="308"/>
    </row>
    <row r="47" spans="2:10">
      <c r="B47" s="308" t="s">
        <v>11</v>
      </c>
      <c r="C47" s="308" t="s">
        <v>89</v>
      </c>
      <c r="D47" s="308" t="s">
        <v>93</v>
      </c>
      <c r="E47" s="308" t="s">
        <v>94</v>
      </c>
      <c r="F47" s="308" t="s">
        <v>15</v>
      </c>
      <c r="G47" s="308" t="s">
        <v>92</v>
      </c>
      <c r="H47" s="308"/>
      <c r="I47" s="308"/>
      <c r="J47" s="308"/>
    </row>
    <row r="48" spans="2:10">
      <c r="B48" s="308" t="s">
        <v>307</v>
      </c>
      <c r="C48" s="308" t="s">
        <v>89</v>
      </c>
      <c r="D48" s="308" t="s">
        <v>308</v>
      </c>
      <c r="E48" s="308" t="s">
        <v>309</v>
      </c>
      <c r="F48" s="308" t="s">
        <v>15</v>
      </c>
      <c r="G48" s="308" t="s">
        <v>92</v>
      </c>
      <c r="H48" s="308"/>
      <c r="I48" s="308"/>
      <c r="J48" s="308"/>
    </row>
    <row r="49" spans="2:10">
      <c r="B49" s="308" t="s">
        <v>307</v>
      </c>
      <c r="C49" s="308" t="s">
        <v>89</v>
      </c>
      <c r="D49" s="308" t="s">
        <v>310</v>
      </c>
      <c r="E49" s="308" t="s">
        <v>311</v>
      </c>
      <c r="F49" s="308" t="s">
        <v>15</v>
      </c>
      <c r="G49" s="308" t="s">
        <v>92</v>
      </c>
      <c r="H49" s="308"/>
      <c r="I49" s="308"/>
      <c r="J49" s="308"/>
    </row>
    <row r="50" spans="2:10">
      <c r="B50" s="308" t="s">
        <v>307</v>
      </c>
      <c r="C50" s="308" t="s">
        <v>89</v>
      </c>
      <c r="D50" s="308" t="s">
        <v>312</v>
      </c>
      <c r="E50" s="308" t="s">
        <v>313</v>
      </c>
      <c r="F50" s="308" t="s">
        <v>15</v>
      </c>
      <c r="G50" s="308" t="s">
        <v>92</v>
      </c>
      <c r="H50" s="308"/>
      <c r="I50" s="308"/>
      <c r="J50" s="308"/>
    </row>
    <row r="51" spans="2:10">
      <c r="B51" s="308" t="s">
        <v>307</v>
      </c>
      <c r="C51" s="308" t="s">
        <v>89</v>
      </c>
      <c r="D51" s="308" t="s">
        <v>305</v>
      </c>
      <c r="E51" s="308" t="s">
        <v>306</v>
      </c>
      <c r="F51" s="308" t="s">
        <v>15</v>
      </c>
      <c r="G51" s="308" t="s">
        <v>92</v>
      </c>
      <c r="H51" s="308"/>
      <c r="I51" s="308"/>
      <c r="J51" s="308"/>
    </row>
    <row r="52" spans="2:10">
      <c r="B52" s="308" t="s">
        <v>307</v>
      </c>
      <c r="C52" s="308" t="s">
        <v>89</v>
      </c>
      <c r="D52" s="308" t="s">
        <v>314</v>
      </c>
      <c r="E52" s="308" t="s">
        <v>315</v>
      </c>
      <c r="F52" s="308" t="s">
        <v>15</v>
      </c>
      <c r="G52" s="308" t="s">
        <v>92</v>
      </c>
      <c r="H52" s="308"/>
      <c r="I52" s="308"/>
      <c r="J52" s="308"/>
    </row>
    <row r="53" spans="2:10">
      <c r="B53" s="308" t="s">
        <v>307</v>
      </c>
      <c r="C53" s="308" t="s">
        <v>89</v>
      </c>
      <c r="D53" s="308" t="s">
        <v>316</v>
      </c>
      <c r="E53" s="308" t="s">
        <v>317</v>
      </c>
      <c r="F53" s="308" t="s">
        <v>15</v>
      </c>
      <c r="G53" s="308" t="s">
        <v>92</v>
      </c>
      <c r="H53" s="308"/>
      <c r="I53" s="308"/>
      <c r="J53" s="308"/>
    </row>
  </sheetData>
  <dataValidations count="9">
    <dataValidation allowBlank="1" showInputMessage="1" showErrorMessage="1" promptTitle="Timeslice level" prompt="ANNUAL (def: all others)_x000a_SEASON (def: CHP, HPL)_x000a_WEEKLY_x000a_DAYNITE (def: ELE, STGSS, STGIPS)" sqref="J4" xr:uid="{BD62AB68-17D4-4C3E-8303-DE4464585528}"/>
    <dataValidation allowBlank="1" showInputMessage="1" showErrorMessage="1" promptTitle="Primary Commodity Group" prompt="Needed only when one wants to override the VEDA default assignment." sqref="H4" xr:uid="{587E4042-C6F7-4E52-A358-A48A4CE23E22}"/>
    <dataValidation allowBlank="1" showInputMessage="1" showErrorMessage="1" promptTitle="Vintage Tracking" prompt="NO (default)_x000a_YES" sqref="I4" xr:uid="{91FF7A5F-AC1F-4E45-9127-B7041A035C7B}"/>
    <dataValidation allowBlank="1" showInputMessage="1" showErrorMessage="1" promptTitle="Process Set Membership" prompt="Set declarations are inherited._x000a_ELE (Thermal Electric Power Plant)_x000a_CHP (Combined Heat &amp; Power)_x000a_PRE (Generic)_x000a_STGTSS (Pump Storage)_x000a_STGIPS (Pump Storage IP)_x000a_DMD (Demand Device)_x000a_IMP (Import)_x000a_EXP (Export)_x000a_MIN (Mining)_x000a_RNW (Renewable Tech)_x000a_HPL (Heating Plant)" sqref="C4" xr:uid="{7B28A4C0-76BA-4647-A556-1A50CB0AED91}"/>
    <dataValidation allowBlank="1" showInputMessage="1" showErrorMessage="1" prompt="Technology Name" sqref="D4" xr:uid="{512E5024-0249-43C3-BAEB-DCEAB0C0C985}"/>
    <dataValidation allowBlank="1" showInputMessage="1" showErrorMessage="1" prompt="Technology Description" sqref="E4" xr:uid="{160B4E65-EA04-41CE-9FE3-474333563478}"/>
    <dataValidation allowBlank="1" showInputMessage="1" showErrorMessage="1" prompt="Activity Unit" sqref="F4" xr:uid="{D403D304-0C3B-41BC-A3FA-B9007F9F15A7}"/>
    <dataValidation allowBlank="1" showInputMessage="1" showErrorMessage="1" prompt="Capacity Unit" sqref="G4" xr:uid="{98016934-15E2-4F37-9E59-B2266FF47546}"/>
    <dataValidation allowBlank="1" showInputMessage="1" showErrorMessage="1" prompt="Define demand technology options." sqref="B3" xr:uid="{0A6CA369-A789-4AE0-ACFE-25101DFC44C1}"/>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62EA8-35A4-463D-91CF-97FC975D4228}">
  <dimension ref="A3:BV53"/>
  <sheetViews>
    <sheetView workbookViewId="0"/>
  </sheetViews>
  <sheetFormatPr defaultColWidth="9" defaultRowHeight="13.15"/>
  <cols>
    <col min="1" max="1" width="3.625" style="280" customWidth="1"/>
    <col min="2" max="2" width="13" style="280" bestFit="1" customWidth="1"/>
    <col min="3" max="3" width="11.625" style="280" bestFit="1" customWidth="1"/>
    <col min="4" max="4" width="32.5" style="280" bestFit="1" customWidth="1"/>
    <col min="5" max="5" width="7" style="280" bestFit="1" customWidth="1"/>
    <col min="6" max="6" width="9.25" style="280" bestFit="1" customWidth="1"/>
    <col min="7" max="7" width="9.625" style="280" bestFit="1" customWidth="1"/>
    <col min="8" max="8" width="11.625" style="280" bestFit="1" customWidth="1"/>
    <col min="9" max="10" width="11.875" style="280" bestFit="1" customWidth="1"/>
    <col min="11" max="11" width="11.625" style="280" bestFit="1" customWidth="1"/>
    <col min="12" max="12" width="10.75" style="280" bestFit="1" customWidth="1"/>
    <col min="13" max="13" width="12.75" style="280" bestFit="1" customWidth="1"/>
    <col min="14" max="15" width="22.25" style="280" bestFit="1" customWidth="1"/>
    <col min="16" max="16" width="22.625" style="280" bestFit="1" customWidth="1"/>
    <col min="17" max="26" width="21.75" style="280" bestFit="1" customWidth="1"/>
    <col min="27" max="31" width="22.125" style="280" bestFit="1" customWidth="1"/>
    <col min="32" max="33" width="11" style="280" bestFit="1" customWidth="1"/>
    <col min="34" max="35" width="10.25" style="280" bestFit="1" customWidth="1"/>
    <col min="36" max="43" width="10.625" style="280" bestFit="1" customWidth="1"/>
    <col min="44" max="53" width="20.875" style="280" bestFit="1" customWidth="1"/>
    <col min="54" max="58" width="21.25" style="280" bestFit="1" customWidth="1"/>
    <col min="59" max="59" width="6.25" style="280" bestFit="1" customWidth="1"/>
    <col min="60" max="60" width="9" style="280"/>
    <col min="61" max="62" width="11" style="280" bestFit="1" customWidth="1"/>
    <col min="63" max="70" width="11.375" style="280" bestFit="1" customWidth="1"/>
    <col min="71" max="71" width="6.25" style="280" bestFit="1" customWidth="1"/>
    <col min="72" max="72" width="7.625" style="280" bestFit="1" customWidth="1"/>
    <col min="73" max="73" width="4.75" style="280" bestFit="1" customWidth="1"/>
    <col min="74" max="74" width="7.625" style="280" bestFit="1" customWidth="1"/>
    <col min="75" max="16384" width="9" style="280"/>
  </cols>
  <sheetData>
    <row r="3" spans="1:74" s="150" customFormat="1">
      <c r="A3" s="280"/>
      <c r="D3" s="151"/>
      <c r="G3" s="2" t="s">
        <v>318</v>
      </c>
      <c r="AR3" s="152"/>
      <c r="AS3" s="152"/>
      <c r="AT3" s="152"/>
      <c r="AU3" s="152"/>
      <c r="AV3" s="152"/>
      <c r="AW3" s="152"/>
      <c r="AX3" s="152"/>
      <c r="AY3" s="152"/>
      <c r="AZ3" s="152"/>
      <c r="BA3" s="152"/>
      <c r="BB3" s="152"/>
      <c r="BC3" s="152"/>
      <c r="BD3" s="152"/>
      <c r="BE3" s="152"/>
      <c r="BF3" s="152"/>
    </row>
    <row r="4" spans="1:74" s="153" customFormat="1" ht="13.9" thickBot="1">
      <c r="A4" s="280"/>
      <c r="B4" s="1267" t="s">
        <v>1</v>
      </c>
      <c r="C4" s="1267" t="s">
        <v>81</v>
      </c>
      <c r="D4" s="1267" t="s">
        <v>82</v>
      </c>
      <c r="E4" s="1267" t="s">
        <v>235</v>
      </c>
      <c r="F4" s="1267" t="s">
        <v>319</v>
      </c>
      <c r="G4" s="1267" t="s">
        <v>320</v>
      </c>
      <c r="H4" s="1267" t="s">
        <v>321</v>
      </c>
      <c r="I4" s="1267" t="s">
        <v>322</v>
      </c>
      <c r="J4" s="1267" t="s">
        <v>323</v>
      </c>
      <c r="K4" s="1267" t="s">
        <v>324</v>
      </c>
      <c r="N4" s="154" t="s">
        <v>325</v>
      </c>
      <c r="O4" s="154" t="s">
        <v>326</v>
      </c>
      <c r="AR4" s="155"/>
      <c r="AS4" s="155"/>
      <c r="AT4" s="155"/>
      <c r="AU4" s="155"/>
      <c r="AV4" s="155"/>
      <c r="AW4" s="155"/>
      <c r="AX4" s="155"/>
      <c r="AY4" s="155"/>
      <c r="AZ4" s="155"/>
      <c r="BA4" s="155"/>
      <c r="BB4" s="155"/>
      <c r="BC4" s="155"/>
      <c r="BD4" s="155"/>
      <c r="BE4" s="155"/>
      <c r="BF4" s="155"/>
    </row>
    <row r="5" spans="1:74" s="153" customFormat="1">
      <c r="A5" s="280"/>
      <c r="B5" s="315" t="s">
        <v>11</v>
      </c>
      <c r="C5" s="315" t="s">
        <v>327</v>
      </c>
      <c r="D5" s="315" t="s">
        <v>328</v>
      </c>
      <c r="E5" s="315" t="s">
        <v>329</v>
      </c>
      <c r="F5" s="315" t="s">
        <v>32</v>
      </c>
      <c r="G5" s="315" t="s">
        <v>28</v>
      </c>
      <c r="H5" s="315">
        <v>2010</v>
      </c>
      <c r="I5" s="315">
        <v>1</v>
      </c>
      <c r="J5" s="315">
        <v>1</v>
      </c>
      <c r="K5" s="316">
        <v>1</v>
      </c>
      <c r="N5" s="288">
        <v>1</v>
      </c>
      <c r="O5" s="288">
        <v>1</v>
      </c>
      <c r="AR5" s="155"/>
      <c r="AS5" s="155"/>
      <c r="AT5" s="155"/>
      <c r="AU5" s="155"/>
      <c r="AV5" s="155"/>
      <c r="AW5" s="155"/>
      <c r="AX5" s="155"/>
      <c r="AY5" s="155"/>
      <c r="AZ5" s="155"/>
      <c r="BA5" s="155"/>
      <c r="BB5" s="155"/>
      <c r="BC5" s="155"/>
      <c r="BD5" s="155"/>
      <c r="BE5" s="155"/>
      <c r="BF5" s="155"/>
    </row>
    <row r="6" spans="1:74" s="150" customFormat="1">
      <c r="A6" s="280"/>
      <c r="D6" s="151"/>
      <c r="AR6" s="152"/>
      <c r="AS6" s="152"/>
      <c r="AT6" s="152"/>
      <c r="AU6" s="152"/>
      <c r="AV6" s="152"/>
      <c r="AW6" s="152"/>
      <c r="AX6" s="152"/>
      <c r="AY6" s="152"/>
      <c r="AZ6" s="152"/>
      <c r="BA6" s="152"/>
      <c r="BB6" s="152"/>
      <c r="BC6" s="152"/>
      <c r="BD6" s="152"/>
      <c r="BE6" s="152"/>
      <c r="BF6" s="152"/>
    </row>
    <row r="7" spans="1:74" s="150" customFormat="1">
      <c r="A7" s="280"/>
      <c r="D7" s="151"/>
      <c r="AR7" s="152"/>
      <c r="AS7" s="152"/>
      <c r="AT7" s="152"/>
      <c r="AU7" s="152"/>
      <c r="AV7" s="152"/>
      <c r="AW7" s="152"/>
      <c r="AX7" s="152"/>
      <c r="AY7" s="152"/>
      <c r="AZ7" s="152"/>
      <c r="BA7" s="152"/>
      <c r="BB7" s="152"/>
      <c r="BC7" s="152"/>
      <c r="BD7" s="152"/>
      <c r="BE7" s="152"/>
      <c r="BF7" s="152"/>
    </row>
    <row r="8" spans="1:74" s="150" customFormat="1">
      <c r="A8" s="280"/>
      <c r="D8" s="151"/>
      <c r="G8" s="2" t="s">
        <v>318</v>
      </c>
      <c r="AR8" s="152"/>
      <c r="AS8" s="152"/>
      <c r="AT8" s="152"/>
      <c r="AU8" s="152"/>
      <c r="AV8" s="152"/>
      <c r="AW8" s="152"/>
      <c r="AX8" s="152"/>
      <c r="AY8" s="152"/>
      <c r="AZ8" s="152"/>
      <c r="BA8" s="152"/>
      <c r="BB8" s="152"/>
      <c r="BC8" s="152"/>
      <c r="BD8" s="152"/>
      <c r="BE8" s="152"/>
      <c r="BF8" s="152"/>
    </row>
    <row r="9" spans="1:74" s="153" customFormat="1" ht="13.9" thickBot="1">
      <c r="A9" s="280"/>
      <c r="B9" s="1267" t="s">
        <v>1</v>
      </c>
      <c r="C9" s="1267" t="s">
        <v>81</v>
      </c>
      <c r="D9" s="1267" t="s">
        <v>82</v>
      </c>
      <c r="E9" s="1267" t="s">
        <v>235</v>
      </c>
      <c r="F9" s="1267" t="s">
        <v>319</v>
      </c>
      <c r="G9" s="1267" t="s">
        <v>320</v>
      </c>
      <c r="H9" s="1267" t="s">
        <v>321</v>
      </c>
      <c r="I9" s="1269" t="s">
        <v>330</v>
      </c>
      <c r="J9" s="1267" t="s">
        <v>322</v>
      </c>
      <c r="K9" s="1267" t="s">
        <v>331</v>
      </c>
      <c r="L9" s="1267" t="s">
        <v>332</v>
      </c>
      <c r="M9" s="1267" t="s">
        <v>333</v>
      </c>
      <c r="N9" s="1267" t="s">
        <v>334</v>
      </c>
      <c r="O9" s="1267" t="s">
        <v>335</v>
      </c>
      <c r="P9" s="1267" t="s">
        <v>336</v>
      </c>
      <c r="Q9" s="1267" t="s">
        <v>337</v>
      </c>
      <c r="R9" s="1267" t="s">
        <v>338</v>
      </c>
      <c r="S9" s="1267" t="s">
        <v>339</v>
      </c>
      <c r="T9" s="1267" t="s">
        <v>340</v>
      </c>
      <c r="U9" s="1267" t="s">
        <v>341</v>
      </c>
      <c r="V9" s="1267" t="s">
        <v>342</v>
      </c>
      <c r="W9" s="1267" t="s">
        <v>343</v>
      </c>
      <c r="X9" s="1267" t="s">
        <v>344</v>
      </c>
      <c r="Y9" s="1267" t="s">
        <v>345</v>
      </c>
      <c r="Z9" s="1267" t="s">
        <v>346</v>
      </c>
      <c r="AA9" s="1267" t="s">
        <v>347</v>
      </c>
      <c r="AB9" s="1267" t="s">
        <v>348</v>
      </c>
      <c r="AC9" s="1267" t="s">
        <v>349</v>
      </c>
      <c r="AD9" s="1267" t="s">
        <v>350</v>
      </c>
      <c r="AE9" s="1267" t="s">
        <v>351</v>
      </c>
      <c r="AF9" s="1267" t="s">
        <v>323</v>
      </c>
      <c r="AG9" s="1267" t="s">
        <v>323</v>
      </c>
      <c r="AH9" s="1267" t="s">
        <v>352</v>
      </c>
      <c r="AI9" s="1267" t="s">
        <v>353</v>
      </c>
      <c r="AJ9" s="1267" t="s">
        <v>354</v>
      </c>
      <c r="AK9" s="1267" t="s">
        <v>355</v>
      </c>
      <c r="AL9" s="1267" t="s">
        <v>356</v>
      </c>
      <c r="AM9" s="1267" t="s">
        <v>357</v>
      </c>
      <c r="AN9" s="1267" t="s">
        <v>358</v>
      </c>
      <c r="AO9" s="1267" t="s">
        <v>359</v>
      </c>
      <c r="AP9" s="1267" t="s">
        <v>360</v>
      </c>
      <c r="AQ9" s="1267" t="s">
        <v>361</v>
      </c>
      <c r="AR9" s="1270" t="s">
        <v>362</v>
      </c>
      <c r="AS9" s="1270" t="s">
        <v>363</v>
      </c>
      <c r="AT9" s="1270" t="s">
        <v>364</v>
      </c>
      <c r="AU9" s="1270" t="s">
        <v>365</v>
      </c>
      <c r="AV9" s="1270" t="s">
        <v>366</v>
      </c>
      <c r="AW9" s="1270" t="s">
        <v>367</v>
      </c>
      <c r="AX9" s="1270" t="s">
        <v>368</v>
      </c>
      <c r="AY9" s="1270" t="s">
        <v>369</v>
      </c>
      <c r="AZ9" s="1270" t="s">
        <v>370</v>
      </c>
      <c r="BA9" s="1270" t="s">
        <v>371</v>
      </c>
      <c r="BB9" s="1270" t="s">
        <v>372</v>
      </c>
      <c r="BC9" s="1270" t="s">
        <v>373</v>
      </c>
      <c r="BD9" s="1270" t="s">
        <v>374</v>
      </c>
      <c r="BE9" s="1270" t="s">
        <v>375</v>
      </c>
      <c r="BF9" s="1270" t="s">
        <v>376</v>
      </c>
      <c r="BG9" s="1267" t="s">
        <v>377</v>
      </c>
      <c r="BI9" s="1271" t="s">
        <v>378</v>
      </c>
      <c r="BJ9" s="1271" t="s">
        <v>379</v>
      </c>
      <c r="BK9" s="1271" t="s">
        <v>380</v>
      </c>
      <c r="BL9" s="1271" t="s">
        <v>381</v>
      </c>
      <c r="BM9" s="1271" t="s">
        <v>382</v>
      </c>
      <c r="BN9" s="1271" t="s">
        <v>383</v>
      </c>
      <c r="BO9" s="1271" t="s">
        <v>384</v>
      </c>
      <c r="BP9" s="1271" t="s">
        <v>385</v>
      </c>
      <c r="BQ9" s="1271" t="s">
        <v>386</v>
      </c>
      <c r="BR9" s="1271" t="s">
        <v>387</v>
      </c>
      <c r="BS9" s="1272" t="s">
        <v>326</v>
      </c>
      <c r="BT9" s="1271" t="s">
        <v>326</v>
      </c>
      <c r="BU9" s="1273" t="s">
        <v>325</v>
      </c>
      <c r="BV9" s="1271" t="s">
        <v>326</v>
      </c>
    </row>
    <row r="10" spans="1:74" s="150" customFormat="1">
      <c r="A10" s="280"/>
      <c r="B10" s="312" t="s">
        <v>219</v>
      </c>
      <c r="C10" s="313"/>
      <c r="D10" s="313"/>
      <c r="E10" s="313"/>
      <c r="F10" s="313"/>
      <c r="G10" s="313"/>
      <c r="H10" s="313"/>
      <c r="I10" s="313"/>
      <c r="J10" s="313"/>
      <c r="K10" s="313"/>
      <c r="L10" s="313"/>
      <c r="M10" s="313"/>
      <c r="N10" s="313"/>
      <c r="O10" s="313"/>
      <c r="P10" s="313"/>
      <c r="Q10" s="313"/>
      <c r="R10" s="313"/>
      <c r="S10" s="313"/>
      <c r="T10" s="313"/>
      <c r="U10" s="313"/>
      <c r="V10" s="313"/>
      <c r="W10" s="313"/>
      <c r="X10" s="313"/>
      <c r="Y10" s="313"/>
      <c r="Z10" s="313"/>
      <c r="AA10" s="313"/>
      <c r="AB10" s="313"/>
      <c r="AC10" s="313"/>
      <c r="AD10" s="313"/>
      <c r="AE10" s="313"/>
      <c r="AF10" s="313"/>
      <c r="AG10" s="313"/>
      <c r="AH10" s="313"/>
      <c r="AI10" s="313"/>
      <c r="AJ10" s="313"/>
      <c r="AK10" s="313"/>
      <c r="AL10" s="313"/>
      <c r="AM10" s="313"/>
      <c r="AN10" s="313"/>
      <c r="AO10" s="313"/>
      <c r="AP10" s="313"/>
      <c r="AQ10" s="313"/>
      <c r="AR10" s="314"/>
      <c r="AS10" s="314"/>
      <c r="AT10" s="314"/>
      <c r="AU10" s="314"/>
      <c r="AV10" s="314"/>
      <c r="AW10" s="314"/>
      <c r="AX10" s="314"/>
      <c r="AY10" s="314"/>
      <c r="AZ10" s="314"/>
      <c r="BA10" s="314"/>
      <c r="BB10" s="314" t="str">
        <f t="shared" ref="BB10:BF53" si="0">IF(AW10="","",AW10)</f>
        <v/>
      </c>
      <c r="BC10" s="314" t="str">
        <f t="shared" si="0"/>
        <v/>
      </c>
      <c r="BD10" s="314" t="str">
        <f t="shared" si="0"/>
        <v/>
      </c>
      <c r="BE10" s="314" t="str">
        <f t="shared" si="0"/>
        <v/>
      </c>
      <c r="BF10" s="314" t="str">
        <f t="shared" si="0"/>
        <v/>
      </c>
      <c r="BG10" s="313"/>
      <c r="BI10" s="286"/>
      <c r="BJ10" s="286" t="str">
        <f t="shared" ref="BJ10:BJ53" si="1">IF(BI10="","",BI10)</f>
        <v/>
      </c>
      <c r="BK10" s="286"/>
      <c r="BL10" s="286"/>
      <c r="BM10" s="286"/>
      <c r="BN10" s="286"/>
      <c r="BO10" s="286"/>
      <c r="BP10" s="286"/>
      <c r="BQ10" s="286"/>
      <c r="BR10" s="286"/>
      <c r="BS10" s="286"/>
      <c r="BT10" s="286"/>
      <c r="BU10" s="286"/>
      <c r="BV10" s="286"/>
    </row>
    <row r="11" spans="1:74" s="150" customFormat="1">
      <c r="A11" s="280"/>
      <c r="B11" s="315" t="s">
        <v>307</v>
      </c>
      <c r="C11" s="315" t="s">
        <v>388</v>
      </c>
      <c r="D11" s="315" t="s">
        <v>389</v>
      </c>
      <c r="E11" s="315" t="s">
        <v>329</v>
      </c>
      <c r="F11" s="315" t="s">
        <v>390</v>
      </c>
      <c r="G11" s="315" t="s">
        <v>391</v>
      </c>
      <c r="H11" s="315">
        <v>2010</v>
      </c>
      <c r="I11" s="315">
        <v>30</v>
      </c>
      <c r="J11" s="315">
        <v>1</v>
      </c>
      <c r="K11" s="315">
        <v>0.15</v>
      </c>
      <c r="L11" s="317">
        <f>IFERROR(IF(_xlfn.XLOOKUP(D11,tbl_tech[TECHNOLOGY - Other],tbl_tech[NCAP_COST])=0,"",_xlfn.XLOOKUP(D11,tbl_tech[TECHNOLOGY - Other],tbl_tech[NCAP_COST])),"")</f>
        <v>19.887215999999999</v>
      </c>
      <c r="M11" s="317">
        <f>IFERROR(IF(_xlfn.XLOOKUP(D11,tbl_tech[TECHNOLOGY - Other],tbl_tech[NCAP_FOM])=0,"",_xlfn.XLOOKUP(D11,tbl_tech[TECHNOLOGY - Other],tbl_tech[NCAP_FOM])),"")</f>
        <v>3.173022</v>
      </c>
      <c r="N11" s="315">
        <v>0</v>
      </c>
      <c r="O11" s="315"/>
      <c r="P11" s="315"/>
      <c r="Q11" s="318">
        <v>0.37987590943799793</v>
      </c>
      <c r="R11" s="318">
        <v>0.9145576556777999</v>
      </c>
      <c r="S11" s="318">
        <v>0.41274750402057409</v>
      </c>
      <c r="T11" s="318">
        <v>0.37097101424709189</v>
      </c>
      <c r="U11" s="318">
        <v>0.27476451994550283</v>
      </c>
      <c r="V11" s="318">
        <v>0</v>
      </c>
      <c r="W11" s="318">
        <v>0.8727703713351026</v>
      </c>
      <c r="X11" s="318">
        <v>0.59114812499715508</v>
      </c>
      <c r="Y11" s="318">
        <v>0.29877444104201978</v>
      </c>
      <c r="Z11" s="318">
        <v>0.26042544494988917</v>
      </c>
      <c r="AA11" s="316"/>
      <c r="AB11" s="319"/>
      <c r="AC11" s="319"/>
      <c r="AD11" s="319"/>
      <c r="AE11" s="319"/>
      <c r="AF11" s="315">
        <v>1</v>
      </c>
      <c r="AG11" s="315"/>
      <c r="AH11" s="318">
        <f>IF(BI11="","",$BS11/BI11)</f>
        <v>0.76923076923076916</v>
      </c>
      <c r="AI11" s="318">
        <f t="shared" ref="AI11:AQ39" si="2">IF(BJ11="","",$BS11/BJ11)</f>
        <v>0.76923076923076916</v>
      </c>
      <c r="AJ11" s="318">
        <f t="shared" si="2"/>
        <v>0.76923076923076916</v>
      </c>
      <c r="AK11" s="318">
        <f t="shared" si="2"/>
        <v>0.76923076923076916</v>
      </c>
      <c r="AL11" s="318">
        <f t="shared" si="2"/>
        <v>0.76923076923076916</v>
      </c>
      <c r="AM11" s="318">
        <f t="shared" si="2"/>
        <v>0.76923076923076916</v>
      </c>
      <c r="AN11" s="318">
        <f t="shared" si="2"/>
        <v>0.76923076923076916</v>
      </c>
      <c r="AO11" s="318">
        <f t="shared" si="2"/>
        <v>0.76923076923076916</v>
      </c>
      <c r="AP11" s="318">
        <f t="shared" si="2"/>
        <v>0.76923076923076916</v>
      </c>
      <c r="AQ11" s="318">
        <f t="shared" si="2"/>
        <v>0.76923076923076916</v>
      </c>
      <c r="AR11" s="318"/>
      <c r="AS11" s="318"/>
      <c r="AT11" s="318"/>
      <c r="AU11" s="318"/>
      <c r="AV11" s="318"/>
      <c r="AW11" s="318"/>
      <c r="AX11" s="318"/>
      <c r="AY11" s="318"/>
      <c r="AZ11" s="318"/>
      <c r="BA11" s="318"/>
      <c r="BB11" s="318" t="str">
        <f t="shared" si="0"/>
        <v/>
      </c>
      <c r="BC11" s="318" t="str">
        <f t="shared" si="0"/>
        <v/>
      </c>
      <c r="BD11" s="318" t="str">
        <f t="shared" si="0"/>
        <v/>
      </c>
      <c r="BE11" s="318" t="str">
        <f t="shared" si="0"/>
        <v/>
      </c>
      <c r="BF11" s="318" t="str">
        <f t="shared" si="0"/>
        <v/>
      </c>
      <c r="BG11" s="315"/>
      <c r="BI11" s="286">
        <v>1.3</v>
      </c>
      <c r="BJ11" s="286">
        <f t="shared" si="1"/>
        <v>1.3</v>
      </c>
      <c r="BK11" s="286">
        <v>1.3</v>
      </c>
      <c r="BL11" s="286">
        <v>1.3</v>
      </c>
      <c r="BM11" s="286">
        <v>1.3</v>
      </c>
      <c r="BN11" s="286">
        <v>1.3</v>
      </c>
      <c r="BO11" s="286">
        <v>1.3</v>
      </c>
      <c r="BP11" s="286">
        <v>1.3</v>
      </c>
      <c r="BQ11" s="286">
        <v>1.3</v>
      </c>
      <c r="BR11" s="286">
        <v>1.3</v>
      </c>
      <c r="BS11" s="286">
        <v>1</v>
      </c>
      <c r="BT11" s="289"/>
      <c r="BU11" s="286"/>
      <c r="BV11" s="286"/>
    </row>
    <row r="12" spans="1:74" s="150" customFormat="1">
      <c r="A12" s="280"/>
      <c r="B12" s="315" t="s">
        <v>307</v>
      </c>
      <c r="C12" s="315" t="s">
        <v>392</v>
      </c>
      <c r="D12" s="315" t="s">
        <v>393</v>
      </c>
      <c r="E12" s="315" t="s">
        <v>329</v>
      </c>
      <c r="F12" s="315" t="s">
        <v>394</v>
      </c>
      <c r="G12" s="315" t="s">
        <v>395</v>
      </c>
      <c r="H12" s="315">
        <v>2010</v>
      </c>
      <c r="I12" s="315">
        <v>30</v>
      </c>
      <c r="J12" s="315">
        <v>1</v>
      </c>
      <c r="K12" s="315">
        <v>0.15</v>
      </c>
      <c r="L12" s="317" t="str">
        <f>IFERROR(IF(_xlfn.XLOOKUP(D12,tbl_tech[TECHNOLOGY - Other],tbl_tech[NCAP_COST])=0,"",_xlfn.XLOOKUP(D12,tbl_tech[TECHNOLOGY - Other],tbl_tech[NCAP_COST])),"")</f>
        <v/>
      </c>
      <c r="M12" s="317" t="str">
        <f>IFERROR(IF(_xlfn.XLOOKUP(D12,tbl_tech[TECHNOLOGY - Other],tbl_tech[NCAP_FOM])=0,"",_xlfn.XLOOKUP(D12,tbl_tech[TECHNOLOGY - Other],tbl_tech[NCAP_FOM])),"")</f>
        <v/>
      </c>
      <c r="N12" s="315">
        <v>0</v>
      </c>
      <c r="O12" s="315"/>
      <c r="P12" s="315"/>
      <c r="Q12" s="318"/>
      <c r="R12" s="318"/>
      <c r="S12" s="318"/>
      <c r="T12" s="318"/>
      <c r="U12" s="318"/>
      <c r="V12" s="318">
        <v>0</v>
      </c>
      <c r="W12" s="318">
        <v>0</v>
      </c>
      <c r="X12" s="318">
        <v>0</v>
      </c>
      <c r="Y12" s="318">
        <v>0.14511206678428679</v>
      </c>
      <c r="Z12" s="318">
        <v>0.12648630327311364</v>
      </c>
      <c r="AA12" s="316"/>
      <c r="AB12" s="316"/>
      <c r="AC12" s="316"/>
      <c r="AD12" s="319"/>
      <c r="AE12" s="319"/>
      <c r="AF12" s="315">
        <v>1</v>
      </c>
      <c r="AG12" s="315"/>
      <c r="AH12" s="318">
        <f t="shared" ref="AH12:AK45" si="3">IF(BI12="","",$BS12/BI12)</f>
        <v>1</v>
      </c>
      <c r="AI12" s="318">
        <f t="shared" si="2"/>
        <v>1</v>
      </c>
      <c r="AJ12" s="318">
        <f t="shared" si="2"/>
        <v>1.0050251256281406</v>
      </c>
      <c r="AK12" s="318">
        <f t="shared" si="2"/>
        <v>1.0101010101010102</v>
      </c>
      <c r="AL12" s="318">
        <f t="shared" si="2"/>
        <v>1.015228426395939</v>
      </c>
      <c r="AM12" s="318">
        <f t="shared" si="2"/>
        <v>1.0204081632653061</v>
      </c>
      <c r="AN12" s="318">
        <f t="shared" si="2"/>
        <v>1.0256410256410258</v>
      </c>
      <c r="AO12" s="318">
        <f t="shared" si="2"/>
        <v>1.0309278350515465</v>
      </c>
      <c r="AP12" s="318">
        <f t="shared" si="2"/>
        <v>1.0362694300518136</v>
      </c>
      <c r="AQ12" s="318">
        <f t="shared" si="2"/>
        <v>1.0416666666666667</v>
      </c>
      <c r="AR12" s="318"/>
      <c r="AS12" s="318"/>
      <c r="AT12" s="318"/>
      <c r="AU12" s="318"/>
      <c r="AV12" s="318"/>
      <c r="AW12" s="318"/>
      <c r="AX12" s="318"/>
      <c r="AY12" s="318"/>
      <c r="AZ12" s="318"/>
      <c r="BA12" s="318"/>
      <c r="BB12" s="318" t="str">
        <f t="shared" si="0"/>
        <v/>
      </c>
      <c r="BC12" s="318" t="str">
        <f t="shared" si="0"/>
        <v/>
      </c>
      <c r="BD12" s="318" t="str">
        <f t="shared" si="0"/>
        <v/>
      </c>
      <c r="BE12" s="318" t="str">
        <f t="shared" si="0"/>
        <v/>
      </c>
      <c r="BF12" s="318" t="str">
        <f t="shared" si="0"/>
        <v/>
      </c>
      <c r="BG12" s="315"/>
      <c r="BI12" s="286">
        <v>1</v>
      </c>
      <c r="BJ12" s="286">
        <f t="shared" si="1"/>
        <v>1</v>
      </c>
      <c r="BK12" s="290">
        <v>0.995</v>
      </c>
      <c r="BL12" s="290">
        <v>0.99</v>
      </c>
      <c r="BM12" s="290">
        <v>0.98499999999999999</v>
      </c>
      <c r="BN12" s="290">
        <v>0.98</v>
      </c>
      <c r="BO12" s="290">
        <v>0.97499999999999998</v>
      </c>
      <c r="BP12" s="290">
        <v>0.97</v>
      </c>
      <c r="BQ12" s="290">
        <v>0.96499999999999997</v>
      </c>
      <c r="BR12" s="290">
        <v>0.96</v>
      </c>
      <c r="BS12" s="286">
        <v>1</v>
      </c>
      <c r="BT12" s="289"/>
      <c r="BU12" s="286"/>
      <c r="BV12" s="286"/>
    </row>
    <row r="13" spans="1:74" s="150" customFormat="1">
      <c r="A13" s="280"/>
      <c r="B13" s="315" t="s">
        <v>307</v>
      </c>
      <c r="C13" s="315" t="s">
        <v>396</v>
      </c>
      <c r="D13" s="315" t="s">
        <v>397</v>
      </c>
      <c r="E13" s="315" t="s">
        <v>329</v>
      </c>
      <c r="F13" s="315" t="s">
        <v>398</v>
      </c>
      <c r="G13" s="315" t="s">
        <v>395</v>
      </c>
      <c r="H13" s="315">
        <v>2010</v>
      </c>
      <c r="I13" s="315">
        <v>30</v>
      </c>
      <c r="J13" s="315">
        <v>1</v>
      </c>
      <c r="K13" s="315">
        <v>0.15</v>
      </c>
      <c r="L13" s="317" t="str">
        <f>IFERROR(IF(_xlfn.XLOOKUP(D13,tbl_tech[TECHNOLOGY - Other],tbl_tech[NCAP_COST])=0,"",_xlfn.XLOOKUP(D13,tbl_tech[TECHNOLOGY - Other],tbl_tech[NCAP_COST])),"")</f>
        <v/>
      </c>
      <c r="M13" s="317" t="str">
        <f>IFERROR(IF(_xlfn.XLOOKUP(D13,tbl_tech[TECHNOLOGY - Other],tbl_tech[NCAP_FOM])=0,"",_xlfn.XLOOKUP(D13,tbl_tech[TECHNOLOGY - Other],tbl_tech[NCAP_FOM])),"")</f>
        <v/>
      </c>
      <c r="N13" s="315">
        <v>0</v>
      </c>
      <c r="O13" s="315"/>
      <c r="P13" s="315"/>
      <c r="Q13" s="318">
        <v>0</v>
      </c>
      <c r="R13" s="318">
        <v>1.2765939291434714</v>
      </c>
      <c r="S13" s="318">
        <v>0.5761374962317487</v>
      </c>
      <c r="T13" s="318">
        <v>0.61199828298948633</v>
      </c>
      <c r="U13" s="318">
        <v>0.45328451004281228</v>
      </c>
      <c r="V13" s="318">
        <v>0.5913378289336052</v>
      </c>
      <c r="W13" s="318">
        <v>0.48062378066441269</v>
      </c>
      <c r="X13" s="318">
        <v>0.32553791478299726</v>
      </c>
      <c r="Y13" s="318">
        <v>0.32906273204450326</v>
      </c>
      <c r="Z13" s="318">
        <v>0.28682610236082262</v>
      </c>
      <c r="AA13" s="319"/>
      <c r="AB13" s="319"/>
      <c r="AC13" s="319"/>
      <c r="AD13" s="319"/>
      <c r="AE13" s="319"/>
      <c r="AF13" s="315">
        <v>1</v>
      </c>
      <c r="AG13" s="315"/>
      <c r="AH13" s="318">
        <f t="shared" si="3"/>
        <v>1</v>
      </c>
      <c r="AI13" s="318">
        <f t="shared" si="2"/>
        <v>1</v>
      </c>
      <c r="AJ13" s="318">
        <f t="shared" si="2"/>
        <v>1.0050251256281406</v>
      </c>
      <c r="AK13" s="318">
        <f t="shared" si="2"/>
        <v>1.0101010101010102</v>
      </c>
      <c r="AL13" s="318">
        <f t="shared" si="2"/>
        <v>1.015228426395939</v>
      </c>
      <c r="AM13" s="318">
        <f t="shared" si="2"/>
        <v>1.0204081632653061</v>
      </c>
      <c r="AN13" s="318">
        <f t="shared" si="2"/>
        <v>1.0256410256410258</v>
      </c>
      <c r="AO13" s="318">
        <f t="shared" si="2"/>
        <v>1.0309278350515465</v>
      </c>
      <c r="AP13" s="318">
        <f t="shared" si="2"/>
        <v>1.0362694300518136</v>
      </c>
      <c r="AQ13" s="318">
        <f t="shared" si="2"/>
        <v>1.0416666666666667</v>
      </c>
      <c r="AR13" s="318"/>
      <c r="AS13" s="318"/>
      <c r="AT13" s="318"/>
      <c r="AU13" s="318"/>
      <c r="AV13" s="318"/>
      <c r="AW13" s="318"/>
      <c r="AX13" s="318"/>
      <c r="AY13" s="318"/>
      <c r="AZ13" s="318"/>
      <c r="BA13" s="318"/>
      <c r="BB13" s="318" t="str">
        <f t="shared" si="0"/>
        <v/>
      </c>
      <c r="BC13" s="318" t="str">
        <f t="shared" si="0"/>
        <v/>
      </c>
      <c r="BD13" s="318" t="str">
        <f t="shared" si="0"/>
        <v/>
      </c>
      <c r="BE13" s="318" t="str">
        <f t="shared" si="0"/>
        <v/>
      </c>
      <c r="BF13" s="318" t="str">
        <f t="shared" si="0"/>
        <v/>
      </c>
      <c r="BG13" s="315"/>
      <c r="BI13" s="286">
        <v>1</v>
      </c>
      <c r="BJ13" s="286">
        <f t="shared" si="1"/>
        <v>1</v>
      </c>
      <c r="BK13" s="290">
        <v>0.995</v>
      </c>
      <c r="BL13" s="290">
        <v>0.99</v>
      </c>
      <c r="BM13" s="290">
        <v>0.98499999999999999</v>
      </c>
      <c r="BN13" s="290">
        <v>0.98</v>
      </c>
      <c r="BO13" s="290">
        <v>0.97499999999999998</v>
      </c>
      <c r="BP13" s="290">
        <v>0.97</v>
      </c>
      <c r="BQ13" s="290">
        <v>0.96499999999999997</v>
      </c>
      <c r="BR13" s="290">
        <v>0.96</v>
      </c>
      <c r="BS13" s="286">
        <v>1</v>
      </c>
      <c r="BT13" s="289"/>
      <c r="BU13" s="286"/>
      <c r="BV13" s="286"/>
    </row>
    <row r="14" spans="1:74" s="150" customFormat="1">
      <c r="A14" s="280"/>
      <c r="B14" s="315" t="s">
        <v>307</v>
      </c>
      <c r="C14" s="315" t="s">
        <v>399</v>
      </c>
      <c r="D14" s="315" t="s">
        <v>400</v>
      </c>
      <c r="E14" s="315" t="s">
        <v>329</v>
      </c>
      <c r="F14" s="315" t="s">
        <v>48</v>
      </c>
      <c r="G14" s="315" t="s">
        <v>395</v>
      </c>
      <c r="H14" s="315">
        <v>2010</v>
      </c>
      <c r="I14" s="315">
        <v>30</v>
      </c>
      <c r="J14" s="315">
        <v>1</v>
      </c>
      <c r="K14" s="315">
        <v>0.15</v>
      </c>
      <c r="L14" s="317" t="str">
        <f>IFERROR(IF(_xlfn.XLOOKUP(D14,tbl_tech[TECHNOLOGY - Other],tbl_tech[NCAP_COST])=0,"",_xlfn.XLOOKUP(D14,tbl_tech[TECHNOLOGY - Other],tbl_tech[NCAP_COST])),"")</f>
        <v/>
      </c>
      <c r="M14" s="317" t="str">
        <f>IFERROR(IF(_xlfn.XLOOKUP(D14,tbl_tech[TECHNOLOGY - Other],tbl_tech[NCAP_FOM])=0,"",_xlfn.XLOOKUP(D14,tbl_tech[TECHNOLOGY - Other],tbl_tech[NCAP_FOM])),"")</f>
        <v/>
      </c>
      <c r="N14" s="315">
        <v>0</v>
      </c>
      <c r="O14" s="315"/>
      <c r="P14" s="315"/>
      <c r="Q14" s="318">
        <v>0</v>
      </c>
      <c r="R14" s="318">
        <v>0</v>
      </c>
      <c r="S14" s="318">
        <v>0</v>
      </c>
      <c r="T14" s="318">
        <v>0.20384894604031381</v>
      </c>
      <c r="U14" s="318">
        <v>0.15098338050437751</v>
      </c>
      <c r="V14" s="318">
        <v>0</v>
      </c>
      <c r="W14" s="318">
        <v>3.1805833857237262</v>
      </c>
      <c r="X14" s="318">
        <v>2.1542847541805217</v>
      </c>
      <c r="Y14" s="318">
        <v>0.8166039898359585</v>
      </c>
      <c r="Z14" s="318">
        <v>0.71178932394345951</v>
      </c>
      <c r="AA14" s="316"/>
      <c r="AB14" s="319"/>
      <c r="AC14" s="319"/>
      <c r="AD14" s="319"/>
      <c r="AE14" s="319"/>
      <c r="AF14" s="315">
        <v>1</v>
      </c>
      <c r="AG14" s="315"/>
      <c r="AH14" s="318">
        <f t="shared" si="3"/>
        <v>1</v>
      </c>
      <c r="AI14" s="318">
        <f t="shared" si="2"/>
        <v>1</v>
      </c>
      <c r="AJ14" s="318">
        <f t="shared" si="2"/>
        <v>1.0050251256281406</v>
      </c>
      <c r="AK14" s="318">
        <f t="shared" si="2"/>
        <v>1.0101010101010102</v>
      </c>
      <c r="AL14" s="318">
        <f t="shared" si="2"/>
        <v>1.015228426395939</v>
      </c>
      <c r="AM14" s="318">
        <f t="shared" si="2"/>
        <v>1.0204081632653061</v>
      </c>
      <c r="AN14" s="318">
        <f t="shared" si="2"/>
        <v>1.0256410256410258</v>
      </c>
      <c r="AO14" s="318">
        <f t="shared" si="2"/>
        <v>1.0309278350515465</v>
      </c>
      <c r="AP14" s="318">
        <f t="shared" si="2"/>
        <v>1.0362694300518136</v>
      </c>
      <c r="AQ14" s="318">
        <f t="shared" si="2"/>
        <v>1.0416666666666667</v>
      </c>
      <c r="AR14" s="318"/>
      <c r="AS14" s="318"/>
      <c r="AT14" s="318"/>
      <c r="AU14" s="318"/>
      <c r="AV14" s="318"/>
      <c r="AW14" s="318"/>
      <c r="AX14" s="318"/>
      <c r="AY14" s="318"/>
      <c r="AZ14" s="318"/>
      <c r="BA14" s="318"/>
      <c r="BB14" s="318" t="str">
        <f t="shared" si="0"/>
        <v/>
      </c>
      <c r="BC14" s="318" t="str">
        <f t="shared" si="0"/>
        <v/>
      </c>
      <c r="BD14" s="318" t="str">
        <f t="shared" si="0"/>
        <v/>
      </c>
      <c r="BE14" s="318" t="str">
        <f t="shared" si="0"/>
        <v/>
      </c>
      <c r="BF14" s="318" t="str">
        <f t="shared" si="0"/>
        <v/>
      </c>
      <c r="BG14" s="315"/>
      <c r="BI14" s="286">
        <v>1</v>
      </c>
      <c r="BJ14" s="286">
        <f t="shared" si="1"/>
        <v>1</v>
      </c>
      <c r="BK14" s="290">
        <v>0.995</v>
      </c>
      <c r="BL14" s="290">
        <v>0.99</v>
      </c>
      <c r="BM14" s="290">
        <v>0.98499999999999999</v>
      </c>
      <c r="BN14" s="290">
        <v>0.98</v>
      </c>
      <c r="BO14" s="290">
        <v>0.97499999999999998</v>
      </c>
      <c r="BP14" s="290">
        <v>0.97</v>
      </c>
      <c r="BQ14" s="290">
        <v>0.96499999999999997</v>
      </c>
      <c r="BR14" s="290">
        <v>0.96</v>
      </c>
      <c r="BS14" s="286">
        <v>1</v>
      </c>
      <c r="BT14" s="289"/>
      <c r="BU14" s="286"/>
      <c r="BV14" s="286"/>
    </row>
    <row r="15" spans="1:74" s="150" customFormat="1">
      <c r="A15" s="280"/>
      <c r="B15" s="315" t="s">
        <v>307</v>
      </c>
      <c r="C15" s="315" t="s">
        <v>401</v>
      </c>
      <c r="D15" s="315" t="s">
        <v>402</v>
      </c>
      <c r="E15" s="315" t="s">
        <v>329</v>
      </c>
      <c r="F15" s="315" t="s">
        <v>403</v>
      </c>
      <c r="G15" s="315" t="s">
        <v>395</v>
      </c>
      <c r="H15" s="315">
        <v>2010</v>
      </c>
      <c r="I15" s="315">
        <v>30</v>
      </c>
      <c r="J15" s="315">
        <v>1</v>
      </c>
      <c r="K15" s="315">
        <v>0.15</v>
      </c>
      <c r="L15" s="317" t="str">
        <f>IFERROR(IF(_xlfn.XLOOKUP(D15,tbl_tech[TECHNOLOGY - Other],tbl_tech[NCAP_COST])=0,"",_xlfn.XLOOKUP(D15,tbl_tech[TECHNOLOGY - Other],tbl_tech[NCAP_COST])),"")</f>
        <v/>
      </c>
      <c r="M15" s="317" t="str">
        <f>IFERROR(IF(_xlfn.XLOOKUP(D15,tbl_tech[TECHNOLOGY - Other],tbl_tech[NCAP_FOM])=0,"",_xlfn.XLOOKUP(D15,tbl_tech[TECHNOLOGY - Other],tbl_tech[NCAP_FOM])),"")</f>
        <v/>
      </c>
      <c r="N15" s="315">
        <v>0</v>
      </c>
      <c r="O15" s="315"/>
      <c r="P15" s="315"/>
      <c r="Q15" s="318">
        <v>0</v>
      </c>
      <c r="R15" s="318">
        <v>0.34311093881961846</v>
      </c>
      <c r="S15" s="318">
        <v>0.15484883071149505</v>
      </c>
      <c r="T15" s="318">
        <v>0</v>
      </c>
      <c r="U15" s="318">
        <v>0</v>
      </c>
      <c r="V15" s="318">
        <v>0</v>
      </c>
      <c r="W15" s="318">
        <v>0</v>
      </c>
      <c r="X15" s="318">
        <v>0</v>
      </c>
      <c r="Y15" s="318">
        <v>1.0793181908062981</v>
      </c>
      <c r="Z15" s="318">
        <v>0.9407830171246413</v>
      </c>
      <c r="AA15" s="316"/>
      <c r="AB15" s="316"/>
      <c r="AC15" s="316"/>
      <c r="AD15" s="319"/>
      <c r="AE15" s="319"/>
      <c r="AF15" s="315">
        <v>1</v>
      </c>
      <c r="AG15" s="315"/>
      <c r="AH15" s="318">
        <f t="shared" si="3"/>
        <v>1</v>
      </c>
      <c r="AI15" s="318">
        <f t="shared" si="2"/>
        <v>1</v>
      </c>
      <c r="AJ15" s="318">
        <f t="shared" si="2"/>
        <v>1.0050251256281406</v>
      </c>
      <c r="AK15" s="318">
        <f t="shared" si="2"/>
        <v>1.0101010101010102</v>
      </c>
      <c r="AL15" s="318">
        <f t="shared" si="2"/>
        <v>1.015228426395939</v>
      </c>
      <c r="AM15" s="318">
        <f t="shared" si="2"/>
        <v>1.0204081632653061</v>
      </c>
      <c r="AN15" s="318">
        <f t="shared" si="2"/>
        <v>1.0256410256410258</v>
      </c>
      <c r="AO15" s="318">
        <f t="shared" si="2"/>
        <v>1.0309278350515465</v>
      </c>
      <c r="AP15" s="318">
        <f t="shared" si="2"/>
        <v>1.0362694300518136</v>
      </c>
      <c r="AQ15" s="318">
        <f t="shared" si="2"/>
        <v>1.0416666666666667</v>
      </c>
      <c r="AR15" s="318"/>
      <c r="AS15" s="318"/>
      <c r="AT15" s="318"/>
      <c r="AU15" s="318"/>
      <c r="AV15" s="318"/>
      <c r="AW15" s="318"/>
      <c r="AX15" s="318"/>
      <c r="AY15" s="318"/>
      <c r="AZ15" s="318"/>
      <c r="BA15" s="318"/>
      <c r="BB15" s="318" t="str">
        <f t="shared" si="0"/>
        <v/>
      </c>
      <c r="BC15" s="318" t="str">
        <f t="shared" si="0"/>
        <v/>
      </c>
      <c r="BD15" s="318" t="str">
        <f t="shared" si="0"/>
        <v/>
      </c>
      <c r="BE15" s="318" t="str">
        <f t="shared" si="0"/>
        <v/>
      </c>
      <c r="BF15" s="318" t="str">
        <f t="shared" si="0"/>
        <v/>
      </c>
      <c r="BG15" s="315"/>
      <c r="BI15" s="286">
        <v>1</v>
      </c>
      <c r="BJ15" s="286">
        <f t="shared" si="1"/>
        <v>1</v>
      </c>
      <c r="BK15" s="290">
        <v>0.995</v>
      </c>
      <c r="BL15" s="290">
        <v>0.99</v>
      </c>
      <c r="BM15" s="290">
        <v>0.98499999999999999</v>
      </c>
      <c r="BN15" s="290">
        <v>0.98</v>
      </c>
      <c r="BO15" s="290">
        <v>0.97499999999999998</v>
      </c>
      <c r="BP15" s="290">
        <v>0.97</v>
      </c>
      <c r="BQ15" s="290">
        <v>0.96499999999999997</v>
      </c>
      <c r="BR15" s="290">
        <v>0.96</v>
      </c>
      <c r="BS15" s="286">
        <v>1</v>
      </c>
      <c r="BT15" s="289"/>
      <c r="BU15" s="286"/>
      <c r="BV15" s="286"/>
    </row>
    <row r="16" spans="1:74" s="150" customFormat="1">
      <c r="A16" s="280"/>
      <c r="B16" s="315" t="s">
        <v>307</v>
      </c>
      <c r="C16" s="315" t="s">
        <v>404</v>
      </c>
      <c r="D16" s="315" t="s">
        <v>405</v>
      </c>
      <c r="E16" s="315" t="s">
        <v>329</v>
      </c>
      <c r="F16" s="315" t="s">
        <v>406</v>
      </c>
      <c r="G16" s="315" t="s">
        <v>395</v>
      </c>
      <c r="H16" s="315">
        <v>2010</v>
      </c>
      <c r="I16" s="315">
        <v>30</v>
      </c>
      <c r="J16" s="315">
        <v>1</v>
      </c>
      <c r="K16" s="315">
        <v>0.15</v>
      </c>
      <c r="L16" s="317" t="str">
        <f>IFERROR(IF(_xlfn.XLOOKUP(D16,tbl_tech[TECHNOLOGY - Other],tbl_tech[NCAP_COST])=0,"",_xlfn.XLOOKUP(D16,tbl_tech[TECHNOLOGY - Other],tbl_tech[NCAP_COST])),"")</f>
        <v/>
      </c>
      <c r="M16" s="317" t="str">
        <f>IFERROR(IF(_xlfn.XLOOKUP(D16,tbl_tech[TECHNOLOGY - Other],tbl_tech[NCAP_FOM])=0,"",_xlfn.XLOOKUP(D16,tbl_tech[TECHNOLOGY - Other],tbl_tech[NCAP_FOM])),"")</f>
        <v/>
      </c>
      <c r="N16" s="315">
        <v>0</v>
      </c>
      <c r="O16" s="315"/>
      <c r="P16" s="315"/>
      <c r="Q16" s="318">
        <v>0.37987590943799793</v>
      </c>
      <c r="R16" s="318">
        <v>0.9145576556777999</v>
      </c>
      <c r="S16" s="318">
        <v>0.41274750402057409</v>
      </c>
      <c r="T16" s="318">
        <v>0.37097101424709189</v>
      </c>
      <c r="U16" s="318">
        <v>0.27476451994550283</v>
      </c>
      <c r="V16" s="318">
        <v>0</v>
      </c>
      <c r="W16" s="318">
        <v>0.8727703713351026</v>
      </c>
      <c r="X16" s="318">
        <v>0.59114812499715508</v>
      </c>
      <c r="Y16" s="318">
        <v>0.29877444104201978</v>
      </c>
      <c r="Z16" s="318">
        <v>0.26042544494988917</v>
      </c>
      <c r="AA16" s="316"/>
      <c r="AB16" s="319"/>
      <c r="AC16" s="319"/>
      <c r="AD16" s="319"/>
      <c r="AE16" s="319"/>
      <c r="AF16" s="315">
        <v>1</v>
      </c>
      <c r="AG16" s="315"/>
      <c r="AH16" s="318">
        <f t="shared" si="3"/>
        <v>1</v>
      </c>
      <c r="AI16" s="318">
        <f t="shared" si="2"/>
        <v>1</v>
      </c>
      <c r="AJ16" s="318">
        <f t="shared" si="2"/>
        <v>1.0050251256281406</v>
      </c>
      <c r="AK16" s="318">
        <f t="shared" si="2"/>
        <v>1.0101010101010102</v>
      </c>
      <c r="AL16" s="318">
        <f t="shared" si="2"/>
        <v>1.015228426395939</v>
      </c>
      <c r="AM16" s="318">
        <f t="shared" si="2"/>
        <v>1.0204081632653061</v>
      </c>
      <c r="AN16" s="318">
        <f t="shared" si="2"/>
        <v>1.0256410256410258</v>
      </c>
      <c r="AO16" s="318">
        <f t="shared" si="2"/>
        <v>1.0309278350515465</v>
      </c>
      <c r="AP16" s="318">
        <f t="shared" si="2"/>
        <v>1.0362694300518136</v>
      </c>
      <c r="AQ16" s="318">
        <f t="shared" si="2"/>
        <v>1.0416666666666667</v>
      </c>
      <c r="AR16" s="318"/>
      <c r="AS16" s="318"/>
      <c r="AT16" s="318"/>
      <c r="AU16" s="318"/>
      <c r="AV16" s="318"/>
      <c r="AW16" s="318"/>
      <c r="AX16" s="318"/>
      <c r="AY16" s="318"/>
      <c r="AZ16" s="318"/>
      <c r="BA16" s="318"/>
      <c r="BB16" s="318" t="str">
        <f t="shared" si="0"/>
        <v/>
      </c>
      <c r="BC16" s="318" t="str">
        <f t="shared" si="0"/>
        <v/>
      </c>
      <c r="BD16" s="318" t="str">
        <f t="shared" si="0"/>
        <v/>
      </c>
      <c r="BE16" s="318" t="str">
        <f t="shared" si="0"/>
        <v/>
      </c>
      <c r="BF16" s="318" t="str">
        <f t="shared" si="0"/>
        <v/>
      </c>
      <c r="BG16" s="315"/>
      <c r="BI16" s="286">
        <v>1</v>
      </c>
      <c r="BJ16" s="286">
        <f t="shared" si="1"/>
        <v>1</v>
      </c>
      <c r="BK16" s="290">
        <v>0.995</v>
      </c>
      <c r="BL16" s="290">
        <v>0.99</v>
      </c>
      <c r="BM16" s="290">
        <v>0.98499999999999999</v>
      </c>
      <c r="BN16" s="290">
        <v>0.98</v>
      </c>
      <c r="BO16" s="290">
        <v>0.97499999999999998</v>
      </c>
      <c r="BP16" s="290">
        <v>0.97</v>
      </c>
      <c r="BQ16" s="290">
        <v>0.96499999999999997</v>
      </c>
      <c r="BR16" s="290">
        <v>0.96</v>
      </c>
      <c r="BS16" s="286">
        <v>1</v>
      </c>
      <c r="BT16" s="289"/>
      <c r="BU16" s="286"/>
      <c r="BV16" s="286"/>
    </row>
    <row r="17" spans="1:74" s="150" customFormat="1">
      <c r="A17" s="280"/>
      <c r="B17" s="315" t="s">
        <v>307</v>
      </c>
      <c r="C17" s="315" t="s">
        <v>407</v>
      </c>
      <c r="D17" s="315" t="s">
        <v>408</v>
      </c>
      <c r="E17" s="315" t="s">
        <v>329</v>
      </c>
      <c r="F17" s="315" t="s">
        <v>409</v>
      </c>
      <c r="G17" s="315" t="s">
        <v>395</v>
      </c>
      <c r="H17" s="315">
        <v>2010</v>
      </c>
      <c r="I17" s="315">
        <v>30</v>
      </c>
      <c r="J17" s="315">
        <v>1</v>
      </c>
      <c r="K17" s="315">
        <v>0.15</v>
      </c>
      <c r="L17" s="317" t="str">
        <f>IFERROR(IF(_xlfn.XLOOKUP(D17,tbl_tech[TECHNOLOGY - Other],tbl_tech[NCAP_COST])=0,"",_xlfn.XLOOKUP(D17,tbl_tech[TECHNOLOGY - Other],tbl_tech[NCAP_COST])),"")</f>
        <v/>
      </c>
      <c r="M17" s="317" t="str">
        <f>IFERROR(IF(_xlfn.XLOOKUP(D17,tbl_tech[TECHNOLOGY - Other],tbl_tech[NCAP_FOM])=0,"",_xlfn.XLOOKUP(D17,tbl_tech[TECHNOLOGY - Other],tbl_tech[NCAP_FOM])),"")</f>
        <v/>
      </c>
      <c r="N17" s="315">
        <v>0</v>
      </c>
      <c r="O17" s="315"/>
      <c r="P17" s="315"/>
      <c r="Q17" s="318">
        <v>0</v>
      </c>
      <c r="R17" s="318">
        <v>0.93917997207264492</v>
      </c>
      <c r="S17" s="318">
        <v>0.42385976093743871</v>
      </c>
      <c r="T17" s="318">
        <v>5.0573357526682585</v>
      </c>
      <c r="U17" s="318">
        <v>3.7457816835241204</v>
      </c>
      <c r="V17" s="318">
        <v>0.4286664806584064</v>
      </c>
      <c r="W17" s="318">
        <v>0.11078909838039874</v>
      </c>
      <c r="X17" s="318">
        <v>7.5040090645506041E-2</v>
      </c>
      <c r="Y17" s="318">
        <v>1.1053541701960603</v>
      </c>
      <c r="Z17" s="318">
        <v>0.96347716557200247</v>
      </c>
      <c r="AA17" s="319"/>
      <c r="AB17" s="319"/>
      <c r="AC17" s="319"/>
      <c r="AD17" s="319"/>
      <c r="AE17" s="319"/>
      <c r="AF17" s="315">
        <v>1</v>
      </c>
      <c r="AG17" s="315"/>
      <c r="AH17" s="318">
        <f t="shared" si="3"/>
        <v>1</v>
      </c>
      <c r="AI17" s="318">
        <f t="shared" si="2"/>
        <v>1</v>
      </c>
      <c r="AJ17" s="318">
        <f t="shared" si="2"/>
        <v>1.0050251256281406</v>
      </c>
      <c r="AK17" s="318">
        <f t="shared" si="2"/>
        <v>1.0101010101010102</v>
      </c>
      <c r="AL17" s="318">
        <f t="shared" si="2"/>
        <v>1.015228426395939</v>
      </c>
      <c r="AM17" s="318">
        <f t="shared" si="2"/>
        <v>1.0204081632653061</v>
      </c>
      <c r="AN17" s="318">
        <f t="shared" si="2"/>
        <v>1.0256410256410258</v>
      </c>
      <c r="AO17" s="318">
        <f t="shared" si="2"/>
        <v>1.0309278350515465</v>
      </c>
      <c r="AP17" s="318">
        <f t="shared" si="2"/>
        <v>1.0362694300518136</v>
      </c>
      <c r="AQ17" s="318">
        <f t="shared" si="2"/>
        <v>1.0416666666666667</v>
      </c>
      <c r="AR17" s="318"/>
      <c r="AS17" s="318"/>
      <c r="AT17" s="318"/>
      <c r="AU17" s="318"/>
      <c r="AV17" s="318"/>
      <c r="AW17" s="318"/>
      <c r="AX17" s="318"/>
      <c r="AY17" s="318"/>
      <c r="AZ17" s="318"/>
      <c r="BA17" s="318"/>
      <c r="BB17" s="318" t="str">
        <f t="shared" si="0"/>
        <v/>
      </c>
      <c r="BC17" s="318" t="str">
        <f t="shared" si="0"/>
        <v/>
      </c>
      <c r="BD17" s="318" t="str">
        <f t="shared" si="0"/>
        <v/>
      </c>
      <c r="BE17" s="318" t="str">
        <f t="shared" si="0"/>
        <v/>
      </c>
      <c r="BF17" s="318" t="str">
        <f t="shared" si="0"/>
        <v/>
      </c>
      <c r="BG17" s="315"/>
      <c r="BI17" s="286">
        <v>1</v>
      </c>
      <c r="BJ17" s="286">
        <f t="shared" si="1"/>
        <v>1</v>
      </c>
      <c r="BK17" s="290">
        <v>0.995</v>
      </c>
      <c r="BL17" s="290">
        <v>0.99</v>
      </c>
      <c r="BM17" s="290">
        <v>0.98499999999999999</v>
      </c>
      <c r="BN17" s="290">
        <v>0.98</v>
      </c>
      <c r="BO17" s="290">
        <v>0.97499999999999998</v>
      </c>
      <c r="BP17" s="290">
        <v>0.97</v>
      </c>
      <c r="BQ17" s="290">
        <v>0.96499999999999997</v>
      </c>
      <c r="BR17" s="290">
        <v>0.96</v>
      </c>
      <c r="BS17" s="286">
        <v>1</v>
      </c>
      <c r="BT17" s="289"/>
      <c r="BU17" s="286"/>
      <c r="BV17" s="286"/>
    </row>
    <row r="18" spans="1:74" s="150" customFormat="1">
      <c r="A18" s="280"/>
      <c r="B18" s="315" t="s">
        <v>307</v>
      </c>
      <c r="C18" s="315" t="s">
        <v>410</v>
      </c>
      <c r="D18" s="315" t="s">
        <v>411</v>
      </c>
      <c r="E18" s="315" t="s">
        <v>329</v>
      </c>
      <c r="F18" s="315" t="s">
        <v>412</v>
      </c>
      <c r="G18" s="315" t="s">
        <v>395</v>
      </c>
      <c r="H18" s="315">
        <v>2010</v>
      </c>
      <c r="I18" s="315">
        <v>30</v>
      </c>
      <c r="J18" s="315">
        <v>1</v>
      </c>
      <c r="K18" s="315">
        <v>0.15</v>
      </c>
      <c r="L18" s="317" t="str">
        <f>IFERROR(IF(_xlfn.XLOOKUP(D18,tbl_tech[TECHNOLOGY - Other],tbl_tech[NCAP_COST])=0,"",_xlfn.XLOOKUP(D18,tbl_tech[TECHNOLOGY - Other],tbl_tech[NCAP_COST])),"")</f>
        <v/>
      </c>
      <c r="M18" s="317" t="str">
        <f>IFERROR(IF(_xlfn.XLOOKUP(D18,tbl_tech[TECHNOLOGY - Other],tbl_tech[NCAP_FOM])=0,"",_xlfn.XLOOKUP(D18,tbl_tech[TECHNOLOGY - Other],tbl_tech[NCAP_FOM])),"")</f>
        <v/>
      </c>
      <c r="N18" s="315">
        <v>0</v>
      </c>
      <c r="O18" s="315"/>
      <c r="P18" s="315"/>
      <c r="Q18" s="318">
        <v>0</v>
      </c>
      <c r="R18" s="318">
        <v>1.2782995847267267</v>
      </c>
      <c r="S18" s="318">
        <v>0.57690727283395282</v>
      </c>
      <c r="T18" s="318">
        <v>1.0930737549419893</v>
      </c>
      <c r="U18" s="318">
        <v>0.809599332581867</v>
      </c>
      <c r="V18" s="318">
        <v>0.16735231431487405</v>
      </c>
      <c r="W18" s="318">
        <v>9.2916319402799388E-2</v>
      </c>
      <c r="X18" s="318">
        <v>6.2934432469995194E-2</v>
      </c>
      <c r="Y18" s="318">
        <v>0.86116156775197827</v>
      </c>
      <c r="Z18" s="318">
        <v>0.75062774336848959</v>
      </c>
      <c r="AA18" s="319"/>
      <c r="AB18" s="319"/>
      <c r="AC18" s="319"/>
      <c r="AD18" s="319"/>
      <c r="AE18" s="319"/>
      <c r="AF18" s="315">
        <v>1</v>
      </c>
      <c r="AG18" s="315"/>
      <c r="AH18" s="318">
        <f t="shared" si="3"/>
        <v>1</v>
      </c>
      <c r="AI18" s="318">
        <f t="shared" si="2"/>
        <v>1</v>
      </c>
      <c r="AJ18" s="318">
        <f t="shared" si="2"/>
        <v>1.0050251256281406</v>
      </c>
      <c r="AK18" s="318">
        <f t="shared" si="2"/>
        <v>1.0101010101010102</v>
      </c>
      <c r="AL18" s="318">
        <f t="shared" si="2"/>
        <v>1.015228426395939</v>
      </c>
      <c r="AM18" s="318">
        <f t="shared" si="2"/>
        <v>1.0204081632653061</v>
      </c>
      <c r="AN18" s="318">
        <f t="shared" si="2"/>
        <v>1.0256410256410258</v>
      </c>
      <c r="AO18" s="318">
        <f t="shared" si="2"/>
        <v>1.0309278350515465</v>
      </c>
      <c r="AP18" s="318">
        <f t="shared" si="2"/>
        <v>1.0362694300518136</v>
      </c>
      <c r="AQ18" s="318">
        <f t="shared" si="2"/>
        <v>1.0416666666666667</v>
      </c>
      <c r="AR18" s="318"/>
      <c r="AS18" s="318"/>
      <c r="AT18" s="318"/>
      <c r="AU18" s="318"/>
      <c r="AV18" s="318"/>
      <c r="AW18" s="318"/>
      <c r="AX18" s="318"/>
      <c r="AY18" s="318"/>
      <c r="AZ18" s="318"/>
      <c r="BA18" s="318"/>
      <c r="BB18" s="318" t="str">
        <f t="shared" si="0"/>
        <v/>
      </c>
      <c r="BC18" s="318" t="str">
        <f t="shared" si="0"/>
        <v/>
      </c>
      <c r="BD18" s="318" t="str">
        <f t="shared" si="0"/>
        <v/>
      </c>
      <c r="BE18" s="318" t="str">
        <f t="shared" si="0"/>
        <v/>
      </c>
      <c r="BF18" s="318" t="str">
        <f t="shared" si="0"/>
        <v/>
      </c>
      <c r="BG18" s="315"/>
      <c r="BI18" s="286">
        <v>1</v>
      </c>
      <c r="BJ18" s="286">
        <f t="shared" si="1"/>
        <v>1</v>
      </c>
      <c r="BK18" s="290">
        <v>0.995</v>
      </c>
      <c r="BL18" s="290">
        <v>0.99</v>
      </c>
      <c r="BM18" s="290">
        <v>0.98499999999999999</v>
      </c>
      <c r="BN18" s="290">
        <v>0.98</v>
      </c>
      <c r="BO18" s="290">
        <v>0.97499999999999998</v>
      </c>
      <c r="BP18" s="290">
        <v>0.97</v>
      </c>
      <c r="BQ18" s="290">
        <v>0.96499999999999997</v>
      </c>
      <c r="BR18" s="290">
        <v>0.96</v>
      </c>
      <c r="BS18" s="286">
        <v>1</v>
      </c>
      <c r="BT18" s="289"/>
      <c r="BU18" s="286"/>
      <c r="BV18" s="286"/>
    </row>
    <row r="19" spans="1:74" s="150" customFormat="1">
      <c r="A19" s="280"/>
      <c r="B19" s="315" t="s">
        <v>307</v>
      </c>
      <c r="C19" s="315" t="s">
        <v>413</v>
      </c>
      <c r="D19" s="315" t="s">
        <v>414</v>
      </c>
      <c r="E19" s="315" t="s">
        <v>329</v>
      </c>
      <c r="F19" s="315" t="s">
        <v>415</v>
      </c>
      <c r="G19" s="315" t="s">
        <v>395</v>
      </c>
      <c r="H19" s="315">
        <v>2010</v>
      </c>
      <c r="I19" s="315">
        <v>30</v>
      </c>
      <c r="J19" s="315">
        <v>1</v>
      </c>
      <c r="K19" s="315">
        <v>0.15</v>
      </c>
      <c r="L19" s="317" t="str">
        <f>IFERROR(IF(_xlfn.XLOOKUP(D19,tbl_tech[TECHNOLOGY - Other],tbl_tech[NCAP_COST])=0,"",_xlfn.XLOOKUP(D19,tbl_tech[TECHNOLOGY - Other],tbl_tech[NCAP_COST])),"")</f>
        <v/>
      </c>
      <c r="M19" s="317" t="str">
        <f>IFERROR(IF(_xlfn.XLOOKUP(D19,tbl_tech[TECHNOLOGY - Other],tbl_tech[NCAP_FOM])=0,"",_xlfn.XLOOKUP(D19,tbl_tech[TECHNOLOGY - Other],tbl_tech[NCAP_FOM])),"")</f>
        <v/>
      </c>
      <c r="N19" s="315">
        <v>0</v>
      </c>
      <c r="O19" s="315"/>
      <c r="P19" s="315"/>
      <c r="Q19" s="318">
        <v>0</v>
      </c>
      <c r="R19" s="318">
        <v>8.1920907938616533E-2</v>
      </c>
      <c r="S19" s="318">
        <v>3.6971589564469678E-2</v>
      </c>
      <c r="T19" s="318">
        <v>2.5984203705129504E-2</v>
      </c>
      <c r="U19" s="318">
        <v>1.9245539362950464E-2</v>
      </c>
      <c r="V19" s="318">
        <v>0</v>
      </c>
      <c r="W19" s="318">
        <v>4.01940044733536E-3</v>
      </c>
      <c r="X19" s="318">
        <v>2.7224354951695868E-3</v>
      </c>
      <c r="Y19" s="318">
        <v>3.3022957554517986E-2</v>
      </c>
      <c r="Z19" s="318">
        <v>2.8784317643446418E-2</v>
      </c>
      <c r="AA19" s="316"/>
      <c r="AB19" s="319"/>
      <c r="AC19" s="319"/>
      <c r="AD19" s="319"/>
      <c r="AE19" s="319"/>
      <c r="AF19" s="315">
        <v>1</v>
      </c>
      <c r="AG19" s="315"/>
      <c r="AH19" s="318">
        <f t="shared" si="3"/>
        <v>1</v>
      </c>
      <c r="AI19" s="318">
        <f t="shared" si="2"/>
        <v>1</v>
      </c>
      <c r="AJ19" s="318">
        <f t="shared" si="2"/>
        <v>1.0050251256281406</v>
      </c>
      <c r="AK19" s="318">
        <f t="shared" si="2"/>
        <v>1.0101010101010102</v>
      </c>
      <c r="AL19" s="318">
        <f t="shared" si="2"/>
        <v>1.015228426395939</v>
      </c>
      <c r="AM19" s="318">
        <f t="shared" si="2"/>
        <v>1.0204081632653061</v>
      </c>
      <c r="AN19" s="318">
        <f t="shared" si="2"/>
        <v>1.0256410256410258</v>
      </c>
      <c r="AO19" s="318">
        <f t="shared" si="2"/>
        <v>1.0309278350515465</v>
      </c>
      <c r="AP19" s="318">
        <f t="shared" si="2"/>
        <v>1.0362694300518136</v>
      </c>
      <c r="AQ19" s="318">
        <f t="shared" si="2"/>
        <v>1.0416666666666667</v>
      </c>
      <c r="AR19" s="318"/>
      <c r="AS19" s="318"/>
      <c r="AT19" s="318"/>
      <c r="AU19" s="318"/>
      <c r="AV19" s="318"/>
      <c r="AW19" s="318"/>
      <c r="AX19" s="318"/>
      <c r="AY19" s="318"/>
      <c r="AZ19" s="318"/>
      <c r="BA19" s="318"/>
      <c r="BB19" s="318" t="str">
        <f t="shared" si="0"/>
        <v/>
      </c>
      <c r="BC19" s="318" t="str">
        <f t="shared" si="0"/>
        <v/>
      </c>
      <c r="BD19" s="318" t="str">
        <f t="shared" si="0"/>
        <v/>
      </c>
      <c r="BE19" s="318" t="str">
        <f t="shared" si="0"/>
        <v/>
      </c>
      <c r="BF19" s="318" t="str">
        <f t="shared" si="0"/>
        <v/>
      </c>
      <c r="BG19" s="315"/>
      <c r="BI19" s="286">
        <v>1</v>
      </c>
      <c r="BJ19" s="286">
        <f t="shared" si="1"/>
        <v>1</v>
      </c>
      <c r="BK19" s="290">
        <v>0.995</v>
      </c>
      <c r="BL19" s="290">
        <v>0.99</v>
      </c>
      <c r="BM19" s="290">
        <v>0.98499999999999999</v>
      </c>
      <c r="BN19" s="290">
        <v>0.98</v>
      </c>
      <c r="BO19" s="290">
        <v>0.97499999999999998</v>
      </c>
      <c r="BP19" s="290">
        <v>0.97</v>
      </c>
      <c r="BQ19" s="290">
        <v>0.96499999999999997</v>
      </c>
      <c r="BR19" s="290">
        <v>0.96</v>
      </c>
      <c r="BS19" s="286">
        <v>1</v>
      </c>
      <c r="BT19" s="286"/>
      <c r="BU19" s="286"/>
      <c r="BV19" s="286"/>
    </row>
    <row r="20" spans="1:74" s="150" customFormat="1">
      <c r="A20" s="280"/>
      <c r="B20" s="315" t="s">
        <v>307</v>
      </c>
      <c r="C20" s="315" t="s">
        <v>416</v>
      </c>
      <c r="D20" s="315" t="s">
        <v>417</v>
      </c>
      <c r="E20" s="315" t="s">
        <v>329</v>
      </c>
      <c r="F20" s="315" t="s">
        <v>418</v>
      </c>
      <c r="G20" s="315" t="s">
        <v>419</v>
      </c>
      <c r="H20" s="315">
        <v>2010</v>
      </c>
      <c r="I20" s="315">
        <v>30</v>
      </c>
      <c r="J20" s="315">
        <v>1</v>
      </c>
      <c r="K20" s="315">
        <v>0.15</v>
      </c>
      <c r="L20" s="317">
        <f>IFERROR(IF(_xlfn.XLOOKUP(D20,tbl_tech[TECHNOLOGY - Other],tbl_tech[NCAP_COST])=0,"",_xlfn.XLOOKUP(D20,tbl_tech[TECHNOLOGY - Other],tbl_tech[NCAP_COST])),"")</f>
        <v>177.58015334407696</v>
      </c>
      <c r="M20" s="317">
        <f>IFERROR(IF(_xlfn.XLOOKUP(D20,tbl_tech[TECHNOLOGY - Other],tbl_tech[NCAP_FOM])=0,"",_xlfn.XLOOKUP(D20,tbl_tech[TECHNOLOGY - Other],tbl_tech[NCAP_FOM])),"")</f>
        <v>21.84703202325149</v>
      </c>
      <c r="N20" s="315">
        <v>0</v>
      </c>
      <c r="O20" s="315"/>
      <c r="P20" s="315"/>
      <c r="Q20" s="318">
        <v>0.92696647379766406</v>
      </c>
      <c r="R20" s="318">
        <v>2.3688162086106237</v>
      </c>
      <c r="S20" s="318">
        <v>1.0690665279740088</v>
      </c>
      <c r="T20" s="318">
        <v>0.90255485012024184</v>
      </c>
      <c r="U20" s="318">
        <v>0.66848902095783502</v>
      </c>
      <c r="V20" s="318">
        <v>1.4369921625185693</v>
      </c>
      <c r="W20" s="318">
        <v>3.2678985586167504</v>
      </c>
      <c r="X20" s="318">
        <v>2.2134253969369375</v>
      </c>
      <c r="Y20" s="318">
        <v>1.4013987333665723</v>
      </c>
      <c r="Z20" s="318">
        <v>1.2215231243219784</v>
      </c>
      <c r="AA20" s="319"/>
      <c r="AB20" s="319"/>
      <c r="AC20" s="319"/>
      <c r="AD20" s="319"/>
      <c r="AE20" s="319"/>
      <c r="AF20" s="315">
        <v>1</v>
      </c>
      <c r="AG20" s="315"/>
      <c r="AH20" s="318">
        <f t="shared" si="3"/>
        <v>1</v>
      </c>
      <c r="AI20" s="318">
        <f t="shared" si="2"/>
        <v>1</v>
      </c>
      <c r="AJ20" s="318">
        <f t="shared" si="2"/>
        <v>1.0944772290625775</v>
      </c>
      <c r="AK20" s="318">
        <f t="shared" si="2"/>
        <v>1.1900788518673768</v>
      </c>
      <c r="AL20" s="318">
        <f t="shared" si="2"/>
        <v>1.3017773885594424</v>
      </c>
      <c r="AM20" s="318">
        <f t="shared" si="2"/>
        <v>1.411134759640805</v>
      </c>
      <c r="AN20" s="318">
        <f t="shared" si="2"/>
        <v>1.5095043177058032</v>
      </c>
      <c r="AO20" s="318">
        <f t="shared" si="2"/>
        <v>1.5083435777071164</v>
      </c>
      <c r="AP20" s="318">
        <f t="shared" si="2"/>
        <v>1.5592970348747495</v>
      </c>
      <c r="AQ20" s="318">
        <f t="shared" si="2"/>
        <v>1.6061409674388625</v>
      </c>
      <c r="AR20" s="318"/>
      <c r="AS20" s="318"/>
      <c r="AT20" s="318"/>
      <c r="AU20" s="318"/>
      <c r="AV20" s="318"/>
      <c r="AW20" s="318"/>
      <c r="AX20" s="318"/>
      <c r="AY20" s="318"/>
      <c r="AZ20" s="318"/>
      <c r="BA20" s="318"/>
      <c r="BB20" s="318" t="str">
        <f t="shared" si="0"/>
        <v/>
      </c>
      <c r="BC20" s="318" t="str">
        <f t="shared" si="0"/>
        <v/>
      </c>
      <c r="BD20" s="318" t="str">
        <f t="shared" si="0"/>
        <v/>
      </c>
      <c r="BE20" s="318" t="str">
        <f t="shared" si="0"/>
        <v/>
      </c>
      <c r="BF20" s="318" t="str">
        <f t="shared" si="0"/>
        <v/>
      </c>
      <c r="BG20" s="315"/>
      <c r="BI20" s="286">
        <v>1</v>
      </c>
      <c r="BJ20" s="286">
        <f t="shared" si="1"/>
        <v>1</v>
      </c>
      <c r="BK20" s="290">
        <f>'Demand (old)'!G$137</f>
        <v>0.91367821407897398</v>
      </c>
      <c r="BL20" s="290">
        <f>'Demand (old)'!H$137</f>
        <v>0.84028045572852572</v>
      </c>
      <c r="BM20" s="290">
        <f>'Demand (old)'!I$137</f>
        <v>0.76818049598065941</v>
      </c>
      <c r="BN20" s="290">
        <f>'Demand (old)'!J$137</f>
        <v>0.70864954120649915</v>
      </c>
      <c r="BO20" s="290">
        <f>'Demand (old)'!K$137</f>
        <v>0.66246912199617591</v>
      </c>
      <c r="BP20" s="290">
        <f>'Demand (old)'!L$137</f>
        <v>0.66297892256095492</v>
      </c>
      <c r="BQ20" s="290">
        <f>'Demand (old)'!M$137</f>
        <v>0.64131462937100048</v>
      </c>
      <c r="BR20" s="290">
        <f>'Demand (old)'!N$137</f>
        <v>0.62261035629680173</v>
      </c>
      <c r="BS20" s="286">
        <v>1</v>
      </c>
      <c r="BT20" s="289"/>
      <c r="BU20" s="286"/>
      <c r="BV20" s="286"/>
    </row>
    <row r="21" spans="1:74" s="150" customFormat="1">
      <c r="A21" s="280"/>
      <c r="B21" s="315" t="s">
        <v>307</v>
      </c>
      <c r="C21" s="315" t="s">
        <v>420</v>
      </c>
      <c r="D21" s="315" t="s">
        <v>421</v>
      </c>
      <c r="E21" s="315" t="s">
        <v>329</v>
      </c>
      <c r="F21" s="315" t="s">
        <v>418</v>
      </c>
      <c r="G21" s="315" t="s">
        <v>422</v>
      </c>
      <c r="H21" s="315">
        <v>2010</v>
      </c>
      <c r="I21" s="315">
        <v>30</v>
      </c>
      <c r="J21" s="315">
        <v>1</v>
      </c>
      <c r="K21" s="315">
        <v>0.15</v>
      </c>
      <c r="L21" s="317">
        <f>IFERROR(IF(_xlfn.XLOOKUP(D21,tbl_tech[TECHNOLOGY - Other],tbl_tech[NCAP_COST])=0,"",_xlfn.XLOOKUP(D21,tbl_tech[TECHNOLOGY - Other],tbl_tech[NCAP_COST])),"")</f>
        <v>25.663247334000005</v>
      </c>
      <c r="M21" s="317">
        <f>IFERROR(IF(_xlfn.XLOOKUP(D21,tbl_tech[TECHNOLOGY - Other],tbl_tech[NCAP_FOM])=0,"",_xlfn.XLOOKUP(D21,tbl_tech[TECHNOLOGY - Other],tbl_tech[NCAP_FOM])),"")</f>
        <v>2.5663247334000006</v>
      </c>
      <c r="N21" s="315">
        <v>0</v>
      </c>
      <c r="O21" s="315"/>
      <c r="P21" s="315"/>
      <c r="Q21" s="318">
        <v>18.745322025686093</v>
      </c>
      <c r="R21" s="318">
        <v>47.902727774125943</v>
      </c>
      <c r="S21" s="318">
        <v>21.618900899029953</v>
      </c>
      <c r="T21" s="318">
        <v>18.251664746875999</v>
      </c>
      <c r="U21" s="318">
        <v>13.518333534925107</v>
      </c>
      <c r="V21" s="318">
        <v>17.33233623714705</v>
      </c>
      <c r="W21" s="318">
        <v>39.41588415316204</v>
      </c>
      <c r="X21" s="318">
        <v>26.697315556900911</v>
      </c>
      <c r="Y21" s="318">
        <v>16.903024722452194</v>
      </c>
      <c r="Z21" s="318">
        <v>14.73344814566817</v>
      </c>
      <c r="AA21" s="319"/>
      <c r="AB21" s="319"/>
      <c r="AC21" s="319"/>
      <c r="AD21" s="319"/>
      <c r="AE21" s="319"/>
      <c r="AF21" s="315">
        <v>1</v>
      </c>
      <c r="AG21" s="315"/>
      <c r="AH21" s="318">
        <f t="shared" si="3"/>
        <v>1</v>
      </c>
      <c r="AI21" s="318">
        <f t="shared" si="2"/>
        <v>1</v>
      </c>
      <c r="AJ21" s="318">
        <f t="shared" si="2"/>
        <v>1.0944772290625775</v>
      </c>
      <c r="AK21" s="318">
        <f t="shared" si="2"/>
        <v>1.1900788518673768</v>
      </c>
      <c r="AL21" s="318">
        <f t="shared" si="2"/>
        <v>1.3017773885594424</v>
      </c>
      <c r="AM21" s="318">
        <f t="shared" si="2"/>
        <v>1.411134759640805</v>
      </c>
      <c r="AN21" s="318">
        <f t="shared" si="2"/>
        <v>1.5095043177058032</v>
      </c>
      <c r="AO21" s="318">
        <f t="shared" si="2"/>
        <v>1.5083435777071164</v>
      </c>
      <c r="AP21" s="318">
        <f t="shared" si="2"/>
        <v>1.5592970348747495</v>
      </c>
      <c r="AQ21" s="318">
        <f t="shared" si="2"/>
        <v>1.6061409674388625</v>
      </c>
      <c r="AR21" s="318"/>
      <c r="AS21" s="318"/>
      <c r="AT21" s="318"/>
      <c r="AU21" s="318"/>
      <c r="AV21" s="318"/>
      <c r="AW21" s="318"/>
      <c r="AX21" s="318"/>
      <c r="AY21" s="318"/>
      <c r="AZ21" s="318"/>
      <c r="BA21" s="318"/>
      <c r="BB21" s="318" t="str">
        <f t="shared" si="0"/>
        <v/>
      </c>
      <c r="BC21" s="318" t="str">
        <f t="shared" si="0"/>
        <v/>
      </c>
      <c r="BD21" s="318" t="str">
        <f t="shared" si="0"/>
        <v/>
      </c>
      <c r="BE21" s="318" t="str">
        <f t="shared" si="0"/>
        <v/>
      </c>
      <c r="BF21" s="318" t="str">
        <f t="shared" si="0"/>
        <v/>
      </c>
      <c r="BG21" s="315"/>
      <c r="BI21" s="286">
        <v>1</v>
      </c>
      <c r="BJ21" s="286">
        <f t="shared" si="1"/>
        <v>1</v>
      </c>
      <c r="BK21" s="290">
        <f>'Demand (old)'!G$137</f>
        <v>0.91367821407897398</v>
      </c>
      <c r="BL21" s="290">
        <f>'Demand (old)'!H$137</f>
        <v>0.84028045572852572</v>
      </c>
      <c r="BM21" s="290">
        <f>'Demand (old)'!I$137</f>
        <v>0.76818049598065941</v>
      </c>
      <c r="BN21" s="290">
        <f>'Demand (old)'!J$137</f>
        <v>0.70864954120649915</v>
      </c>
      <c r="BO21" s="290">
        <f>'Demand (old)'!K$137</f>
        <v>0.66246912199617591</v>
      </c>
      <c r="BP21" s="290">
        <f>'Demand (old)'!L$137</f>
        <v>0.66297892256095492</v>
      </c>
      <c r="BQ21" s="290">
        <f>'Demand (old)'!M$137</f>
        <v>0.64131462937100048</v>
      </c>
      <c r="BR21" s="290">
        <f>'Demand (old)'!N$137</f>
        <v>0.62261035629680173</v>
      </c>
      <c r="BS21" s="286">
        <v>1</v>
      </c>
      <c r="BT21" s="289"/>
      <c r="BU21" s="286"/>
      <c r="BV21" s="286"/>
    </row>
    <row r="22" spans="1:74" s="150" customFormat="1">
      <c r="A22" s="280"/>
      <c r="B22" s="315" t="s">
        <v>307</v>
      </c>
      <c r="C22" s="315" t="s">
        <v>423</v>
      </c>
      <c r="D22" s="315" t="s">
        <v>424</v>
      </c>
      <c r="E22" s="315" t="s">
        <v>329</v>
      </c>
      <c r="F22" s="315" t="s">
        <v>394</v>
      </c>
      <c r="G22" s="315" t="s">
        <v>422</v>
      </c>
      <c r="H22" s="315">
        <v>2010</v>
      </c>
      <c r="I22" s="315">
        <v>30</v>
      </c>
      <c r="J22" s="315">
        <v>1</v>
      </c>
      <c r="K22" s="315">
        <v>0.15</v>
      </c>
      <c r="L22" s="317">
        <f>IFERROR(IF(_xlfn.XLOOKUP(D22,tbl_tech[TECHNOLOGY - Other],tbl_tech[NCAP_COST])=0,"",_xlfn.XLOOKUP(D22,tbl_tech[TECHNOLOGY - Other],tbl_tech[NCAP_COST])),"")</f>
        <v>22.077411000000001</v>
      </c>
      <c r="M22" s="317">
        <f>IFERROR(IF(_xlfn.XLOOKUP(D22,tbl_tech[TECHNOLOGY - Other],tbl_tech[NCAP_FOM])=0,"",_xlfn.XLOOKUP(D22,tbl_tech[TECHNOLOGY - Other],tbl_tech[NCAP_FOM])),"")</f>
        <v>2.2077411000000002</v>
      </c>
      <c r="N22" s="315">
        <v>0</v>
      </c>
      <c r="O22" s="315"/>
      <c r="P22" s="315"/>
      <c r="Q22" s="318">
        <v>0.5353324672203903</v>
      </c>
      <c r="R22" s="318">
        <v>0.1174042894875764</v>
      </c>
      <c r="S22" s="318">
        <v>5.2985535845077467E-2</v>
      </c>
      <c r="T22" s="318">
        <v>0.18292150018147815</v>
      </c>
      <c r="U22" s="318">
        <v>0.13548319479105786</v>
      </c>
      <c r="V22" s="318">
        <v>0.46359416835481571</v>
      </c>
      <c r="W22" s="318">
        <v>0</v>
      </c>
      <c r="X22" s="318">
        <v>0</v>
      </c>
      <c r="Y22" s="318">
        <v>9.6741377856191191E-2</v>
      </c>
      <c r="Z22" s="318">
        <v>8.4324202182075758E-2</v>
      </c>
      <c r="AA22" s="319"/>
      <c r="AB22" s="316"/>
      <c r="AC22" s="316"/>
      <c r="AD22" s="319"/>
      <c r="AE22" s="319"/>
      <c r="AF22" s="315">
        <v>1</v>
      </c>
      <c r="AG22" s="315"/>
      <c r="AH22" s="318">
        <f t="shared" si="3"/>
        <v>1</v>
      </c>
      <c r="AI22" s="318">
        <f t="shared" si="2"/>
        <v>1</v>
      </c>
      <c r="AJ22" s="318">
        <f t="shared" si="2"/>
        <v>1.0944772290625775</v>
      </c>
      <c r="AK22" s="318">
        <f t="shared" si="2"/>
        <v>1.1900788518673768</v>
      </c>
      <c r="AL22" s="318">
        <f t="shared" si="2"/>
        <v>1.3017773885594424</v>
      </c>
      <c r="AM22" s="318">
        <f t="shared" si="2"/>
        <v>1.411134759640805</v>
      </c>
      <c r="AN22" s="318">
        <f t="shared" si="2"/>
        <v>1.5095043177058032</v>
      </c>
      <c r="AO22" s="318">
        <f t="shared" si="2"/>
        <v>1.5083435777071164</v>
      </c>
      <c r="AP22" s="318">
        <f t="shared" si="2"/>
        <v>1.5592970348747495</v>
      </c>
      <c r="AQ22" s="318">
        <f t="shared" si="2"/>
        <v>1.6061409674388625</v>
      </c>
      <c r="AR22" s="318"/>
      <c r="AS22" s="318"/>
      <c r="AT22" s="318"/>
      <c r="AU22" s="318"/>
      <c r="AV22" s="318"/>
      <c r="AW22" s="318"/>
      <c r="AX22" s="318"/>
      <c r="AY22" s="318"/>
      <c r="AZ22" s="318"/>
      <c r="BA22" s="318"/>
      <c r="BB22" s="318" t="str">
        <f t="shared" si="0"/>
        <v/>
      </c>
      <c r="BC22" s="318" t="str">
        <f t="shared" si="0"/>
        <v/>
      </c>
      <c r="BD22" s="318" t="str">
        <f t="shared" si="0"/>
        <v/>
      </c>
      <c r="BE22" s="318" t="str">
        <f t="shared" si="0"/>
        <v/>
      </c>
      <c r="BF22" s="318" t="str">
        <f t="shared" si="0"/>
        <v/>
      </c>
      <c r="BG22" s="315"/>
      <c r="BI22" s="286">
        <v>1</v>
      </c>
      <c r="BJ22" s="286">
        <f t="shared" si="1"/>
        <v>1</v>
      </c>
      <c r="BK22" s="290">
        <f>'Demand (old)'!G$137</f>
        <v>0.91367821407897398</v>
      </c>
      <c r="BL22" s="290">
        <f>'Demand (old)'!H$137</f>
        <v>0.84028045572852572</v>
      </c>
      <c r="BM22" s="290">
        <f>'Demand (old)'!I$137</f>
        <v>0.76818049598065941</v>
      </c>
      <c r="BN22" s="290">
        <f>'Demand (old)'!J$137</f>
        <v>0.70864954120649915</v>
      </c>
      <c r="BO22" s="290">
        <f>'Demand (old)'!K$137</f>
        <v>0.66246912199617591</v>
      </c>
      <c r="BP22" s="290">
        <f>'Demand (old)'!L$137</f>
        <v>0.66297892256095492</v>
      </c>
      <c r="BQ22" s="290">
        <f>'Demand (old)'!M$137</f>
        <v>0.64131462937100048</v>
      </c>
      <c r="BR22" s="290">
        <f>'Demand (old)'!N$137</f>
        <v>0.62261035629680173</v>
      </c>
      <c r="BS22" s="286">
        <v>1</v>
      </c>
      <c r="BT22" s="289"/>
      <c r="BU22" s="286"/>
      <c r="BV22" s="286"/>
    </row>
    <row r="23" spans="1:74" s="150" customFormat="1">
      <c r="A23" s="280"/>
      <c r="B23" s="315" t="s">
        <v>307</v>
      </c>
      <c r="C23" s="315" t="s">
        <v>425</v>
      </c>
      <c r="D23" s="315" t="s">
        <v>426</v>
      </c>
      <c r="E23" s="315" t="s">
        <v>329</v>
      </c>
      <c r="F23" s="315" t="s">
        <v>398</v>
      </c>
      <c r="G23" s="315" t="s">
        <v>422</v>
      </c>
      <c r="H23" s="315">
        <v>2010</v>
      </c>
      <c r="I23" s="315">
        <v>30</v>
      </c>
      <c r="J23" s="315">
        <v>1</v>
      </c>
      <c r="K23" s="315">
        <v>0.15</v>
      </c>
      <c r="L23" s="317">
        <f>IFERROR(IF(_xlfn.XLOOKUP(D23,tbl_tech[TECHNOLOGY - Other],tbl_tech[NCAP_COST])=0,"",_xlfn.XLOOKUP(D23,tbl_tech[TECHNOLOGY - Other],tbl_tech[NCAP_COST])),"")</f>
        <v>21.147835800000003</v>
      </c>
      <c r="M23" s="317">
        <f>IFERROR(IF(_xlfn.XLOOKUP(D23,tbl_tech[TECHNOLOGY - Other],tbl_tech[NCAP_FOM])=0,"",_xlfn.XLOOKUP(D23,tbl_tech[TECHNOLOGY - Other],tbl_tech[NCAP_FOM])),"")</f>
        <v>2.1147835800000006</v>
      </c>
      <c r="N23" s="315">
        <v>0</v>
      </c>
      <c r="O23" s="315"/>
      <c r="P23" s="315"/>
      <c r="Q23" s="318">
        <v>0.2347149286005403</v>
      </c>
      <c r="R23" s="318">
        <v>0.65888718923534006</v>
      </c>
      <c r="S23" s="318">
        <v>0.29736128837767678</v>
      </c>
      <c r="T23" s="318">
        <v>0.25170897122954683</v>
      </c>
      <c r="U23" s="318">
        <v>0.18643153235631799</v>
      </c>
      <c r="V23" s="318">
        <v>0.80190646543579303</v>
      </c>
      <c r="W23" s="318">
        <v>0.55865863804166049</v>
      </c>
      <c r="X23" s="318">
        <v>0.37839277917580866</v>
      </c>
      <c r="Y23" s="318">
        <v>0.31874157624236943</v>
      </c>
      <c r="Z23" s="318">
        <v>0.27782971169636878</v>
      </c>
      <c r="AA23" s="319"/>
      <c r="AB23" s="319"/>
      <c r="AC23" s="319"/>
      <c r="AD23" s="319"/>
      <c r="AE23" s="319"/>
      <c r="AF23" s="315">
        <v>1</v>
      </c>
      <c r="AG23" s="315"/>
      <c r="AH23" s="318">
        <f t="shared" si="3"/>
        <v>1</v>
      </c>
      <c r="AI23" s="318">
        <f t="shared" si="2"/>
        <v>1</v>
      </c>
      <c r="AJ23" s="318">
        <f t="shared" si="2"/>
        <v>1.0944772290625775</v>
      </c>
      <c r="AK23" s="318">
        <f t="shared" si="2"/>
        <v>1.1900788518673768</v>
      </c>
      <c r="AL23" s="318">
        <f t="shared" si="2"/>
        <v>1.3017773885594424</v>
      </c>
      <c r="AM23" s="318">
        <f t="shared" si="2"/>
        <v>1.411134759640805</v>
      </c>
      <c r="AN23" s="318">
        <f t="shared" si="2"/>
        <v>1.5095043177058032</v>
      </c>
      <c r="AO23" s="318">
        <f t="shared" si="2"/>
        <v>1.5083435777071164</v>
      </c>
      <c r="AP23" s="318">
        <f t="shared" si="2"/>
        <v>1.5592970348747495</v>
      </c>
      <c r="AQ23" s="318">
        <f t="shared" si="2"/>
        <v>1.6061409674388625</v>
      </c>
      <c r="AR23" s="318"/>
      <c r="AS23" s="318"/>
      <c r="AT23" s="318"/>
      <c r="AU23" s="318"/>
      <c r="AV23" s="318"/>
      <c r="AW23" s="318"/>
      <c r="AX23" s="318"/>
      <c r="AY23" s="318"/>
      <c r="AZ23" s="318"/>
      <c r="BA23" s="318"/>
      <c r="BB23" s="318" t="str">
        <f t="shared" si="0"/>
        <v/>
      </c>
      <c r="BC23" s="318" t="str">
        <f t="shared" si="0"/>
        <v/>
      </c>
      <c r="BD23" s="318" t="str">
        <f t="shared" si="0"/>
        <v/>
      </c>
      <c r="BE23" s="318" t="str">
        <f t="shared" si="0"/>
        <v/>
      </c>
      <c r="BF23" s="318" t="str">
        <f t="shared" si="0"/>
        <v/>
      </c>
      <c r="BG23" s="315"/>
      <c r="BI23" s="286">
        <v>1</v>
      </c>
      <c r="BJ23" s="286">
        <f t="shared" si="1"/>
        <v>1</v>
      </c>
      <c r="BK23" s="290">
        <f>'Demand (old)'!G$137</f>
        <v>0.91367821407897398</v>
      </c>
      <c r="BL23" s="290">
        <f>'Demand (old)'!H$137</f>
        <v>0.84028045572852572</v>
      </c>
      <c r="BM23" s="290">
        <f>'Demand (old)'!I$137</f>
        <v>0.76818049598065941</v>
      </c>
      <c r="BN23" s="290">
        <f>'Demand (old)'!J$137</f>
        <v>0.70864954120649915</v>
      </c>
      <c r="BO23" s="290">
        <f>'Demand (old)'!K$137</f>
        <v>0.66246912199617591</v>
      </c>
      <c r="BP23" s="290">
        <f>'Demand (old)'!L$137</f>
        <v>0.66297892256095492</v>
      </c>
      <c r="BQ23" s="290">
        <f>'Demand (old)'!M$137</f>
        <v>0.64131462937100048</v>
      </c>
      <c r="BR23" s="290">
        <f>'Demand (old)'!N$137</f>
        <v>0.62261035629680173</v>
      </c>
      <c r="BS23" s="286">
        <v>1</v>
      </c>
      <c r="BT23" s="289"/>
      <c r="BU23" s="286"/>
      <c r="BV23" s="286"/>
    </row>
    <row r="24" spans="1:74" s="150" customFormat="1">
      <c r="A24" s="280"/>
      <c r="B24" s="315" t="s">
        <v>307</v>
      </c>
      <c r="C24" s="315" t="s">
        <v>427</v>
      </c>
      <c r="D24" s="315" t="s">
        <v>428</v>
      </c>
      <c r="E24" s="315" t="s">
        <v>329</v>
      </c>
      <c r="F24" s="315" t="s">
        <v>48</v>
      </c>
      <c r="G24" s="315" t="s">
        <v>422</v>
      </c>
      <c r="H24" s="315">
        <v>2010</v>
      </c>
      <c r="I24" s="315">
        <v>30</v>
      </c>
      <c r="J24" s="315">
        <v>1</v>
      </c>
      <c r="K24" s="315">
        <v>0.15</v>
      </c>
      <c r="L24" s="317">
        <f>IFERROR(IF(_xlfn.XLOOKUP(D24,tbl_tech[TECHNOLOGY - Other],tbl_tech[NCAP_COST])=0,"",_xlfn.XLOOKUP(D24,tbl_tech[TECHNOLOGY - Other],tbl_tech[NCAP_COST])),"")</f>
        <v>18.591504000000004</v>
      </c>
      <c r="M24" s="317">
        <f>IFERROR(IF(_xlfn.XLOOKUP(D24,tbl_tech[TECHNOLOGY - Other],tbl_tech[NCAP_FOM])=0,"",_xlfn.XLOOKUP(D24,tbl_tech[TECHNOLOGY - Other],tbl_tech[NCAP_FOM])),"")</f>
        <v>1.8591504000000005</v>
      </c>
      <c r="N24" s="315">
        <v>0</v>
      </c>
      <c r="O24" s="315"/>
      <c r="P24" s="315"/>
      <c r="Q24" s="318">
        <v>41.577325961325144</v>
      </c>
      <c r="R24" s="318">
        <v>121.57818955955192</v>
      </c>
      <c r="S24" s="318">
        <v>54.869251788018659</v>
      </c>
      <c r="T24" s="318">
        <v>37.338510018643845</v>
      </c>
      <c r="U24" s="318">
        <v>27.655254418124525</v>
      </c>
      <c r="V24" s="318">
        <v>39.845321616104371</v>
      </c>
      <c r="W24" s="318">
        <v>96.154072492534439</v>
      </c>
      <c r="X24" s="318">
        <v>65.127439624067961</v>
      </c>
      <c r="Y24" s="318">
        <v>28.687477669328167</v>
      </c>
      <c r="Z24" s="318">
        <v>25.005315416100402</v>
      </c>
      <c r="AA24" s="319"/>
      <c r="AB24" s="319"/>
      <c r="AC24" s="319"/>
      <c r="AD24" s="319"/>
      <c r="AE24" s="319"/>
      <c r="AF24" s="315">
        <v>1</v>
      </c>
      <c r="AG24" s="315"/>
      <c r="AH24" s="318">
        <f t="shared" si="3"/>
        <v>1</v>
      </c>
      <c r="AI24" s="318">
        <f t="shared" si="2"/>
        <v>1</v>
      </c>
      <c r="AJ24" s="318">
        <f t="shared" si="2"/>
        <v>1.0944772290625775</v>
      </c>
      <c r="AK24" s="318">
        <f t="shared" si="2"/>
        <v>1.1900788518673768</v>
      </c>
      <c r="AL24" s="318">
        <f t="shared" si="2"/>
        <v>1.3017773885594424</v>
      </c>
      <c r="AM24" s="318">
        <f t="shared" si="2"/>
        <v>1.411134759640805</v>
      </c>
      <c r="AN24" s="318">
        <f t="shared" si="2"/>
        <v>1.5095043177058032</v>
      </c>
      <c r="AO24" s="318">
        <f t="shared" si="2"/>
        <v>1.5083435777071164</v>
      </c>
      <c r="AP24" s="318">
        <f t="shared" si="2"/>
        <v>1.5592970348747495</v>
      </c>
      <c r="AQ24" s="318">
        <f t="shared" si="2"/>
        <v>1.6061409674388625</v>
      </c>
      <c r="AR24" s="318"/>
      <c r="AS24" s="318"/>
      <c r="AT24" s="318"/>
      <c r="AU24" s="318"/>
      <c r="AV24" s="318"/>
      <c r="AW24" s="318"/>
      <c r="AX24" s="318"/>
      <c r="AY24" s="318"/>
      <c r="AZ24" s="318"/>
      <c r="BA24" s="318"/>
      <c r="BB24" s="318" t="str">
        <f t="shared" si="0"/>
        <v/>
      </c>
      <c r="BC24" s="318" t="str">
        <f t="shared" si="0"/>
        <v/>
      </c>
      <c r="BD24" s="318" t="str">
        <f t="shared" si="0"/>
        <v/>
      </c>
      <c r="BE24" s="318" t="str">
        <f t="shared" si="0"/>
        <v/>
      </c>
      <c r="BF24" s="318" t="str">
        <f t="shared" si="0"/>
        <v/>
      </c>
      <c r="BG24" s="315"/>
      <c r="BI24" s="286">
        <v>1</v>
      </c>
      <c r="BJ24" s="286">
        <f t="shared" si="1"/>
        <v>1</v>
      </c>
      <c r="BK24" s="290">
        <f>'Demand (old)'!G$137</f>
        <v>0.91367821407897398</v>
      </c>
      <c r="BL24" s="290">
        <f>'Demand (old)'!H$137</f>
        <v>0.84028045572852572</v>
      </c>
      <c r="BM24" s="290">
        <f>'Demand (old)'!I$137</f>
        <v>0.76818049598065941</v>
      </c>
      <c r="BN24" s="290">
        <f>'Demand (old)'!J$137</f>
        <v>0.70864954120649915</v>
      </c>
      <c r="BO24" s="290">
        <f>'Demand (old)'!K$137</f>
        <v>0.66246912199617591</v>
      </c>
      <c r="BP24" s="290">
        <f>'Demand (old)'!L$137</f>
        <v>0.66297892256095492</v>
      </c>
      <c r="BQ24" s="290">
        <f>'Demand (old)'!M$137</f>
        <v>0.64131462937100048</v>
      </c>
      <c r="BR24" s="290">
        <f>'Demand (old)'!N$137</f>
        <v>0.62261035629680173</v>
      </c>
      <c r="BS24" s="286">
        <v>1</v>
      </c>
      <c r="BT24" s="289"/>
      <c r="BU24" s="286"/>
      <c r="BV24" s="286"/>
    </row>
    <row r="25" spans="1:74" s="150" customFormat="1">
      <c r="A25" s="280"/>
      <c r="B25" s="315" t="s">
        <v>307</v>
      </c>
      <c r="C25" s="315" t="s">
        <v>429</v>
      </c>
      <c r="D25" s="315" t="s">
        <v>430</v>
      </c>
      <c r="E25" s="315" t="s">
        <v>329</v>
      </c>
      <c r="F25" s="315" t="s">
        <v>403</v>
      </c>
      <c r="G25" s="315" t="s">
        <v>422</v>
      </c>
      <c r="H25" s="315">
        <v>2010</v>
      </c>
      <c r="I25" s="315">
        <v>30</v>
      </c>
      <c r="J25" s="315">
        <v>1</v>
      </c>
      <c r="K25" s="315">
        <v>0.15</v>
      </c>
      <c r="L25" s="317">
        <f>IFERROR(IF(_xlfn.XLOOKUP(D25,tbl_tech[TECHNOLOGY - Other],tbl_tech[NCAP_COST])=0,"",_xlfn.XLOOKUP(D25,tbl_tech[TECHNOLOGY - Other],tbl_tech[NCAP_COST])),"")</f>
        <v>23.239380000000004</v>
      </c>
      <c r="M25" s="317">
        <f>IFERROR(IF(_xlfn.XLOOKUP(D25,tbl_tech[TECHNOLOGY - Other],tbl_tech[NCAP_FOM])=0,"",_xlfn.XLOOKUP(D25,tbl_tech[TECHNOLOGY - Other],tbl_tech[NCAP_FOM])),"")</f>
        <v>2.3239380000000005</v>
      </c>
      <c r="N25" s="315">
        <v>0</v>
      </c>
      <c r="O25" s="315"/>
      <c r="P25" s="315"/>
      <c r="Q25" s="318">
        <v>0.26495480058941523</v>
      </c>
      <c r="R25" s="318">
        <v>0.54233664523100988</v>
      </c>
      <c r="S25" s="318">
        <v>0.24476105499558895</v>
      </c>
      <c r="T25" s="318">
        <v>0.33428035034234199</v>
      </c>
      <c r="U25" s="318">
        <v>0.24758910120091168</v>
      </c>
      <c r="V25" s="318">
        <v>0.21550827497726194</v>
      </c>
      <c r="W25" s="318">
        <v>2.1019132580270057</v>
      </c>
      <c r="X25" s="318">
        <v>1.4236758283723274</v>
      </c>
      <c r="Y25" s="318">
        <v>0.65958333882607112</v>
      </c>
      <c r="Z25" s="318">
        <v>0.57492295490950296</v>
      </c>
      <c r="AA25" s="319"/>
      <c r="AB25" s="319"/>
      <c r="AC25" s="319"/>
      <c r="AD25" s="319"/>
      <c r="AE25" s="319"/>
      <c r="AF25" s="315">
        <v>1</v>
      </c>
      <c r="AG25" s="315"/>
      <c r="AH25" s="318">
        <f t="shared" si="3"/>
        <v>1</v>
      </c>
      <c r="AI25" s="318">
        <f t="shared" si="2"/>
        <v>1</v>
      </c>
      <c r="AJ25" s="318">
        <f t="shared" si="2"/>
        <v>1.0944772290625775</v>
      </c>
      <c r="AK25" s="318">
        <f t="shared" si="2"/>
        <v>1.1900788518673768</v>
      </c>
      <c r="AL25" s="318">
        <f t="shared" si="2"/>
        <v>1.3017773885594424</v>
      </c>
      <c r="AM25" s="318">
        <f t="shared" si="2"/>
        <v>1.411134759640805</v>
      </c>
      <c r="AN25" s="318">
        <f t="shared" si="2"/>
        <v>1.5095043177058032</v>
      </c>
      <c r="AO25" s="318">
        <f t="shared" si="2"/>
        <v>1.5083435777071164</v>
      </c>
      <c r="AP25" s="318">
        <f t="shared" si="2"/>
        <v>1.5592970348747495</v>
      </c>
      <c r="AQ25" s="318">
        <f t="shared" si="2"/>
        <v>1.6061409674388625</v>
      </c>
      <c r="AR25" s="318"/>
      <c r="AS25" s="318"/>
      <c r="AT25" s="318"/>
      <c r="AU25" s="318"/>
      <c r="AV25" s="318"/>
      <c r="AW25" s="318"/>
      <c r="AX25" s="318"/>
      <c r="AY25" s="318"/>
      <c r="AZ25" s="318"/>
      <c r="BA25" s="318"/>
      <c r="BB25" s="318" t="str">
        <f t="shared" si="0"/>
        <v/>
      </c>
      <c r="BC25" s="318" t="str">
        <f t="shared" si="0"/>
        <v/>
      </c>
      <c r="BD25" s="318" t="str">
        <f t="shared" si="0"/>
        <v/>
      </c>
      <c r="BE25" s="318" t="str">
        <f t="shared" si="0"/>
        <v/>
      </c>
      <c r="BF25" s="318" t="str">
        <f t="shared" si="0"/>
        <v/>
      </c>
      <c r="BG25" s="315"/>
      <c r="BI25" s="286">
        <v>1</v>
      </c>
      <c r="BJ25" s="286">
        <f t="shared" si="1"/>
        <v>1</v>
      </c>
      <c r="BK25" s="290">
        <f>'Demand (old)'!G$137</f>
        <v>0.91367821407897398</v>
      </c>
      <c r="BL25" s="290">
        <f>'Demand (old)'!H$137</f>
        <v>0.84028045572852572</v>
      </c>
      <c r="BM25" s="290">
        <f>'Demand (old)'!I$137</f>
        <v>0.76818049598065941</v>
      </c>
      <c r="BN25" s="290">
        <f>'Demand (old)'!J$137</f>
        <v>0.70864954120649915</v>
      </c>
      <c r="BO25" s="290">
        <f>'Demand (old)'!K$137</f>
        <v>0.66246912199617591</v>
      </c>
      <c r="BP25" s="290">
        <f>'Demand (old)'!L$137</f>
        <v>0.66297892256095492</v>
      </c>
      <c r="BQ25" s="290">
        <f>'Demand (old)'!M$137</f>
        <v>0.64131462937100048</v>
      </c>
      <c r="BR25" s="290">
        <f>'Demand (old)'!N$137</f>
        <v>0.62261035629680173</v>
      </c>
      <c r="BS25" s="286">
        <v>1</v>
      </c>
      <c r="BT25" s="289"/>
      <c r="BU25" s="286"/>
      <c r="BV25" s="286"/>
    </row>
    <row r="26" spans="1:74" s="150" customFormat="1">
      <c r="A26" s="280"/>
      <c r="B26" s="315" t="s">
        <v>307</v>
      </c>
      <c r="C26" s="315" t="s">
        <v>431</v>
      </c>
      <c r="D26" s="315" t="s">
        <v>432</v>
      </c>
      <c r="E26" s="315" t="s">
        <v>329</v>
      </c>
      <c r="F26" s="315" t="s">
        <v>433</v>
      </c>
      <c r="G26" s="315" t="s">
        <v>422</v>
      </c>
      <c r="H26" s="315">
        <v>2010</v>
      </c>
      <c r="I26" s="315">
        <v>30</v>
      </c>
      <c r="J26" s="315">
        <v>1</v>
      </c>
      <c r="K26" s="315">
        <v>0.2</v>
      </c>
      <c r="L26" s="317">
        <f>IFERROR(IF(_xlfn.XLOOKUP(D26,tbl_tech[TECHNOLOGY - Other],tbl_tech[NCAP_COST])=0,"",_xlfn.XLOOKUP(D26,tbl_tech[TECHNOLOGY - Other],tbl_tech[NCAP_COST])),"")</f>
        <v>23.239380000000004</v>
      </c>
      <c r="M26" s="317">
        <f>IFERROR(IF(_xlfn.XLOOKUP(D26,tbl_tech[TECHNOLOGY - Other],tbl_tech[NCAP_FOM])=0,"",_xlfn.XLOOKUP(D26,tbl_tech[TECHNOLOGY - Other],tbl_tech[NCAP_FOM])),"")</f>
        <v>2.3239380000000005</v>
      </c>
      <c r="N26" s="315">
        <v>0</v>
      </c>
      <c r="O26" s="315"/>
      <c r="P26" s="315"/>
      <c r="Q26" s="318">
        <v>0.4978033023612895</v>
      </c>
      <c r="R26" s="318">
        <v>11.354068071870737</v>
      </c>
      <c r="S26" s="318">
        <v>5.1241856957297749</v>
      </c>
      <c r="T26" s="318">
        <v>8.4787259421371122</v>
      </c>
      <c r="U26" s="318">
        <v>6.2798789494886984</v>
      </c>
      <c r="V26" s="318">
        <v>1.1837528723049493</v>
      </c>
      <c r="W26" s="318">
        <v>2.6458385051829101</v>
      </c>
      <c r="X26" s="318">
        <v>1.7920893315747297</v>
      </c>
      <c r="Y26" s="318">
        <v>1.0704279679841642</v>
      </c>
      <c r="Z26" s="318">
        <v>0.93303389298241823</v>
      </c>
      <c r="AA26" s="319"/>
      <c r="AB26" s="319"/>
      <c r="AC26" s="319"/>
      <c r="AD26" s="319"/>
      <c r="AE26" s="319"/>
      <c r="AF26" s="315">
        <v>1</v>
      </c>
      <c r="AG26" s="315"/>
      <c r="AH26" s="318">
        <f t="shared" si="3"/>
        <v>1</v>
      </c>
      <c r="AI26" s="318">
        <f t="shared" si="2"/>
        <v>1</v>
      </c>
      <c r="AJ26" s="318">
        <f t="shared" si="2"/>
        <v>1.0944772290625775</v>
      </c>
      <c r="AK26" s="318">
        <f t="shared" si="2"/>
        <v>1.1900788518673768</v>
      </c>
      <c r="AL26" s="318">
        <f t="shared" si="2"/>
        <v>1.3017773885594424</v>
      </c>
      <c r="AM26" s="318">
        <f t="shared" si="2"/>
        <v>1.411134759640805</v>
      </c>
      <c r="AN26" s="318">
        <f t="shared" si="2"/>
        <v>1.5095043177058032</v>
      </c>
      <c r="AO26" s="318">
        <f t="shared" si="2"/>
        <v>1.5083435777071164</v>
      </c>
      <c r="AP26" s="318">
        <f t="shared" si="2"/>
        <v>1.5592970348747495</v>
      </c>
      <c r="AQ26" s="318">
        <f t="shared" si="2"/>
        <v>1.6061409674388625</v>
      </c>
      <c r="AR26" s="318"/>
      <c r="AS26" s="318"/>
      <c r="AT26" s="318"/>
      <c r="AU26" s="318"/>
      <c r="AV26" s="318"/>
      <c r="AW26" s="318"/>
      <c r="AX26" s="318"/>
      <c r="AY26" s="318"/>
      <c r="AZ26" s="318"/>
      <c r="BA26" s="318"/>
      <c r="BB26" s="318" t="str">
        <f t="shared" si="0"/>
        <v/>
      </c>
      <c r="BC26" s="318" t="str">
        <f t="shared" si="0"/>
        <v/>
      </c>
      <c r="BD26" s="318" t="str">
        <f t="shared" si="0"/>
        <v/>
      </c>
      <c r="BE26" s="318" t="str">
        <f t="shared" si="0"/>
        <v/>
      </c>
      <c r="BF26" s="318" t="str">
        <f t="shared" si="0"/>
        <v/>
      </c>
      <c r="BG26" s="315"/>
      <c r="BI26" s="286">
        <v>1</v>
      </c>
      <c r="BJ26" s="286">
        <f t="shared" si="1"/>
        <v>1</v>
      </c>
      <c r="BK26" s="290">
        <f>'Demand (old)'!G$137</f>
        <v>0.91367821407897398</v>
      </c>
      <c r="BL26" s="290">
        <f>'Demand (old)'!H$137</f>
        <v>0.84028045572852572</v>
      </c>
      <c r="BM26" s="290">
        <f>'Demand (old)'!I$137</f>
        <v>0.76818049598065941</v>
      </c>
      <c r="BN26" s="290">
        <f>'Demand (old)'!J$137</f>
        <v>0.70864954120649915</v>
      </c>
      <c r="BO26" s="290">
        <f>'Demand (old)'!K$137</f>
        <v>0.66246912199617591</v>
      </c>
      <c r="BP26" s="290">
        <f>'Demand (old)'!L$137</f>
        <v>0.66297892256095492</v>
      </c>
      <c r="BQ26" s="290">
        <f>'Demand (old)'!M$137</f>
        <v>0.64131462937100048</v>
      </c>
      <c r="BR26" s="290">
        <f>'Demand (old)'!N$137</f>
        <v>0.62261035629680173</v>
      </c>
      <c r="BS26" s="286">
        <v>1</v>
      </c>
      <c r="BT26" s="289"/>
      <c r="BU26" s="286"/>
      <c r="BV26" s="286"/>
    </row>
    <row r="27" spans="1:74" s="150" customFormat="1">
      <c r="A27" s="280"/>
      <c r="B27" s="315" t="s">
        <v>307</v>
      </c>
      <c r="C27" s="315" t="s">
        <v>434</v>
      </c>
      <c r="D27" s="315" t="s">
        <v>435</v>
      </c>
      <c r="E27" s="315" t="s">
        <v>329</v>
      </c>
      <c r="F27" s="315" t="s">
        <v>418</v>
      </c>
      <c r="G27" s="315" t="s">
        <v>436</v>
      </c>
      <c r="H27" s="315">
        <v>2010</v>
      </c>
      <c r="I27" s="315">
        <v>30</v>
      </c>
      <c r="J27" s="315">
        <v>1</v>
      </c>
      <c r="K27" s="315">
        <v>0.15</v>
      </c>
      <c r="L27" s="317">
        <f>IFERROR(IF(_xlfn.XLOOKUP(D27,tbl_tech[TECHNOLOGY - Other],tbl_tech[NCAP_COST])=0,"",_xlfn.XLOOKUP(D27,tbl_tech[TECHNOLOGY - Other],tbl_tech[NCAP_COST])),"")</f>
        <v>2.238711615888505</v>
      </c>
      <c r="M27" s="317">
        <f>IFERROR(IF(_xlfn.XLOOKUP(D27,tbl_tech[TECHNOLOGY - Other],tbl_tech[NCAP_FOM])=0,"",_xlfn.XLOOKUP(D27,tbl_tech[TECHNOLOGY - Other],tbl_tech[NCAP_FOM])),"")</f>
        <v>0.22387116158885051</v>
      </c>
      <c r="N27" s="315"/>
      <c r="O27" s="315"/>
      <c r="P27" s="315"/>
      <c r="Q27" s="318">
        <v>57.986902749787198</v>
      </c>
      <c r="R27" s="318">
        <v>148.18261393864233</v>
      </c>
      <c r="S27" s="318">
        <v>66.87605058326298</v>
      </c>
      <c r="T27" s="318">
        <v>56.459820068632901</v>
      </c>
      <c r="U27" s="318">
        <v>41.817702088806783</v>
      </c>
      <c r="V27" s="318">
        <v>44.184192861686348</v>
      </c>
      <c r="W27" s="318">
        <v>100.48033937309904</v>
      </c>
      <c r="X27" s="318">
        <v>68.057723051048669</v>
      </c>
      <c r="Y27" s="318">
        <v>43.089777053945099</v>
      </c>
      <c r="Z27" s="318">
        <v>37.559017173383168</v>
      </c>
      <c r="AA27" s="319"/>
      <c r="AB27" s="319"/>
      <c r="AC27" s="319"/>
      <c r="AD27" s="319"/>
      <c r="AE27" s="319"/>
      <c r="AF27" s="315">
        <v>1</v>
      </c>
      <c r="AG27" s="315"/>
      <c r="AH27" s="318">
        <f t="shared" si="3"/>
        <v>1</v>
      </c>
      <c r="AI27" s="318">
        <f t="shared" si="2"/>
        <v>1</v>
      </c>
      <c r="AJ27" s="318">
        <f t="shared" si="2"/>
        <v>1.0944772290625775</v>
      </c>
      <c r="AK27" s="318">
        <f t="shared" si="2"/>
        <v>1.1900788518673768</v>
      </c>
      <c r="AL27" s="318">
        <f t="shared" si="2"/>
        <v>1.3017773885594424</v>
      </c>
      <c r="AM27" s="318">
        <f t="shared" si="2"/>
        <v>1.411134759640805</v>
      </c>
      <c r="AN27" s="318">
        <f t="shared" si="2"/>
        <v>1.5095043177058032</v>
      </c>
      <c r="AO27" s="318">
        <f t="shared" si="2"/>
        <v>1.5083435777071164</v>
      </c>
      <c r="AP27" s="318">
        <f t="shared" si="2"/>
        <v>1.5592970348747495</v>
      </c>
      <c r="AQ27" s="318">
        <f t="shared" si="2"/>
        <v>1.6061409674388625</v>
      </c>
      <c r="AR27" s="318"/>
      <c r="AS27" s="318"/>
      <c r="AT27" s="318"/>
      <c r="AU27" s="318"/>
      <c r="AV27" s="318"/>
      <c r="AW27" s="318"/>
      <c r="AX27" s="318"/>
      <c r="AY27" s="318"/>
      <c r="AZ27" s="318"/>
      <c r="BA27" s="318"/>
      <c r="BB27" s="318" t="str">
        <f t="shared" si="0"/>
        <v/>
      </c>
      <c r="BC27" s="318" t="str">
        <f t="shared" si="0"/>
        <v/>
      </c>
      <c r="BD27" s="318" t="str">
        <f t="shared" si="0"/>
        <v/>
      </c>
      <c r="BE27" s="318" t="str">
        <f t="shared" si="0"/>
        <v/>
      </c>
      <c r="BF27" s="318" t="str">
        <f t="shared" si="0"/>
        <v/>
      </c>
      <c r="BG27" s="315"/>
      <c r="BI27" s="286">
        <v>1</v>
      </c>
      <c r="BJ27" s="286">
        <f t="shared" si="1"/>
        <v>1</v>
      </c>
      <c r="BK27" s="290">
        <f>'Demand (old)'!G$137</f>
        <v>0.91367821407897398</v>
      </c>
      <c r="BL27" s="290">
        <f>'Demand (old)'!H$137</f>
        <v>0.84028045572852572</v>
      </c>
      <c r="BM27" s="290">
        <f>'Demand (old)'!I$137</f>
        <v>0.76818049598065941</v>
      </c>
      <c r="BN27" s="290">
        <f>'Demand (old)'!J$137</f>
        <v>0.70864954120649915</v>
      </c>
      <c r="BO27" s="290">
        <f>'Demand (old)'!K$137</f>
        <v>0.66246912199617591</v>
      </c>
      <c r="BP27" s="290">
        <f>'Demand (old)'!L$137</f>
        <v>0.66297892256095492</v>
      </c>
      <c r="BQ27" s="290">
        <f>'Demand (old)'!M$137</f>
        <v>0.64131462937100048</v>
      </c>
      <c r="BR27" s="290">
        <f>'Demand (old)'!N$137</f>
        <v>0.62261035629680173</v>
      </c>
      <c r="BS27" s="286">
        <v>1</v>
      </c>
      <c r="BT27" s="289"/>
      <c r="BU27" s="286"/>
      <c r="BV27" s="286"/>
    </row>
    <row r="28" spans="1:74" s="150" customFormat="1">
      <c r="A28" s="280"/>
      <c r="B28" s="315" t="s">
        <v>307</v>
      </c>
      <c r="C28" s="315" t="s">
        <v>437</v>
      </c>
      <c r="D28" s="315" t="s">
        <v>438</v>
      </c>
      <c r="E28" s="315" t="s">
        <v>329</v>
      </c>
      <c r="F28" s="315" t="s">
        <v>398</v>
      </c>
      <c r="G28" s="315" t="s">
        <v>436</v>
      </c>
      <c r="H28" s="315">
        <v>2010</v>
      </c>
      <c r="I28" s="315">
        <v>30</v>
      </c>
      <c r="J28" s="315">
        <v>1</v>
      </c>
      <c r="K28" s="315">
        <v>0.15</v>
      </c>
      <c r="L28" s="317">
        <f>IFERROR(IF(_xlfn.XLOOKUP(D28,tbl_tech[TECHNOLOGY - Other],tbl_tech[NCAP_COST])=0,"",_xlfn.XLOOKUP(D28,tbl_tech[TECHNOLOGY - Other],tbl_tech[NCAP_COST])),"")</f>
        <v>31.461021145547676</v>
      </c>
      <c r="M28" s="317">
        <f>IFERROR(IF(_xlfn.XLOOKUP(D28,tbl_tech[TECHNOLOGY - Other],tbl_tech[NCAP_FOM])=0,"",_xlfn.XLOOKUP(D28,tbl_tech[TECHNOLOGY - Other],tbl_tech[NCAP_FOM])),"")</f>
        <v>3.1461021145547678</v>
      </c>
      <c r="N28" s="315"/>
      <c r="O28" s="315"/>
      <c r="P28" s="315"/>
      <c r="Q28" s="318">
        <v>0.15647661906702687</v>
      </c>
      <c r="R28" s="318">
        <v>0.43925812615689341</v>
      </c>
      <c r="S28" s="318">
        <v>0.1982408589184512</v>
      </c>
      <c r="T28" s="318">
        <v>0.16780598081969789</v>
      </c>
      <c r="U28" s="318">
        <v>0.12428768823754531</v>
      </c>
      <c r="V28" s="318">
        <v>1.4281572289189839</v>
      </c>
      <c r="W28" s="318">
        <v>0.99494443155990975</v>
      </c>
      <c r="X28" s="318">
        <v>0.67389952100834505</v>
      </c>
      <c r="Y28" s="318">
        <v>0.56766356911736271</v>
      </c>
      <c r="Z28" s="318">
        <v>0.49480148654496153</v>
      </c>
      <c r="AA28" s="319"/>
      <c r="AB28" s="319"/>
      <c r="AC28" s="319"/>
      <c r="AD28" s="319"/>
      <c r="AE28" s="319"/>
      <c r="AF28" s="315">
        <v>1</v>
      </c>
      <c r="AG28" s="315"/>
      <c r="AH28" s="318">
        <f t="shared" si="3"/>
        <v>1</v>
      </c>
      <c r="AI28" s="318">
        <f t="shared" si="2"/>
        <v>1</v>
      </c>
      <c r="AJ28" s="318">
        <f t="shared" si="2"/>
        <v>1.0944772290625775</v>
      </c>
      <c r="AK28" s="318">
        <f t="shared" si="2"/>
        <v>1.1900788518673768</v>
      </c>
      <c r="AL28" s="318">
        <f t="shared" si="2"/>
        <v>1.3017773885594424</v>
      </c>
      <c r="AM28" s="318">
        <f t="shared" si="2"/>
        <v>1.411134759640805</v>
      </c>
      <c r="AN28" s="318">
        <f t="shared" si="2"/>
        <v>1.5095043177058032</v>
      </c>
      <c r="AO28" s="318">
        <f t="shared" si="2"/>
        <v>1.5083435777071164</v>
      </c>
      <c r="AP28" s="318">
        <f t="shared" si="2"/>
        <v>1.5592970348747495</v>
      </c>
      <c r="AQ28" s="318">
        <f t="shared" si="2"/>
        <v>1.6061409674388625</v>
      </c>
      <c r="AR28" s="318"/>
      <c r="AS28" s="318"/>
      <c r="AT28" s="318"/>
      <c r="AU28" s="318"/>
      <c r="AV28" s="318"/>
      <c r="AW28" s="318"/>
      <c r="AX28" s="318"/>
      <c r="AY28" s="318"/>
      <c r="AZ28" s="318"/>
      <c r="BA28" s="318"/>
      <c r="BB28" s="318" t="str">
        <f t="shared" si="0"/>
        <v/>
      </c>
      <c r="BC28" s="318" t="str">
        <f t="shared" si="0"/>
        <v/>
      </c>
      <c r="BD28" s="318" t="str">
        <f t="shared" si="0"/>
        <v/>
      </c>
      <c r="BE28" s="318" t="str">
        <f t="shared" si="0"/>
        <v/>
      </c>
      <c r="BF28" s="318" t="str">
        <f t="shared" si="0"/>
        <v/>
      </c>
      <c r="BG28" s="315"/>
      <c r="BI28" s="286">
        <v>1</v>
      </c>
      <c r="BJ28" s="286">
        <f t="shared" si="1"/>
        <v>1</v>
      </c>
      <c r="BK28" s="290">
        <f>'Demand (old)'!G$137</f>
        <v>0.91367821407897398</v>
      </c>
      <c r="BL28" s="290">
        <f>'Demand (old)'!H$137</f>
        <v>0.84028045572852572</v>
      </c>
      <c r="BM28" s="290">
        <f>'Demand (old)'!I$137</f>
        <v>0.76818049598065941</v>
      </c>
      <c r="BN28" s="290">
        <f>'Demand (old)'!J$137</f>
        <v>0.70864954120649915</v>
      </c>
      <c r="BO28" s="290">
        <f>'Demand (old)'!K$137</f>
        <v>0.66246912199617591</v>
      </c>
      <c r="BP28" s="290">
        <f>'Demand (old)'!L$137</f>
        <v>0.66297892256095492</v>
      </c>
      <c r="BQ28" s="290">
        <f>'Demand (old)'!M$137</f>
        <v>0.64131462937100048</v>
      </c>
      <c r="BR28" s="290">
        <f>'Demand (old)'!N$137</f>
        <v>0.62261035629680173</v>
      </c>
      <c r="BS28" s="286">
        <v>1</v>
      </c>
      <c r="BT28" s="289"/>
      <c r="BU28" s="286"/>
      <c r="BV28" s="286"/>
    </row>
    <row r="29" spans="1:74" s="150" customFormat="1">
      <c r="A29" s="280"/>
      <c r="B29" s="315" t="s">
        <v>307</v>
      </c>
      <c r="C29" s="315" t="s">
        <v>439</v>
      </c>
      <c r="D29" s="315" t="s">
        <v>440</v>
      </c>
      <c r="E29" s="315" t="s">
        <v>329</v>
      </c>
      <c r="F29" s="315" t="s">
        <v>48</v>
      </c>
      <c r="G29" s="315" t="s">
        <v>436</v>
      </c>
      <c r="H29" s="315">
        <v>2010</v>
      </c>
      <c r="I29" s="315">
        <v>30</v>
      </c>
      <c r="J29" s="315">
        <v>1</v>
      </c>
      <c r="K29" s="315">
        <v>0.15</v>
      </c>
      <c r="L29" s="317">
        <f>IFERROR(IF(_xlfn.XLOOKUP(D29,tbl_tech[TECHNOLOGY - Other],tbl_tech[NCAP_COST])=0,"",_xlfn.XLOOKUP(D29,tbl_tech[TECHNOLOGY - Other],tbl_tech[NCAP_COST])),"")</f>
        <v>34.9566901617196</v>
      </c>
      <c r="M29" s="317">
        <f>IFERROR(IF(_xlfn.XLOOKUP(D29,tbl_tech[TECHNOLOGY - Other],tbl_tech[NCAP_FOM])=0,"",_xlfn.XLOOKUP(D29,tbl_tech[TECHNOLOGY - Other],tbl_tech[NCAP_FOM])),"")</f>
        <v>3.4956690161719601</v>
      </c>
      <c r="N29" s="315"/>
      <c r="O29" s="315"/>
      <c r="P29" s="315"/>
      <c r="Q29" s="318">
        <v>1.4666542757307035</v>
      </c>
      <c r="R29" s="318">
        <v>4.2887118743273707</v>
      </c>
      <c r="S29" s="318">
        <v>1.9355314677018556</v>
      </c>
      <c r="T29" s="318">
        <v>1.3171286056057927</v>
      </c>
      <c r="U29" s="318">
        <v>0.9755484798731876</v>
      </c>
      <c r="V29" s="318">
        <v>1.5488135519851469</v>
      </c>
      <c r="W29" s="318">
        <v>3.7375713010886664</v>
      </c>
      <c r="X29" s="318">
        <v>2.5315459131614073</v>
      </c>
      <c r="Y29" s="318">
        <v>1.1151009048090792</v>
      </c>
      <c r="Z29" s="318">
        <v>0.97197286449976616</v>
      </c>
      <c r="AA29" s="319"/>
      <c r="AB29" s="319"/>
      <c r="AC29" s="319"/>
      <c r="AD29" s="319"/>
      <c r="AE29" s="319"/>
      <c r="AF29" s="315">
        <v>1</v>
      </c>
      <c r="AG29" s="315"/>
      <c r="AH29" s="318">
        <f t="shared" si="3"/>
        <v>1</v>
      </c>
      <c r="AI29" s="318">
        <f t="shared" si="2"/>
        <v>1</v>
      </c>
      <c r="AJ29" s="318">
        <f t="shared" si="2"/>
        <v>1.0944772290625775</v>
      </c>
      <c r="AK29" s="318">
        <f t="shared" si="2"/>
        <v>1.1900788518673768</v>
      </c>
      <c r="AL29" s="318">
        <f t="shared" si="2"/>
        <v>1.3017773885594424</v>
      </c>
      <c r="AM29" s="318">
        <f t="shared" si="2"/>
        <v>1.411134759640805</v>
      </c>
      <c r="AN29" s="318">
        <f t="shared" si="2"/>
        <v>1.5095043177058032</v>
      </c>
      <c r="AO29" s="318">
        <f t="shared" si="2"/>
        <v>1.5083435777071164</v>
      </c>
      <c r="AP29" s="318">
        <f t="shared" si="2"/>
        <v>1.5592970348747495</v>
      </c>
      <c r="AQ29" s="318">
        <f t="shared" si="2"/>
        <v>1.6061409674388625</v>
      </c>
      <c r="AR29" s="318"/>
      <c r="AS29" s="318"/>
      <c r="AT29" s="318"/>
      <c r="AU29" s="318"/>
      <c r="AV29" s="318"/>
      <c r="AW29" s="318"/>
      <c r="AX29" s="318"/>
      <c r="AY29" s="318"/>
      <c r="AZ29" s="318"/>
      <c r="BA29" s="318"/>
      <c r="BB29" s="318" t="str">
        <f t="shared" si="0"/>
        <v/>
      </c>
      <c r="BC29" s="318" t="str">
        <f t="shared" si="0"/>
        <v/>
      </c>
      <c r="BD29" s="318" t="str">
        <f t="shared" si="0"/>
        <v/>
      </c>
      <c r="BE29" s="318" t="str">
        <f t="shared" si="0"/>
        <v/>
      </c>
      <c r="BF29" s="318" t="str">
        <f t="shared" si="0"/>
        <v/>
      </c>
      <c r="BG29" s="315"/>
      <c r="BI29" s="286">
        <v>1</v>
      </c>
      <c r="BJ29" s="286">
        <f t="shared" si="1"/>
        <v>1</v>
      </c>
      <c r="BK29" s="290">
        <f>'Demand (old)'!G$137</f>
        <v>0.91367821407897398</v>
      </c>
      <c r="BL29" s="290">
        <f>'Demand (old)'!H$137</f>
        <v>0.84028045572852572</v>
      </c>
      <c r="BM29" s="290">
        <f>'Demand (old)'!I$137</f>
        <v>0.76818049598065941</v>
      </c>
      <c r="BN29" s="290">
        <f>'Demand (old)'!J$137</f>
        <v>0.70864954120649915</v>
      </c>
      <c r="BO29" s="290">
        <f>'Demand (old)'!K$137</f>
        <v>0.66246912199617591</v>
      </c>
      <c r="BP29" s="290">
        <f>'Demand (old)'!L$137</f>
        <v>0.66297892256095492</v>
      </c>
      <c r="BQ29" s="290">
        <f>'Demand (old)'!M$137</f>
        <v>0.64131462937100048</v>
      </c>
      <c r="BR29" s="290">
        <f>'Demand (old)'!N$137</f>
        <v>0.62261035629680173</v>
      </c>
      <c r="BS29" s="286">
        <v>1</v>
      </c>
      <c r="BT29" s="289"/>
      <c r="BU29" s="286"/>
      <c r="BV29" s="286"/>
    </row>
    <row r="30" spans="1:74" s="150" customFormat="1">
      <c r="A30" s="280"/>
      <c r="B30" s="315" t="s">
        <v>307</v>
      </c>
      <c r="C30" s="315" t="s">
        <v>441</v>
      </c>
      <c r="D30" s="315" t="s">
        <v>442</v>
      </c>
      <c r="E30" s="315" t="s">
        <v>329</v>
      </c>
      <c r="F30" s="315" t="s">
        <v>403</v>
      </c>
      <c r="G30" s="315" t="s">
        <v>436</v>
      </c>
      <c r="H30" s="315">
        <v>2010</v>
      </c>
      <c r="I30" s="315">
        <v>30</v>
      </c>
      <c r="J30" s="315">
        <v>1</v>
      </c>
      <c r="K30" s="315">
        <v>0.15</v>
      </c>
      <c r="L30" s="317">
        <f>IFERROR(IF(_xlfn.XLOOKUP(D30,tbl_tech[TECHNOLOGY - Other],tbl_tech[NCAP_COST])=0,"",_xlfn.XLOOKUP(D30,tbl_tech[TECHNOLOGY - Other],tbl_tech[NCAP_COST])),"")</f>
        <v>34.9566901617196</v>
      </c>
      <c r="M30" s="317">
        <f>IFERROR(IF(_xlfn.XLOOKUP(D30,tbl_tech[TECHNOLOGY - Other],tbl_tech[NCAP_FOM])=0,"",_xlfn.XLOOKUP(D30,tbl_tech[TECHNOLOGY - Other],tbl_tech[NCAP_FOM])),"")</f>
        <v>3.4956690161719601</v>
      </c>
      <c r="N30" s="315">
        <v>0</v>
      </c>
      <c r="O30" s="315"/>
      <c r="P30" s="315"/>
      <c r="Q30" s="318">
        <v>3.7850685798487896E-2</v>
      </c>
      <c r="R30" s="318">
        <v>7.7476663604429979E-2</v>
      </c>
      <c r="S30" s="318">
        <v>3.496586499936985E-2</v>
      </c>
      <c r="T30" s="318">
        <v>4.7754335763191713E-2</v>
      </c>
      <c r="U30" s="318">
        <v>3.5369871600130241E-2</v>
      </c>
      <c r="V30" s="318">
        <v>0.16163120623294647</v>
      </c>
      <c r="W30" s="318">
        <v>1.5764349435202545</v>
      </c>
      <c r="X30" s="318">
        <v>1.0677568712792456</v>
      </c>
      <c r="Y30" s="318">
        <v>0.49468750411955337</v>
      </c>
      <c r="Z30" s="318">
        <v>0.43119221618212727</v>
      </c>
      <c r="AA30" s="319"/>
      <c r="AB30" s="319"/>
      <c r="AC30" s="319"/>
      <c r="AD30" s="319"/>
      <c r="AE30" s="319"/>
      <c r="AF30" s="315">
        <v>1</v>
      </c>
      <c r="AG30" s="315"/>
      <c r="AH30" s="318">
        <f t="shared" si="3"/>
        <v>1</v>
      </c>
      <c r="AI30" s="318">
        <f t="shared" si="2"/>
        <v>1</v>
      </c>
      <c r="AJ30" s="318">
        <f t="shared" si="2"/>
        <v>1.0944772290625775</v>
      </c>
      <c r="AK30" s="318">
        <f t="shared" si="2"/>
        <v>1.1900788518673768</v>
      </c>
      <c r="AL30" s="318">
        <f t="shared" si="2"/>
        <v>1.3017773885594424</v>
      </c>
      <c r="AM30" s="318">
        <f t="shared" si="2"/>
        <v>1.411134759640805</v>
      </c>
      <c r="AN30" s="318">
        <f t="shared" si="2"/>
        <v>1.5095043177058032</v>
      </c>
      <c r="AO30" s="318">
        <f t="shared" si="2"/>
        <v>1.5083435777071164</v>
      </c>
      <c r="AP30" s="318">
        <f t="shared" si="2"/>
        <v>1.5592970348747495</v>
      </c>
      <c r="AQ30" s="318">
        <f t="shared" si="2"/>
        <v>1.6061409674388625</v>
      </c>
      <c r="AR30" s="318"/>
      <c r="AS30" s="318"/>
      <c r="AT30" s="318"/>
      <c r="AU30" s="318"/>
      <c r="AV30" s="318"/>
      <c r="AW30" s="318"/>
      <c r="AX30" s="318"/>
      <c r="AY30" s="318"/>
      <c r="AZ30" s="318"/>
      <c r="BA30" s="318"/>
      <c r="BB30" s="318" t="str">
        <f t="shared" si="0"/>
        <v/>
      </c>
      <c r="BC30" s="318" t="str">
        <f t="shared" si="0"/>
        <v/>
      </c>
      <c r="BD30" s="318" t="str">
        <f t="shared" si="0"/>
        <v/>
      </c>
      <c r="BE30" s="318" t="str">
        <f t="shared" si="0"/>
        <v/>
      </c>
      <c r="BF30" s="318" t="str">
        <f t="shared" si="0"/>
        <v/>
      </c>
      <c r="BG30" s="315"/>
      <c r="BI30" s="286">
        <v>1</v>
      </c>
      <c r="BJ30" s="286">
        <f t="shared" si="1"/>
        <v>1</v>
      </c>
      <c r="BK30" s="290">
        <f>'Demand (old)'!G$137</f>
        <v>0.91367821407897398</v>
      </c>
      <c r="BL30" s="290">
        <f>'Demand (old)'!H$137</f>
        <v>0.84028045572852572</v>
      </c>
      <c r="BM30" s="290">
        <f>'Demand (old)'!I$137</f>
        <v>0.76818049598065941</v>
      </c>
      <c r="BN30" s="290">
        <f>'Demand (old)'!J$137</f>
        <v>0.70864954120649915</v>
      </c>
      <c r="BO30" s="290">
        <f>'Demand (old)'!K$137</f>
        <v>0.66246912199617591</v>
      </c>
      <c r="BP30" s="290">
        <f>'Demand (old)'!L$137</f>
        <v>0.66297892256095492</v>
      </c>
      <c r="BQ30" s="290">
        <f>'Demand (old)'!M$137</f>
        <v>0.64131462937100048</v>
      </c>
      <c r="BR30" s="290">
        <f>'Demand (old)'!N$137</f>
        <v>0.62261035629680173</v>
      </c>
      <c r="BS30" s="286">
        <v>1</v>
      </c>
      <c r="BT30" s="289"/>
      <c r="BU30" s="286"/>
      <c r="BV30" s="286"/>
    </row>
    <row r="31" spans="1:74" s="150" customFormat="1">
      <c r="A31" s="280"/>
      <c r="B31" s="315" t="s">
        <v>307</v>
      </c>
      <c r="C31" s="315" t="s">
        <v>443</v>
      </c>
      <c r="D31" s="315" t="s">
        <v>444</v>
      </c>
      <c r="E31" s="315" t="s">
        <v>329</v>
      </c>
      <c r="F31" s="315" t="s">
        <v>433</v>
      </c>
      <c r="G31" s="315" t="s">
        <v>436</v>
      </c>
      <c r="H31" s="315">
        <v>2010</v>
      </c>
      <c r="I31" s="315">
        <v>30</v>
      </c>
      <c r="J31" s="315">
        <v>1</v>
      </c>
      <c r="K31" s="315">
        <v>0.2</v>
      </c>
      <c r="L31" s="317">
        <f>IFERROR(IF(_xlfn.XLOOKUP(D31,tbl_tech[TECHNOLOGY - Other],tbl_tech[NCAP_COST])=0,"",_xlfn.XLOOKUP(D31,tbl_tech[TECHNOLOGY - Other],tbl_tech[NCAP_COST])),"")</f>
        <v>34.957230000000003</v>
      </c>
      <c r="M31" s="317">
        <f>IFERROR(IF(_xlfn.XLOOKUP(D31,tbl_tech[TECHNOLOGY - Other],tbl_tech[NCAP_FOM])=0,"",_xlfn.XLOOKUP(D31,tbl_tech[TECHNOLOGY - Other],tbl_tech[NCAP_FOM])),"")</f>
        <v>3.4957230000000004</v>
      </c>
      <c r="N31" s="315">
        <v>0</v>
      </c>
      <c r="O31" s="315"/>
      <c r="P31" s="315"/>
      <c r="Q31" s="318"/>
      <c r="R31" s="318"/>
      <c r="S31" s="318"/>
      <c r="T31" s="318"/>
      <c r="U31" s="318"/>
      <c r="V31" s="318">
        <v>0.23675057446098982</v>
      </c>
      <c r="W31" s="318">
        <v>0.52916770103658195</v>
      </c>
      <c r="X31" s="318">
        <v>0.35841786631494593</v>
      </c>
      <c r="Y31" s="318">
        <v>0.21408559359683282</v>
      </c>
      <c r="Z31" s="318">
        <v>0.18660677859648364</v>
      </c>
      <c r="AA31" s="319"/>
      <c r="AB31" s="319"/>
      <c r="AC31" s="319"/>
      <c r="AD31" s="319"/>
      <c r="AE31" s="319"/>
      <c r="AF31" s="315">
        <v>1</v>
      </c>
      <c r="AG31" s="315"/>
      <c r="AH31" s="318">
        <f t="shared" si="3"/>
        <v>1</v>
      </c>
      <c r="AI31" s="318">
        <f t="shared" si="2"/>
        <v>1</v>
      </c>
      <c r="AJ31" s="318">
        <f t="shared" si="2"/>
        <v>1.0944772290625775</v>
      </c>
      <c r="AK31" s="318">
        <f t="shared" si="2"/>
        <v>1.1900788518673768</v>
      </c>
      <c r="AL31" s="318">
        <f t="shared" si="2"/>
        <v>1.3017773885594424</v>
      </c>
      <c r="AM31" s="318">
        <f t="shared" si="2"/>
        <v>1.411134759640805</v>
      </c>
      <c r="AN31" s="318">
        <f t="shared" si="2"/>
        <v>1.5095043177058032</v>
      </c>
      <c r="AO31" s="318">
        <f t="shared" si="2"/>
        <v>1.5083435777071164</v>
      </c>
      <c r="AP31" s="318">
        <f t="shared" si="2"/>
        <v>1.5592970348747495</v>
      </c>
      <c r="AQ31" s="318">
        <f t="shared" si="2"/>
        <v>1.6061409674388625</v>
      </c>
      <c r="AR31" s="318"/>
      <c r="AS31" s="318"/>
      <c r="AT31" s="318"/>
      <c r="AU31" s="318"/>
      <c r="AV31" s="318"/>
      <c r="AW31" s="318"/>
      <c r="AX31" s="318"/>
      <c r="AY31" s="318"/>
      <c r="AZ31" s="318"/>
      <c r="BA31" s="318"/>
      <c r="BB31" s="318" t="str">
        <f t="shared" si="0"/>
        <v/>
      </c>
      <c r="BC31" s="318" t="str">
        <f t="shared" si="0"/>
        <v/>
      </c>
      <c r="BD31" s="318" t="str">
        <f t="shared" si="0"/>
        <v/>
      </c>
      <c r="BE31" s="318" t="str">
        <f t="shared" si="0"/>
        <v/>
      </c>
      <c r="BF31" s="318" t="str">
        <f t="shared" si="0"/>
        <v/>
      </c>
      <c r="BG31" s="315"/>
      <c r="BI31" s="286">
        <v>1</v>
      </c>
      <c r="BJ31" s="286">
        <f t="shared" si="1"/>
        <v>1</v>
      </c>
      <c r="BK31" s="290">
        <f>'Demand (old)'!G$137</f>
        <v>0.91367821407897398</v>
      </c>
      <c r="BL31" s="290">
        <f>'Demand (old)'!H$137</f>
        <v>0.84028045572852572</v>
      </c>
      <c r="BM31" s="290">
        <f>'Demand (old)'!I$137</f>
        <v>0.76818049598065941</v>
      </c>
      <c r="BN31" s="290">
        <f>'Demand (old)'!J$137</f>
        <v>0.70864954120649915</v>
      </c>
      <c r="BO31" s="290">
        <f>'Demand (old)'!K$137</f>
        <v>0.66246912199617591</v>
      </c>
      <c r="BP31" s="290">
        <f>'Demand (old)'!L$137</f>
        <v>0.66297892256095492</v>
      </c>
      <c r="BQ31" s="290">
        <f>'Demand (old)'!M$137</f>
        <v>0.64131462937100048</v>
      </c>
      <c r="BR31" s="290">
        <f>'Demand (old)'!N$137</f>
        <v>0.62261035629680173</v>
      </c>
      <c r="BS31" s="286">
        <v>1</v>
      </c>
      <c r="BT31" s="289"/>
      <c r="BU31" s="286"/>
      <c r="BV31" s="286"/>
    </row>
    <row r="32" spans="1:74" s="150" customFormat="1">
      <c r="A32" s="280"/>
      <c r="B32" s="315" t="s">
        <v>11</v>
      </c>
      <c r="C32" s="315" t="s">
        <v>445</v>
      </c>
      <c r="D32" s="315" t="s">
        <v>446</v>
      </c>
      <c r="E32" s="315" t="s">
        <v>329</v>
      </c>
      <c r="F32" s="315" t="s">
        <v>418</v>
      </c>
      <c r="G32" s="315" t="s">
        <v>447</v>
      </c>
      <c r="H32" s="315">
        <v>2010</v>
      </c>
      <c r="I32" s="315">
        <v>30</v>
      </c>
      <c r="J32" s="315">
        <v>1</v>
      </c>
      <c r="K32" s="315">
        <v>0.15</v>
      </c>
      <c r="L32" s="317">
        <f>IFERROR(IF(_xlfn.XLOOKUP(D32,tbl_tech[TECHNOLOGY - Other],tbl_tech[NCAP_COST])=0,"",_xlfn.XLOOKUP(D32,tbl_tech[TECHNOLOGY - Other],tbl_tech[NCAP_COST])),"")</f>
        <v>100</v>
      </c>
      <c r="M32" s="317">
        <f>IFERROR(IF(_xlfn.XLOOKUP(D32,tbl_tech[TECHNOLOGY - Other],tbl_tech[NCAP_FOM])=0,"",_xlfn.XLOOKUP(D32,tbl_tech[TECHNOLOGY - Other],tbl_tech[NCAP_FOM])),"")</f>
        <v>1</v>
      </c>
      <c r="N32" s="315"/>
      <c r="O32" s="315"/>
      <c r="P32" s="315"/>
      <c r="Q32" s="318" t="e">
        <f>Q46-Q35-Q33</f>
        <v>#REF!</v>
      </c>
      <c r="R32" s="318" t="e">
        <f t="shared" ref="R32:U32" si="4">R46-R35-R33</f>
        <v>#REF!</v>
      </c>
      <c r="S32" s="318" t="e">
        <f t="shared" si="4"/>
        <v>#REF!</v>
      </c>
      <c r="T32" s="318" t="e">
        <f t="shared" si="4"/>
        <v>#REF!</v>
      </c>
      <c r="U32" s="318" t="e">
        <f t="shared" si="4"/>
        <v>#REF!</v>
      </c>
      <c r="V32" s="318">
        <f>V46-TechData_OTR_dep!V33-V35</f>
        <v>6.8078358563637567</v>
      </c>
      <c r="W32" s="318">
        <f>W46-TechData_OTR_dep!W33-W35</f>
        <v>17.821874507370492</v>
      </c>
      <c r="X32" s="318">
        <f>X46-TechData_OTR_dep!X33-X35</f>
        <v>6.9765782610043265</v>
      </c>
      <c r="Y32" s="318">
        <f>Y46-TechData_OTR_dep!Y33-Y35</f>
        <v>15.306988767702826</v>
      </c>
      <c r="Z32" s="318">
        <f>Z46-TechData_OTR_dep!Z33-Z35</f>
        <v>1.6851451566446176</v>
      </c>
      <c r="AA32" s="318" t="e">
        <f t="shared" ref="AA32:AE32" si="5">AA46-AA35-AA33</f>
        <v>#REF!</v>
      </c>
      <c r="AB32" s="318" t="e">
        <f t="shared" si="5"/>
        <v>#REF!</v>
      </c>
      <c r="AC32" s="318" t="e">
        <f t="shared" si="5"/>
        <v>#REF!</v>
      </c>
      <c r="AD32" s="318" t="e">
        <f t="shared" si="5"/>
        <v>#REF!</v>
      </c>
      <c r="AE32" s="318" t="e">
        <f t="shared" si="5"/>
        <v>#REF!</v>
      </c>
      <c r="AF32" s="315">
        <v>1</v>
      </c>
      <c r="AG32" s="315"/>
      <c r="AH32" s="318">
        <f t="shared" si="3"/>
        <v>1</v>
      </c>
      <c r="AI32" s="318">
        <f t="shared" si="2"/>
        <v>1</v>
      </c>
      <c r="AJ32" s="318">
        <f t="shared" si="2"/>
        <v>1.0944772290625775</v>
      </c>
      <c r="AK32" s="318">
        <f t="shared" si="2"/>
        <v>1.1900788518673768</v>
      </c>
      <c r="AL32" s="318">
        <f t="shared" si="2"/>
        <v>1.3017773885594424</v>
      </c>
      <c r="AM32" s="318">
        <f t="shared" si="2"/>
        <v>1.411134759640805</v>
      </c>
      <c r="AN32" s="318">
        <f t="shared" si="2"/>
        <v>1.5095043177058032</v>
      </c>
      <c r="AO32" s="318">
        <f t="shared" si="2"/>
        <v>1.5083435777071164</v>
      </c>
      <c r="AP32" s="318">
        <f t="shared" si="2"/>
        <v>1.5592970348747495</v>
      </c>
      <c r="AQ32" s="318">
        <f t="shared" si="2"/>
        <v>1.6061409674388625</v>
      </c>
      <c r="AR32" s="318"/>
      <c r="AS32" s="318"/>
      <c r="AT32" s="318"/>
      <c r="AU32" s="318"/>
      <c r="AV32" s="318"/>
      <c r="AW32" s="318"/>
      <c r="AX32" s="318"/>
      <c r="AY32" s="318"/>
      <c r="AZ32" s="318"/>
      <c r="BA32" s="318"/>
      <c r="BB32" s="318" t="str">
        <f t="shared" si="0"/>
        <v/>
      </c>
      <c r="BC32" s="318" t="str">
        <f t="shared" si="0"/>
        <v/>
      </c>
      <c r="BD32" s="318" t="str">
        <f t="shared" si="0"/>
        <v/>
      </c>
      <c r="BE32" s="318" t="str">
        <f t="shared" si="0"/>
        <v/>
      </c>
      <c r="BF32" s="318" t="str">
        <f t="shared" si="0"/>
        <v/>
      </c>
      <c r="BG32" s="315"/>
      <c r="BI32" s="286">
        <v>1</v>
      </c>
      <c r="BJ32" s="286">
        <f t="shared" si="1"/>
        <v>1</v>
      </c>
      <c r="BK32" s="290">
        <f>'Demand (old)'!G$137</f>
        <v>0.91367821407897398</v>
      </c>
      <c r="BL32" s="290">
        <f>'Demand (old)'!H$137</f>
        <v>0.84028045572852572</v>
      </c>
      <c r="BM32" s="290">
        <f>'Demand (old)'!I$137</f>
        <v>0.76818049598065941</v>
      </c>
      <c r="BN32" s="290">
        <f>'Demand (old)'!J$137</f>
        <v>0.70864954120649915</v>
      </c>
      <c r="BO32" s="290">
        <f>'Demand (old)'!K$137</f>
        <v>0.66246912199617591</v>
      </c>
      <c r="BP32" s="290">
        <f>'Demand (old)'!L$137</f>
        <v>0.66297892256095492</v>
      </c>
      <c r="BQ32" s="290">
        <f>'Demand (old)'!M$137</f>
        <v>0.64131462937100048</v>
      </c>
      <c r="BR32" s="290">
        <f>'Demand (old)'!N$137</f>
        <v>0.62261035629680173</v>
      </c>
      <c r="BS32" s="286">
        <v>1</v>
      </c>
      <c r="BT32" s="289"/>
      <c r="BU32" s="286"/>
      <c r="BV32" s="286"/>
    </row>
    <row r="33" spans="1:74" s="150" customFormat="1">
      <c r="A33" s="280"/>
      <c r="B33" s="315" t="s">
        <v>11</v>
      </c>
      <c r="C33" s="315" t="s">
        <v>448</v>
      </c>
      <c r="D33" s="315" t="s">
        <v>449</v>
      </c>
      <c r="E33" s="315" t="s">
        <v>329</v>
      </c>
      <c r="F33" s="315" t="s">
        <v>394</v>
      </c>
      <c r="G33" s="315" t="s">
        <v>447</v>
      </c>
      <c r="H33" s="315">
        <v>2010</v>
      </c>
      <c r="I33" s="315">
        <v>30</v>
      </c>
      <c r="J33" s="315">
        <v>1</v>
      </c>
      <c r="K33" s="315">
        <v>0.15</v>
      </c>
      <c r="L33" s="317">
        <f>IFERROR(IF(_xlfn.XLOOKUP(D33,tbl_tech[TECHNOLOGY - Other],tbl_tech[NCAP_COST])=0,"",_xlfn.XLOOKUP(D33,tbl_tech[TECHNOLOGY - Other],tbl_tech[NCAP_COST])),"")</f>
        <v>100</v>
      </c>
      <c r="M33" s="317">
        <f>IFERROR(IF(_xlfn.XLOOKUP(D33,tbl_tech[TECHNOLOGY - Other],tbl_tech[NCAP_FOM])=0,"",_xlfn.XLOOKUP(D33,tbl_tech[TECHNOLOGY - Other],tbl_tech[NCAP_FOM])),"")</f>
        <v>1</v>
      </c>
      <c r="N33" s="315"/>
      <c r="O33" s="315"/>
      <c r="P33" s="315"/>
      <c r="Q33" s="318" t="e">
        <f>Q$46/$AH$46*AR$51*Original!#REF!*1.1</f>
        <v>#REF!</v>
      </c>
      <c r="R33" s="318" t="e">
        <f>R$46/$AH$46*AS$51*Original!#REF!*1.1</f>
        <v>#REF!</v>
      </c>
      <c r="S33" s="318" t="e">
        <f>S$46/$AH$46*AT$51*Original!#REF!*1.1</f>
        <v>#REF!</v>
      </c>
      <c r="T33" s="318" t="e">
        <f>T$46/$AH$46*AU$51*Original!#REF!*1.1</f>
        <v>#REF!</v>
      </c>
      <c r="U33" s="318" t="e">
        <f>U$46/$AH$46*AV$51*Original!#REF!*1.1</f>
        <v>#REF!</v>
      </c>
      <c r="V33" s="318">
        <f>TechData_OTR_dep!V$46/TechData_OTR_dep!$AH$46*TechData_OTR_dep!AW$51*0.0315701442609241</f>
        <v>0.29556734166501641</v>
      </c>
      <c r="W33" s="318">
        <f>TechData_OTR_dep!W$46/TechData_OTR_dep!$AH$46*TechData_OTR_dep!AX$51*0.0315664085765336</f>
        <v>0.77359488033630985</v>
      </c>
      <c r="X33" s="318">
        <f>TechData_OTR_dep!X$46/TechData_OTR_dep!$AH$46*TechData_OTR_dep!AY$51*0.0318725099601594</f>
        <v>0.30582260870155975</v>
      </c>
      <c r="Y33" s="318">
        <f>TechData_OTR_dep!Y$46/TechData_OTR_dep!$AH$46*TechData_OTR_dep!AZ$51*0.0315575161180862</f>
        <v>0.66427902724981924</v>
      </c>
      <c r="Z33" s="318">
        <f>TechData_OTR_dep!Z$46/TechData_OTR_dep!$AH$46*TechData_OTR_dep!BA$51*0.032258064516129</f>
        <v>7.4767532547372034E-2</v>
      </c>
      <c r="AA33" s="318" t="e">
        <f>AA$46/$AH$46*BB$51*Original!#REF!*1.1</f>
        <v>#REF!</v>
      </c>
      <c r="AB33" s="318" t="e">
        <f>AB$46/$AH$46*BC$51*Original!#REF!*1.1</f>
        <v>#REF!</v>
      </c>
      <c r="AC33" s="318" t="e">
        <f>AC$46/$AH$46*BD$51*Original!#REF!*1.1</f>
        <v>#REF!</v>
      </c>
      <c r="AD33" s="318" t="e">
        <f>AD$46/$AH$46*BE$51*Original!#REF!*1.1</f>
        <v>#REF!</v>
      </c>
      <c r="AE33" s="318" t="e">
        <f>AE$46/$AH$46*BF$51*Original!#REF!*1.1</f>
        <v>#REF!</v>
      </c>
      <c r="AF33" s="315">
        <v>1</v>
      </c>
      <c r="AG33" s="315"/>
      <c r="AH33" s="318">
        <f t="shared" si="3"/>
        <v>1</v>
      </c>
      <c r="AI33" s="318">
        <f t="shared" si="2"/>
        <v>1</v>
      </c>
      <c r="AJ33" s="318">
        <f t="shared" si="2"/>
        <v>1.0944772290625775</v>
      </c>
      <c r="AK33" s="318">
        <f t="shared" si="2"/>
        <v>1.1900788518673768</v>
      </c>
      <c r="AL33" s="318">
        <f t="shared" si="2"/>
        <v>1.3017773885594424</v>
      </c>
      <c r="AM33" s="318">
        <f t="shared" si="2"/>
        <v>1.411134759640805</v>
      </c>
      <c r="AN33" s="318">
        <f t="shared" si="2"/>
        <v>1.5095043177058032</v>
      </c>
      <c r="AO33" s="318">
        <f t="shared" si="2"/>
        <v>1.5083435777071164</v>
      </c>
      <c r="AP33" s="318">
        <f t="shared" si="2"/>
        <v>1.5592970348747495</v>
      </c>
      <c r="AQ33" s="318">
        <f t="shared" si="2"/>
        <v>1.6061409674388625</v>
      </c>
      <c r="AR33" s="318"/>
      <c r="AS33" s="318"/>
      <c r="AT33" s="318"/>
      <c r="AU33" s="318"/>
      <c r="AV33" s="318"/>
      <c r="AW33" s="318"/>
      <c r="AX33" s="318"/>
      <c r="AY33" s="318"/>
      <c r="AZ33" s="318"/>
      <c r="BA33" s="318"/>
      <c r="BB33" s="318" t="str">
        <f t="shared" si="0"/>
        <v/>
      </c>
      <c r="BC33" s="318" t="str">
        <f t="shared" si="0"/>
        <v/>
      </c>
      <c r="BD33" s="318" t="str">
        <f t="shared" si="0"/>
        <v/>
      </c>
      <c r="BE33" s="318" t="str">
        <f t="shared" si="0"/>
        <v/>
      </c>
      <c r="BF33" s="318" t="str">
        <f t="shared" si="0"/>
        <v/>
      </c>
      <c r="BG33" s="315"/>
      <c r="BI33" s="286">
        <v>1</v>
      </c>
      <c r="BJ33" s="286">
        <f t="shared" si="1"/>
        <v>1</v>
      </c>
      <c r="BK33" s="290">
        <f>'Demand (old)'!G$137</f>
        <v>0.91367821407897398</v>
      </c>
      <c r="BL33" s="290">
        <f>'Demand (old)'!H$137</f>
        <v>0.84028045572852572</v>
      </c>
      <c r="BM33" s="290">
        <f>'Demand (old)'!I$137</f>
        <v>0.76818049598065941</v>
      </c>
      <c r="BN33" s="290">
        <f>'Demand (old)'!J$137</f>
        <v>0.70864954120649915</v>
      </c>
      <c r="BO33" s="290">
        <f>'Demand (old)'!K$137</f>
        <v>0.66246912199617591</v>
      </c>
      <c r="BP33" s="290">
        <f>'Demand (old)'!L$137</f>
        <v>0.66297892256095492</v>
      </c>
      <c r="BQ33" s="290">
        <f>'Demand (old)'!M$137</f>
        <v>0.64131462937100048</v>
      </c>
      <c r="BR33" s="290">
        <f>'Demand (old)'!N$137</f>
        <v>0.62261035629680173</v>
      </c>
      <c r="BS33" s="286">
        <v>1</v>
      </c>
      <c r="BT33" s="289"/>
      <c r="BU33" s="286"/>
      <c r="BV33" s="286"/>
    </row>
    <row r="34" spans="1:74" s="150" customFormat="1">
      <c r="A34" s="280"/>
      <c r="B34" s="315" t="s">
        <v>307</v>
      </c>
      <c r="C34" s="315" t="s">
        <v>450</v>
      </c>
      <c r="D34" s="315" t="s">
        <v>451</v>
      </c>
      <c r="E34" s="315" t="s">
        <v>329</v>
      </c>
      <c r="F34" s="315" t="s">
        <v>398</v>
      </c>
      <c r="G34" s="315" t="s">
        <v>447</v>
      </c>
      <c r="H34" s="315">
        <v>2010</v>
      </c>
      <c r="I34" s="315">
        <v>30</v>
      </c>
      <c r="J34" s="315">
        <v>1</v>
      </c>
      <c r="K34" s="315">
        <v>0.15</v>
      </c>
      <c r="L34" s="317" t="str">
        <f>IFERROR(IF(_xlfn.XLOOKUP(D34,tbl_tech[TECHNOLOGY - Other],tbl_tech[NCAP_COST])=0,"",_xlfn.XLOOKUP(D34,tbl_tech[TECHNOLOGY - Other],tbl_tech[NCAP_COST])),"")</f>
        <v/>
      </c>
      <c r="M34" s="317" t="str">
        <f>IFERROR(IF(_xlfn.XLOOKUP(D34,tbl_tech[TECHNOLOGY - Other],tbl_tech[NCAP_FOM])=0,"",_xlfn.XLOOKUP(D34,tbl_tech[TECHNOLOGY - Other],tbl_tech[NCAP_FOM])),"")</f>
        <v/>
      </c>
      <c r="N34" s="315"/>
      <c r="O34" s="315"/>
      <c r="P34" s="315"/>
      <c r="Q34" s="318">
        <v>1.5647661906702699</v>
      </c>
      <c r="R34" s="318">
        <v>4.3925812615689344</v>
      </c>
      <c r="S34" s="318">
        <v>1.9824085891845118</v>
      </c>
      <c r="T34" s="318">
        <v>1.6780598081969789</v>
      </c>
      <c r="U34" s="318">
        <v>1.2428768823754532</v>
      </c>
      <c r="V34" s="318">
        <v>1.3365107757263217</v>
      </c>
      <c r="W34" s="318">
        <v>0.93109773006943419</v>
      </c>
      <c r="X34" s="318">
        <v>0.63065463195968108</v>
      </c>
      <c r="Y34" s="318">
        <v>0.53123596040394905</v>
      </c>
      <c r="Z34" s="318">
        <v>0.46304951949394796</v>
      </c>
      <c r="AA34" s="319"/>
      <c r="AB34" s="319"/>
      <c r="AC34" s="319"/>
      <c r="AD34" s="319"/>
      <c r="AE34" s="319"/>
      <c r="AF34" s="315">
        <v>1</v>
      </c>
      <c r="AG34" s="315"/>
      <c r="AH34" s="318">
        <f t="shared" si="3"/>
        <v>1</v>
      </c>
      <c r="AI34" s="318">
        <f t="shared" si="2"/>
        <v>1</v>
      </c>
      <c r="AJ34" s="318">
        <f t="shared" si="2"/>
        <v>1.0944772290625775</v>
      </c>
      <c r="AK34" s="318">
        <f t="shared" si="2"/>
        <v>1.1900788518673768</v>
      </c>
      <c r="AL34" s="318">
        <f t="shared" si="2"/>
        <v>1.3017773885594424</v>
      </c>
      <c r="AM34" s="318">
        <f t="shared" si="2"/>
        <v>1.411134759640805</v>
      </c>
      <c r="AN34" s="318">
        <f t="shared" si="2"/>
        <v>1.5095043177058032</v>
      </c>
      <c r="AO34" s="318">
        <f t="shared" si="2"/>
        <v>1.5083435777071164</v>
      </c>
      <c r="AP34" s="318">
        <f t="shared" si="2"/>
        <v>1.5592970348747495</v>
      </c>
      <c r="AQ34" s="318">
        <f t="shared" si="2"/>
        <v>1.6061409674388625</v>
      </c>
      <c r="AR34" s="318"/>
      <c r="AS34" s="318"/>
      <c r="AT34" s="318"/>
      <c r="AU34" s="318"/>
      <c r="AV34" s="318"/>
      <c r="AW34" s="318"/>
      <c r="AX34" s="318"/>
      <c r="AY34" s="318"/>
      <c r="AZ34" s="318"/>
      <c r="BA34" s="318"/>
      <c r="BB34" s="318" t="str">
        <f t="shared" si="0"/>
        <v/>
      </c>
      <c r="BC34" s="318" t="str">
        <f t="shared" si="0"/>
        <v/>
      </c>
      <c r="BD34" s="318" t="str">
        <f t="shared" si="0"/>
        <v/>
      </c>
      <c r="BE34" s="318" t="str">
        <f t="shared" si="0"/>
        <v/>
      </c>
      <c r="BF34" s="318" t="str">
        <f t="shared" si="0"/>
        <v/>
      </c>
      <c r="BG34" s="315"/>
      <c r="BI34" s="286">
        <v>1</v>
      </c>
      <c r="BJ34" s="286">
        <f t="shared" si="1"/>
        <v>1</v>
      </c>
      <c r="BK34" s="290">
        <f>'Demand (old)'!G$137</f>
        <v>0.91367821407897398</v>
      </c>
      <c r="BL34" s="290">
        <f>'Demand (old)'!H$137</f>
        <v>0.84028045572852572</v>
      </c>
      <c r="BM34" s="290">
        <f>'Demand (old)'!I$137</f>
        <v>0.76818049598065941</v>
      </c>
      <c r="BN34" s="290">
        <f>'Demand (old)'!J$137</f>
        <v>0.70864954120649915</v>
      </c>
      <c r="BO34" s="290">
        <f>'Demand (old)'!K$137</f>
        <v>0.66246912199617591</v>
      </c>
      <c r="BP34" s="290">
        <f>'Demand (old)'!L$137</f>
        <v>0.66297892256095492</v>
      </c>
      <c r="BQ34" s="290">
        <f>'Demand (old)'!M$137</f>
        <v>0.64131462937100048</v>
      </c>
      <c r="BR34" s="290">
        <f>'Demand (old)'!N$137</f>
        <v>0.62261035629680173</v>
      </c>
      <c r="BS34" s="286">
        <v>1</v>
      </c>
      <c r="BT34" s="289"/>
      <c r="BU34" s="286"/>
      <c r="BV34" s="286"/>
    </row>
    <row r="35" spans="1:74" s="150" customFormat="1">
      <c r="A35" s="280"/>
      <c r="B35" s="315" t="s">
        <v>11</v>
      </c>
      <c r="C35" s="315" t="s">
        <v>452</v>
      </c>
      <c r="D35" s="315" t="s">
        <v>453</v>
      </c>
      <c r="E35" s="315" t="s">
        <v>329</v>
      </c>
      <c r="F35" s="315" t="s">
        <v>48</v>
      </c>
      <c r="G35" s="315" t="s">
        <v>447</v>
      </c>
      <c r="H35" s="315">
        <v>2010</v>
      </c>
      <c r="I35" s="315">
        <v>30</v>
      </c>
      <c r="J35" s="315">
        <v>1</v>
      </c>
      <c r="K35" s="315">
        <v>0.15</v>
      </c>
      <c r="L35" s="317">
        <f>IFERROR(IF(_xlfn.XLOOKUP(D35,tbl_tech[TECHNOLOGY - Other],tbl_tech[NCAP_COST])=0,"",_xlfn.XLOOKUP(D35,tbl_tech[TECHNOLOGY - Other],tbl_tech[NCAP_COST])),"")</f>
        <v>100</v>
      </c>
      <c r="M35" s="317">
        <f>IFERROR(IF(_xlfn.XLOOKUP(D35,tbl_tech[TECHNOLOGY - Other],tbl_tech[NCAP_FOM])=0,"",_xlfn.XLOOKUP(D35,tbl_tech[TECHNOLOGY - Other],tbl_tech[NCAP_FOM])),"")</f>
        <v>1</v>
      </c>
      <c r="N35" s="315"/>
      <c r="O35" s="315"/>
      <c r="P35" s="315"/>
      <c r="Q35" s="318" t="e">
        <f>Q$46/$AH$46*AR$51*Original!#REF!*1.1</f>
        <v>#REF!</v>
      </c>
      <c r="R35" s="318" t="e">
        <f>R$46/$AH$46*AS$51*Original!#REF!*1.1</f>
        <v>#REF!</v>
      </c>
      <c r="S35" s="318" t="e">
        <f>S$46/$AH$46*AT$51*Original!#REF!*1.1</f>
        <v>#REF!</v>
      </c>
      <c r="T35" s="318" t="e">
        <f>T$46/$AH$46*AU$51*Original!#REF!*1.1</f>
        <v>#REF!</v>
      </c>
      <c r="U35" s="318" t="e">
        <f>U$46/$AH$46*AV$51*Original!#REF!*1.1</f>
        <v>#REF!</v>
      </c>
      <c r="V35" s="318">
        <f>V$46/$AH$46*AW$51*0.241271168722559</f>
        <v>2.2588391541816479</v>
      </c>
      <c r="W35" s="318">
        <f>W$46/$AH$46*AX$51*0.241215008933889</f>
        <v>5.9114325761548239</v>
      </c>
      <c r="X35" s="318">
        <f>X$46/$AH$46*AY$51*0.241035856573705</f>
        <v>2.3127834783055414</v>
      </c>
      <c r="Y35" s="318">
        <f>Y$46/$AH$46*AZ$51*0.241262300644723</f>
        <v>5.0785203051034458</v>
      </c>
      <c r="Z35" s="318">
        <f>Z$46/$AH$46*BA$51*0.240694789081886</f>
        <v>0.55788081977654613</v>
      </c>
      <c r="AA35" s="318" t="e">
        <f>AA$46/$AH$46*BB$51*Original!#REF!*1.1</f>
        <v>#REF!</v>
      </c>
      <c r="AB35" s="318" t="e">
        <f>AB$46/$AH$46*BC$51*Original!#REF!*1.1</f>
        <v>#REF!</v>
      </c>
      <c r="AC35" s="318" t="e">
        <f>AC$46/$AH$46*BD$51*Original!#REF!*1.1</f>
        <v>#REF!</v>
      </c>
      <c r="AD35" s="318" t="e">
        <f>AD$46/$AH$46*BE$51*Original!#REF!*1.1</f>
        <v>#REF!</v>
      </c>
      <c r="AE35" s="318" t="e">
        <f>AE$46/$AH$46*BF$51*Original!#REF!*1.1</f>
        <v>#REF!</v>
      </c>
      <c r="AF35" s="315">
        <v>1</v>
      </c>
      <c r="AG35" s="315"/>
      <c r="AH35" s="318">
        <f t="shared" si="3"/>
        <v>1</v>
      </c>
      <c r="AI35" s="318">
        <f t="shared" si="2"/>
        <v>1</v>
      </c>
      <c r="AJ35" s="318">
        <f t="shared" si="2"/>
        <v>1.0944772290625775</v>
      </c>
      <c r="AK35" s="318">
        <f t="shared" si="2"/>
        <v>1.1900788518673768</v>
      </c>
      <c r="AL35" s="318">
        <f t="shared" si="2"/>
        <v>1.3017773885594424</v>
      </c>
      <c r="AM35" s="318">
        <f t="shared" si="2"/>
        <v>1.411134759640805</v>
      </c>
      <c r="AN35" s="318">
        <f t="shared" si="2"/>
        <v>1.5095043177058032</v>
      </c>
      <c r="AO35" s="318">
        <f t="shared" si="2"/>
        <v>1.5083435777071164</v>
      </c>
      <c r="AP35" s="318">
        <f t="shared" si="2"/>
        <v>1.5592970348747495</v>
      </c>
      <c r="AQ35" s="318">
        <f t="shared" si="2"/>
        <v>1.6061409674388625</v>
      </c>
      <c r="AR35" s="318"/>
      <c r="AS35" s="318"/>
      <c r="AT35" s="318"/>
      <c r="AU35" s="318"/>
      <c r="AV35" s="318"/>
      <c r="AW35" s="318"/>
      <c r="AX35" s="318"/>
      <c r="AY35" s="318"/>
      <c r="AZ35" s="318"/>
      <c r="BA35" s="318"/>
      <c r="BB35" s="318" t="str">
        <f t="shared" si="0"/>
        <v/>
      </c>
      <c r="BC35" s="318" t="str">
        <f t="shared" si="0"/>
        <v/>
      </c>
      <c r="BD35" s="318" t="str">
        <f t="shared" si="0"/>
        <v/>
      </c>
      <c r="BE35" s="318" t="str">
        <f t="shared" si="0"/>
        <v/>
      </c>
      <c r="BF35" s="318" t="str">
        <f t="shared" si="0"/>
        <v/>
      </c>
      <c r="BG35" s="315"/>
      <c r="BI35" s="286">
        <v>1</v>
      </c>
      <c r="BJ35" s="286">
        <f t="shared" si="1"/>
        <v>1</v>
      </c>
      <c r="BK35" s="290">
        <f>'Demand (old)'!G$137</f>
        <v>0.91367821407897398</v>
      </c>
      <c r="BL35" s="290">
        <f>'Demand (old)'!H$137</f>
        <v>0.84028045572852572</v>
      </c>
      <c r="BM35" s="290">
        <f>'Demand (old)'!I$137</f>
        <v>0.76818049598065941</v>
      </c>
      <c r="BN35" s="290">
        <f>'Demand (old)'!J$137</f>
        <v>0.70864954120649915</v>
      </c>
      <c r="BO35" s="290">
        <f>'Demand (old)'!K$137</f>
        <v>0.66246912199617591</v>
      </c>
      <c r="BP35" s="290">
        <f>'Demand (old)'!L$137</f>
        <v>0.66297892256095492</v>
      </c>
      <c r="BQ35" s="290">
        <f>'Demand (old)'!M$137</f>
        <v>0.64131462937100048</v>
      </c>
      <c r="BR35" s="290">
        <f>'Demand (old)'!N$137</f>
        <v>0.62261035629680173</v>
      </c>
      <c r="BS35" s="286">
        <v>1</v>
      </c>
      <c r="BT35" s="289"/>
      <c r="BU35" s="286"/>
      <c r="BV35" s="286"/>
    </row>
    <row r="36" spans="1:74" s="150" customFormat="1">
      <c r="A36" s="280"/>
      <c r="B36" s="315" t="s">
        <v>307</v>
      </c>
      <c r="C36" s="315" t="s">
        <v>454</v>
      </c>
      <c r="D36" s="315" t="s">
        <v>455</v>
      </c>
      <c r="E36" s="315" t="s">
        <v>329</v>
      </c>
      <c r="F36" s="315" t="s">
        <v>403</v>
      </c>
      <c r="G36" s="315" t="s">
        <v>447</v>
      </c>
      <c r="H36" s="315">
        <v>2010</v>
      </c>
      <c r="I36" s="315">
        <v>30</v>
      </c>
      <c r="J36" s="315">
        <v>1</v>
      </c>
      <c r="K36" s="315">
        <v>0.15</v>
      </c>
      <c r="L36" s="317" t="str">
        <f>IFERROR(IF(_xlfn.XLOOKUP(D36,tbl_tech[TECHNOLOGY - Other],tbl_tech[NCAP_COST])=0,"",_xlfn.XLOOKUP(D36,tbl_tech[TECHNOLOGY - Other],tbl_tech[NCAP_COST])),"")</f>
        <v/>
      </c>
      <c r="M36" s="317" t="str">
        <f>IFERROR(IF(_xlfn.XLOOKUP(D36,tbl_tech[TECHNOLOGY - Other],tbl_tech[NCAP_FOM])=0,"",_xlfn.XLOOKUP(D36,tbl_tech[TECHNOLOGY - Other],tbl_tech[NCAP_FOM])),"")</f>
        <v/>
      </c>
      <c r="N36" s="315">
        <v>0</v>
      </c>
      <c r="O36" s="315"/>
      <c r="P36" s="315"/>
      <c r="Q36" s="318">
        <v>0.6813123443727821</v>
      </c>
      <c r="R36" s="318">
        <v>1.3945799448797398</v>
      </c>
      <c r="S36" s="318">
        <v>0.62938556998865736</v>
      </c>
      <c r="T36" s="318">
        <v>0.85957804373745084</v>
      </c>
      <c r="U36" s="318">
        <v>0.63665768880234441</v>
      </c>
      <c r="V36" s="318">
        <v>0.75427896242041692</v>
      </c>
      <c r="W36" s="318">
        <v>7.3566964030945217</v>
      </c>
      <c r="X36" s="318">
        <v>4.9828653993031464</v>
      </c>
      <c r="Y36" s="318">
        <v>2.3085416858912491</v>
      </c>
      <c r="Z36" s="318">
        <v>2.0122303421832606</v>
      </c>
      <c r="AA36" s="319"/>
      <c r="AB36" s="319"/>
      <c r="AC36" s="319"/>
      <c r="AD36" s="319"/>
      <c r="AE36" s="319"/>
      <c r="AF36" s="315">
        <v>1</v>
      </c>
      <c r="AG36" s="315"/>
      <c r="AH36" s="318">
        <f t="shared" si="3"/>
        <v>1</v>
      </c>
      <c r="AI36" s="318">
        <f t="shared" si="2"/>
        <v>1</v>
      </c>
      <c r="AJ36" s="318">
        <f t="shared" si="2"/>
        <v>1.0944772290625775</v>
      </c>
      <c r="AK36" s="318">
        <f t="shared" si="2"/>
        <v>1.1900788518673768</v>
      </c>
      <c r="AL36" s="318">
        <f t="shared" si="2"/>
        <v>1.3017773885594424</v>
      </c>
      <c r="AM36" s="318">
        <f t="shared" si="2"/>
        <v>1.411134759640805</v>
      </c>
      <c r="AN36" s="318">
        <f t="shared" si="2"/>
        <v>1.5095043177058032</v>
      </c>
      <c r="AO36" s="318">
        <f t="shared" si="2"/>
        <v>1.5083435777071164</v>
      </c>
      <c r="AP36" s="318">
        <f t="shared" si="2"/>
        <v>1.5592970348747495</v>
      </c>
      <c r="AQ36" s="318">
        <f t="shared" si="2"/>
        <v>1.6061409674388625</v>
      </c>
      <c r="AR36" s="318"/>
      <c r="AS36" s="318"/>
      <c r="AT36" s="318"/>
      <c r="AU36" s="318"/>
      <c r="AV36" s="318"/>
      <c r="AW36" s="318"/>
      <c r="AX36" s="318"/>
      <c r="AY36" s="318"/>
      <c r="AZ36" s="318"/>
      <c r="BA36" s="318"/>
      <c r="BB36" s="318" t="str">
        <f t="shared" si="0"/>
        <v/>
      </c>
      <c r="BC36" s="318" t="str">
        <f t="shared" si="0"/>
        <v/>
      </c>
      <c r="BD36" s="318" t="str">
        <f t="shared" si="0"/>
        <v/>
      </c>
      <c r="BE36" s="318" t="str">
        <f t="shared" si="0"/>
        <v/>
      </c>
      <c r="BF36" s="318" t="str">
        <f t="shared" si="0"/>
        <v/>
      </c>
      <c r="BG36" s="315"/>
      <c r="BI36" s="286">
        <v>1</v>
      </c>
      <c r="BJ36" s="286">
        <f t="shared" si="1"/>
        <v>1</v>
      </c>
      <c r="BK36" s="290">
        <f>'Demand (old)'!G$137</f>
        <v>0.91367821407897398</v>
      </c>
      <c r="BL36" s="290">
        <f>'Demand (old)'!H$137</f>
        <v>0.84028045572852572</v>
      </c>
      <c r="BM36" s="290">
        <f>'Demand (old)'!I$137</f>
        <v>0.76818049598065941</v>
      </c>
      <c r="BN36" s="290">
        <f>'Demand (old)'!J$137</f>
        <v>0.70864954120649915</v>
      </c>
      <c r="BO36" s="290">
        <f>'Demand (old)'!K$137</f>
        <v>0.66246912199617591</v>
      </c>
      <c r="BP36" s="290">
        <f>'Demand (old)'!L$137</f>
        <v>0.66297892256095492</v>
      </c>
      <c r="BQ36" s="290">
        <f>'Demand (old)'!M$137</f>
        <v>0.64131462937100048</v>
      </c>
      <c r="BR36" s="290">
        <f>'Demand (old)'!N$137</f>
        <v>0.62261035629680173</v>
      </c>
      <c r="BS36" s="286">
        <v>1</v>
      </c>
      <c r="BT36" s="289"/>
      <c r="BU36" s="286"/>
      <c r="BV36" s="286"/>
    </row>
    <row r="37" spans="1:74" s="150" customFormat="1">
      <c r="A37" s="280"/>
      <c r="B37" s="315" t="s">
        <v>307</v>
      </c>
      <c r="C37" s="315" t="s">
        <v>456</v>
      </c>
      <c r="D37" s="315" t="s">
        <v>457</v>
      </c>
      <c r="E37" s="315" t="s">
        <v>329</v>
      </c>
      <c r="F37" s="315" t="s">
        <v>433</v>
      </c>
      <c r="G37" s="315" t="s">
        <v>447</v>
      </c>
      <c r="H37" s="315">
        <v>2010</v>
      </c>
      <c r="I37" s="315">
        <v>30</v>
      </c>
      <c r="J37" s="315">
        <v>1</v>
      </c>
      <c r="K37" s="315">
        <v>0.2</v>
      </c>
      <c r="L37" s="317" t="str">
        <f>IFERROR(IF(_xlfn.XLOOKUP(D37,tbl_tech[TECHNOLOGY - Other],tbl_tech[NCAP_COST])=0,"",_xlfn.XLOOKUP(D37,tbl_tech[TECHNOLOGY - Other],tbl_tech[NCAP_COST])),"")</f>
        <v/>
      </c>
      <c r="M37" s="317" t="str">
        <f>IFERROR(IF(_xlfn.XLOOKUP(D37,tbl_tech[TECHNOLOGY - Other],tbl_tech[NCAP_FOM])=0,"",_xlfn.XLOOKUP(D37,tbl_tech[TECHNOLOGY - Other],tbl_tech[NCAP_FOM])),"")</f>
        <v/>
      </c>
      <c r="N37" s="315">
        <v>0</v>
      </c>
      <c r="O37" s="315"/>
      <c r="P37" s="315"/>
      <c r="Q37" s="318">
        <v>1.1576820985146268E-2</v>
      </c>
      <c r="R37" s="318">
        <v>0.26404809469466833</v>
      </c>
      <c r="S37" s="318">
        <v>0.11916710920301801</v>
      </c>
      <c r="T37" s="318">
        <v>0.19717967307295609</v>
      </c>
      <c r="U37" s="318">
        <v>0.14604369649973717</v>
      </c>
      <c r="V37" s="318">
        <v>0.71025172338296949</v>
      </c>
      <c r="W37" s="318">
        <v>1.5875031031097457</v>
      </c>
      <c r="X37" s="318">
        <v>1.0752535989448377</v>
      </c>
      <c r="Y37" s="318">
        <v>0.64225678079049853</v>
      </c>
      <c r="Z37" s="318">
        <v>0.5598203357894509</v>
      </c>
      <c r="AA37" s="319"/>
      <c r="AB37" s="319"/>
      <c r="AC37" s="319"/>
      <c r="AD37" s="319"/>
      <c r="AE37" s="319"/>
      <c r="AF37" s="315">
        <v>1</v>
      </c>
      <c r="AG37" s="315"/>
      <c r="AH37" s="318">
        <f t="shared" si="3"/>
        <v>1</v>
      </c>
      <c r="AI37" s="318">
        <f t="shared" si="2"/>
        <v>1</v>
      </c>
      <c r="AJ37" s="318">
        <f t="shared" si="2"/>
        <v>1.0944772290625775</v>
      </c>
      <c r="AK37" s="318">
        <f t="shared" si="2"/>
        <v>1.1900788518673768</v>
      </c>
      <c r="AL37" s="318">
        <f t="shared" si="2"/>
        <v>1.3017773885594424</v>
      </c>
      <c r="AM37" s="318">
        <f t="shared" si="2"/>
        <v>1.411134759640805</v>
      </c>
      <c r="AN37" s="318">
        <f t="shared" si="2"/>
        <v>1.5095043177058032</v>
      </c>
      <c r="AO37" s="318">
        <f t="shared" si="2"/>
        <v>1.5083435777071164</v>
      </c>
      <c r="AP37" s="318">
        <f t="shared" si="2"/>
        <v>1.5592970348747495</v>
      </c>
      <c r="AQ37" s="318">
        <f t="shared" si="2"/>
        <v>1.6061409674388625</v>
      </c>
      <c r="AR37" s="318"/>
      <c r="AS37" s="318"/>
      <c r="AT37" s="318"/>
      <c r="AU37" s="318"/>
      <c r="AV37" s="318"/>
      <c r="AW37" s="318"/>
      <c r="AX37" s="318"/>
      <c r="AY37" s="318"/>
      <c r="AZ37" s="318"/>
      <c r="BA37" s="318"/>
      <c r="BB37" s="318" t="str">
        <f t="shared" si="0"/>
        <v/>
      </c>
      <c r="BC37" s="318" t="str">
        <f t="shared" si="0"/>
        <v/>
      </c>
      <c r="BD37" s="318" t="str">
        <f t="shared" si="0"/>
        <v/>
      </c>
      <c r="BE37" s="318" t="str">
        <f t="shared" si="0"/>
        <v/>
      </c>
      <c r="BF37" s="318" t="str">
        <f t="shared" si="0"/>
        <v/>
      </c>
      <c r="BG37" s="315"/>
      <c r="BI37" s="286">
        <v>1</v>
      </c>
      <c r="BJ37" s="286">
        <f t="shared" si="1"/>
        <v>1</v>
      </c>
      <c r="BK37" s="290">
        <f>'Demand (old)'!G$137</f>
        <v>0.91367821407897398</v>
      </c>
      <c r="BL37" s="290">
        <f>'Demand (old)'!H$137</f>
        <v>0.84028045572852572</v>
      </c>
      <c r="BM37" s="290">
        <f>'Demand (old)'!I$137</f>
        <v>0.76818049598065941</v>
      </c>
      <c r="BN37" s="290">
        <f>'Demand (old)'!J$137</f>
        <v>0.70864954120649915</v>
      </c>
      <c r="BO37" s="290">
        <f>'Demand (old)'!K$137</f>
        <v>0.66246912199617591</v>
      </c>
      <c r="BP37" s="290">
        <f>'Demand (old)'!L$137</f>
        <v>0.66297892256095492</v>
      </c>
      <c r="BQ37" s="290">
        <f>'Demand (old)'!M$137</f>
        <v>0.64131462937100048</v>
      </c>
      <c r="BR37" s="290">
        <f>'Demand (old)'!N$137</f>
        <v>0.62261035629680173</v>
      </c>
      <c r="BS37" s="286">
        <v>1</v>
      </c>
      <c r="BT37" s="289"/>
      <c r="BU37" s="286"/>
      <c r="BV37" s="286"/>
    </row>
    <row r="38" spans="1:74" s="150" customFormat="1">
      <c r="A38" s="280"/>
      <c r="B38" s="315" t="s">
        <v>307</v>
      </c>
      <c r="C38" s="315" t="s">
        <v>458</v>
      </c>
      <c r="D38" s="315" t="s">
        <v>459</v>
      </c>
      <c r="E38" s="315" t="s">
        <v>329</v>
      </c>
      <c r="F38" s="315" t="s">
        <v>418</v>
      </c>
      <c r="G38" s="315" t="s">
        <v>460</v>
      </c>
      <c r="H38" s="315">
        <v>2010</v>
      </c>
      <c r="I38" s="315">
        <v>30</v>
      </c>
      <c r="J38" s="315">
        <v>1</v>
      </c>
      <c r="K38" s="315">
        <v>0.15</v>
      </c>
      <c r="L38" s="317" t="str">
        <f>IFERROR(IF(_xlfn.XLOOKUP(D38,tbl_tech[TECHNOLOGY - Other],tbl_tech[NCAP_COST])=0,"",_xlfn.XLOOKUP(D38,tbl_tech[TECHNOLOGY - Other],tbl_tech[NCAP_COST])),"")</f>
        <v/>
      </c>
      <c r="M38" s="317" t="str">
        <f>IFERROR(IF(_xlfn.XLOOKUP(D38,tbl_tech[TECHNOLOGY - Other],tbl_tech[NCAP_FOM])=0,"",_xlfn.XLOOKUP(D38,tbl_tech[TECHNOLOGY - Other],tbl_tech[NCAP_FOM])),"")</f>
        <v/>
      </c>
      <c r="N38" s="315">
        <v>0</v>
      </c>
      <c r="O38" s="315"/>
      <c r="P38" s="315"/>
      <c r="Q38" s="318">
        <v>1.5449441229961067</v>
      </c>
      <c r="R38" s="318">
        <v>3.9480270143510396</v>
      </c>
      <c r="S38" s="318">
        <v>1.7817775466233481</v>
      </c>
      <c r="T38" s="318">
        <v>1.5042580835337365</v>
      </c>
      <c r="U38" s="318">
        <v>1.1141483682630584</v>
      </c>
      <c r="V38" s="318">
        <v>2.984522183692413</v>
      </c>
      <c r="W38" s="318">
        <v>6.7871739294347897</v>
      </c>
      <c r="X38" s="318">
        <v>4.5971142859459473</v>
      </c>
      <c r="Y38" s="318">
        <v>2.9105973692998037</v>
      </c>
      <c r="Z38" s="318">
        <v>2.5370095658994933</v>
      </c>
      <c r="AA38" s="319"/>
      <c r="AB38" s="319"/>
      <c r="AC38" s="319"/>
      <c r="AD38" s="319"/>
      <c r="AE38" s="319"/>
      <c r="AF38" s="315">
        <v>1</v>
      </c>
      <c r="AG38" s="315"/>
      <c r="AH38" s="318">
        <f t="shared" si="3"/>
        <v>1</v>
      </c>
      <c r="AI38" s="318">
        <f t="shared" si="2"/>
        <v>1</v>
      </c>
      <c r="AJ38" s="318">
        <f t="shared" si="2"/>
        <v>1.0944772290625775</v>
      </c>
      <c r="AK38" s="318">
        <f t="shared" si="2"/>
        <v>1.1900788518673768</v>
      </c>
      <c r="AL38" s="318">
        <f t="shared" si="2"/>
        <v>1.3017773885594424</v>
      </c>
      <c r="AM38" s="318">
        <f t="shared" si="2"/>
        <v>1.411134759640805</v>
      </c>
      <c r="AN38" s="318">
        <f t="shared" si="2"/>
        <v>1.5095043177058032</v>
      </c>
      <c r="AO38" s="318">
        <f t="shared" si="2"/>
        <v>1.5083435777071164</v>
      </c>
      <c r="AP38" s="318">
        <f t="shared" si="2"/>
        <v>1.5592970348747495</v>
      </c>
      <c r="AQ38" s="318">
        <f t="shared" si="2"/>
        <v>1.6061409674388625</v>
      </c>
      <c r="AR38" s="318"/>
      <c r="AS38" s="318"/>
      <c r="AT38" s="318"/>
      <c r="AU38" s="318"/>
      <c r="AV38" s="318"/>
      <c r="AW38" s="318"/>
      <c r="AX38" s="318"/>
      <c r="AY38" s="318"/>
      <c r="AZ38" s="318"/>
      <c r="BA38" s="318"/>
      <c r="BB38" s="318" t="str">
        <f t="shared" si="0"/>
        <v/>
      </c>
      <c r="BC38" s="318" t="str">
        <f t="shared" si="0"/>
        <v/>
      </c>
      <c r="BD38" s="318" t="str">
        <f t="shared" si="0"/>
        <v/>
      </c>
      <c r="BE38" s="318" t="str">
        <f t="shared" si="0"/>
        <v/>
      </c>
      <c r="BF38" s="318" t="str">
        <f t="shared" si="0"/>
        <v/>
      </c>
      <c r="BG38" s="315"/>
      <c r="BI38" s="286">
        <v>1</v>
      </c>
      <c r="BJ38" s="286">
        <f t="shared" si="1"/>
        <v>1</v>
      </c>
      <c r="BK38" s="290">
        <f>'Demand (old)'!G$137</f>
        <v>0.91367821407897398</v>
      </c>
      <c r="BL38" s="290">
        <f>'Demand (old)'!H$137</f>
        <v>0.84028045572852572</v>
      </c>
      <c r="BM38" s="290">
        <f>'Demand (old)'!I$137</f>
        <v>0.76818049598065941</v>
      </c>
      <c r="BN38" s="290">
        <f>'Demand (old)'!J$137</f>
        <v>0.70864954120649915</v>
      </c>
      <c r="BO38" s="290">
        <f>'Demand (old)'!K$137</f>
        <v>0.66246912199617591</v>
      </c>
      <c r="BP38" s="290">
        <f>'Demand (old)'!L$137</f>
        <v>0.66297892256095492</v>
      </c>
      <c r="BQ38" s="290">
        <f>'Demand (old)'!M$137</f>
        <v>0.64131462937100048</v>
      </c>
      <c r="BR38" s="290">
        <f>'Demand (old)'!N$137</f>
        <v>0.62261035629680173</v>
      </c>
      <c r="BS38" s="286">
        <v>1</v>
      </c>
      <c r="BT38" s="286"/>
      <c r="BU38" s="286"/>
      <c r="BV38" s="286"/>
    </row>
    <row r="39" spans="1:74" s="150" customFormat="1">
      <c r="A39" s="280"/>
      <c r="B39" s="315" t="s">
        <v>307</v>
      </c>
      <c r="C39" s="315" t="s">
        <v>461</v>
      </c>
      <c r="D39" s="315" t="s">
        <v>462</v>
      </c>
      <c r="E39" s="315" t="s">
        <v>329</v>
      </c>
      <c r="F39" s="315" t="s">
        <v>394</v>
      </c>
      <c r="G39" s="315" t="s">
        <v>460</v>
      </c>
      <c r="H39" s="315">
        <v>2010</v>
      </c>
      <c r="I39" s="315">
        <v>30</v>
      </c>
      <c r="J39" s="315">
        <v>1</v>
      </c>
      <c r="K39" s="315">
        <v>0.15</v>
      </c>
      <c r="L39" s="317" t="str">
        <f>IFERROR(IF(_xlfn.XLOOKUP(D39,tbl_tech[TECHNOLOGY - Other],tbl_tech[NCAP_COST])=0,"",_xlfn.XLOOKUP(D39,tbl_tech[TECHNOLOGY - Other],tbl_tech[NCAP_COST])),"")</f>
        <v/>
      </c>
      <c r="M39" s="317" t="str">
        <f>IFERROR(IF(_xlfn.XLOOKUP(D39,tbl_tech[TECHNOLOGY - Other],tbl_tech[NCAP_FOM])=0,"",_xlfn.XLOOKUP(D39,tbl_tech[TECHNOLOGY - Other],tbl_tech[NCAP_FOM])),"")</f>
        <v/>
      </c>
      <c r="N39" s="315">
        <v>0</v>
      </c>
      <c r="O39" s="315"/>
      <c r="P39" s="315"/>
      <c r="Q39" s="318">
        <v>5.4871577890090011</v>
      </c>
      <c r="R39" s="318">
        <v>1.2033939672476581</v>
      </c>
      <c r="S39" s="318">
        <v>0.54310174241204412</v>
      </c>
      <c r="T39" s="318">
        <v>1.8749453768601512</v>
      </c>
      <c r="U39" s="318">
        <v>1.3887027466083433</v>
      </c>
      <c r="V39" s="318">
        <v>0.46359416835481571</v>
      </c>
      <c r="W39" s="318">
        <v>0</v>
      </c>
      <c r="X39" s="318">
        <v>0</v>
      </c>
      <c r="Y39" s="318">
        <v>9.6741377856191191E-2</v>
      </c>
      <c r="Z39" s="318">
        <v>8.4324202182075758E-2</v>
      </c>
      <c r="AA39" s="319"/>
      <c r="AB39" s="316"/>
      <c r="AC39" s="316"/>
      <c r="AD39" s="319"/>
      <c r="AE39" s="319"/>
      <c r="AF39" s="315">
        <v>1</v>
      </c>
      <c r="AG39" s="315"/>
      <c r="AH39" s="318">
        <f t="shared" si="3"/>
        <v>1</v>
      </c>
      <c r="AI39" s="318">
        <f t="shared" si="2"/>
        <v>1</v>
      </c>
      <c r="AJ39" s="318">
        <f t="shared" si="2"/>
        <v>1.0944772290625775</v>
      </c>
      <c r="AK39" s="318">
        <f t="shared" si="2"/>
        <v>1.1900788518673768</v>
      </c>
      <c r="AL39" s="318">
        <f t="shared" ref="AL39:AQ45" si="6">IF(BM39="","",$BS39/BM39)</f>
        <v>1.3017773885594424</v>
      </c>
      <c r="AM39" s="318">
        <f t="shared" si="6"/>
        <v>1.411134759640805</v>
      </c>
      <c r="AN39" s="318">
        <f t="shared" si="6"/>
        <v>1.5095043177058032</v>
      </c>
      <c r="AO39" s="318">
        <f t="shared" si="6"/>
        <v>1.5083435777071164</v>
      </c>
      <c r="AP39" s="318">
        <f t="shared" si="6"/>
        <v>1.5592970348747495</v>
      </c>
      <c r="AQ39" s="318">
        <f t="shared" si="6"/>
        <v>1.6061409674388625</v>
      </c>
      <c r="AR39" s="318"/>
      <c r="AS39" s="318"/>
      <c r="AT39" s="318"/>
      <c r="AU39" s="318"/>
      <c r="AV39" s="318"/>
      <c r="AW39" s="318"/>
      <c r="AX39" s="318"/>
      <c r="AY39" s="318"/>
      <c r="AZ39" s="318"/>
      <c r="BA39" s="318"/>
      <c r="BB39" s="318" t="str">
        <f t="shared" si="0"/>
        <v/>
      </c>
      <c r="BC39" s="318" t="str">
        <f t="shared" si="0"/>
        <v/>
      </c>
      <c r="BD39" s="318" t="str">
        <f t="shared" si="0"/>
        <v/>
      </c>
      <c r="BE39" s="318" t="str">
        <f t="shared" si="0"/>
        <v/>
      </c>
      <c r="BF39" s="318" t="str">
        <f t="shared" si="0"/>
        <v/>
      </c>
      <c r="BG39" s="315"/>
      <c r="BI39" s="286">
        <v>1</v>
      </c>
      <c r="BJ39" s="286">
        <f t="shared" si="1"/>
        <v>1</v>
      </c>
      <c r="BK39" s="290">
        <f>'Demand (old)'!G$137</f>
        <v>0.91367821407897398</v>
      </c>
      <c r="BL39" s="290">
        <f>'Demand (old)'!H$137</f>
        <v>0.84028045572852572</v>
      </c>
      <c r="BM39" s="290">
        <f>'Demand (old)'!I$137</f>
        <v>0.76818049598065941</v>
      </c>
      <c r="BN39" s="290">
        <f>'Demand (old)'!J$137</f>
        <v>0.70864954120649915</v>
      </c>
      <c r="BO39" s="290">
        <f>'Demand (old)'!K$137</f>
        <v>0.66246912199617591</v>
      </c>
      <c r="BP39" s="290">
        <f>'Demand (old)'!L$137</f>
        <v>0.66297892256095492</v>
      </c>
      <c r="BQ39" s="290">
        <f>'Demand (old)'!M$137</f>
        <v>0.64131462937100048</v>
      </c>
      <c r="BR39" s="290">
        <f>'Demand (old)'!N$137</f>
        <v>0.62261035629680173</v>
      </c>
      <c r="BS39" s="286">
        <v>1</v>
      </c>
      <c r="BT39" s="286"/>
      <c r="BU39" s="286"/>
      <c r="BV39" s="286"/>
    </row>
    <row r="40" spans="1:74" s="150" customFormat="1">
      <c r="A40" s="280"/>
      <c r="B40" s="315" t="s">
        <v>307</v>
      </c>
      <c r="C40" s="315" t="s">
        <v>463</v>
      </c>
      <c r="D40" s="315" t="s">
        <v>464</v>
      </c>
      <c r="E40" s="315" t="s">
        <v>329</v>
      </c>
      <c r="F40" s="315" t="s">
        <v>398</v>
      </c>
      <c r="G40" s="315" t="s">
        <v>460</v>
      </c>
      <c r="H40" s="315">
        <v>2010</v>
      </c>
      <c r="I40" s="315">
        <v>30</v>
      </c>
      <c r="J40" s="315">
        <v>1</v>
      </c>
      <c r="K40" s="315">
        <v>0.15</v>
      </c>
      <c r="L40" s="317" t="str">
        <f>IFERROR(IF(_xlfn.XLOOKUP(D40,tbl_tech[TECHNOLOGY - Other],tbl_tech[NCAP_COST])=0,"",_xlfn.XLOOKUP(D40,tbl_tech[TECHNOLOGY - Other],tbl_tech[NCAP_COST])),"")</f>
        <v/>
      </c>
      <c r="M40" s="317" t="str">
        <f>IFERROR(IF(_xlfn.XLOOKUP(D40,tbl_tech[TECHNOLOGY - Other],tbl_tech[NCAP_FOM])=0,"",_xlfn.XLOOKUP(D40,tbl_tech[TECHNOLOGY - Other],tbl_tech[NCAP_FOM])),"")</f>
        <v/>
      </c>
      <c r="N40" s="315">
        <v>0</v>
      </c>
      <c r="O40" s="315"/>
      <c r="P40" s="315"/>
      <c r="Q40" s="318"/>
      <c r="R40" s="318"/>
      <c r="S40" s="318"/>
      <c r="T40" s="318"/>
      <c r="U40" s="318"/>
      <c r="V40" s="318">
        <v>0.19093011081804595</v>
      </c>
      <c r="W40" s="318">
        <v>0.13301396143849059</v>
      </c>
      <c r="X40" s="318">
        <v>9.0093518851383017E-2</v>
      </c>
      <c r="Y40" s="318">
        <v>7.5890851486278429E-2</v>
      </c>
      <c r="Z40" s="318">
        <v>6.614993135627828E-2</v>
      </c>
      <c r="AA40" s="319"/>
      <c r="AB40" s="319"/>
      <c r="AC40" s="319"/>
      <c r="AD40" s="319"/>
      <c r="AE40" s="319"/>
      <c r="AF40" s="315">
        <v>1</v>
      </c>
      <c r="AG40" s="315"/>
      <c r="AH40" s="318">
        <f t="shared" si="3"/>
        <v>1</v>
      </c>
      <c r="AI40" s="318">
        <f t="shared" si="3"/>
        <v>1</v>
      </c>
      <c r="AJ40" s="318">
        <f t="shared" si="3"/>
        <v>1.0944772290625775</v>
      </c>
      <c r="AK40" s="318">
        <f t="shared" si="3"/>
        <v>1.1900788518673768</v>
      </c>
      <c r="AL40" s="318">
        <f t="shared" si="6"/>
        <v>1.3017773885594424</v>
      </c>
      <c r="AM40" s="318">
        <f t="shared" si="6"/>
        <v>1.411134759640805</v>
      </c>
      <c r="AN40" s="318">
        <f t="shared" si="6"/>
        <v>1.5095043177058032</v>
      </c>
      <c r="AO40" s="318">
        <f t="shared" si="6"/>
        <v>1.5083435777071164</v>
      </c>
      <c r="AP40" s="318">
        <f t="shared" si="6"/>
        <v>1.5592970348747495</v>
      </c>
      <c r="AQ40" s="318">
        <f t="shared" si="6"/>
        <v>1.6061409674388625</v>
      </c>
      <c r="AR40" s="318"/>
      <c r="AS40" s="318"/>
      <c r="AT40" s="318"/>
      <c r="AU40" s="318"/>
      <c r="AV40" s="318"/>
      <c r="AW40" s="318"/>
      <c r="AX40" s="318"/>
      <c r="AY40" s="318"/>
      <c r="AZ40" s="318"/>
      <c r="BA40" s="318"/>
      <c r="BB40" s="318" t="str">
        <f t="shared" si="0"/>
        <v/>
      </c>
      <c r="BC40" s="318" t="str">
        <f t="shared" si="0"/>
        <v/>
      </c>
      <c r="BD40" s="318" t="str">
        <f t="shared" si="0"/>
        <v/>
      </c>
      <c r="BE40" s="318" t="str">
        <f t="shared" si="0"/>
        <v/>
      </c>
      <c r="BF40" s="318" t="str">
        <f t="shared" si="0"/>
        <v/>
      </c>
      <c r="BG40" s="315"/>
      <c r="BI40" s="286">
        <v>1</v>
      </c>
      <c r="BJ40" s="286">
        <f t="shared" si="1"/>
        <v>1</v>
      </c>
      <c r="BK40" s="290">
        <f>'Demand (old)'!G$137</f>
        <v>0.91367821407897398</v>
      </c>
      <c r="BL40" s="290">
        <f>'Demand (old)'!H$137</f>
        <v>0.84028045572852572</v>
      </c>
      <c r="BM40" s="290">
        <f>'Demand (old)'!I$137</f>
        <v>0.76818049598065941</v>
      </c>
      <c r="BN40" s="290">
        <f>'Demand (old)'!J$137</f>
        <v>0.70864954120649915</v>
      </c>
      <c r="BO40" s="290">
        <f>'Demand (old)'!K$137</f>
        <v>0.66246912199617591</v>
      </c>
      <c r="BP40" s="290">
        <f>'Demand (old)'!L$137</f>
        <v>0.66297892256095492</v>
      </c>
      <c r="BQ40" s="290">
        <f>'Demand (old)'!M$137</f>
        <v>0.64131462937100048</v>
      </c>
      <c r="BR40" s="290">
        <f>'Demand (old)'!N$137</f>
        <v>0.62261035629680173</v>
      </c>
      <c r="BS40" s="286">
        <v>1</v>
      </c>
      <c r="BT40" s="286"/>
      <c r="BU40" s="286"/>
      <c r="BV40" s="286"/>
    </row>
    <row r="41" spans="1:74" s="150" customFormat="1">
      <c r="A41" s="280"/>
      <c r="B41" s="315" t="s">
        <v>307</v>
      </c>
      <c r="C41" s="315" t="s">
        <v>465</v>
      </c>
      <c r="D41" s="315" t="s">
        <v>466</v>
      </c>
      <c r="E41" s="315" t="s">
        <v>329</v>
      </c>
      <c r="F41" s="315" t="s">
        <v>48</v>
      </c>
      <c r="G41" s="315" t="s">
        <v>460</v>
      </c>
      <c r="H41" s="315">
        <v>2010</v>
      </c>
      <c r="I41" s="315">
        <v>30</v>
      </c>
      <c r="J41" s="315">
        <v>1</v>
      </c>
      <c r="K41" s="315">
        <v>0.15</v>
      </c>
      <c r="L41" s="317" t="str">
        <f>IFERROR(IF(_xlfn.XLOOKUP(D41,tbl_tech[TECHNOLOGY - Other],tbl_tech[NCAP_COST])=0,"",_xlfn.XLOOKUP(D41,tbl_tech[TECHNOLOGY - Other],tbl_tech[NCAP_COST])),"")</f>
        <v/>
      </c>
      <c r="M41" s="317" t="str">
        <f>IFERROR(IF(_xlfn.XLOOKUP(D41,tbl_tech[TECHNOLOGY - Other],tbl_tech[NCAP_FOM])=0,"",_xlfn.XLOOKUP(D41,tbl_tech[TECHNOLOGY - Other],tbl_tech[NCAP_FOM])),"")</f>
        <v/>
      </c>
      <c r="N41" s="315">
        <v>0</v>
      </c>
      <c r="O41" s="315"/>
      <c r="P41" s="315"/>
      <c r="Q41" s="318">
        <v>2.7375334332077608</v>
      </c>
      <c r="R41" s="318">
        <v>8.0049486342083274</v>
      </c>
      <c r="S41" s="318">
        <v>3.6127001376788028</v>
      </c>
      <c r="T41" s="318">
        <v>2.4584414018660157</v>
      </c>
      <c r="U41" s="318">
        <v>1.820876687546108</v>
      </c>
      <c r="V41" s="318">
        <v>3.2702988851037733</v>
      </c>
      <c r="W41" s="318">
        <v>7.8918312945284343</v>
      </c>
      <c r="X41" s="318">
        <v>5.3453249855604046</v>
      </c>
      <c r="Y41" s="318">
        <v>2.3545204915732247</v>
      </c>
      <c r="Z41" s="318">
        <v>2.0523075686228172</v>
      </c>
      <c r="AA41" s="319"/>
      <c r="AB41" s="319"/>
      <c r="AC41" s="319"/>
      <c r="AD41" s="319"/>
      <c r="AE41" s="319"/>
      <c r="AF41" s="315">
        <v>1</v>
      </c>
      <c r="AG41" s="315"/>
      <c r="AH41" s="318">
        <f t="shared" si="3"/>
        <v>1</v>
      </c>
      <c r="AI41" s="318">
        <f t="shared" si="3"/>
        <v>1</v>
      </c>
      <c r="AJ41" s="318">
        <f t="shared" si="3"/>
        <v>1.0944772290625775</v>
      </c>
      <c r="AK41" s="318">
        <f t="shared" si="3"/>
        <v>1.1900788518673768</v>
      </c>
      <c r="AL41" s="318">
        <f t="shared" si="6"/>
        <v>1.3017773885594424</v>
      </c>
      <c r="AM41" s="318">
        <f t="shared" si="6"/>
        <v>1.411134759640805</v>
      </c>
      <c r="AN41" s="318">
        <f t="shared" si="6"/>
        <v>1.5095043177058032</v>
      </c>
      <c r="AO41" s="318">
        <f t="shared" si="6"/>
        <v>1.5083435777071164</v>
      </c>
      <c r="AP41" s="318">
        <f t="shared" si="6"/>
        <v>1.5592970348747495</v>
      </c>
      <c r="AQ41" s="318">
        <f t="shared" si="6"/>
        <v>1.6061409674388625</v>
      </c>
      <c r="AR41" s="318"/>
      <c r="AS41" s="318"/>
      <c r="AT41" s="318"/>
      <c r="AU41" s="318"/>
      <c r="AV41" s="318"/>
      <c r="AW41" s="318"/>
      <c r="AX41" s="318"/>
      <c r="AY41" s="318"/>
      <c r="AZ41" s="318"/>
      <c r="BA41" s="318"/>
      <c r="BB41" s="318" t="str">
        <f t="shared" si="0"/>
        <v/>
      </c>
      <c r="BC41" s="318" t="str">
        <f t="shared" si="0"/>
        <v/>
      </c>
      <c r="BD41" s="318" t="str">
        <f t="shared" si="0"/>
        <v/>
      </c>
      <c r="BE41" s="318" t="str">
        <f t="shared" si="0"/>
        <v/>
      </c>
      <c r="BF41" s="318" t="str">
        <f t="shared" si="0"/>
        <v/>
      </c>
      <c r="BG41" s="315"/>
      <c r="BI41" s="286">
        <v>1</v>
      </c>
      <c r="BJ41" s="286">
        <f t="shared" si="1"/>
        <v>1</v>
      </c>
      <c r="BK41" s="290">
        <f>'Demand (old)'!G$137</f>
        <v>0.91367821407897398</v>
      </c>
      <c r="BL41" s="290">
        <f>'Demand (old)'!H$137</f>
        <v>0.84028045572852572</v>
      </c>
      <c r="BM41" s="290">
        <f>'Demand (old)'!I$137</f>
        <v>0.76818049598065941</v>
      </c>
      <c r="BN41" s="290">
        <f>'Demand (old)'!J$137</f>
        <v>0.70864954120649915</v>
      </c>
      <c r="BO41" s="290">
        <f>'Demand (old)'!K$137</f>
        <v>0.66246912199617591</v>
      </c>
      <c r="BP41" s="290">
        <f>'Demand (old)'!L$137</f>
        <v>0.66297892256095492</v>
      </c>
      <c r="BQ41" s="290">
        <f>'Demand (old)'!M$137</f>
        <v>0.64131462937100048</v>
      </c>
      <c r="BR41" s="290">
        <f>'Demand (old)'!N$137</f>
        <v>0.62261035629680173</v>
      </c>
      <c r="BS41" s="286">
        <v>1</v>
      </c>
      <c r="BT41" s="286"/>
      <c r="BU41" s="286"/>
      <c r="BV41" s="286"/>
    </row>
    <row r="42" spans="1:74" s="150" customFormat="1">
      <c r="A42" s="280"/>
      <c r="B42" s="315" t="s">
        <v>307</v>
      </c>
      <c r="C42" s="315" t="s">
        <v>467</v>
      </c>
      <c r="D42" s="315" t="s">
        <v>468</v>
      </c>
      <c r="E42" s="315" t="s">
        <v>329</v>
      </c>
      <c r="F42" s="315" t="s">
        <v>403</v>
      </c>
      <c r="G42" s="315" t="s">
        <v>460</v>
      </c>
      <c r="H42" s="315">
        <v>2010</v>
      </c>
      <c r="I42" s="315">
        <v>30</v>
      </c>
      <c r="J42" s="315">
        <v>1</v>
      </c>
      <c r="K42" s="315">
        <v>0.15</v>
      </c>
      <c r="L42" s="317" t="str">
        <f>IFERROR(IF(_xlfn.XLOOKUP(D42,tbl_tech[TECHNOLOGY - Other],tbl_tech[NCAP_COST])=0,"",_xlfn.XLOOKUP(D42,tbl_tech[TECHNOLOGY - Other],tbl_tech[NCAP_COST])),"")</f>
        <v/>
      </c>
      <c r="M42" s="317" t="str">
        <f>IFERROR(IF(_xlfn.XLOOKUP(D42,tbl_tech[TECHNOLOGY - Other],tbl_tech[NCAP_FOM])=0,"",_xlfn.XLOOKUP(D42,tbl_tech[TECHNOLOGY - Other],tbl_tech[NCAP_FOM])),"")</f>
        <v/>
      </c>
      <c r="N42" s="315">
        <v>0</v>
      </c>
      <c r="O42" s="315"/>
      <c r="P42" s="315"/>
      <c r="Q42" s="318">
        <v>0.11355205739546367</v>
      </c>
      <c r="R42" s="318">
        <v>0.23242999081328994</v>
      </c>
      <c r="S42" s="318">
        <v>0.10489759499810955</v>
      </c>
      <c r="T42" s="318">
        <v>0.14326300728957514</v>
      </c>
      <c r="U42" s="318">
        <v>0.10610961480039072</v>
      </c>
      <c r="V42" s="318">
        <v>0.10775413748863097</v>
      </c>
      <c r="W42" s="318">
        <v>1.0509566290135028</v>
      </c>
      <c r="X42" s="318">
        <v>0.71183791418616371</v>
      </c>
      <c r="Y42" s="318">
        <v>0.32979166941303556</v>
      </c>
      <c r="Z42" s="318">
        <v>0.28746147745475148</v>
      </c>
      <c r="AA42" s="319"/>
      <c r="AB42" s="319"/>
      <c r="AC42" s="319"/>
      <c r="AD42" s="319"/>
      <c r="AE42" s="319"/>
      <c r="AF42" s="315">
        <v>1</v>
      </c>
      <c r="AG42" s="315"/>
      <c r="AH42" s="318">
        <f t="shared" si="3"/>
        <v>1</v>
      </c>
      <c r="AI42" s="318">
        <f t="shared" si="3"/>
        <v>1</v>
      </c>
      <c r="AJ42" s="318">
        <f t="shared" si="3"/>
        <v>1.0944772290625775</v>
      </c>
      <c r="AK42" s="318">
        <f t="shared" si="3"/>
        <v>1.1900788518673768</v>
      </c>
      <c r="AL42" s="318">
        <f t="shared" si="6"/>
        <v>1.3017773885594424</v>
      </c>
      <c r="AM42" s="318">
        <f t="shared" si="6"/>
        <v>1.411134759640805</v>
      </c>
      <c r="AN42" s="318">
        <f t="shared" si="6"/>
        <v>1.5095043177058032</v>
      </c>
      <c r="AO42" s="318">
        <f t="shared" si="6"/>
        <v>1.5083435777071164</v>
      </c>
      <c r="AP42" s="318">
        <f t="shared" si="6"/>
        <v>1.5592970348747495</v>
      </c>
      <c r="AQ42" s="318">
        <f t="shared" si="6"/>
        <v>1.6061409674388625</v>
      </c>
      <c r="AR42" s="318"/>
      <c r="AS42" s="318"/>
      <c r="AT42" s="318"/>
      <c r="AU42" s="318"/>
      <c r="AV42" s="318"/>
      <c r="AW42" s="318"/>
      <c r="AX42" s="318"/>
      <c r="AY42" s="318"/>
      <c r="AZ42" s="318"/>
      <c r="BA42" s="318"/>
      <c r="BB42" s="318" t="str">
        <f t="shared" si="0"/>
        <v/>
      </c>
      <c r="BC42" s="318" t="str">
        <f t="shared" si="0"/>
        <v/>
      </c>
      <c r="BD42" s="318" t="str">
        <f t="shared" si="0"/>
        <v/>
      </c>
      <c r="BE42" s="318" t="str">
        <f t="shared" si="0"/>
        <v/>
      </c>
      <c r="BF42" s="318" t="str">
        <f t="shared" si="0"/>
        <v/>
      </c>
      <c r="BG42" s="315"/>
      <c r="BI42" s="286">
        <v>1</v>
      </c>
      <c r="BJ42" s="286">
        <f t="shared" si="1"/>
        <v>1</v>
      </c>
      <c r="BK42" s="290">
        <f>'Demand (old)'!G$137</f>
        <v>0.91367821407897398</v>
      </c>
      <c r="BL42" s="290">
        <f>'Demand (old)'!H$137</f>
        <v>0.84028045572852572</v>
      </c>
      <c r="BM42" s="290">
        <f>'Demand (old)'!I$137</f>
        <v>0.76818049598065941</v>
      </c>
      <c r="BN42" s="290">
        <f>'Demand (old)'!J$137</f>
        <v>0.70864954120649915</v>
      </c>
      <c r="BO42" s="290">
        <f>'Demand (old)'!K$137</f>
        <v>0.66246912199617591</v>
      </c>
      <c r="BP42" s="290">
        <f>'Demand (old)'!L$137</f>
        <v>0.66297892256095492</v>
      </c>
      <c r="BQ42" s="290">
        <f>'Demand (old)'!M$137</f>
        <v>0.64131462937100048</v>
      </c>
      <c r="BR42" s="290">
        <f>'Demand (old)'!N$137</f>
        <v>0.62261035629680173</v>
      </c>
      <c r="BS42" s="286">
        <v>1</v>
      </c>
      <c r="BT42" s="286"/>
      <c r="BU42" s="286"/>
      <c r="BV42" s="286"/>
    </row>
    <row r="43" spans="1:74" s="150" customFormat="1">
      <c r="A43" s="280"/>
      <c r="B43" s="315" t="s">
        <v>307</v>
      </c>
      <c r="C43" s="315" t="s">
        <v>469</v>
      </c>
      <c r="D43" s="315" t="s">
        <v>470</v>
      </c>
      <c r="E43" s="315" t="s">
        <v>329</v>
      </c>
      <c r="F43" s="315" t="s">
        <v>409</v>
      </c>
      <c r="G43" s="315" t="s">
        <v>460</v>
      </c>
      <c r="H43" s="315">
        <v>2010</v>
      </c>
      <c r="I43" s="315">
        <v>30</v>
      </c>
      <c r="J43" s="315">
        <v>1</v>
      </c>
      <c r="K43" s="315">
        <v>0.15</v>
      </c>
      <c r="L43" s="317" t="str">
        <f>IFERROR(IF(_xlfn.XLOOKUP(D43,tbl_tech[TECHNOLOGY - Other],tbl_tech[NCAP_COST])=0,"",_xlfn.XLOOKUP(D43,tbl_tech[TECHNOLOGY - Other],tbl_tech[NCAP_COST])),"")</f>
        <v/>
      </c>
      <c r="M43" s="317" t="str">
        <f>IFERROR(IF(_xlfn.XLOOKUP(D43,tbl_tech[TECHNOLOGY - Other],tbl_tech[NCAP_FOM])=0,"",_xlfn.XLOOKUP(D43,tbl_tech[TECHNOLOGY - Other],tbl_tech[NCAP_FOM])),"")</f>
        <v/>
      </c>
      <c r="N43" s="315">
        <v>0</v>
      </c>
      <c r="O43" s="315">
        <v>0</v>
      </c>
      <c r="P43" s="315"/>
      <c r="Q43" s="318">
        <v>13.989207419630498</v>
      </c>
      <c r="R43" s="318">
        <v>0</v>
      </c>
      <c r="S43" s="318">
        <v>8.1429568906622229</v>
      </c>
      <c r="T43" s="318">
        <v>13.191862244993057</v>
      </c>
      <c r="U43" s="318">
        <v>0</v>
      </c>
      <c r="V43" s="318">
        <v>10.807014348326776</v>
      </c>
      <c r="W43" s="318">
        <v>1.6317649176025739E-2</v>
      </c>
      <c r="X43" s="318">
        <v>1.1052331783455216E-2</v>
      </c>
      <c r="Y43" s="318">
        <v>6.9051176875777998E-2</v>
      </c>
      <c r="Z43" s="318">
        <v>6.0188158663981639E-2</v>
      </c>
      <c r="AA43" s="319"/>
      <c r="AB43" s="316"/>
      <c r="AC43" s="316"/>
      <c r="AD43" s="316"/>
      <c r="AE43" s="316"/>
      <c r="AF43" s="315">
        <v>1</v>
      </c>
      <c r="AG43" s="315"/>
      <c r="AH43" s="318">
        <f t="shared" si="3"/>
        <v>1</v>
      </c>
      <c r="AI43" s="318">
        <f t="shared" si="3"/>
        <v>1</v>
      </c>
      <c r="AJ43" s="318">
        <f t="shared" si="3"/>
        <v>1.0944772290625775</v>
      </c>
      <c r="AK43" s="318">
        <f t="shared" si="3"/>
        <v>1.1900788518673768</v>
      </c>
      <c r="AL43" s="318">
        <f t="shared" si="6"/>
        <v>1.3017773885594424</v>
      </c>
      <c r="AM43" s="318">
        <f t="shared" si="6"/>
        <v>1.411134759640805</v>
      </c>
      <c r="AN43" s="318">
        <f t="shared" si="6"/>
        <v>1.5095043177058032</v>
      </c>
      <c r="AO43" s="318">
        <f t="shared" si="6"/>
        <v>1.5083435777071164</v>
      </c>
      <c r="AP43" s="318">
        <f t="shared" si="6"/>
        <v>1.5592970348747495</v>
      </c>
      <c r="AQ43" s="318">
        <f t="shared" si="6"/>
        <v>1.6061409674388625</v>
      </c>
      <c r="AR43" s="318"/>
      <c r="AS43" s="318"/>
      <c r="AT43" s="318"/>
      <c r="AU43" s="318"/>
      <c r="AV43" s="318"/>
      <c r="AW43" s="318"/>
      <c r="AX43" s="318"/>
      <c r="AY43" s="318"/>
      <c r="AZ43" s="318"/>
      <c r="BA43" s="318"/>
      <c r="BB43" s="318" t="str">
        <f t="shared" si="0"/>
        <v/>
      </c>
      <c r="BC43" s="318" t="str">
        <f t="shared" si="0"/>
        <v/>
      </c>
      <c r="BD43" s="318" t="str">
        <f t="shared" si="0"/>
        <v/>
      </c>
      <c r="BE43" s="318" t="str">
        <f t="shared" si="0"/>
        <v/>
      </c>
      <c r="BF43" s="318" t="str">
        <f t="shared" si="0"/>
        <v/>
      </c>
      <c r="BG43" s="315"/>
      <c r="BI43" s="286">
        <v>1</v>
      </c>
      <c r="BJ43" s="286">
        <f t="shared" si="1"/>
        <v>1</v>
      </c>
      <c r="BK43" s="290">
        <f>'Demand (old)'!G$137</f>
        <v>0.91367821407897398</v>
      </c>
      <c r="BL43" s="290">
        <f>'Demand (old)'!H$137</f>
        <v>0.84028045572852572</v>
      </c>
      <c r="BM43" s="290">
        <f>'Demand (old)'!I$137</f>
        <v>0.76818049598065941</v>
      </c>
      <c r="BN43" s="290">
        <f>'Demand (old)'!J$137</f>
        <v>0.70864954120649915</v>
      </c>
      <c r="BO43" s="290">
        <f>'Demand (old)'!K$137</f>
        <v>0.66246912199617591</v>
      </c>
      <c r="BP43" s="290">
        <f>'Demand (old)'!L$137</f>
        <v>0.66297892256095492</v>
      </c>
      <c r="BQ43" s="290">
        <f>'Demand (old)'!M$137</f>
        <v>0.64131462937100048</v>
      </c>
      <c r="BR43" s="290">
        <f>'Demand (old)'!N$137</f>
        <v>0.62261035629680173</v>
      </c>
      <c r="BS43" s="286">
        <v>1</v>
      </c>
      <c r="BT43" s="286"/>
      <c r="BU43" s="286"/>
      <c r="BV43" s="286"/>
    </row>
    <row r="44" spans="1:74" s="150" customFormat="1">
      <c r="A44" s="280"/>
      <c r="B44" s="315" t="s">
        <v>307</v>
      </c>
      <c r="C44" s="315" t="s">
        <v>471</v>
      </c>
      <c r="D44" s="315" t="s">
        <v>472</v>
      </c>
      <c r="E44" s="315" t="s">
        <v>329</v>
      </c>
      <c r="F44" s="315" t="s">
        <v>412</v>
      </c>
      <c r="G44" s="315" t="s">
        <v>460</v>
      </c>
      <c r="H44" s="315">
        <v>2010</v>
      </c>
      <c r="I44" s="315">
        <v>30</v>
      </c>
      <c r="J44" s="315">
        <v>1</v>
      </c>
      <c r="K44" s="315">
        <v>0.15</v>
      </c>
      <c r="L44" s="317" t="str">
        <f>IFERROR(IF(_xlfn.XLOOKUP(D44,tbl_tech[TECHNOLOGY - Other],tbl_tech[NCAP_COST])=0,"",_xlfn.XLOOKUP(D44,tbl_tech[TECHNOLOGY - Other],tbl_tech[NCAP_COST])),"")</f>
        <v/>
      </c>
      <c r="M44" s="317" t="str">
        <f>IFERROR(IF(_xlfn.XLOOKUP(D44,tbl_tech[TECHNOLOGY - Other],tbl_tech[NCAP_FOM])=0,"",_xlfn.XLOOKUP(D44,tbl_tech[TECHNOLOGY - Other],tbl_tech[NCAP_FOM])),"")</f>
        <v/>
      </c>
      <c r="N44" s="315">
        <v>0</v>
      </c>
      <c r="O44" s="315"/>
      <c r="P44" s="315"/>
      <c r="Q44" s="318">
        <v>24.817013160683409</v>
      </c>
      <c r="R44" s="318">
        <v>6.159718515390745</v>
      </c>
      <c r="S44" s="318">
        <v>2.7799323825162316</v>
      </c>
      <c r="T44" s="318">
        <v>0</v>
      </c>
      <c r="U44" s="318">
        <v>6.1985440815563315</v>
      </c>
      <c r="V44" s="318">
        <v>0.78727736837772433</v>
      </c>
      <c r="W44" s="318">
        <v>0.33977160960623287</v>
      </c>
      <c r="X44" s="318">
        <v>0.23013539018142376</v>
      </c>
      <c r="Y44" s="318">
        <v>0.40691550524634501</v>
      </c>
      <c r="Z44" s="318">
        <v>0.3546861342663663</v>
      </c>
      <c r="AA44" s="319"/>
      <c r="AB44" s="319"/>
      <c r="AC44" s="319"/>
      <c r="AD44" s="319"/>
      <c r="AE44" s="319"/>
      <c r="AF44" s="315">
        <v>1</v>
      </c>
      <c r="AG44" s="315"/>
      <c r="AH44" s="318">
        <f t="shared" si="3"/>
        <v>1</v>
      </c>
      <c r="AI44" s="318">
        <f t="shared" si="3"/>
        <v>1</v>
      </c>
      <c r="AJ44" s="318">
        <f t="shared" si="3"/>
        <v>1.0944772290625775</v>
      </c>
      <c r="AK44" s="318">
        <f t="shared" si="3"/>
        <v>1.1900788518673768</v>
      </c>
      <c r="AL44" s="318">
        <f t="shared" si="6"/>
        <v>1.3017773885594424</v>
      </c>
      <c r="AM44" s="318">
        <f t="shared" si="6"/>
        <v>1.411134759640805</v>
      </c>
      <c r="AN44" s="318">
        <f t="shared" si="6"/>
        <v>1.5095043177058032</v>
      </c>
      <c r="AO44" s="318">
        <f t="shared" si="6"/>
        <v>1.5083435777071164</v>
      </c>
      <c r="AP44" s="318">
        <f t="shared" si="6"/>
        <v>1.5592970348747495</v>
      </c>
      <c r="AQ44" s="318">
        <f t="shared" si="6"/>
        <v>1.6061409674388625</v>
      </c>
      <c r="AR44" s="318"/>
      <c r="AS44" s="318"/>
      <c r="AT44" s="318"/>
      <c r="AU44" s="318"/>
      <c r="AV44" s="318"/>
      <c r="AW44" s="318"/>
      <c r="AX44" s="318"/>
      <c r="AY44" s="318"/>
      <c r="AZ44" s="318"/>
      <c r="BA44" s="318"/>
      <c r="BB44" s="318" t="str">
        <f t="shared" si="0"/>
        <v/>
      </c>
      <c r="BC44" s="318" t="str">
        <f t="shared" si="0"/>
        <v/>
      </c>
      <c r="BD44" s="318" t="str">
        <f t="shared" si="0"/>
        <v/>
      </c>
      <c r="BE44" s="318" t="str">
        <f t="shared" si="0"/>
        <v/>
      </c>
      <c r="BF44" s="318" t="str">
        <f t="shared" si="0"/>
        <v/>
      </c>
      <c r="BG44" s="315"/>
      <c r="BI44" s="286">
        <v>1</v>
      </c>
      <c r="BJ44" s="286">
        <f t="shared" si="1"/>
        <v>1</v>
      </c>
      <c r="BK44" s="290">
        <f>'Demand (old)'!G$137</f>
        <v>0.91367821407897398</v>
      </c>
      <c r="BL44" s="290">
        <f>'Demand (old)'!H$137</f>
        <v>0.84028045572852572</v>
      </c>
      <c r="BM44" s="290">
        <f>'Demand (old)'!I$137</f>
        <v>0.76818049598065941</v>
      </c>
      <c r="BN44" s="290">
        <f>'Demand (old)'!J$137</f>
        <v>0.70864954120649915</v>
      </c>
      <c r="BO44" s="290">
        <f>'Demand (old)'!K$137</f>
        <v>0.66246912199617591</v>
      </c>
      <c r="BP44" s="290">
        <f>'Demand (old)'!L$137</f>
        <v>0.66297892256095492</v>
      </c>
      <c r="BQ44" s="290">
        <f>'Demand (old)'!M$137</f>
        <v>0.64131462937100048</v>
      </c>
      <c r="BR44" s="290">
        <f>'Demand (old)'!N$137</f>
        <v>0.62261035629680173</v>
      </c>
      <c r="BS44" s="286">
        <v>1</v>
      </c>
      <c r="BT44" s="286"/>
      <c r="BU44" s="286"/>
      <c r="BV44" s="286"/>
    </row>
    <row r="45" spans="1:74" s="150" customFormat="1">
      <c r="A45" s="280"/>
      <c r="B45" s="315" t="s">
        <v>307</v>
      </c>
      <c r="C45" s="315" t="s">
        <v>473</v>
      </c>
      <c r="D45" s="315" t="s">
        <v>474</v>
      </c>
      <c r="E45" s="315" t="s">
        <v>329</v>
      </c>
      <c r="F45" s="315" t="s">
        <v>415</v>
      </c>
      <c r="G45" s="315" t="s">
        <v>460</v>
      </c>
      <c r="H45" s="315">
        <v>2010</v>
      </c>
      <c r="I45" s="315">
        <v>30</v>
      </c>
      <c r="J45" s="315">
        <v>1</v>
      </c>
      <c r="K45" s="315">
        <v>0.15</v>
      </c>
      <c r="L45" s="317" t="str">
        <f>IFERROR(IF(_xlfn.XLOOKUP(D45,tbl_tech[TECHNOLOGY - Other],tbl_tech[NCAP_COST])=0,"",_xlfn.XLOOKUP(D45,tbl_tech[TECHNOLOGY - Other],tbl_tech[NCAP_COST])),"")</f>
        <v/>
      </c>
      <c r="M45" s="317" t="str">
        <f>IFERROR(IF(_xlfn.XLOOKUP(D45,tbl_tech[TECHNOLOGY - Other],tbl_tech[NCAP_FOM])=0,"",_xlfn.XLOOKUP(D45,tbl_tech[TECHNOLOGY - Other],tbl_tech[NCAP_FOM])),"")</f>
        <v/>
      </c>
      <c r="N45" s="315">
        <v>0</v>
      </c>
      <c r="O45" s="315"/>
      <c r="P45" s="315"/>
      <c r="Q45" s="318">
        <v>0.50842623851333946</v>
      </c>
      <c r="R45" s="318">
        <v>0</v>
      </c>
      <c r="S45" s="318">
        <v>0</v>
      </c>
      <c r="T45" s="318">
        <v>8.4280192773894527</v>
      </c>
      <c r="U45" s="318">
        <v>4.3778315365301038E-2</v>
      </c>
      <c r="V45" s="318">
        <v>0</v>
      </c>
      <c r="W45" s="318">
        <v>4.01940044733536E-3</v>
      </c>
      <c r="X45" s="318">
        <v>2.7224354951695868E-3</v>
      </c>
      <c r="Y45" s="318">
        <v>0</v>
      </c>
      <c r="Z45" s="318">
        <v>0</v>
      </c>
      <c r="AA45" s="316"/>
      <c r="AB45" s="319"/>
      <c r="AC45" s="319"/>
      <c r="AD45" s="316"/>
      <c r="AE45" s="316"/>
      <c r="AF45" s="315">
        <v>1</v>
      </c>
      <c r="AG45" s="315"/>
      <c r="AH45" s="318">
        <f t="shared" si="3"/>
        <v>1</v>
      </c>
      <c r="AI45" s="318">
        <f t="shared" si="3"/>
        <v>1</v>
      </c>
      <c r="AJ45" s="318">
        <f t="shared" si="3"/>
        <v>1.0944772290625775</v>
      </c>
      <c r="AK45" s="318">
        <f t="shared" si="3"/>
        <v>1.1900788518673768</v>
      </c>
      <c r="AL45" s="318">
        <f t="shared" si="6"/>
        <v>1.3017773885594424</v>
      </c>
      <c r="AM45" s="318">
        <f t="shared" si="6"/>
        <v>1.411134759640805</v>
      </c>
      <c r="AN45" s="318">
        <f t="shared" si="6"/>
        <v>1.5095043177058032</v>
      </c>
      <c r="AO45" s="318">
        <f t="shared" si="6"/>
        <v>1.5083435777071164</v>
      </c>
      <c r="AP45" s="318">
        <f t="shared" si="6"/>
        <v>1.5592970348747495</v>
      </c>
      <c r="AQ45" s="318">
        <f t="shared" si="6"/>
        <v>1.6061409674388625</v>
      </c>
      <c r="AR45" s="318"/>
      <c r="AS45" s="318"/>
      <c r="AT45" s="318"/>
      <c r="AU45" s="318"/>
      <c r="AV45" s="318"/>
      <c r="AW45" s="318"/>
      <c r="AX45" s="318"/>
      <c r="AY45" s="318"/>
      <c r="AZ45" s="318"/>
      <c r="BA45" s="318"/>
      <c r="BB45" s="318" t="str">
        <f t="shared" si="0"/>
        <v/>
      </c>
      <c r="BC45" s="318" t="str">
        <f t="shared" si="0"/>
        <v/>
      </c>
      <c r="BD45" s="318" t="str">
        <f t="shared" si="0"/>
        <v/>
      </c>
      <c r="BE45" s="318" t="str">
        <f t="shared" si="0"/>
        <v/>
      </c>
      <c r="BF45" s="318" t="str">
        <f t="shared" si="0"/>
        <v/>
      </c>
      <c r="BG45" s="315"/>
      <c r="BI45" s="286">
        <v>1</v>
      </c>
      <c r="BJ45" s="286">
        <f t="shared" si="1"/>
        <v>1</v>
      </c>
      <c r="BK45" s="290">
        <f>'Demand (old)'!G$137</f>
        <v>0.91367821407897398</v>
      </c>
      <c r="BL45" s="290">
        <f>'Demand (old)'!H$137</f>
        <v>0.84028045572852572</v>
      </c>
      <c r="BM45" s="290">
        <f>'Demand (old)'!I$137</f>
        <v>0.76818049598065941</v>
      </c>
      <c r="BN45" s="290">
        <f>'Demand (old)'!J$137</f>
        <v>0.70864954120649915</v>
      </c>
      <c r="BO45" s="290">
        <f>'Demand (old)'!K$137</f>
        <v>0.66246912199617591</v>
      </c>
      <c r="BP45" s="290">
        <f>'Demand (old)'!L$137</f>
        <v>0.66297892256095492</v>
      </c>
      <c r="BQ45" s="290">
        <f>'Demand (old)'!M$137</f>
        <v>0.64131462937100048</v>
      </c>
      <c r="BR45" s="290">
        <f>'Demand (old)'!N$137</f>
        <v>0.62261035629680173</v>
      </c>
      <c r="BS45" s="286">
        <v>1</v>
      </c>
      <c r="BT45" s="286"/>
      <c r="BU45" s="286"/>
      <c r="BV45" s="286"/>
    </row>
    <row r="46" spans="1:74" s="150" customFormat="1">
      <c r="A46" s="280"/>
      <c r="B46" s="315" t="s">
        <v>11</v>
      </c>
      <c r="C46" s="315" t="s">
        <v>475</v>
      </c>
      <c r="D46" s="315" t="s">
        <v>476</v>
      </c>
      <c r="E46" s="315" t="s">
        <v>329</v>
      </c>
      <c r="F46" s="315" t="s">
        <v>395</v>
      </c>
      <c r="G46" s="315"/>
      <c r="H46" s="315">
        <v>2010</v>
      </c>
      <c r="I46" s="315">
        <v>50</v>
      </c>
      <c r="J46" s="315">
        <v>1</v>
      </c>
      <c r="K46" s="315"/>
      <c r="L46" s="317">
        <f>IFERROR(IF(_xlfn.XLOOKUP(D46,tbl_tech[TECHNOLOGY - Other],tbl_tech[NCAP_COST])=0,"",_xlfn.XLOOKUP(D46,tbl_tech[TECHNOLOGY - Other],tbl_tech[NCAP_COST])),"")</f>
        <v>100</v>
      </c>
      <c r="M46" s="317">
        <f>IFERROR(IF(_xlfn.XLOOKUP(D46,tbl_tech[TECHNOLOGY - Other],tbl_tech[NCAP_FOM])=0,"",_xlfn.XLOOKUP(D46,tbl_tech[TECHNOLOGY - Other],tbl_tech[NCAP_FOM])),"")</f>
        <v>1</v>
      </c>
      <c r="N46" s="315"/>
      <c r="O46" s="315"/>
      <c r="P46" s="315"/>
      <c r="Q46" s="318">
        <f>CommData_DMD_dep!$F$5/$J$46</f>
        <v>8.3091800427230442</v>
      </c>
      <c r="R46" s="318">
        <f>CommData_DMD_dep!$F$6/$J$46</f>
        <v>23.925625036157648</v>
      </c>
      <c r="S46" s="318">
        <f>CommData_DMD_dep!$F$7/$J$46</f>
        <v>8.9383948249559957</v>
      </c>
      <c r="T46" s="318">
        <f>CommData_DMD_dep!$F$8/$J$46</f>
        <v>20.115575636066577</v>
      </c>
      <c r="U46" s="318">
        <f>CommData_DMD_dep!$F$9/$J$46</f>
        <v>2.1282639796583438</v>
      </c>
      <c r="V46" s="318">
        <f>CommData_DMD_dep!$G$5/$J$46</f>
        <v>9.362242352210421</v>
      </c>
      <c r="W46" s="318">
        <f>CommData_DMD_dep!$G$6/$J$46</f>
        <v>24.506901963861626</v>
      </c>
      <c r="X46" s="318">
        <f>CommData_DMD_dep!$G$7/$J$46</f>
        <v>9.5951843480114274</v>
      </c>
      <c r="Y46" s="318">
        <f>CommData_DMD_dep!$G$8/$J$46</f>
        <v>21.049788100056091</v>
      </c>
      <c r="Z46" s="318">
        <f>CommData_DMD_dep!$G$9/$J$46</f>
        <v>2.3177935089685358</v>
      </c>
      <c r="AA46" s="318">
        <v>0</v>
      </c>
      <c r="AB46" s="318">
        <v>0</v>
      </c>
      <c r="AC46" s="318">
        <v>0</v>
      </c>
      <c r="AD46" s="318">
        <v>0</v>
      </c>
      <c r="AE46" s="318">
        <v>0</v>
      </c>
      <c r="AF46" s="315">
        <v>1</v>
      </c>
      <c r="AG46" s="315"/>
      <c r="AH46" s="315">
        <v>1</v>
      </c>
      <c r="AI46" s="315"/>
      <c r="AJ46" s="315"/>
      <c r="AK46" s="315"/>
      <c r="AL46" s="315"/>
      <c r="AM46" s="315"/>
      <c r="AN46" s="315"/>
      <c r="AO46" s="315"/>
      <c r="AP46" s="315"/>
      <c r="AQ46" s="315">
        <f>AH46</f>
        <v>1</v>
      </c>
      <c r="AR46" s="318">
        <v>0</v>
      </c>
      <c r="AS46" s="318">
        <v>0</v>
      </c>
      <c r="AT46" s="318">
        <v>0</v>
      </c>
      <c r="AU46" s="318">
        <v>0</v>
      </c>
      <c r="AV46" s="318">
        <v>0</v>
      </c>
      <c r="AW46" s="318">
        <v>0</v>
      </c>
      <c r="AX46" s="318">
        <v>0</v>
      </c>
      <c r="AY46" s="318">
        <v>0</v>
      </c>
      <c r="AZ46" s="318">
        <v>0</v>
      </c>
      <c r="BA46" s="318">
        <v>0</v>
      </c>
      <c r="BB46" s="318">
        <f t="shared" si="0"/>
        <v>0</v>
      </c>
      <c r="BC46" s="318">
        <f t="shared" si="0"/>
        <v>0</v>
      </c>
      <c r="BD46" s="318">
        <f t="shared" si="0"/>
        <v>0</v>
      </c>
      <c r="BE46" s="318">
        <f t="shared" si="0"/>
        <v>0</v>
      </c>
      <c r="BF46" s="318">
        <f t="shared" si="0"/>
        <v>0</v>
      </c>
      <c r="BG46" s="315"/>
      <c r="BI46" s="286"/>
      <c r="BJ46" s="286" t="str">
        <f t="shared" si="1"/>
        <v/>
      </c>
      <c r="BK46" s="286"/>
      <c r="BL46" s="286"/>
      <c r="BM46" s="286"/>
      <c r="BN46" s="286"/>
      <c r="BO46" s="286"/>
      <c r="BP46" s="286"/>
      <c r="BQ46" s="286"/>
      <c r="BR46" s="286"/>
      <c r="BS46" s="286">
        <v>1</v>
      </c>
      <c r="BT46" s="286"/>
      <c r="BU46" s="286"/>
      <c r="BV46" s="286"/>
    </row>
    <row r="47" spans="1:74" s="150" customFormat="1">
      <c r="A47" s="280"/>
      <c r="B47" s="315" t="s">
        <v>11</v>
      </c>
      <c r="C47" s="315"/>
      <c r="D47" s="315"/>
      <c r="E47" s="315"/>
      <c r="F47" s="315" t="s">
        <v>477</v>
      </c>
      <c r="G47" s="315"/>
      <c r="H47" s="315"/>
      <c r="I47" s="315"/>
      <c r="J47" s="315"/>
      <c r="K47" s="315"/>
      <c r="L47" s="317" t="str">
        <f>IFERROR(IF(_xlfn.XLOOKUP(D47,tbl_tech[TECHNOLOGY - Other],tbl_tech[NCAP_COST])=0,"",_xlfn.XLOOKUP(D47,tbl_tech[TECHNOLOGY - Other],tbl_tech[NCAP_COST])),"")</f>
        <v/>
      </c>
      <c r="M47" s="317" t="str">
        <f>IFERROR(IF(_xlfn.XLOOKUP(D47,tbl_tech[TECHNOLOGY - Other],tbl_tech[NCAP_FOM])=0,"",_xlfn.XLOOKUP(D47,tbl_tech[TECHNOLOGY - Other],tbl_tech[NCAP_FOM])),"")</f>
        <v/>
      </c>
      <c r="N47" s="315"/>
      <c r="O47" s="315"/>
      <c r="P47" s="315"/>
      <c r="Q47" s="315"/>
      <c r="R47" s="315"/>
      <c r="S47" s="315"/>
      <c r="T47" s="315"/>
      <c r="U47" s="315"/>
      <c r="V47" s="315"/>
      <c r="W47" s="315"/>
      <c r="X47" s="315"/>
      <c r="Y47" s="315"/>
      <c r="Z47" s="315"/>
      <c r="AA47" s="315"/>
      <c r="AB47" s="315"/>
      <c r="AC47" s="315"/>
      <c r="AD47" s="315"/>
      <c r="AE47" s="315"/>
      <c r="AF47" s="315"/>
      <c r="AG47" s="315"/>
      <c r="AH47" s="315"/>
      <c r="AI47" s="315"/>
      <c r="AJ47" s="315"/>
      <c r="AK47" s="315"/>
      <c r="AL47" s="315"/>
      <c r="AM47" s="315"/>
      <c r="AN47" s="315"/>
      <c r="AO47" s="315"/>
      <c r="AP47" s="315"/>
      <c r="AQ47" s="315"/>
      <c r="AR47" s="318">
        <v>0</v>
      </c>
      <c r="AS47" s="318">
        <v>0</v>
      </c>
      <c r="AT47" s="318">
        <v>0</v>
      </c>
      <c r="AU47" s="318">
        <v>0</v>
      </c>
      <c r="AV47" s="318">
        <v>0</v>
      </c>
      <c r="AW47" s="318">
        <v>0</v>
      </c>
      <c r="AX47" s="318">
        <v>0</v>
      </c>
      <c r="AY47" s="318">
        <v>0</v>
      </c>
      <c r="AZ47" s="318">
        <v>0</v>
      </c>
      <c r="BA47" s="318">
        <v>0</v>
      </c>
      <c r="BB47" s="318">
        <f t="shared" si="0"/>
        <v>0</v>
      </c>
      <c r="BC47" s="318">
        <f t="shared" si="0"/>
        <v>0</v>
      </c>
      <c r="BD47" s="318">
        <f t="shared" si="0"/>
        <v>0</v>
      </c>
      <c r="BE47" s="318">
        <f t="shared" si="0"/>
        <v>0</v>
      </c>
      <c r="BF47" s="318">
        <f t="shared" si="0"/>
        <v>0</v>
      </c>
      <c r="BG47" s="315"/>
      <c r="BI47" s="286"/>
      <c r="BJ47" s="286" t="str">
        <f t="shared" si="1"/>
        <v/>
      </c>
      <c r="BK47" s="286"/>
      <c r="BL47" s="286"/>
      <c r="BM47" s="286"/>
      <c r="BN47" s="286"/>
      <c r="BO47" s="286"/>
      <c r="BP47" s="286"/>
      <c r="BQ47" s="286"/>
      <c r="BR47" s="286"/>
      <c r="BS47" s="286"/>
      <c r="BT47" s="286"/>
      <c r="BU47" s="286"/>
      <c r="BV47" s="286"/>
    </row>
    <row r="48" spans="1:74" s="150" customFormat="1">
      <c r="A48" s="280"/>
      <c r="B48" s="315" t="s">
        <v>11</v>
      </c>
      <c r="C48" s="315"/>
      <c r="D48" s="315"/>
      <c r="E48" s="315"/>
      <c r="F48" s="315" t="s">
        <v>419</v>
      </c>
      <c r="G48" s="315"/>
      <c r="H48" s="315"/>
      <c r="I48" s="315"/>
      <c r="J48" s="315"/>
      <c r="K48" s="315"/>
      <c r="L48" s="317" t="str">
        <f>IFERROR(IF(_xlfn.XLOOKUP(D48,tbl_tech[TECHNOLOGY - Other],tbl_tech[NCAP_COST])=0,"",_xlfn.XLOOKUP(D48,tbl_tech[TECHNOLOGY - Other],tbl_tech[NCAP_COST])),"")</f>
        <v/>
      </c>
      <c r="M48" s="317" t="str">
        <f>IFERROR(IF(_xlfn.XLOOKUP(D48,tbl_tech[TECHNOLOGY - Other],tbl_tech[NCAP_FOM])=0,"",_xlfn.XLOOKUP(D48,tbl_tech[TECHNOLOGY - Other],tbl_tech[NCAP_FOM])),"")</f>
        <v/>
      </c>
      <c r="N48" s="315"/>
      <c r="O48" s="315"/>
      <c r="P48" s="315"/>
      <c r="Q48" s="315"/>
      <c r="R48" s="315"/>
      <c r="S48" s="315"/>
      <c r="T48" s="315"/>
      <c r="U48" s="315"/>
      <c r="V48" s="315"/>
      <c r="W48" s="315"/>
      <c r="X48" s="315"/>
      <c r="Y48" s="315"/>
      <c r="Z48" s="315"/>
      <c r="AA48" s="315"/>
      <c r="AB48" s="315"/>
      <c r="AC48" s="315"/>
      <c r="AD48" s="315"/>
      <c r="AE48" s="315"/>
      <c r="AF48" s="315"/>
      <c r="AG48" s="315"/>
      <c r="AH48" s="315"/>
      <c r="AI48" s="315"/>
      <c r="AJ48" s="315"/>
      <c r="AK48" s="315"/>
      <c r="AL48" s="315"/>
      <c r="AM48" s="315"/>
      <c r="AN48" s="315"/>
      <c r="AO48" s="315"/>
      <c r="AP48" s="315"/>
      <c r="AQ48" s="315"/>
      <c r="AR48" s="318">
        <v>0</v>
      </c>
      <c r="AS48" s="318">
        <v>0</v>
      </c>
      <c r="AT48" s="318">
        <v>0</v>
      </c>
      <c r="AU48" s="318">
        <v>0</v>
      </c>
      <c r="AV48" s="318">
        <v>0</v>
      </c>
      <c r="AW48" s="318">
        <v>0</v>
      </c>
      <c r="AX48" s="318">
        <v>0</v>
      </c>
      <c r="AY48" s="318">
        <v>0</v>
      </c>
      <c r="AZ48" s="318">
        <v>0</v>
      </c>
      <c r="BA48" s="318">
        <v>0</v>
      </c>
      <c r="BB48" s="318">
        <f t="shared" si="0"/>
        <v>0</v>
      </c>
      <c r="BC48" s="318">
        <f t="shared" si="0"/>
        <v>0</v>
      </c>
      <c r="BD48" s="318">
        <f t="shared" si="0"/>
        <v>0</v>
      </c>
      <c r="BE48" s="318">
        <f t="shared" si="0"/>
        <v>0</v>
      </c>
      <c r="BF48" s="318">
        <f t="shared" si="0"/>
        <v>0</v>
      </c>
      <c r="BG48" s="315"/>
      <c r="BI48" s="286"/>
      <c r="BJ48" s="286" t="str">
        <f t="shared" si="1"/>
        <v/>
      </c>
      <c r="BK48" s="286"/>
      <c r="BL48" s="286"/>
      <c r="BM48" s="286"/>
      <c r="BN48" s="286"/>
      <c r="BO48" s="286"/>
      <c r="BP48" s="286"/>
      <c r="BQ48" s="286"/>
      <c r="BR48" s="286"/>
      <c r="BS48" s="286"/>
      <c r="BT48" s="286"/>
      <c r="BU48" s="286"/>
      <c r="BV48" s="286"/>
    </row>
    <row r="49" spans="1:74" s="150" customFormat="1">
      <c r="A49" s="280"/>
      <c r="B49" s="315" t="s">
        <v>11</v>
      </c>
      <c r="C49" s="315"/>
      <c r="D49" s="315"/>
      <c r="E49" s="315"/>
      <c r="F49" s="315" t="s">
        <v>422</v>
      </c>
      <c r="G49" s="315"/>
      <c r="H49" s="315"/>
      <c r="I49" s="315"/>
      <c r="J49" s="315"/>
      <c r="K49" s="315"/>
      <c r="L49" s="317" t="str">
        <f>IFERROR(IF(_xlfn.XLOOKUP(D49,tbl_tech[TECHNOLOGY - Other],tbl_tech[NCAP_COST])=0,"",_xlfn.XLOOKUP(D49,tbl_tech[TECHNOLOGY - Other],tbl_tech[NCAP_COST])),"")</f>
        <v/>
      </c>
      <c r="M49" s="317" t="str">
        <f>IFERROR(IF(_xlfn.XLOOKUP(D49,tbl_tech[TECHNOLOGY - Other],tbl_tech[NCAP_FOM])=0,"",_xlfn.XLOOKUP(D49,tbl_tech[TECHNOLOGY - Other],tbl_tech[NCAP_FOM])),"")</f>
        <v/>
      </c>
      <c r="N49" s="315"/>
      <c r="O49" s="315"/>
      <c r="P49" s="315"/>
      <c r="Q49" s="315"/>
      <c r="R49" s="315"/>
      <c r="S49" s="315"/>
      <c r="T49" s="315"/>
      <c r="U49" s="315"/>
      <c r="V49" s="315"/>
      <c r="W49" s="315"/>
      <c r="X49" s="315"/>
      <c r="Y49" s="315"/>
      <c r="Z49" s="315"/>
      <c r="AA49" s="315"/>
      <c r="AB49" s="315"/>
      <c r="AC49" s="315"/>
      <c r="AD49" s="315"/>
      <c r="AE49" s="315"/>
      <c r="AF49" s="315"/>
      <c r="AG49" s="315"/>
      <c r="AH49" s="315"/>
      <c r="AI49" s="315"/>
      <c r="AJ49" s="315"/>
      <c r="AK49" s="315"/>
      <c r="AL49" s="315"/>
      <c r="AM49" s="315"/>
      <c r="AN49" s="315"/>
      <c r="AO49" s="315"/>
      <c r="AP49" s="315"/>
      <c r="AQ49" s="315"/>
      <c r="AR49" s="318">
        <v>0</v>
      </c>
      <c r="AS49" s="318">
        <v>0</v>
      </c>
      <c r="AT49" s="318">
        <v>0</v>
      </c>
      <c r="AU49" s="318">
        <v>0</v>
      </c>
      <c r="AV49" s="318">
        <v>0</v>
      </c>
      <c r="AW49" s="318">
        <v>0</v>
      </c>
      <c r="AX49" s="318">
        <v>0</v>
      </c>
      <c r="AY49" s="318">
        <v>0</v>
      </c>
      <c r="AZ49" s="318">
        <v>0</v>
      </c>
      <c r="BA49" s="318">
        <v>0</v>
      </c>
      <c r="BB49" s="318">
        <f t="shared" si="0"/>
        <v>0</v>
      </c>
      <c r="BC49" s="318">
        <f t="shared" si="0"/>
        <v>0</v>
      </c>
      <c r="BD49" s="318">
        <f t="shared" si="0"/>
        <v>0</v>
      </c>
      <c r="BE49" s="318">
        <f t="shared" si="0"/>
        <v>0</v>
      </c>
      <c r="BF49" s="318">
        <f t="shared" si="0"/>
        <v>0</v>
      </c>
      <c r="BG49" s="315"/>
      <c r="BI49" s="286"/>
      <c r="BJ49" s="286" t="str">
        <f t="shared" si="1"/>
        <v/>
      </c>
      <c r="BK49" s="286"/>
      <c r="BL49" s="286"/>
      <c r="BM49" s="286"/>
      <c r="BN49" s="286"/>
      <c r="BO49" s="286"/>
      <c r="BP49" s="286"/>
      <c r="BQ49" s="286"/>
      <c r="BR49" s="286"/>
      <c r="BS49" s="286"/>
      <c r="BT49" s="286"/>
      <c r="BU49" s="286"/>
      <c r="BV49" s="286"/>
    </row>
    <row r="50" spans="1:74" s="150" customFormat="1">
      <c r="A50" s="280"/>
      <c r="B50" s="315" t="s">
        <v>11</v>
      </c>
      <c r="C50" s="315"/>
      <c r="D50" s="315"/>
      <c r="E50" s="315"/>
      <c r="F50" s="315" t="s">
        <v>436</v>
      </c>
      <c r="G50" s="315"/>
      <c r="H50" s="315"/>
      <c r="I50" s="315"/>
      <c r="J50" s="315"/>
      <c r="K50" s="315"/>
      <c r="L50" s="317" t="str">
        <f>IFERROR(IF(_xlfn.XLOOKUP(D50,tbl_tech[TECHNOLOGY - Other],tbl_tech[NCAP_COST])=0,"",_xlfn.XLOOKUP(D50,tbl_tech[TECHNOLOGY - Other],tbl_tech[NCAP_COST])),"")</f>
        <v/>
      </c>
      <c r="M50" s="317" t="str">
        <f>IFERROR(IF(_xlfn.XLOOKUP(D50,tbl_tech[TECHNOLOGY - Other],tbl_tech[NCAP_FOM])=0,"",_xlfn.XLOOKUP(D50,tbl_tech[TECHNOLOGY - Other],tbl_tech[NCAP_FOM])),"")</f>
        <v/>
      </c>
      <c r="N50" s="315"/>
      <c r="O50" s="315"/>
      <c r="P50" s="315"/>
      <c r="Q50" s="315"/>
      <c r="R50" s="315"/>
      <c r="S50" s="315"/>
      <c r="T50" s="315"/>
      <c r="U50" s="315"/>
      <c r="V50" s="315"/>
      <c r="W50" s="315"/>
      <c r="X50" s="315"/>
      <c r="Y50" s="315"/>
      <c r="Z50" s="315"/>
      <c r="AA50" s="315"/>
      <c r="AB50" s="315"/>
      <c r="AC50" s="315"/>
      <c r="AD50" s="315"/>
      <c r="AE50" s="315"/>
      <c r="AF50" s="315"/>
      <c r="AG50" s="315"/>
      <c r="AH50" s="315"/>
      <c r="AI50" s="315"/>
      <c r="AJ50" s="315"/>
      <c r="AK50" s="315"/>
      <c r="AL50" s="315"/>
      <c r="AM50" s="315"/>
      <c r="AN50" s="315"/>
      <c r="AO50" s="315"/>
      <c r="AP50" s="315"/>
      <c r="AQ50" s="315"/>
      <c r="AR50" s="318">
        <v>0</v>
      </c>
      <c r="AS50" s="318">
        <v>0</v>
      </c>
      <c r="AT50" s="318">
        <v>0</v>
      </c>
      <c r="AU50" s="318">
        <v>0</v>
      </c>
      <c r="AV50" s="318">
        <v>0</v>
      </c>
      <c r="AW50" s="318">
        <v>0</v>
      </c>
      <c r="AX50" s="318">
        <v>0</v>
      </c>
      <c r="AY50" s="318">
        <v>0</v>
      </c>
      <c r="AZ50" s="318">
        <v>0</v>
      </c>
      <c r="BA50" s="318">
        <v>0</v>
      </c>
      <c r="BB50" s="318">
        <f t="shared" si="0"/>
        <v>0</v>
      </c>
      <c r="BC50" s="318">
        <f t="shared" si="0"/>
        <v>0</v>
      </c>
      <c r="BD50" s="318">
        <f t="shared" si="0"/>
        <v>0</v>
      </c>
      <c r="BE50" s="318">
        <f t="shared" si="0"/>
        <v>0</v>
      </c>
      <c r="BF50" s="318">
        <f t="shared" si="0"/>
        <v>0</v>
      </c>
      <c r="BG50" s="315"/>
      <c r="BI50" s="286"/>
      <c r="BJ50" s="286" t="str">
        <f t="shared" si="1"/>
        <v/>
      </c>
      <c r="BK50" s="286"/>
      <c r="BL50" s="286"/>
      <c r="BM50" s="286"/>
      <c r="BN50" s="286"/>
      <c r="BO50" s="286"/>
      <c r="BP50" s="286"/>
      <c r="BQ50" s="286"/>
      <c r="BR50" s="286"/>
      <c r="BS50" s="286"/>
      <c r="BT50" s="286"/>
      <c r="BU50" s="286"/>
      <c r="BV50" s="286"/>
    </row>
    <row r="51" spans="1:74" s="150" customFormat="1">
      <c r="A51" s="280"/>
      <c r="B51" s="315" t="s">
        <v>11</v>
      </c>
      <c r="C51" s="315"/>
      <c r="D51" s="315"/>
      <c r="E51" s="315"/>
      <c r="F51" s="315" t="s">
        <v>447</v>
      </c>
      <c r="G51" s="315"/>
      <c r="H51" s="315"/>
      <c r="I51" s="315"/>
      <c r="J51" s="315"/>
      <c r="K51" s="315"/>
      <c r="L51" s="317" t="str">
        <f>IFERROR(IF(_xlfn.XLOOKUP(D51,tbl_tech[TECHNOLOGY - Other],tbl_tech[NCAP_COST])=0,"",_xlfn.XLOOKUP(D51,tbl_tech[TECHNOLOGY - Other],tbl_tech[NCAP_COST])),"")</f>
        <v/>
      </c>
      <c r="M51" s="317" t="str">
        <f>IFERROR(IF(_xlfn.XLOOKUP(D51,tbl_tech[TECHNOLOGY - Other],tbl_tech[NCAP_FOM])=0,"",_xlfn.XLOOKUP(D51,tbl_tech[TECHNOLOGY - Other],tbl_tech[NCAP_FOM])),"")</f>
        <v/>
      </c>
      <c r="N51" s="315"/>
      <c r="O51" s="315"/>
      <c r="P51" s="315"/>
      <c r="Q51" s="315"/>
      <c r="R51" s="315"/>
      <c r="S51" s="315"/>
      <c r="T51" s="315"/>
      <c r="U51" s="315"/>
      <c r="V51" s="315"/>
      <c r="W51" s="315"/>
      <c r="X51" s="315"/>
      <c r="Y51" s="315"/>
      <c r="Z51" s="315"/>
      <c r="AA51" s="315"/>
      <c r="AB51" s="315"/>
      <c r="AC51" s="315"/>
      <c r="AD51" s="315"/>
      <c r="AE51" s="315"/>
      <c r="AF51" s="315"/>
      <c r="AG51" s="315"/>
      <c r="AH51" s="315"/>
      <c r="AI51" s="315"/>
      <c r="AJ51" s="315"/>
      <c r="AK51" s="315"/>
      <c r="AL51" s="315"/>
      <c r="AM51" s="315"/>
      <c r="AN51" s="315"/>
      <c r="AO51" s="315"/>
      <c r="AP51" s="315"/>
      <c r="AQ51" s="315"/>
      <c r="AR51" s="318">
        <f>1-AR50</f>
        <v>1</v>
      </c>
      <c r="AS51" s="318">
        <f t="shared" ref="AS51:BA51" si="7">1-AS50</f>
        <v>1</v>
      </c>
      <c r="AT51" s="318">
        <f t="shared" si="7"/>
        <v>1</v>
      </c>
      <c r="AU51" s="318">
        <f t="shared" si="7"/>
        <v>1</v>
      </c>
      <c r="AV51" s="318">
        <f t="shared" si="7"/>
        <v>1</v>
      </c>
      <c r="AW51" s="318">
        <f t="shared" si="7"/>
        <v>1</v>
      </c>
      <c r="AX51" s="318">
        <f t="shared" si="7"/>
        <v>1</v>
      </c>
      <c r="AY51" s="318">
        <f t="shared" si="7"/>
        <v>1</v>
      </c>
      <c r="AZ51" s="318">
        <f t="shared" si="7"/>
        <v>1</v>
      </c>
      <c r="BA51" s="318">
        <f t="shared" si="7"/>
        <v>1</v>
      </c>
      <c r="BB51" s="318">
        <f t="shared" si="0"/>
        <v>1</v>
      </c>
      <c r="BC51" s="318">
        <f t="shared" si="0"/>
        <v>1</v>
      </c>
      <c r="BD51" s="318">
        <f t="shared" si="0"/>
        <v>1</v>
      </c>
      <c r="BE51" s="318">
        <f t="shared" si="0"/>
        <v>1</v>
      </c>
      <c r="BF51" s="318">
        <f t="shared" si="0"/>
        <v>1</v>
      </c>
      <c r="BG51" s="315"/>
      <c r="BI51" s="286"/>
      <c r="BJ51" s="286" t="str">
        <f t="shared" si="1"/>
        <v/>
      </c>
      <c r="BK51" s="286"/>
      <c r="BL51" s="286"/>
      <c r="BM51" s="286"/>
      <c r="BN51" s="286"/>
      <c r="BO51" s="286"/>
      <c r="BP51" s="286"/>
      <c r="BQ51" s="286"/>
      <c r="BR51" s="286"/>
      <c r="BS51" s="286"/>
      <c r="BT51" s="286"/>
      <c r="BU51" s="286"/>
      <c r="BV51" s="286"/>
    </row>
    <row r="52" spans="1:74" s="150" customFormat="1">
      <c r="A52" s="280"/>
      <c r="B52" s="315" t="s">
        <v>11</v>
      </c>
      <c r="C52" s="315"/>
      <c r="D52" s="315"/>
      <c r="E52" s="315"/>
      <c r="F52" s="315" t="s">
        <v>460</v>
      </c>
      <c r="G52" s="315"/>
      <c r="H52" s="315"/>
      <c r="I52" s="315"/>
      <c r="J52" s="315"/>
      <c r="K52" s="315"/>
      <c r="L52" s="317" t="str">
        <f>IFERROR(IF(_xlfn.XLOOKUP(D52,tbl_tech[TECHNOLOGY - Other],tbl_tech[NCAP_COST])=0,"",_xlfn.XLOOKUP(D52,tbl_tech[TECHNOLOGY - Other],tbl_tech[NCAP_COST])),"")</f>
        <v/>
      </c>
      <c r="M52" s="317" t="str">
        <f>IFERROR(IF(_xlfn.XLOOKUP(D52,tbl_tech[TECHNOLOGY - Other],tbl_tech[NCAP_FOM])=0,"",_xlfn.XLOOKUP(D52,tbl_tech[TECHNOLOGY - Other],tbl_tech[NCAP_FOM])),"")</f>
        <v/>
      </c>
      <c r="N52" s="315"/>
      <c r="O52" s="315"/>
      <c r="P52" s="315"/>
      <c r="Q52" s="315"/>
      <c r="R52" s="315"/>
      <c r="S52" s="315"/>
      <c r="T52" s="315"/>
      <c r="U52" s="315"/>
      <c r="V52" s="315"/>
      <c r="W52" s="315"/>
      <c r="X52" s="315"/>
      <c r="Y52" s="315"/>
      <c r="Z52" s="315"/>
      <c r="AA52" s="315"/>
      <c r="AB52" s="315"/>
      <c r="AC52" s="315"/>
      <c r="AD52" s="315"/>
      <c r="AE52" s="315"/>
      <c r="AF52" s="315"/>
      <c r="AG52" s="315"/>
      <c r="AH52" s="315"/>
      <c r="AI52" s="315"/>
      <c r="AJ52" s="315"/>
      <c r="AK52" s="315"/>
      <c r="AL52" s="315"/>
      <c r="AM52" s="315"/>
      <c r="AN52" s="315"/>
      <c r="AO52" s="315"/>
      <c r="AP52" s="315"/>
      <c r="AQ52" s="315"/>
      <c r="AR52" s="318">
        <v>0</v>
      </c>
      <c r="AS52" s="318">
        <v>0</v>
      </c>
      <c r="AT52" s="318">
        <v>0</v>
      </c>
      <c r="AU52" s="318">
        <v>0</v>
      </c>
      <c r="AV52" s="318">
        <v>0</v>
      </c>
      <c r="AW52" s="318">
        <v>0</v>
      </c>
      <c r="AX52" s="318">
        <v>0</v>
      </c>
      <c r="AY52" s="318">
        <v>0</v>
      </c>
      <c r="AZ52" s="318">
        <v>0</v>
      </c>
      <c r="BA52" s="318">
        <v>0</v>
      </c>
      <c r="BB52" s="318">
        <f t="shared" si="0"/>
        <v>0</v>
      </c>
      <c r="BC52" s="318">
        <f t="shared" si="0"/>
        <v>0</v>
      </c>
      <c r="BD52" s="318">
        <f t="shared" si="0"/>
        <v>0</v>
      </c>
      <c r="BE52" s="318">
        <f t="shared" si="0"/>
        <v>0</v>
      </c>
      <c r="BF52" s="318">
        <f t="shared" si="0"/>
        <v>0</v>
      </c>
      <c r="BG52" s="315"/>
      <c r="BI52" s="286"/>
      <c r="BJ52" s="286" t="str">
        <f t="shared" si="1"/>
        <v/>
      </c>
      <c r="BK52" s="286"/>
      <c r="BL52" s="286"/>
      <c r="BM52" s="286"/>
      <c r="BN52" s="286"/>
      <c r="BO52" s="286"/>
      <c r="BP52" s="286"/>
      <c r="BQ52" s="286"/>
      <c r="BR52" s="286"/>
      <c r="BS52" s="286"/>
      <c r="BT52" s="286"/>
      <c r="BU52" s="286"/>
      <c r="BV52" s="286"/>
    </row>
    <row r="53" spans="1:74" s="150" customFormat="1" ht="13.9" thickBot="1">
      <c r="A53" s="280"/>
      <c r="B53" s="320" t="s">
        <v>11</v>
      </c>
      <c r="C53" s="320"/>
      <c r="D53" s="320"/>
      <c r="E53" s="320"/>
      <c r="F53" s="320"/>
      <c r="G53" s="320" t="s">
        <v>295</v>
      </c>
      <c r="H53" s="320"/>
      <c r="I53" s="320"/>
      <c r="J53" s="320"/>
      <c r="K53" s="320"/>
      <c r="L53" s="321" t="str">
        <f>IFERROR(IF(_xlfn.XLOOKUP(D53,tbl_tech[TECHNOLOGY - Other],tbl_tech[NCAP_COST])=0,"",_xlfn.XLOOKUP(D53,tbl_tech[TECHNOLOGY - Other],tbl_tech[NCAP_COST])),"")</f>
        <v/>
      </c>
      <c r="M53" s="321" t="str">
        <f>IFERROR(IF(_xlfn.XLOOKUP(D53,tbl_tech[TECHNOLOGY - Other],tbl_tech[NCAP_FOM])=0,"",_xlfn.XLOOKUP(D53,tbl_tech[TECHNOLOGY - Other],tbl_tech[NCAP_FOM])),"")</f>
        <v/>
      </c>
      <c r="N53" s="321"/>
      <c r="O53" s="321"/>
      <c r="P53" s="321"/>
      <c r="Q53" s="321"/>
      <c r="R53" s="321"/>
      <c r="S53" s="321"/>
      <c r="T53" s="321"/>
      <c r="U53" s="321"/>
      <c r="V53" s="322"/>
      <c r="W53" s="322"/>
      <c r="X53" s="322"/>
      <c r="Y53" s="322"/>
      <c r="Z53" s="320"/>
      <c r="AA53" s="322"/>
      <c r="AB53" s="322"/>
      <c r="AC53" s="322"/>
      <c r="AD53" s="322"/>
      <c r="AE53" s="320"/>
      <c r="AF53" s="322"/>
      <c r="AG53" s="320"/>
      <c r="AH53" s="320"/>
      <c r="AI53" s="320"/>
      <c r="AJ53" s="320"/>
      <c r="AK53" s="320"/>
      <c r="AL53" s="320"/>
      <c r="AM53" s="320"/>
      <c r="AN53" s="320"/>
      <c r="AO53" s="320"/>
      <c r="AP53" s="320"/>
      <c r="AQ53" s="320"/>
      <c r="AR53" s="323"/>
      <c r="AS53" s="323"/>
      <c r="AT53" s="323"/>
      <c r="AU53" s="323"/>
      <c r="AV53" s="323"/>
      <c r="AW53" s="323"/>
      <c r="AX53" s="323"/>
      <c r="AY53" s="323"/>
      <c r="AZ53" s="323"/>
      <c r="BA53" s="323"/>
      <c r="BB53" s="323" t="str">
        <f t="shared" si="0"/>
        <v/>
      </c>
      <c r="BC53" s="323" t="str">
        <f t="shared" si="0"/>
        <v/>
      </c>
      <c r="BD53" s="323" t="str">
        <f t="shared" si="0"/>
        <v/>
      </c>
      <c r="BE53" s="323" t="str">
        <f t="shared" si="0"/>
        <v/>
      </c>
      <c r="BF53" s="323" t="str">
        <f t="shared" si="0"/>
        <v/>
      </c>
      <c r="BG53" s="320"/>
      <c r="BI53" s="291"/>
      <c r="BJ53" s="291" t="str">
        <f t="shared" si="1"/>
        <v/>
      </c>
      <c r="BK53" s="291"/>
      <c r="BL53" s="291"/>
      <c r="BM53" s="291"/>
      <c r="BN53" s="291"/>
      <c r="BO53" s="291"/>
      <c r="BP53" s="291"/>
      <c r="BQ53" s="291"/>
      <c r="BR53" s="291"/>
      <c r="BS53" s="291"/>
      <c r="BT53" s="292"/>
      <c r="BU53" s="293"/>
      <c r="BV53" s="293"/>
    </row>
  </sheetData>
  <dataValidations count="10">
    <dataValidation allowBlank="1" showInputMessage="1" showErrorMessage="1" promptTitle="fixed o&amp;m cost" sqref="M9" xr:uid="{EF3D82D1-A8B8-49B3-B71A-EFD9B46D7C79}"/>
    <dataValidation allowBlank="1" showInputMessage="1" showErrorMessage="1" promptTitle="investment cost" sqref="L9" xr:uid="{EFDA049A-8774-4DD3-BC16-2B75FEAA48F0}"/>
    <dataValidation allowBlank="1" showInputMessage="1" showErrorMessage="1" prompt="efficiency" sqref="K4" xr:uid="{D419E7FD-6D84-45D6-A160-19D2ADC09A46}"/>
    <dataValidation allowBlank="1" showInputMessage="1" showErrorMessage="1" prompt="technical lifetime_x000a__x000a_by default, technical lifetime is also used as the economic lifetime, unless ELIFE is defined" sqref="I9" xr:uid="{70B9A70F-10CC-40FA-A9A3-66E076AB1C6A}"/>
    <dataValidation allowBlank="1" showInputMessage="1" showErrorMessage="1" prompt="Region names" sqref="B4 B9" xr:uid="{29A9F520-6C5A-4733-83B7-50AFDC2D8FED}"/>
    <dataValidation allowBlank="1" showInputMessage="1" showErrorMessage="1" prompt="Commodity Outputs" sqref="G4 G9" xr:uid="{214ACB54-11FF-4E55-AE2D-65A7FD6FB59C}"/>
    <dataValidation allowBlank="1" showInputMessage="1" showErrorMessage="1" prompt="Commodity Inputs" sqref="F4 F9" xr:uid="{F8CFEDE7-E3EF-4FCF-AEC7-E65AD6A189B1}"/>
    <dataValidation allowBlank="1" showInputMessage="1" showErrorMessage="1" prompt="Process Descriptions" sqref="D4 D9" xr:uid="{98CE7629-5407-4A57-A7D3-7DB722686FD0}"/>
    <dataValidation allowBlank="1" showInputMessage="1" showErrorMessage="1" prompt="Process Names" sqref="C4 C9" xr:uid="{2D4EC388-C32F-497C-9302-C83D844E69F6}"/>
    <dataValidation allowBlank="1" showInputMessage="1" showErrorMessage="1" promptTitle="Size of tables is flexible" prompt="~FI_T tables are built using the row column headers before &amp; below the ~ tag to identify the TechName, TechDesc, Comm-IN, Comm-OUT, and the relevant years of data (Year). Then data column headers are used to provide the data describing the processes." sqref="G3 G8" xr:uid="{5DAA62BC-9CA1-4B59-BF7B-9AEDB14C200A}"/>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640E0-F127-4F56-9CB4-4B8141DA35FA}">
  <dimension ref="B3:AY20"/>
  <sheetViews>
    <sheetView workbookViewId="0"/>
  </sheetViews>
  <sheetFormatPr defaultColWidth="9" defaultRowHeight="13.15"/>
  <cols>
    <col min="1" max="1" width="3.625" style="280" customWidth="1"/>
    <col min="2" max="2" width="13" style="280" bestFit="1" customWidth="1"/>
    <col min="3" max="3" width="11" style="280" bestFit="1" customWidth="1"/>
    <col min="4" max="4" width="34.375" style="280" bestFit="1" customWidth="1"/>
    <col min="5" max="5" width="7" style="280" bestFit="1" customWidth="1"/>
    <col min="6" max="6" width="7.75" style="280" bestFit="1" customWidth="1"/>
    <col min="7" max="7" width="9.375" style="280" bestFit="1" customWidth="1"/>
    <col min="8" max="8" width="11.625" style="280" bestFit="1" customWidth="1"/>
    <col min="9" max="9" width="10.75" style="280" bestFit="1" customWidth="1"/>
    <col min="10" max="10" width="8.875" style="280" bestFit="1" customWidth="1"/>
    <col min="11" max="11" width="3.875" style="280" bestFit="1" customWidth="1"/>
    <col min="12" max="12" width="8.375" style="280" bestFit="1" customWidth="1"/>
    <col min="13" max="13" width="9.5" style="280" bestFit="1" customWidth="1"/>
    <col min="14" max="14" width="5.375" style="280" bestFit="1" customWidth="1"/>
    <col min="15" max="16" width="9" style="280"/>
    <col min="17" max="17" width="4.875" style="280" customWidth="1"/>
    <col min="18" max="19" width="6.5" style="280" customWidth="1"/>
    <col min="20" max="20" width="4.875" style="280" customWidth="1"/>
    <col min="21" max="21" width="6.5" style="280" customWidth="1"/>
    <col min="22" max="16384" width="9" style="280"/>
  </cols>
  <sheetData>
    <row r="3" spans="2:51" s="294" customFormat="1" ht="17.25" customHeight="1">
      <c r="B3" s="150"/>
      <c r="C3" s="150"/>
      <c r="D3" s="151"/>
      <c r="E3" s="150"/>
      <c r="F3" s="150"/>
      <c r="G3" s="2" t="s">
        <v>232</v>
      </c>
      <c r="H3" s="295"/>
      <c r="I3" s="295"/>
      <c r="J3" s="295"/>
      <c r="K3" s="295"/>
      <c r="L3" s="295"/>
      <c r="M3" s="295"/>
      <c r="N3" s="295"/>
      <c r="Q3" s="295"/>
      <c r="R3" s="295"/>
      <c r="S3" s="295"/>
      <c r="T3" s="295"/>
      <c r="U3" s="295"/>
    </row>
    <row r="4" spans="2:51" s="294" customFormat="1" ht="15.75" customHeight="1" thickBot="1">
      <c r="B4" s="1274" t="s">
        <v>1</v>
      </c>
      <c r="C4" s="1274" t="s">
        <v>81</v>
      </c>
      <c r="D4" s="1274" t="s">
        <v>82</v>
      </c>
      <c r="E4" s="1274" t="s">
        <v>235</v>
      </c>
      <c r="F4" s="1274" t="s">
        <v>319</v>
      </c>
      <c r="G4" s="1274" t="s">
        <v>320</v>
      </c>
      <c r="H4" s="1275" t="s">
        <v>321</v>
      </c>
      <c r="I4" s="1275" t="s">
        <v>330</v>
      </c>
      <c r="J4" s="1275" t="s">
        <v>478</v>
      </c>
      <c r="K4" s="1275" t="s">
        <v>324</v>
      </c>
      <c r="L4" s="1274" t="s">
        <v>323</v>
      </c>
      <c r="M4" s="1275" t="s">
        <v>479</v>
      </c>
      <c r="N4" s="1275" t="s">
        <v>480</v>
      </c>
      <c r="Q4" s="295"/>
      <c r="R4" s="295"/>
      <c r="S4" s="295"/>
      <c r="T4" s="295"/>
      <c r="U4" s="295"/>
    </row>
    <row r="5" spans="2:51" s="294" customFormat="1">
      <c r="B5" s="324" t="s">
        <v>11</v>
      </c>
      <c r="C5" s="324" t="s">
        <v>303</v>
      </c>
      <c r="D5" s="324" t="s">
        <v>304</v>
      </c>
      <c r="E5" s="324" t="s">
        <v>329</v>
      </c>
      <c r="F5" s="324" t="s">
        <v>28</v>
      </c>
      <c r="G5" s="325" t="s">
        <v>418</v>
      </c>
      <c r="H5" s="326">
        <v>2010</v>
      </c>
      <c r="I5" s="326">
        <v>50</v>
      </c>
      <c r="J5" s="326"/>
      <c r="K5" s="326">
        <v>1</v>
      </c>
      <c r="L5" s="326">
        <v>1</v>
      </c>
      <c r="M5" s="326"/>
      <c r="N5" s="326"/>
      <c r="Q5" s="295"/>
      <c r="R5" s="295"/>
      <c r="S5" s="295"/>
      <c r="T5" s="295"/>
      <c r="U5" s="295"/>
    </row>
    <row r="6" spans="2:51" s="294" customFormat="1">
      <c r="B6" s="324" t="s">
        <v>11</v>
      </c>
      <c r="C6" s="324" t="s">
        <v>90</v>
      </c>
      <c r="D6" s="324" t="s">
        <v>91</v>
      </c>
      <c r="E6" s="324" t="s">
        <v>329</v>
      </c>
      <c r="F6" s="324" t="s">
        <v>33</v>
      </c>
      <c r="G6" s="325" t="s">
        <v>48</v>
      </c>
      <c r="H6" s="326">
        <v>2010</v>
      </c>
      <c r="I6" s="326">
        <v>50</v>
      </c>
      <c r="J6" s="326"/>
      <c r="K6" s="326">
        <v>1</v>
      </c>
      <c r="L6" s="327"/>
      <c r="M6" s="324"/>
      <c r="N6" s="324"/>
      <c r="O6" s="296"/>
      <c r="P6" s="297"/>
      <c r="Q6" s="295"/>
      <c r="R6" s="295"/>
      <c r="S6" s="296"/>
      <c r="T6" s="297"/>
      <c r="U6" s="296"/>
      <c r="V6" s="297"/>
      <c r="W6" s="296"/>
      <c r="X6" s="296"/>
      <c r="Y6" s="296"/>
      <c r="Z6" s="296"/>
      <c r="AB6" s="297"/>
      <c r="AC6" s="297"/>
      <c r="AD6" s="296"/>
      <c r="AE6" s="296"/>
      <c r="AF6" s="296"/>
      <c r="AH6" s="297"/>
      <c r="AI6" s="297"/>
      <c r="AJ6" s="296"/>
      <c r="AK6" s="296"/>
      <c r="AL6" s="296"/>
      <c r="AN6" s="297"/>
      <c r="AO6" s="297"/>
      <c r="AP6" s="298"/>
      <c r="AQ6" s="296"/>
      <c r="AR6" s="296"/>
      <c r="AS6" s="296"/>
      <c r="AV6" s="297"/>
      <c r="AW6" s="298"/>
      <c r="AX6" s="296"/>
      <c r="AY6" s="296"/>
    </row>
    <row r="7" spans="2:51" s="294" customFormat="1">
      <c r="B7" s="324" t="s">
        <v>11</v>
      </c>
      <c r="C7" s="324" t="s">
        <v>305</v>
      </c>
      <c r="D7" s="324" t="s">
        <v>306</v>
      </c>
      <c r="E7" s="324" t="s">
        <v>329</v>
      </c>
      <c r="F7" s="324" t="s">
        <v>481</v>
      </c>
      <c r="G7" s="325" t="s">
        <v>394</v>
      </c>
      <c r="H7" s="326">
        <v>2010</v>
      </c>
      <c r="I7" s="326">
        <v>50</v>
      </c>
      <c r="J7" s="326"/>
      <c r="K7" s="326">
        <v>1</v>
      </c>
      <c r="L7" s="327"/>
      <c r="M7" s="324"/>
      <c r="N7" s="324"/>
      <c r="O7" s="296"/>
      <c r="P7" s="297"/>
      <c r="Q7" s="295"/>
      <c r="R7" s="295"/>
      <c r="S7" s="296"/>
      <c r="T7" s="297"/>
      <c r="U7" s="296"/>
      <c r="V7" s="297"/>
      <c r="W7" s="296"/>
      <c r="X7" s="296"/>
      <c r="Y7" s="296"/>
      <c r="Z7" s="296"/>
      <c r="AB7" s="297"/>
      <c r="AC7" s="297"/>
      <c r="AD7" s="296"/>
      <c r="AE7" s="296"/>
      <c r="AF7" s="296"/>
      <c r="AH7" s="297"/>
      <c r="AI7" s="297"/>
      <c r="AJ7" s="296"/>
      <c r="AK7" s="296"/>
      <c r="AL7" s="296"/>
      <c r="AN7" s="297"/>
      <c r="AO7" s="297"/>
      <c r="AP7" s="298"/>
      <c r="AQ7" s="296"/>
      <c r="AR7" s="296"/>
      <c r="AS7" s="296"/>
      <c r="AV7" s="297"/>
      <c r="AW7" s="298"/>
      <c r="AX7" s="296"/>
      <c r="AY7" s="296"/>
    </row>
    <row r="8" spans="2:51" s="294" customFormat="1">
      <c r="B8" s="324" t="s">
        <v>11</v>
      </c>
      <c r="C8" s="324" t="s">
        <v>93</v>
      </c>
      <c r="D8" s="324" t="s">
        <v>94</v>
      </c>
      <c r="E8" s="324" t="s">
        <v>329</v>
      </c>
      <c r="F8" s="324" t="s">
        <v>35</v>
      </c>
      <c r="G8" s="325" t="s">
        <v>50</v>
      </c>
      <c r="H8" s="326">
        <v>2010</v>
      </c>
      <c r="I8" s="326">
        <v>50</v>
      </c>
      <c r="J8" s="326"/>
      <c r="K8" s="326">
        <v>1</v>
      </c>
      <c r="L8" s="327"/>
      <c r="M8" s="324"/>
      <c r="N8" s="324"/>
      <c r="O8" s="296"/>
      <c r="P8" s="297"/>
      <c r="Q8" s="295"/>
      <c r="R8" s="295"/>
      <c r="S8" s="296"/>
      <c r="T8" s="297"/>
      <c r="U8" s="296"/>
      <c r="V8" s="297"/>
      <c r="W8" s="296"/>
      <c r="X8" s="296"/>
      <c r="Y8" s="296"/>
      <c r="Z8" s="296"/>
      <c r="AB8" s="297"/>
      <c r="AC8" s="297"/>
      <c r="AD8" s="296"/>
      <c r="AE8" s="296"/>
      <c r="AF8" s="296"/>
      <c r="AH8" s="297"/>
      <c r="AI8" s="297"/>
      <c r="AJ8" s="296"/>
      <c r="AK8" s="296"/>
      <c r="AL8" s="296"/>
      <c r="AN8" s="297"/>
      <c r="AO8" s="297"/>
      <c r="AP8" s="298"/>
      <c r="AQ8" s="296"/>
      <c r="AR8" s="296"/>
      <c r="AS8" s="296"/>
      <c r="AV8" s="297"/>
      <c r="AW8" s="298"/>
      <c r="AX8" s="296"/>
      <c r="AY8" s="296"/>
    </row>
    <row r="9" spans="2:51" s="294" customFormat="1">
      <c r="B9" s="324" t="s">
        <v>307</v>
      </c>
      <c r="C9" s="324" t="s">
        <v>308</v>
      </c>
      <c r="D9" s="324" t="s">
        <v>309</v>
      </c>
      <c r="E9" s="324" t="s">
        <v>329</v>
      </c>
      <c r="F9" s="324" t="s">
        <v>482</v>
      </c>
      <c r="G9" s="325" t="s">
        <v>398</v>
      </c>
      <c r="H9" s="326">
        <v>2010</v>
      </c>
      <c r="I9" s="326">
        <v>50</v>
      </c>
      <c r="J9" s="326"/>
      <c r="K9" s="326">
        <v>1</v>
      </c>
      <c r="L9" s="327"/>
      <c r="M9" s="324"/>
      <c r="N9" s="324"/>
      <c r="O9" s="296"/>
      <c r="P9" s="297"/>
      <c r="Q9" s="295"/>
      <c r="R9" s="295"/>
      <c r="S9" s="296"/>
      <c r="T9" s="297"/>
      <c r="U9" s="296"/>
      <c r="V9" s="297"/>
      <c r="W9" s="296"/>
      <c r="X9" s="296"/>
      <c r="Y9" s="296"/>
      <c r="Z9" s="296"/>
      <c r="AB9" s="297"/>
      <c r="AC9" s="297"/>
      <c r="AD9" s="296"/>
      <c r="AE9" s="296"/>
      <c r="AF9" s="296"/>
      <c r="AH9" s="297"/>
      <c r="AI9" s="297"/>
      <c r="AJ9" s="296"/>
      <c r="AK9" s="296"/>
      <c r="AL9" s="296"/>
      <c r="AN9" s="297"/>
      <c r="AO9" s="297"/>
      <c r="AP9" s="298"/>
      <c r="AQ9" s="296"/>
      <c r="AR9" s="296"/>
      <c r="AS9" s="296"/>
      <c r="AV9" s="297"/>
      <c r="AW9" s="298"/>
      <c r="AX9" s="296"/>
      <c r="AY9" s="296"/>
    </row>
    <row r="10" spans="2:51">
      <c r="B10" s="324" t="s">
        <v>307</v>
      </c>
      <c r="C10" s="308" t="s">
        <v>310</v>
      </c>
      <c r="D10" s="308" t="s">
        <v>311</v>
      </c>
      <c r="E10" s="308" t="s">
        <v>329</v>
      </c>
      <c r="F10" s="308" t="s">
        <v>483</v>
      </c>
      <c r="G10" s="308" t="s">
        <v>409</v>
      </c>
      <c r="H10" s="326">
        <v>2010</v>
      </c>
      <c r="I10" s="326">
        <v>50</v>
      </c>
      <c r="J10" s="326"/>
      <c r="K10" s="326">
        <v>1</v>
      </c>
      <c r="L10" s="327"/>
      <c r="M10" s="324"/>
      <c r="N10" s="324"/>
    </row>
    <row r="11" spans="2:51">
      <c r="B11" s="324" t="s">
        <v>307</v>
      </c>
      <c r="C11" s="308" t="s">
        <v>312</v>
      </c>
      <c r="D11" s="308" t="s">
        <v>313</v>
      </c>
      <c r="E11" s="308" t="s">
        <v>329</v>
      </c>
      <c r="F11" s="308" t="s">
        <v>484</v>
      </c>
      <c r="G11" s="308" t="s">
        <v>433</v>
      </c>
      <c r="H11" s="326">
        <v>2010</v>
      </c>
      <c r="I11" s="326">
        <v>50</v>
      </c>
      <c r="J11" s="326"/>
      <c r="K11" s="326">
        <v>1</v>
      </c>
      <c r="L11" s="327"/>
      <c r="M11" s="324"/>
      <c r="N11" s="324"/>
    </row>
    <row r="12" spans="2:51">
      <c r="B12" s="324" t="s">
        <v>307</v>
      </c>
      <c r="C12" s="308" t="s">
        <v>305</v>
      </c>
      <c r="D12" s="308" t="s">
        <v>306</v>
      </c>
      <c r="E12" s="308" t="s">
        <v>329</v>
      </c>
      <c r="F12" s="308" t="s">
        <v>481</v>
      </c>
      <c r="G12" s="308" t="s">
        <v>394</v>
      </c>
      <c r="H12" s="326">
        <v>2010</v>
      </c>
      <c r="I12" s="326">
        <v>50</v>
      </c>
      <c r="J12" s="326"/>
      <c r="K12" s="326">
        <v>1</v>
      </c>
      <c r="L12" s="327"/>
      <c r="M12" s="324"/>
      <c r="N12" s="324"/>
    </row>
    <row r="13" spans="2:51">
      <c r="B13" s="324" t="s">
        <v>307</v>
      </c>
      <c r="C13" s="308" t="s">
        <v>314</v>
      </c>
      <c r="D13" s="308" t="s">
        <v>315</v>
      </c>
      <c r="E13" s="308" t="s">
        <v>329</v>
      </c>
      <c r="F13" s="308" t="s">
        <v>485</v>
      </c>
      <c r="G13" s="308" t="s">
        <v>403</v>
      </c>
      <c r="H13" s="326">
        <v>2010</v>
      </c>
      <c r="I13" s="326">
        <v>50</v>
      </c>
      <c r="J13" s="326"/>
      <c r="K13" s="326">
        <v>1</v>
      </c>
      <c r="L13" s="327"/>
      <c r="M13" s="324"/>
      <c r="N13" s="324"/>
    </row>
    <row r="14" spans="2:51">
      <c r="B14" s="324" t="s">
        <v>307</v>
      </c>
      <c r="C14" s="308" t="s">
        <v>316</v>
      </c>
      <c r="D14" s="308" t="s">
        <v>317</v>
      </c>
      <c r="E14" s="308" t="s">
        <v>329</v>
      </c>
      <c r="F14" s="308" t="s">
        <v>486</v>
      </c>
      <c r="G14" s="308" t="s">
        <v>390</v>
      </c>
      <c r="H14" s="326">
        <v>2010</v>
      </c>
      <c r="I14" s="326">
        <v>50</v>
      </c>
      <c r="J14" s="326"/>
      <c r="K14" s="326">
        <v>1</v>
      </c>
      <c r="L14" s="327"/>
      <c r="M14" s="324"/>
      <c r="N14" s="324"/>
    </row>
    <row r="15" spans="2:51">
      <c r="B15" s="308"/>
      <c r="C15" s="308"/>
      <c r="D15" s="308"/>
      <c r="E15" s="308"/>
      <c r="F15" s="308"/>
      <c r="G15" s="308"/>
      <c r="H15" s="308"/>
      <c r="I15" s="308"/>
      <c r="J15" s="308"/>
      <c r="K15" s="308"/>
      <c r="L15" s="308"/>
      <c r="M15" s="308"/>
      <c r="N15" s="308"/>
    </row>
    <row r="16" spans="2:51" s="294" customFormat="1">
      <c r="B16" s="324" t="s">
        <v>11</v>
      </c>
      <c r="C16" s="324" t="s">
        <v>487</v>
      </c>
      <c r="D16" s="324" t="s">
        <v>488</v>
      </c>
      <c r="E16" s="324" t="s">
        <v>329</v>
      </c>
      <c r="F16" s="324" t="s">
        <v>489</v>
      </c>
      <c r="G16" s="325" t="s">
        <v>447</v>
      </c>
      <c r="H16" s="326"/>
      <c r="I16" s="326"/>
      <c r="J16" s="326"/>
      <c r="K16" s="326">
        <v>1</v>
      </c>
      <c r="L16" s="326"/>
      <c r="M16" s="326">
        <v>9999</v>
      </c>
      <c r="N16" s="326"/>
      <c r="Q16" s="295"/>
      <c r="R16" s="295"/>
      <c r="S16" s="295"/>
      <c r="T16" s="295"/>
      <c r="U16" s="295"/>
    </row>
    <row r="17" spans="2:21" s="294" customFormat="1">
      <c r="B17" s="324" t="s">
        <v>11</v>
      </c>
      <c r="C17" s="324" t="s">
        <v>114</v>
      </c>
      <c r="D17" s="324" t="s">
        <v>490</v>
      </c>
      <c r="E17" s="324" t="s">
        <v>329</v>
      </c>
      <c r="F17" s="324" t="s">
        <v>489</v>
      </c>
      <c r="G17" s="325" t="s">
        <v>295</v>
      </c>
      <c r="H17" s="326"/>
      <c r="I17" s="326"/>
      <c r="J17" s="326"/>
      <c r="K17" s="326">
        <v>1</v>
      </c>
      <c r="L17" s="326"/>
      <c r="M17" s="326">
        <v>9999</v>
      </c>
      <c r="N17" s="326"/>
      <c r="Q17" s="295"/>
      <c r="R17" s="295"/>
      <c r="S17" s="295"/>
      <c r="T17" s="295"/>
      <c r="U17" s="295"/>
    </row>
    <row r="18" spans="2:21" s="294" customFormat="1">
      <c r="B18" s="324" t="s">
        <v>11</v>
      </c>
      <c r="C18" s="324" t="s">
        <v>491</v>
      </c>
      <c r="D18" s="324" t="s">
        <v>492</v>
      </c>
      <c r="E18" s="324" t="s">
        <v>329</v>
      </c>
      <c r="F18" s="324"/>
      <c r="G18" s="325" t="s">
        <v>28</v>
      </c>
      <c r="H18" s="326"/>
      <c r="I18" s="326"/>
      <c r="J18" s="326"/>
      <c r="K18" s="326"/>
      <c r="L18" s="326"/>
      <c r="M18" s="326"/>
      <c r="N18" s="326">
        <v>9000</v>
      </c>
      <c r="Q18" s="295"/>
      <c r="R18" s="295"/>
      <c r="S18" s="295"/>
      <c r="T18" s="295"/>
      <c r="U18" s="295"/>
    </row>
    <row r="19" spans="2:21" s="294" customFormat="1">
      <c r="B19" s="324" t="s">
        <v>11</v>
      </c>
      <c r="C19" s="324" t="s">
        <v>493</v>
      </c>
      <c r="D19" s="324" t="s">
        <v>494</v>
      </c>
      <c r="E19" s="324" t="s">
        <v>329</v>
      </c>
      <c r="F19" s="324"/>
      <c r="G19" s="325" t="s">
        <v>48</v>
      </c>
      <c r="H19" s="326"/>
      <c r="I19" s="326"/>
      <c r="J19" s="326"/>
      <c r="K19" s="326"/>
      <c r="L19" s="326"/>
      <c r="M19" s="326"/>
      <c r="N19" s="326">
        <v>9000</v>
      </c>
      <c r="Q19" s="295"/>
      <c r="R19" s="295"/>
      <c r="S19" s="295"/>
      <c r="T19" s="295"/>
      <c r="U19" s="295"/>
    </row>
    <row r="20" spans="2:21" s="294" customFormat="1">
      <c r="B20" s="324" t="s">
        <v>11</v>
      </c>
      <c r="C20" s="324" t="s">
        <v>495</v>
      </c>
      <c r="D20" s="324" t="s">
        <v>496</v>
      </c>
      <c r="E20" s="324" t="s">
        <v>329</v>
      </c>
      <c r="F20" s="324"/>
      <c r="G20" s="325" t="s">
        <v>394</v>
      </c>
      <c r="H20" s="326"/>
      <c r="I20" s="326"/>
      <c r="J20" s="326"/>
      <c r="K20" s="326"/>
      <c r="L20" s="326"/>
      <c r="M20" s="326"/>
      <c r="N20" s="326">
        <v>9000</v>
      </c>
      <c r="Q20" s="295"/>
      <c r="R20" s="295"/>
      <c r="S20" s="295"/>
      <c r="T20" s="295"/>
      <c r="U20" s="295"/>
    </row>
  </sheetData>
  <dataValidations count="9">
    <dataValidation allowBlank="1" showInputMessage="1" showErrorMessage="1" prompt="maximum share - only applicable if multiple commodities come from the same process?" sqref="J4" xr:uid="{6F504860-5E37-4D29-AA9A-5E9027B1D658}"/>
    <dataValidation allowBlank="1" showInputMessage="1" showErrorMessage="1" prompt="efficiency" sqref="K4" xr:uid="{1C369F2F-E372-4799-8E6C-A6AD1ECA5473}"/>
    <dataValidation allowBlank="1" showInputMessage="1" showErrorMessage="1" prompt="annual cost per unit of energy" sqref="N4" xr:uid="{1595F79F-C11D-4A0C-B42E-F6F0E2F22BFC}"/>
    <dataValidation allowBlank="1" showInputMessage="1" showErrorMessage="1" promptTitle="Size of tables is flexible" prompt="~FI_T tables are built using the row column headers before &amp; below the ~ tag to identify the TechName, TechDesc, Comm-IN, Comm-OUT, and the relevant years of data (Year). Then data column headers are used to provide the data describing the processes." sqref="G3" xr:uid="{3223516A-191C-45D6-B2E6-1F767AF527AB}"/>
    <dataValidation allowBlank="1" showInputMessage="1" showErrorMessage="1" prompt="Process Names" sqref="C4" xr:uid="{F6DBDD62-8427-4412-AA6F-F5436733425D}"/>
    <dataValidation allowBlank="1" showInputMessage="1" showErrorMessage="1" prompt="Process Descriptions" sqref="D4" xr:uid="{0B77E21A-35C6-4298-945A-9BEF54AF6A9A}"/>
    <dataValidation allowBlank="1" showInputMessage="1" showErrorMessage="1" prompt="Commodity Inputs" sqref="F4" xr:uid="{8015C67F-9DF0-4FBE-85D3-5DA69B677F22}"/>
    <dataValidation allowBlank="1" showInputMessage="1" showErrorMessage="1" prompt="Commodity Outputs" sqref="G4" xr:uid="{186556C9-C600-48FF-B383-29E88531519B}"/>
    <dataValidation allowBlank="1" showInputMessage="1" showErrorMessage="1" prompt="Region names" sqref="B4" xr:uid="{A60B7A47-2CC7-4451-8CBB-F5EBA33DDCF4}"/>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5C81F-5FC9-4DF0-86DD-CC5AC8813A8F}">
  <dimension ref="B1:EE8"/>
  <sheetViews>
    <sheetView workbookViewId="0"/>
  </sheetViews>
  <sheetFormatPr defaultRowHeight="13.9"/>
  <cols>
    <col min="1" max="1" width="3.625" customWidth="1"/>
    <col min="2" max="3" width="14.75" customWidth="1"/>
    <col min="4" max="4" width="31.875" customWidth="1"/>
    <col min="5" max="5" width="7.875" customWidth="1"/>
    <col min="6" max="6" width="10.5" customWidth="1"/>
    <col min="7" max="7" width="11.375" customWidth="1"/>
    <col min="8" max="8" width="14" customWidth="1"/>
    <col min="9" max="9" width="13" customWidth="1"/>
    <col min="10" max="10" width="14.375" customWidth="1"/>
    <col min="11" max="11" width="14.25" customWidth="1"/>
    <col min="12" max="12" width="14.375" customWidth="1"/>
    <col min="13" max="13" width="13.25" customWidth="1"/>
    <col min="14" max="14" width="13.375" customWidth="1"/>
    <col min="15" max="15" width="14.875" customWidth="1"/>
    <col min="16" max="19" width="19.875" customWidth="1"/>
    <col min="20" max="23" width="19.625" customWidth="1"/>
    <col min="24" max="31" width="20.75" customWidth="1"/>
    <col min="32" max="35" width="19.875" customWidth="1"/>
    <col min="36" max="39" width="18.625" customWidth="1"/>
    <col min="40" max="43" width="20.5" customWidth="1"/>
    <col min="44" max="47" width="20.25" customWidth="1"/>
    <col min="48" max="51" width="21.5" customWidth="1"/>
    <col min="52" max="55" width="24.5" customWidth="1"/>
    <col min="56" max="59" width="24.625" customWidth="1"/>
    <col min="60" max="67" width="24.5" customWidth="1"/>
    <col min="68" max="71" width="24.375" customWidth="1"/>
    <col min="72" max="75" width="24.625" customWidth="1"/>
    <col min="76" max="79" width="24.5" customWidth="1"/>
    <col min="80" max="83" width="24.375" customWidth="1"/>
    <col min="84" max="91" width="24.5" customWidth="1"/>
    <col min="92" max="99" width="24.375" customWidth="1"/>
    <col min="100" max="103" width="24.5" customWidth="1"/>
    <col min="104" max="107" width="25.875" customWidth="1"/>
    <col min="108" max="111" width="26" customWidth="1"/>
    <col min="112" max="119" width="25.875" customWidth="1"/>
    <col min="120" max="123" width="26" customWidth="1"/>
    <col min="124" max="127" width="25.75" customWidth="1"/>
    <col min="128" max="131" width="24.625" customWidth="1"/>
    <col min="132" max="135" width="26" customWidth="1"/>
  </cols>
  <sheetData>
    <row r="1" spans="2:135" s="150" customFormat="1" ht="13.15">
      <c r="B1" s="222" t="s">
        <v>497</v>
      </c>
      <c r="C1" s="286" t="s">
        <v>11</v>
      </c>
      <c r="AZ1" s="352"/>
      <c r="BA1" s="352"/>
      <c r="BB1" s="352"/>
      <c r="BC1" s="352"/>
      <c r="BD1" s="352"/>
      <c r="BE1" s="352"/>
      <c r="BF1" s="352"/>
      <c r="BG1" s="352"/>
      <c r="BH1" s="352"/>
      <c r="BI1" s="352"/>
      <c r="BJ1" s="352"/>
      <c r="BK1" s="352"/>
      <c r="BL1" s="352"/>
      <c r="BM1" s="352"/>
      <c r="BN1" s="352"/>
      <c r="BO1" s="352"/>
      <c r="BP1" s="352"/>
      <c r="BQ1" s="352"/>
      <c r="BR1" s="352"/>
      <c r="BS1" s="352"/>
      <c r="BT1" s="352"/>
      <c r="BU1" s="352"/>
    </row>
    <row r="2" spans="2:135" s="150" customFormat="1" ht="13.15">
      <c r="D2" s="151"/>
    </row>
    <row r="3" spans="2:135" s="150" customFormat="1" ht="13.15">
      <c r="D3" s="151"/>
      <c r="G3" s="2" t="s">
        <v>318</v>
      </c>
      <c r="H3" s="154"/>
      <c r="I3" s="154"/>
    </row>
    <row r="4" spans="2:135" s="153" customFormat="1" thickBot="1">
      <c r="B4" s="1276" t="s">
        <v>1</v>
      </c>
      <c r="C4" s="1276" t="s">
        <v>81</v>
      </c>
      <c r="D4" s="1276" t="s">
        <v>82</v>
      </c>
      <c r="E4" s="1276" t="s">
        <v>235</v>
      </c>
      <c r="F4" s="1276" t="s">
        <v>498</v>
      </c>
      <c r="G4" s="1276" t="s">
        <v>499</v>
      </c>
      <c r="H4" s="1276" t="s">
        <v>500</v>
      </c>
      <c r="I4" s="1276" t="s">
        <v>501</v>
      </c>
      <c r="J4" s="1276" t="s">
        <v>502</v>
      </c>
      <c r="K4" s="1276" t="s">
        <v>503</v>
      </c>
      <c r="L4" s="1276" t="s">
        <v>504</v>
      </c>
      <c r="M4" s="1276" t="s">
        <v>505</v>
      </c>
      <c r="N4" s="1276" t="s">
        <v>506</v>
      </c>
      <c r="O4" s="1276" t="s">
        <v>507</v>
      </c>
      <c r="P4" s="1276" t="s">
        <v>508</v>
      </c>
      <c r="Q4" s="1276" t="s">
        <v>509</v>
      </c>
      <c r="R4" s="1276" t="s">
        <v>510</v>
      </c>
      <c r="S4" s="1276" t="s">
        <v>511</v>
      </c>
      <c r="T4" s="1276" t="s">
        <v>512</v>
      </c>
      <c r="U4" s="1276" t="s">
        <v>513</v>
      </c>
      <c r="V4" s="1276" t="s">
        <v>514</v>
      </c>
      <c r="W4" s="1276" t="s">
        <v>515</v>
      </c>
      <c r="X4" s="1276" t="s">
        <v>516</v>
      </c>
      <c r="Y4" s="1276" t="s">
        <v>517</v>
      </c>
      <c r="Z4" s="1276" t="s">
        <v>518</v>
      </c>
      <c r="AA4" s="1276" t="s">
        <v>519</v>
      </c>
      <c r="AB4" s="1276" t="s">
        <v>520</v>
      </c>
      <c r="AC4" s="1276" t="s">
        <v>521</v>
      </c>
      <c r="AD4" s="1276" t="s">
        <v>522</v>
      </c>
      <c r="AE4" s="1276" t="s">
        <v>523</v>
      </c>
      <c r="AF4" s="1276" t="s">
        <v>524</v>
      </c>
      <c r="AG4" s="1276" t="s">
        <v>525</v>
      </c>
      <c r="AH4" s="1276" t="s">
        <v>526</v>
      </c>
      <c r="AI4" s="1276" t="s">
        <v>527</v>
      </c>
      <c r="AJ4" s="1276" t="s">
        <v>528</v>
      </c>
      <c r="AK4" s="1276" t="s">
        <v>529</v>
      </c>
      <c r="AL4" s="1276" t="s">
        <v>530</v>
      </c>
      <c r="AM4" s="1276" t="s">
        <v>531</v>
      </c>
      <c r="AN4" s="1276" t="s">
        <v>532</v>
      </c>
      <c r="AO4" s="1276" t="s">
        <v>533</v>
      </c>
      <c r="AP4" s="1276" t="s">
        <v>534</v>
      </c>
      <c r="AQ4" s="1276" t="s">
        <v>535</v>
      </c>
      <c r="AR4" s="1276" t="s">
        <v>536</v>
      </c>
      <c r="AS4" s="1276" t="s">
        <v>537</v>
      </c>
      <c r="AT4" s="1276" t="s">
        <v>538</v>
      </c>
      <c r="AU4" s="1276" t="s">
        <v>539</v>
      </c>
      <c r="AV4" s="1276" t="s">
        <v>540</v>
      </c>
      <c r="AW4" s="1276" t="s">
        <v>541</v>
      </c>
      <c r="AX4" s="1276" t="s">
        <v>542</v>
      </c>
      <c r="AY4" s="1276" t="s">
        <v>543</v>
      </c>
      <c r="AZ4" s="1276" t="s">
        <v>544</v>
      </c>
      <c r="BA4" s="1276" t="s">
        <v>545</v>
      </c>
      <c r="BB4" s="1276" t="s">
        <v>546</v>
      </c>
      <c r="BC4" s="1276" t="s">
        <v>547</v>
      </c>
      <c r="BD4" s="1276" t="s">
        <v>548</v>
      </c>
      <c r="BE4" s="1276" t="s">
        <v>549</v>
      </c>
      <c r="BF4" s="1276" t="s">
        <v>550</v>
      </c>
      <c r="BG4" s="1276" t="s">
        <v>551</v>
      </c>
      <c r="BH4" s="1276" t="s">
        <v>552</v>
      </c>
      <c r="BI4" s="1276" t="s">
        <v>553</v>
      </c>
      <c r="BJ4" s="1276" t="s">
        <v>554</v>
      </c>
      <c r="BK4" s="1276" t="s">
        <v>555</v>
      </c>
      <c r="BL4" s="1276" t="s">
        <v>556</v>
      </c>
      <c r="BM4" s="1276" t="s">
        <v>557</v>
      </c>
      <c r="BN4" s="1276" t="s">
        <v>558</v>
      </c>
      <c r="BO4" s="1276" t="s">
        <v>559</v>
      </c>
      <c r="BP4" s="1276" t="s">
        <v>560</v>
      </c>
      <c r="BQ4" s="1276" t="s">
        <v>561</v>
      </c>
      <c r="BR4" s="1276" t="s">
        <v>562</v>
      </c>
      <c r="BS4" s="1276" t="s">
        <v>563</v>
      </c>
      <c r="BT4" s="1276" t="s">
        <v>564</v>
      </c>
      <c r="BU4" s="1276" t="s">
        <v>565</v>
      </c>
      <c r="BV4" s="1276" t="s">
        <v>566</v>
      </c>
      <c r="BW4" s="1276" t="s">
        <v>567</v>
      </c>
      <c r="BX4" s="1276" t="s">
        <v>568</v>
      </c>
      <c r="BY4" s="1276" t="s">
        <v>569</v>
      </c>
      <c r="BZ4" s="1276" t="s">
        <v>570</v>
      </c>
      <c r="CA4" s="1276" t="s">
        <v>571</v>
      </c>
      <c r="CB4" s="1276" t="s">
        <v>572</v>
      </c>
      <c r="CC4" s="1276" t="s">
        <v>573</v>
      </c>
      <c r="CD4" s="1276" t="s">
        <v>574</v>
      </c>
      <c r="CE4" s="1276" t="s">
        <v>575</v>
      </c>
      <c r="CF4" s="1276" t="s">
        <v>576</v>
      </c>
      <c r="CG4" s="1276" t="s">
        <v>577</v>
      </c>
      <c r="CH4" s="1276" t="s">
        <v>578</v>
      </c>
      <c r="CI4" s="1276" t="s">
        <v>579</v>
      </c>
      <c r="CJ4" s="1276" t="s">
        <v>580</v>
      </c>
      <c r="CK4" s="1276" t="s">
        <v>581</v>
      </c>
      <c r="CL4" s="1276" t="s">
        <v>582</v>
      </c>
      <c r="CM4" s="1276" t="s">
        <v>583</v>
      </c>
      <c r="CN4" s="1276" t="s">
        <v>584</v>
      </c>
      <c r="CO4" s="1276" t="s">
        <v>585</v>
      </c>
      <c r="CP4" s="1276" t="s">
        <v>586</v>
      </c>
      <c r="CQ4" s="1276" t="s">
        <v>587</v>
      </c>
      <c r="CR4" s="1276" t="s">
        <v>588</v>
      </c>
      <c r="CS4" s="1276" t="s">
        <v>589</v>
      </c>
      <c r="CT4" s="1276" t="s">
        <v>590</v>
      </c>
      <c r="CU4" s="1276" t="s">
        <v>591</v>
      </c>
      <c r="CV4" s="1276" t="s">
        <v>592</v>
      </c>
      <c r="CW4" s="1276" t="s">
        <v>593</v>
      </c>
      <c r="CX4" s="1276" t="s">
        <v>594</v>
      </c>
      <c r="CY4" s="1276" t="s">
        <v>595</v>
      </c>
      <c r="CZ4" s="1276" t="s">
        <v>596</v>
      </c>
      <c r="DA4" s="1276" t="s">
        <v>597</v>
      </c>
      <c r="DB4" s="1276" t="s">
        <v>598</v>
      </c>
      <c r="DC4" s="1276" t="s">
        <v>599</v>
      </c>
      <c r="DD4" s="1276" t="s">
        <v>600</v>
      </c>
      <c r="DE4" s="1276" t="s">
        <v>601</v>
      </c>
      <c r="DF4" s="1276" t="s">
        <v>602</v>
      </c>
      <c r="DG4" s="1276" t="s">
        <v>603</v>
      </c>
      <c r="DH4" s="1276" t="s">
        <v>604</v>
      </c>
      <c r="DI4" s="1276" t="s">
        <v>605</v>
      </c>
      <c r="DJ4" s="1276" t="s">
        <v>606</v>
      </c>
      <c r="DK4" s="1276" t="s">
        <v>607</v>
      </c>
      <c r="DL4" s="1276" t="s">
        <v>608</v>
      </c>
      <c r="DM4" s="1276" t="s">
        <v>609</v>
      </c>
      <c r="DN4" s="1276" t="s">
        <v>610</v>
      </c>
      <c r="DO4" s="1276" t="s">
        <v>611</v>
      </c>
      <c r="DP4" s="1276" t="s">
        <v>612</v>
      </c>
      <c r="DQ4" s="1276" t="s">
        <v>613</v>
      </c>
      <c r="DR4" s="1276" t="s">
        <v>614</v>
      </c>
      <c r="DS4" s="1276" t="s">
        <v>615</v>
      </c>
      <c r="DT4" s="1276" t="s">
        <v>616</v>
      </c>
      <c r="DU4" s="1276" t="s">
        <v>617</v>
      </c>
      <c r="DV4" s="1276" t="s">
        <v>618</v>
      </c>
      <c r="DW4" s="1276" t="s">
        <v>619</v>
      </c>
      <c r="DX4" s="1276" t="s">
        <v>620</v>
      </c>
      <c r="DY4" s="1276" t="s">
        <v>621</v>
      </c>
      <c r="DZ4" s="1276" t="s">
        <v>622</v>
      </c>
      <c r="EA4" s="1276" t="s">
        <v>623</v>
      </c>
      <c r="EB4" s="1276" t="s">
        <v>624</v>
      </c>
      <c r="EC4" s="1276" t="s">
        <v>625</v>
      </c>
      <c r="ED4" s="1276" t="s">
        <v>626</v>
      </c>
      <c r="EE4" s="1276" t="s">
        <v>627</v>
      </c>
    </row>
    <row r="5" spans="2:135" s="150" customFormat="1" ht="13.15">
      <c r="B5" s="287" t="s">
        <v>11</v>
      </c>
      <c r="C5" s="287" t="s">
        <v>448</v>
      </c>
      <c r="D5" s="287" t="s">
        <v>449</v>
      </c>
      <c r="E5" s="287" t="s">
        <v>329</v>
      </c>
      <c r="F5" s="287" t="s">
        <v>394</v>
      </c>
      <c r="G5" s="287" t="s">
        <v>447</v>
      </c>
      <c r="H5" s="287"/>
      <c r="I5" s="287"/>
      <c r="J5" s="299">
        <v>8.3099999999999993E-2</v>
      </c>
      <c r="K5" s="299">
        <f>Emissions!AC$42</f>
        <v>2.8400000000000001E-3</v>
      </c>
      <c r="L5" s="299">
        <f>Emissions!AD$42</f>
        <v>2.8400000000000002E-4</v>
      </c>
      <c r="M5" s="299">
        <f>Emissions!AE$42</f>
        <v>2.5494307400379505E-2</v>
      </c>
      <c r="N5" s="299">
        <f>Emissions!AF$42</f>
        <v>6.8834629981024678E-3</v>
      </c>
      <c r="O5" s="299">
        <f>J5*1000</f>
        <v>83.1</v>
      </c>
      <c r="P5" s="299">
        <f>Emissions!F$42</f>
        <v>0.83858254269449717</v>
      </c>
      <c r="Q5" s="299">
        <f>Emissions!G$42</f>
        <v>0.83858254269449717</v>
      </c>
      <c r="R5" s="299">
        <f>Emissions!H$42</f>
        <v>0.83858254269449717</v>
      </c>
      <c r="S5" s="299">
        <f t="shared" ref="S5" si="0">IF(R5="","",R5)</f>
        <v>0.83858254269449717</v>
      </c>
      <c r="T5" s="299">
        <f>Emissions!J$42</f>
        <v>0.23453782493904479</v>
      </c>
      <c r="U5" s="299">
        <f>Emissions!K$42</f>
        <v>0.23453782493904479</v>
      </c>
      <c r="V5" s="299">
        <f>Emissions!L$42</f>
        <v>0.23453782493904479</v>
      </c>
      <c r="W5" s="299">
        <f t="shared" ref="W5:W6" si="1">IF(V5="","",V5)</f>
        <v>0.23453782493904479</v>
      </c>
      <c r="X5" s="299">
        <f>Emissions!N$42</f>
        <v>8.4981024667931684E-2</v>
      </c>
      <c r="Y5" s="299">
        <f>Emissions!O$42</f>
        <v>8.4981024667931684E-2</v>
      </c>
      <c r="Z5" s="299">
        <f>Emissions!P$42</f>
        <v>8.4981024667931684E-2</v>
      </c>
      <c r="AA5" s="299">
        <f t="shared" ref="AA5:AA6" si="2">IF(Z5="","",Z5)</f>
        <v>8.4981024667931684E-2</v>
      </c>
      <c r="AB5" s="299">
        <f>Emissions!R$42</f>
        <v>7.6482922201138531E-2</v>
      </c>
      <c r="AC5" s="299">
        <f>Emissions!S$42</f>
        <v>7.6482922201138531E-2</v>
      </c>
      <c r="AD5" s="299">
        <f>Emissions!T$42</f>
        <v>7.6482922201138531E-2</v>
      </c>
      <c r="AE5" s="299">
        <f t="shared" ref="AE5:AE6" si="3">IF(AD5="","",AD5)</f>
        <v>7.6482922201138531E-2</v>
      </c>
      <c r="AF5" s="299">
        <f>Emissions!V$42</f>
        <v>9.3519924098671728E-2</v>
      </c>
      <c r="AG5" s="299">
        <f>Emissions!W$42</f>
        <v>9.3519924098671728E-2</v>
      </c>
      <c r="AH5" s="299">
        <f>Emissions!X$42</f>
        <v>9.3519924098671728E-2</v>
      </c>
      <c r="AI5" s="299">
        <f>IF(AH5="","",AH5)</f>
        <v>9.3519924098671728E-2</v>
      </c>
      <c r="AJ5" s="299">
        <f>Emissions!Z$42</f>
        <v>0.34250094876660336</v>
      </c>
      <c r="AK5" s="299">
        <f>Emissions!AA$42</f>
        <v>0.34250094876660336</v>
      </c>
      <c r="AL5" s="299">
        <f>Emissions!AB$42</f>
        <v>0.34250094876660336</v>
      </c>
      <c r="AM5" s="299">
        <f t="shared" ref="AM5:AM6" si="4">IF(AL5="","",AL5)</f>
        <v>0.34250094876660336</v>
      </c>
      <c r="AN5" s="299">
        <f t="shared" ref="AN5:AN6" si="5">P5</f>
        <v>0.83858254269449717</v>
      </c>
      <c r="AO5" s="299">
        <f t="shared" ref="AO5:AO6" si="6">Q5</f>
        <v>0.83858254269449717</v>
      </c>
      <c r="AP5" s="299">
        <f t="shared" ref="AP5:AP6" si="7">R5</f>
        <v>0.83858254269449717</v>
      </c>
      <c r="AQ5" s="299">
        <f t="shared" ref="AQ5:AQ6" si="8">IF(AP5="","",AP5)</f>
        <v>0.83858254269449717</v>
      </c>
      <c r="AR5" s="299">
        <f>T5</f>
        <v>0.23453782493904479</v>
      </c>
      <c r="AS5" s="299">
        <f t="shared" ref="AS5:AT6" si="9">U5</f>
        <v>0.23453782493904479</v>
      </c>
      <c r="AT5" s="299">
        <f t="shared" si="9"/>
        <v>0.23453782493904479</v>
      </c>
      <c r="AU5" s="299">
        <f t="shared" ref="AU5:AU6" si="10">IF(AT5="","",AT5)</f>
        <v>0.23453782493904479</v>
      </c>
      <c r="AV5" s="299">
        <f t="shared" ref="AV5:AV6" si="11">X5</f>
        <v>8.4981024667931684E-2</v>
      </c>
      <c r="AW5" s="299">
        <f t="shared" ref="AW5:AW6" si="12">Y5</f>
        <v>8.4981024667931684E-2</v>
      </c>
      <c r="AX5" s="299">
        <f t="shared" ref="AX5:AX6" si="13">Z5</f>
        <v>8.4981024667931684E-2</v>
      </c>
      <c r="AY5" s="299">
        <f t="shared" ref="AY5:AY6" si="14">IF(AX5="","",AX5)</f>
        <v>8.4981024667931684E-2</v>
      </c>
      <c r="AZ5" s="287"/>
      <c r="BA5" s="287"/>
      <c r="BB5" s="287"/>
      <c r="BC5" s="299" t="s">
        <v>628</v>
      </c>
      <c r="BD5" s="287"/>
      <c r="BE5" s="287"/>
      <c r="BF5" s="287"/>
      <c r="BG5" s="299" t="s">
        <v>628</v>
      </c>
      <c r="BH5" s="287"/>
      <c r="BI5" s="287"/>
      <c r="BJ5" s="287"/>
      <c r="BK5" s="299" t="s">
        <v>628</v>
      </c>
      <c r="BL5" s="287"/>
      <c r="BM5" s="287"/>
      <c r="BN5" s="287"/>
      <c r="BO5" s="299" t="s">
        <v>628</v>
      </c>
      <c r="BP5" s="287"/>
      <c r="BQ5" s="287"/>
      <c r="BR5" s="287"/>
      <c r="BS5" s="299" t="s">
        <v>628</v>
      </c>
      <c r="BT5" s="287"/>
      <c r="BU5" s="287"/>
      <c r="BV5" s="287"/>
      <c r="BW5" s="299" t="s">
        <v>628</v>
      </c>
      <c r="BX5" s="287"/>
      <c r="BY5" s="287"/>
      <c r="BZ5" s="287"/>
      <c r="CA5" s="299" t="s">
        <v>628</v>
      </c>
      <c r="CB5" s="287"/>
      <c r="CC5" s="287"/>
      <c r="CD5" s="287"/>
      <c r="CE5" s="299" t="s">
        <v>628</v>
      </c>
      <c r="CF5" s="287"/>
      <c r="CG5" s="287"/>
      <c r="CH5" s="287"/>
      <c r="CI5" s="299" t="s">
        <v>628</v>
      </c>
      <c r="CJ5" s="287"/>
      <c r="CK5" s="287"/>
      <c r="CL5" s="287"/>
      <c r="CM5" s="299" t="s">
        <v>628</v>
      </c>
      <c r="CN5" s="287"/>
      <c r="CO5" s="287"/>
      <c r="CP5" s="287"/>
      <c r="CQ5" s="299" t="s">
        <v>628</v>
      </c>
      <c r="CR5" s="287"/>
      <c r="CS5" s="287"/>
      <c r="CT5" s="287"/>
      <c r="CU5" s="299" t="s">
        <v>628</v>
      </c>
      <c r="CV5" s="287"/>
      <c r="CW5" s="287"/>
      <c r="CX5" s="287"/>
      <c r="CY5" s="299" t="s">
        <v>628</v>
      </c>
      <c r="CZ5" s="287"/>
      <c r="DA5" s="287"/>
      <c r="DB5" s="287"/>
      <c r="DC5" s="299" t="s">
        <v>628</v>
      </c>
      <c r="DD5" s="287"/>
      <c r="DE5" s="287"/>
      <c r="DF5" s="287"/>
      <c r="DG5" s="299" t="s">
        <v>628</v>
      </c>
      <c r="DH5" s="287"/>
      <c r="DI5" s="287"/>
      <c r="DJ5" s="287"/>
      <c r="DK5" s="299" t="s">
        <v>628</v>
      </c>
      <c r="DL5" s="287"/>
      <c r="DM5" s="287"/>
      <c r="DN5" s="287"/>
      <c r="DO5" s="299" t="s">
        <v>628</v>
      </c>
      <c r="DP5" s="287"/>
      <c r="DQ5" s="287"/>
      <c r="DR5" s="287"/>
      <c r="DS5" s="299" t="s">
        <v>628</v>
      </c>
      <c r="DT5" s="299">
        <f t="shared" ref="DT5:DT6" si="15">P5</f>
        <v>0.83858254269449717</v>
      </c>
      <c r="DU5" s="299">
        <f t="shared" ref="DU5:DU6" si="16">Q5</f>
        <v>0.83858254269449717</v>
      </c>
      <c r="DV5" s="299">
        <f t="shared" ref="DV5:DV6" si="17">R5</f>
        <v>0.83858254269449717</v>
      </c>
      <c r="DW5" s="299">
        <f t="shared" ref="DW5:DW6" si="18">IF(DV5="","",DV5)</f>
        <v>0.83858254269449717</v>
      </c>
      <c r="DX5" s="287"/>
      <c r="DY5" s="287"/>
      <c r="DZ5" s="287"/>
      <c r="EA5" s="299" t="s">
        <v>628</v>
      </c>
      <c r="EB5" s="287"/>
      <c r="EC5" s="287"/>
      <c r="ED5" s="287"/>
      <c r="EE5" s="299" t="s">
        <v>628</v>
      </c>
    </row>
    <row r="6" spans="2:135" s="150" customFormat="1" ht="13.15">
      <c r="B6" s="287" t="s">
        <v>11</v>
      </c>
      <c r="C6" s="287" t="s">
        <v>452</v>
      </c>
      <c r="D6" s="287" t="s">
        <v>453</v>
      </c>
      <c r="E6" s="287" t="s">
        <v>329</v>
      </c>
      <c r="F6" s="287" t="s">
        <v>48</v>
      </c>
      <c r="G6" s="287" t="s">
        <v>447</v>
      </c>
      <c r="H6" s="287"/>
      <c r="I6" s="287"/>
      <c r="J6" s="299">
        <v>5.6000000000000001E-2</v>
      </c>
      <c r="K6" s="299">
        <f>Emissions!AC$39</f>
        <v>8.5303541040031208E-4</v>
      </c>
      <c r="L6" s="299">
        <f>Emissions!AD$39</f>
        <v>8.5303541040031208E-4</v>
      </c>
      <c r="M6" s="299">
        <f>Emissions!AE$39</f>
        <v>3.6351066671358023E-3</v>
      </c>
      <c r="N6" s="299">
        <f>Emissions!AF$39</f>
        <v>7.6337240009851845E-4</v>
      </c>
      <c r="O6" s="299">
        <f t="shared" ref="O6" si="19">J6*1000</f>
        <v>56</v>
      </c>
      <c r="P6" s="299">
        <f>Emissions!F$39</f>
        <v>4.1627634298412763E-2</v>
      </c>
      <c r="Q6" s="299">
        <f>Emissions!G$39</f>
        <v>4.1627635764714704E-2</v>
      </c>
      <c r="R6" s="299">
        <f>Emissions!H$39</f>
        <v>4.1627637231016645E-2</v>
      </c>
      <c r="S6" s="299">
        <f>IF(R6="","",R6)</f>
        <v>4.1627637231016645E-2</v>
      </c>
      <c r="T6" s="299">
        <f>Emissions!J$39</f>
        <v>4.1773357389214304E-2</v>
      </c>
      <c r="U6" s="299">
        <f>Emissions!K$39</f>
        <v>4.177620474963209E-2</v>
      </c>
      <c r="V6" s="299">
        <f>Emissions!L$39</f>
        <v>4.1779052110049883E-2</v>
      </c>
      <c r="W6" s="299">
        <f t="shared" si="1"/>
        <v>4.1779052110049883E-2</v>
      </c>
      <c r="X6" s="299">
        <f>Emissions!N$39</f>
        <v>4.1759981594954657E-2</v>
      </c>
      <c r="Y6" s="299">
        <f>Emissions!O$39</f>
        <v>4.1758167633396508E-2</v>
      </c>
      <c r="Z6" s="299">
        <f>Emissions!P$39</f>
        <v>4.1756353671838366E-2</v>
      </c>
      <c r="AA6" s="299">
        <f t="shared" si="2"/>
        <v>4.1756353671838366E-2</v>
      </c>
      <c r="AB6" s="299">
        <f>Emissions!R$39</f>
        <v>4.1772151909247462E-2</v>
      </c>
      <c r="AC6" s="299">
        <f>Emissions!S$39</f>
        <v>4.1770304121347149E-2</v>
      </c>
      <c r="AD6" s="299">
        <f>Emissions!T$39</f>
        <v>4.1768456333446828E-2</v>
      </c>
      <c r="AE6" s="299">
        <f t="shared" si="3"/>
        <v>4.1768456333446828E-2</v>
      </c>
      <c r="AF6" s="299">
        <f>Emissions!V$39</f>
        <v>4.177271937941044E-2</v>
      </c>
      <c r="AG6" s="299">
        <f>Emissions!W$39</f>
        <v>4.1772803814676511E-2</v>
      </c>
      <c r="AH6" s="299">
        <f>Emissions!X$39</f>
        <v>4.1772888249942582E-2</v>
      </c>
      <c r="AI6" s="299">
        <f>IF(AH6="","",AH6)</f>
        <v>4.1772888249942582E-2</v>
      </c>
      <c r="AJ6" s="299">
        <f>Emissions!Z$39</f>
        <v>4.1782823362860308E-2</v>
      </c>
      <c r="AK6" s="299">
        <f>Emissions!AA$39</f>
        <v>4.178283966414291E-2</v>
      </c>
      <c r="AL6" s="299">
        <f>Emissions!AB$39</f>
        <v>4.1782855965425504E-2</v>
      </c>
      <c r="AM6" s="299">
        <f t="shared" si="4"/>
        <v>4.1782855965425504E-2</v>
      </c>
      <c r="AN6" s="299">
        <f t="shared" si="5"/>
        <v>4.1627634298412763E-2</v>
      </c>
      <c r="AO6" s="299">
        <f t="shared" si="6"/>
        <v>4.1627635764714704E-2</v>
      </c>
      <c r="AP6" s="299">
        <f t="shared" si="7"/>
        <v>4.1627637231016645E-2</v>
      </c>
      <c r="AQ6" s="299">
        <f t="shared" si="8"/>
        <v>4.1627637231016645E-2</v>
      </c>
      <c r="AR6" s="299">
        <f>T6</f>
        <v>4.1773357389214304E-2</v>
      </c>
      <c r="AS6" s="299">
        <f t="shared" si="9"/>
        <v>4.177620474963209E-2</v>
      </c>
      <c r="AT6" s="299">
        <f t="shared" si="9"/>
        <v>4.1779052110049883E-2</v>
      </c>
      <c r="AU6" s="299">
        <f t="shared" si="10"/>
        <v>4.1779052110049883E-2</v>
      </c>
      <c r="AV6" s="299">
        <f t="shared" si="11"/>
        <v>4.1759981594954657E-2</v>
      </c>
      <c r="AW6" s="299">
        <f t="shared" si="12"/>
        <v>4.1758167633396508E-2</v>
      </c>
      <c r="AX6" s="299">
        <f t="shared" si="13"/>
        <v>4.1756353671838366E-2</v>
      </c>
      <c r="AY6" s="299">
        <f t="shared" si="14"/>
        <v>4.1756353671838366E-2</v>
      </c>
      <c r="AZ6" s="287"/>
      <c r="BA6" s="287"/>
      <c r="BB6" s="287"/>
      <c r="BC6" s="299" t="s">
        <v>628</v>
      </c>
      <c r="BD6" s="287"/>
      <c r="BE6" s="287"/>
      <c r="BF6" s="287"/>
      <c r="BG6" s="299" t="s">
        <v>628</v>
      </c>
      <c r="BH6" s="287"/>
      <c r="BI6" s="287"/>
      <c r="BJ6" s="287"/>
      <c r="BK6" s="299" t="s">
        <v>628</v>
      </c>
      <c r="BL6" s="287"/>
      <c r="BM6" s="287"/>
      <c r="BN6" s="287"/>
      <c r="BO6" s="299" t="s">
        <v>628</v>
      </c>
      <c r="BP6" s="287"/>
      <c r="BQ6" s="287"/>
      <c r="BR6" s="287"/>
      <c r="BS6" s="299" t="s">
        <v>628</v>
      </c>
      <c r="BT6" s="287"/>
      <c r="BU6" s="287"/>
      <c r="BV6" s="287"/>
      <c r="BW6" s="299" t="s">
        <v>628</v>
      </c>
      <c r="BX6" s="287"/>
      <c r="BY6" s="287"/>
      <c r="BZ6" s="287"/>
      <c r="CA6" s="299" t="s">
        <v>628</v>
      </c>
      <c r="CB6" s="287"/>
      <c r="CC6" s="287"/>
      <c r="CD6" s="287"/>
      <c r="CE6" s="299" t="s">
        <v>628</v>
      </c>
      <c r="CF6" s="287"/>
      <c r="CG6" s="287"/>
      <c r="CH6" s="287"/>
      <c r="CI6" s="299" t="s">
        <v>628</v>
      </c>
      <c r="CJ6" s="287"/>
      <c r="CK6" s="287"/>
      <c r="CL6" s="287"/>
      <c r="CM6" s="299" t="s">
        <v>628</v>
      </c>
      <c r="CN6" s="287"/>
      <c r="CO6" s="287"/>
      <c r="CP6" s="287"/>
      <c r="CQ6" s="299" t="s">
        <v>628</v>
      </c>
      <c r="CR6" s="287"/>
      <c r="CS6" s="287"/>
      <c r="CT6" s="287"/>
      <c r="CU6" s="299" t="s">
        <v>628</v>
      </c>
      <c r="CV6" s="287"/>
      <c r="CW6" s="287"/>
      <c r="CX6" s="287"/>
      <c r="CY6" s="299" t="s">
        <v>628</v>
      </c>
      <c r="CZ6" s="287"/>
      <c r="DA6" s="287"/>
      <c r="DB6" s="287"/>
      <c r="DC6" s="299" t="s">
        <v>628</v>
      </c>
      <c r="DD6" s="287"/>
      <c r="DE6" s="287"/>
      <c r="DF6" s="287"/>
      <c r="DG6" s="299" t="s">
        <v>628</v>
      </c>
      <c r="DH6" s="287"/>
      <c r="DI6" s="287"/>
      <c r="DJ6" s="287"/>
      <c r="DK6" s="299" t="s">
        <v>628</v>
      </c>
      <c r="DL6" s="287"/>
      <c r="DM6" s="287"/>
      <c r="DN6" s="287"/>
      <c r="DO6" s="299" t="s">
        <v>628</v>
      </c>
      <c r="DP6" s="287"/>
      <c r="DQ6" s="287"/>
      <c r="DR6" s="287"/>
      <c r="DS6" s="299" t="s">
        <v>628</v>
      </c>
      <c r="DT6" s="299">
        <f t="shared" si="15"/>
        <v>4.1627634298412763E-2</v>
      </c>
      <c r="DU6" s="299">
        <f t="shared" si="16"/>
        <v>4.1627635764714704E-2</v>
      </c>
      <c r="DV6" s="299">
        <f t="shared" si="17"/>
        <v>4.1627637231016645E-2</v>
      </c>
      <c r="DW6" s="299">
        <f t="shared" si="18"/>
        <v>4.1627637231016645E-2</v>
      </c>
      <c r="DX6" s="287"/>
      <c r="DY6" s="287"/>
      <c r="DZ6" s="287"/>
      <c r="EA6" s="299" t="s">
        <v>628</v>
      </c>
      <c r="EB6" s="287"/>
      <c r="EC6" s="287"/>
      <c r="ED6" s="287"/>
      <c r="EE6" s="299" t="s">
        <v>628</v>
      </c>
    </row>
    <row r="7" spans="2:135" s="150" customFormat="1" ht="13.15">
      <c r="B7" s="287" t="s">
        <v>11</v>
      </c>
      <c r="C7" s="287" t="s">
        <v>90</v>
      </c>
      <c r="D7" s="300" t="s">
        <v>91</v>
      </c>
      <c r="E7" s="287" t="s">
        <v>329</v>
      </c>
      <c r="F7" s="287" t="s">
        <v>33</v>
      </c>
      <c r="G7" s="287" t="s">
        <v>48</v>
      </c>
      <c r="H7" s="287">
        <v>2010</v>
      </c>
      <c r="I7" s="287">
        <v>50</v>
      </c>
      <c r="J7" s="287">
        <v>5.6000000000000001E-2</v>
      </c>
      <c r="K7" s="287">
        <v>8.5303541040031208E-4</v>
      </c>
      <c r="L7" s="287">
        <v>8.5303541040031208E-4</v>
      </c>
      <c r="M7" s="287">
        <v>1.8956356736242881E-4</v>
      </c>
      <c r="N7" s="287">
        <v>3.1593927893738138E-4</v>
      </c>
      <c r="O7" s="287">
        <v>56</v>
      </c>
      <c r="P7" s="287">
        <v>5.8533343793407397E-2</v>
      </c>
      <c r="Q7" s="287">
        <v>5.8533343793407397E-2</v>
      </c>
      <c r="R7" s="287">
        <v>5.8533343793407397E-2</v>
      </c>
      <c r="S7" s="287">
        <v>5.8533343793407397E-2</v>
      </c>
      <c r="T7" s="287">
        <v>2.5069701152660712E-4</v>
      </c>
      <c r="U7" s="287">
        <v>2.5069701152660712E-4</v>
      </c>
      <c r="V7" s="287">
        <v>2.5069701152660712E-4</v>
      </c>
      <c r="W7" s="287">
        <v>2.5069701152660712E-4</v>
      </c>
      <c r="X7" s="287">
        <v>3.1593927893738142E-3</v>
      </c>
      <c r="Y7" s="287">
        <v>3.1593927893738142E-3</v>
      </c>
      <c r="Z7" s="287">
        <v>3.1593927893738142E-3</v>
      </c>
      <c r="AA7" s="287">
        <v>3.1593927893738142E-3</v>
      </c>
      <c r="AB7" s="287">
        <v>3.1593927893738142E-3</v>
      </c>
      <c r="AC7" s="287">
        <v>3.1593927893738142E-3</v>
      </c>
      <c r="AD7" s="287">
        <v>3.1593927893738142E-3</v>
      </c>
      <c r="AE7" s="287">
        <v>3.1593927893738142E-3</v>
      </c>
      <c r="AF7" s="287">
        <v>2.2144902684850289E-3</v>
      </c>
      <c r="AG7" s="287">
        <v>2.2144902684850289E-3</v>
      </c>
      <c r="AH7" s="287">
        <v>2.2144902684850289E-3</v>
      </c>
      <c r="AI7" s="287">
        <v>2.2144902684850289E-3</v>
      </c>
      <c r="AJ7" s="287">
        <v>3.3169829222011393E-2</v>
      </c>
      <c r="AK7" s="287">
        <v>3.3169829222011393E-2</v>
      </c>
      <c r="AL7" s="287">
        <v>3.3169829222011393E-2</v>
      </c>
      <c r="AM7" s="287">
        <v>3.3169829222011393E-2</v>
      </c>
      <c r="AN7" s="287">
        <v>5.8533343793407397E-2</v>
      </c>
      <c r="AO7" s="287">
        <v>5.8533343793407397E-2</v>
      </c>
      <c r="AP7" s="287">
        <v>5.8533343793407397E-2</v>
      </c>
      <c r="AQ7" s="287">
        <v>5.8533343793407397E-2</v>
      </c>
      <c r="AR7" s="287">
        <v>2.5069701152660712E-4</v>
      </c>
      <c r="AS7" s="287">
        <v>2.5069701152660712E-4</v>
      </c>
      <c r="AT7" s="287">
        <v>2.5069701152660712E-4</v>
      </c>
      <c r="AU7" s="287">
        <v>2.5069701152660712E-4</v>
      </c>
      <c r="AV7" s="287">
        <v>3.1593927893738142E-3</v>
      </c>
      <c r="AW7" s="287">
        <v>3.1593927893738142E-3</v>
      </c>
      <c r="AX7" s="287">
        <v>3.1593927893738142E-3</v>
      </c>
      <c r="AY7" s="287">
        <v>3.1593927893738142E-3</v>
      </c>
      <c r="AZ7" s="287"/>
      <c r="BA7" s="287"/>
      <c r="BB7" s="287"/>
      <c r="BC7" s="287" t="s">
        <v>628</v>
      </c>
      <c r="BD7" s="287"/>
      <c r="BE7" s="287"/>
      <c r="BF7" s="287"/>
      <c r="BG7" s="287" t="s">
        <v>628</v>
      </c>
      <c r="BH7" s="287"/>
      <c r="BI7" s="287"/>
      <c r="BJ7" s="287"/>
      <c r="BK7" s="287" t="s">
        <v>628</v>
      </c>
      <c r="BL7" s="287"/>
      <c r="BM7" s="287"/>
      <c r="BN7" s="287"/>
      <c r="BO7" s="287" t="s">
        <v>628</v>
      </c>
      <c r="BP7" s="287"/>
      <c r="BQ7" s="287"/>
      <c r="BR7" s="287"/>
      <c r="BS7" s="287" t="s">
        <v>628</v>
      </c>
      <c r="BT7" s="287"/>
      <c r="BU7" s="287"/>
      <c r="BV7" s="287"/>
      <c r="BW7" s="287" t="s">
        <v>628</v>
      </c>
      <c r="BX7" s="287"/>
      <c r="BY7" s="287"/>
      <c r="BZ7" s="287"/>
      <c r="CA7" s="287" t="s">
        <v>628</v>
      </c>
      <c r="CB7" s="287"/>
      <c r="CC7" s="287"/>
      <c r="CD7" s="287"/>
      <c r="CE7" s="287" t="s">
        <v>628</v>
      </c>
      <c r="CF7" s="287"/>
      <c r="CG7" s="287"/>
      <c r="CH7" s="287"/>
      <c r="CI7" s="287" t="s">
        <v>628</v>
      </c>
      <c r="CJ7" s="287"/>
      <c r="CK7" s="287"/>
      <c r="CL7" s="287"/>
      <c r="CM7" s="287" t="s">
        <v>628</v>
      </c>
      <c r="CN7" s="287"/>
      <c r="CO7" s="287"/>
      <c r="CP7" s="287"/>
      <c r="CQ7" s="287" t="s">
        <v>628</v>
      </c>
      <c r="CR7" s="287"/>
      <c r="CS7" s="287"/>
      <c r="CT7" s="287"/>
      <c r="CU7" s="287" t="s">
        <v>628</v>
      </c>
      <c r="CV7" s="287"/>
      <c r="CW7" s="287"/>
      <c r="CX7" s="287"/>
      <c r="CY7" s="287" t="s">
        <v>628</v>
      </c>
      <c r="CZ7" s="287"/>
      <c r="DA7" s="287"/>
      <c r="DB7" s="287"/>
      <c r="DC7" s="287" t="s">
        <v>628</v>
      </c>
      <c r="DD7" s="287"/>
      <c r="DE7" s="287"/>
      <c r="DF7" s="287"/>
      <c r="DG7" s="287" t="s">
        <v>628</v>
      </c>
      <c r="DH7" s="287"/>
      <c r="DI7" s="287"/>
      <c r="DJ7" s="287"/>
      <c r="DK7" s="287" t="s">
        <v>628</v>
      </c>
      <c r="DL7" s="287"/>
      <c r="DM7" s="287"/>
      <c r="DN7" s="287"/>
      <c r="DO7" s="287" t="s">
        <v>628</v>
      </c>
      <c r="DP7" s="287"/>
      <c r="DQ7" s="287"/>
      <c r="DR7" s="287"/>
      <c r="DS7" s="287" t="s">
        <v>628</v>
      </c>
      <c r="DT7" s="287"/>
      <c r="DU7" s="287"/>
      <c r="DV7" s="287"/>
      <c r="DW7" s="287" t="s">
        <v>628</v>
      </c>
      <c r="DX7" s="287"/>
      <c r="DY7" s="287"/>
      <c r="DZ7" s="287"/>
      <c r="EA7" s="287" t="s">
        <v>628</v>
      </c>
      <c r="EB7" s="287"/>
      <c r="EC7" s="287"/>
      <c r="ED7" s="287"/>
      <c r="EE7" s="287" t="s">
        <v>628</v>
      </c>
    </row>
    <row r="8" spans="2:135" s="150" customFormat="1" ht="13.15">
      <c r="B8" s="287" t="s">
        <v>11</v>
      </c>
      <c r="C8" s="287" t="s">
        <v>305</v>
      </c>
      <c r="D8" s="300" t="s">
        <v>306</v>
      </c>
      <c r="E8" s="287" t="s">
        <v>329</v>
      </c>
      <c r="F8" s="287" t="s">
        <v>481</v>
      </c>
      <c r="G8" s="287" t="s">
        <v>394</v>
      </c>
      <c r="H8" s="287">
        <v>2010</v>
      </c>
      <c r="I8" s="287">
        <v>50</v>
      </c>
      <c r="J8" s="287">
        <v>8.3099999999999993E-2</v>
      </c>
      <c r="K8" s="287">
        <v>2.8400000000000001E-3</v>
      </c>
      <c r="L8" s="287">
        <v>2.8400000000000002E-4</v>
      </c>
      <c r="M8" s="287">
        <v>2.5494307400379501E-2</v>
      </c>
      <c r="N8" s="287">
        <v>6.8834629981024678E-3</v>
      </c>
      <c r="O8" s="287">
        <v>83.1</v>
      </c>
      <c r="P8" s="287">
        <v>0.83858254269449717</v>
      </c>
      <c r="Q8" s="287">
        <v>0.83858254269449717</v>
      </c>
      <c r="R8" s="287">
        <v>0.83858254269449717</v>
      </c>
      <c r="S8" s="287">
        <v>0.83858254269449717</v>
      </c>
      <c r="T8" s="287">
        <v>0.23453782493904479</v>
      </c>
      <c r="U8" s="287">
        <v>0.23453782493904479</v>
      </c>
      <c r="V8" s="287">
        <v>0.23453782493904479</v>
      </c>
      <c r="W8" s="287">
        <v>0.23453782493904479</v>
      </c>
      <c r="X8" s="287">
        <v>8.4981024667931684E-2</v>
      </c>
      <c r="Y8" s="287">
        <v>8.4981024667931684E-2</v>
      </c>
      <c r="Z8" s="287">
        <v>8.4981024667931684E-2</v>
      </c>
      <c r="AA8" s="287">
        <v>8.4981024667931684E-2</v>
      </c>
      <c r="AB8" s="287">
        <v>7.6482922201138531E-2</v>
      </c>
      <c r="AC8" s="287">
        <v>7.6482922201138531E-2</v>
      </c>
      <c r="AD8" s="287">
        <v>7.6482922201138531E-2</v>
      </c>
      <c r="AE8" s="287">
        <v>7.6482922201138531E-2</v>
      </c>
      <c r="AF8" s="287">
        <v>9.3519924098671728E-2</v>
      </c>
      <c r="AG8" s="287">
        <v>9.3519924098671728E-2</v>
      </c>
      <c r="AH8" s="287">
        <v>9.3519924098671728E-2</v>
      </c>
      <c r="AI8" s="287">
        <v>9.3519924098671728E-2</v>
      </c>
      <c r="AJ8" s="287">
        <v>0.34250094876660342</v>
      </c>
      <c r="AK8" s="287">
        <v>0.34250094876660342</v>
      </c>
      <c r="AL8" s="287">
        <v>0.34250094876660342</v>
      </c>
      <c r="AM8" s="287">
        <v>0.34250094876660342</v>
      </c>
      <c r="AN8" s="287">
        <v>0.83858254269449717</v>
      </c>
      <c r="AO8" s="287">
        <v>0.83858254269449717</v>
      </c>
      <c r="AP8" s="287">
        <v>0.83858254269449717</v>
      </c>
      <c r="AQ8" s="287">
        <v>0.83858254269449717</v>
      </c>
      <c r="AR8" s="287">
        <v>0.23453782493904479</v>
      </c>
      <c r="AS8" s="287">
        <v>0.23453782493904479</v>
      </c>
      <c r="AT8" s="287">
        <v>0.23453782493904479</v>
      </c>
      <c r="AU8" s="287">
        <v>0.23453782493904479</v>
      </c>
      <c r="AV8" s="287">
        <v>8.4981024667931684E-2</v>
      </c>
      <c r="AW8" s="287">
        <v>8.4981024667931684E-2</v>
      </c>
      <c r="AX8" s="287">
        <v>8.4981024667931684E-2</v>
      </c>
      <c r="AY8" s="287">
        <v>8.4981024667931684E-2</v>
      </c>
      <c r="AZ8" s="287"/>
      <c r="BA8" s="287"/>
      <c r="BB8" s="287"/>
      <c r="BC8" s="287" t="s">
        <v>628</v>
      </c>
      <c r="BD8" s="287"/>
      <c r="BE8" s="287"/>
      <c r="BF8" s="287"/>
      <c r="BG8" s="287" t="s">
        <v>628</v>
      </c>
      <c r="BH8" s="287"/>
      <c r="BI8" s="287"/>
      <c r="BJ8" s="287"/>
      <c r="BK8" s="287" t="s">
        <v>628</v>
      </c>
      <c r="BL8" s="287"/>
      <c r="BM8" s="287"/>
      <c r="BN8" s="287"/>
      <c r="BO8" s="287" t="s">
        <v>628</v>
      </c>
      <c r="BP8" s="287"/>
      <c r="BQ8" s="287"/>
      <c r="BR8" s="287"/>
      <c r="BS8" s="287" t="s">
        <v>628</v>
      </c>
      <c r="BT8" s="287"/>
      <c r="BU8" s="287"/>
      <c r="BV8" s="287"/>
      <c r="BW8" s="287" t="s">
        <v>628</v>
      </c>
      <c r="BX8" s="287"/>
      <c r="BY8" s="287"/>
      <c r="BZ8" s="287"/>
      <c r="CA8" s="287" t="s">
        <v>628</v>
      </c>
      <c r="CB8" s="287"/>
      <c r="CC8" s="287"/>
      <c r="CD8" s="287"/>
      <c r="CE8" s="287" t="s">
        <v>628</v>
      </c>
      <c r="CF8" s="287"/>
      <c r="CG8" s="287"/>
      <c r="CH8" s="287"/>
      <c r="CI8" s="287" t="s">
        <v>628</v>
      </c>
      <c r="CJ8" s="287"/>
      <c r="CK8" s="287"/>
      <c r="CL8" s="287"/>
      <c r="CM8" s="287" t="s">
        <v>628</v>
      </c>
      <c r="CN8" s="287"/>
      <c r="CO8" s="287"/>
      <c r="CP8" s="287"/>
      <c r="CQ8" s="287" t="s">
        <v>628</v>
      </c>
      <c r="CR8" s="287"/>
      <c r="CS8" s="287"/>
      <c r="CT8" s="287"/>
      <c r="CU8" s="287" t="s">
        <v>628</v>
      </c>
      <c r="CV8" s="287"/>
      <c r="CW8" s="287"/>
      <c r="CX8" s="287"/>
      <c r="CY8" s="287" t="s">
        <v>628</v>
      </c>
      <c r="CZ8" s="287"/>
      <c r="DA8" s="287"/>
      <c r="DB8" s="287"/>
      <c r="DC8" s="287" t="s">
        <v>628</v>
      </c>
      <c r="DD8" s="287"/>
      <c r="DE8" s="287"/>
      <c r="DF8" s="287"/>
      <c r="DG8" s="287" t="s">
        <v>628</v>
      </c>
      <c r="DH8" s="287"/>
      <c r="DI8" s="287"/>
      <c r="DJ8" s="287"/>
      <c r="DK8" s="287" t="s">
        <v>628</v>
      </c>
      <c r="DL8" s="287"/>
      <c r="DM8" s="287"/>
      <c r="DN8" s="287"/>
      <c r="DO8" s="287" t="s">
        <v>628</v>
      </c>
      <c r="DP8" s="287"/>
      <c r="DQ8" s="287"/>
      <c r="DR8" s="287"/>
      <c r="DS8" s="287" t="s">
        <v>628</v>
      </c>
      <c r="DT8" s="287"/>
      <c r="DU8" s="287"/>
      <c r="DV8" s="287"/>
      <c r="DW8" s="287" t="s">
        <v>628</v>
      </c>
      <c r="DX8" s="287"/>
      <c r="DY8" s="287"/>
      <c r="DZ8" s="287"/>
      <c r="EA8" s="287" t="s">
        <v>628</v>
      </c>
      <c r="EB8" s="287"/>
      <c r="EC8" s="287"/>
      <c r="ED8" s="287"/>
      <c r="EE8" s="287" t="s">
        <v>628</v>
      </c>
    </row>
  </sheetData>
  <dataValidations count="6">
    <dataValidation allowBlank="1" showInputMessage="1" showErrorMessage="1" promptTitle="Size of tables is flexible" prompt="~FI_T tables are built using the row column headers before &amp; below the ~ tag to identify the TechName, TechDesc, Comm-IN, Comm-OUT, and the relevant years of data (Year). Then data column headers are used to provide the data describing the processes." sqref="G3" xr:uid="{010DB52F-6358-4F8E-9564-28D3DEA3BB56}"/>
    <dataValidation allowBlank="1" showInputMessage="1" showErrorMessage="1" prompt="Process Names" sqref="C4" xr:uid="{C18B9851-2513-4282-8805-5C1658578E5E}"/>
    <dataValidation allowBlank="1" showInputMessage="1" showErrorMessage="1" prompt="Process Descriptions" sqref="D4" xr:uid="{315B4716-650D-418F-9666-08D106106B70}"/>
    <dataValidation allowBlank="1" showInputMessage="1" showErrorMessage="1" prompt="Commodity Inputs" sqref="F4" xr:uid="{8802C841-AE35-4E1E-B6EA-E77DAC28C5E7}"/>
    <dataValidation allowBlank="1" showInputMessage="1" showErrorMessage="1" prompt="Commodity Outputs" sqref="G4" xr:uid="{78D08988-29B7-4F1F-983A-CA6B1F65CD3E}"/>
    <dataValidation allowBlank="1" showInputMessage="1" showErrorMessage="1" prompt="Region names" sqref="B4" xr:uid="{0770CD72-A1EE-4B5D-B998-AD60D1CA898E}"/>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98561-91B3-4CC8-90F3-1502FFC4CF2E}">
  <dimension ref="A1:DK291"/>
  <sheetViews>
    <sheetView workbookViewId="0"/>
  </sheetViews>
  <sheetFormatPr defaultRowHeight="13.9"/>
  <cols>
    <col min="1" max="1" width="18.625" customWidth="1"/>
    <col min="2" max="2" width="11.25" customWidth="1"/>
    <col min="3" max="3" width="12.25" customWidth="1"/>
    <col min="4" max="6" width="11.25" customWidth="1"/>
    <col min="7" max="7" width="12.25" customWidth="1"/>
    <col min="9" max="9" width="18.625" customWidth="1"/>
    <col min="10" max="10" width="7.25" customWidth="1"/>
    <col min="11" max="11" width="14" customWidth="1"/>
    <col min="12" max="12" width="6.25" customWidth="1"/>
    <col min="13" max="13" width="9.75" customWidth="1"/>
    <col min="14" max="14" width="10.75" customWidth="1"/>
    <col min="15" max="15" width="8.375" customWidth="1"/>
    <col min="28" max="115" width="9" style="134"/>
  </cols>
  <sheetData>
    <row r="1" spans="1:28">
      <c r="A1" s="131"/>
      <c r="B1" s="132" t="s">
        <v>629</v>
      </c>
      <c r="C1" s="132" t="s">
        <v>630</v>
      </c>
      <c r="D1" s="132" t="s">
        <v>631</v>
      </c>
      <c r="E1" s="132" t="s">
        <v>632</v>
      </c>
      <c r="F1" s="132" t="s">
        <v>633</v>
      </c>
      <c r="G1" s="131" t="s">
        <v>634</v>
      </c>
      <c r="H1" s="131"/>
      <c r="I1" s="131"/>
      <c r="J1" s="131"/>
      <c r="K1" s="131"/>
      <c r="L1" s="131"/>
      <c r="M1" s="131"/>
      <c r="N1" s="131"/>
      <c r="O1" s="131"/>
      <c r="P1" s="131"/>
      <c r="Q1" s="131"/>
      <c r="R1" s="131"/>
      <c r="S1" s="131"/>
      <c r="T1" s="131"/>
      <c r="U1" s="131"/>
      <c r="V1" s="131"/>
      <c r="W1" s="131"/>
      <c r="X1" s="131"/>
      <c r="Y1" s="131"/>
      <c r="Z1" s="131"/>
      <c r="AA1" s="131"/>
      <c r="AB1" s="133"/>
    </row>
    <row r="2" spans="1:28">
      <c r="A2" s="131" t="s">
        <v>635</v>
      </c>
      <c r="B2" s="135">
        <v>8460295.6592598446</v>
      </c>
      <c r="C2" s="135">
        <v>29186361.566191815</v>
      </c>
      <c r="D2" s="135">
        <v>8003998.3410948738</v>
      </c>
      <c r="E2" s="135">
        <v>5537647.8334544301</v>
      </c>
      <c r="F2" s="135">
        <v>2929826.6911631091</v>
      </c>
      <c r="G2" s="136">
        <v>54118130.091164075</v>
      </c>
      <c r="H2" s="131"/>
      <c r="I2" s="131"/>
      <c r="J2" s="131"/>
      <c r="K2" s="131"/>
      <c r="L2" s="131"/>
      <c r="M2" s="131"/>
      <c r="N2" s="131"/>
      <c r="O2" s="131"/>
      <c r="P2" s="131"/>
      <c r="Q2" s="131"/>
      <c r="R2" s="131"/>
      <c r="S2" s="131"/>
      <c r="T2" s="131"/>
      <c r="U2" s="131"/>
      <c r="V2" s="131"/>
      <c r="W2" s="131"/>
      <c r="X2" s="131"/>
      <c r="Y2" s="131"/>
      <c r="Z2" s="131"/>
      <c r="AA2" s="131"/>
      <c r="AB2" s="133"/>
    </row>
    <row r="3" spans="1:28">
      <c r="A3" s="132" t="s">
        <v>636</v>
      </c>
      <c r="B3" s="135">
        <v>19885543</v>
      </c>
      <c r="C3" s="135">
        <v>31859848</v>
      </c>
      <c r="D3" s="135">
        <v>63229620.15442849</v>
      </c>
      <c r="E3" s="135">
        <v>18987066.663351629</v>
      </c>
      <c r="F3" s="135">
        <v>30357435.168775488</v>
      </c>
      <c r="G3" s="136">
        <v>164319512.98655561</v>
      </c>
      <c r="H3" s="131"/>
      <c r="I3" s="131"/>
      <c r="J3" s="131"/>
      <c r="K3" s="131"/>
      <c r="L3" s="131"/>
      <c r="M3" s="131"/>
      <c r="N3" s="131"/>
      <c r="O3" s="131"/>
      <c r="P3" s="131"/>
      <c r="Q3" s="131"/>
      <c r="R3" s="131"/>
      <c r="S3" s="131"/>
      <c r="T3" s="131"/>
      <c r="U3" s="131"/>
      <c r="V3" s="131"/>
      <c r="W3" s="131"/>
      <c r="X3" s="131"/>
      <c r="Y3" s="131"/>
      <c r="Z3" s="131"/>
      <c r="AA3" s="131"/>
      <c r="AB3" s="133"/>
    </row>
    <row r="4" spans="1:28">
      <c r="A4" s="132" t="s">
        <v>637</v>
      </c>
      <c r="B4" s="135">
        <v>51014236.484452657</v>
      </c>
      <c r="C4" s="135">
        <v>126522055.86150233</v>
      </c>
      <c r="D4" s="135">
        <v>72977381.157310739</v>
      </c>
      <c r="E4" s="135">
        <v>34299730.702522986</v>
      </c>
      <c r="F4" s="135">
        <v>25470689.013762552</v>
      </c>
      <c r="G4" s="136">
        <v>310284093.21955127</v>
      </c>
      <c r="H4" s="131"/>
      <c r="I4" s="131"/>
      <c r="J4" s="131"/>
      <c r="K4" s="131"/>
      <c r="L4" s="131"/>
      <c r="M4" s="131"/>
      <c r="N4" s="131"/>
      <c r="O4" s="131"/>
      <c r="P4" s="131"/>
      <c r="Q4" s="131"/>
      <c r="R4" s="131"/>
      <c r="S4" s="131"/>
      <c r="T4" s="131"/>
      <c r="U4" s="131"/>
      <c r="V4" s="131"/>
      <c r="W4" s="131"/>
      <c r="X4" s="131"/>
      <c r="Y4" s="131"/>
      <c r="Z4" s="131"/>
      <c r="AA4" s="131"/>
      <c r="AB4" s="133"/>
    </row>
    <row r="5" spans="1:28">
      <c r="A5" s="131" t="s">
        <v>638</v>
      </c>
      <c r="B5" s="131">
        <v>0</v>
      </c>
      <c r="C5" s="131">
        <v>0</v>
      </c>
      <c r="D5" s="136">
        <v>5976355.7606466021</v>
      </c>
      <c r="E5" s="136">
        <v>3532567.3439856311</v>
      </c>
      <c r="F5" s="131">
        <v>0</v>
      </c>
      <c r="G5" s="136">
        <v>9508923.1046322323</v>
      </c>
      <c r="H5" s="131"/>
      <c r="I5" s="131"/>
      <c r="J5" s="131"/>
      <c r="K5" s="131"/>
      <c r="L5" s="131"/>
      <c r="M5" s="131"/>
      <c r="N5" s="131"/>
      <c r="O5" s="131"/>
      <c r="P5" s="131"/>
      <c r="Q5" s="131"/>
      <c r="R5" s="131"/>
      <c r="S5" s="131"/>
      <c r="T5" s="131"/>
      <c r="U5" s="131"/>
      <c r="V5" s="131"/>
      <c r="W5" s="131"/>
      <c r="X5" s="131"/>
      <c r="Y5" s="131"/>
      <c r="Z5" s="131"/>
      <c r="AA5" s="131"/>
      <c r="AB5" s="133"/>
    </row>
    <row r="6" spans="1:28">
      <c r="A6" s="131"/>
      <c r="B6" s="131"/>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3"/>
    </row>
    <row r="7" spans="1:28">
      <c r="A7" s="137" t="s">
        <v>639</v>
      </c>
      <c r="B7" s="138" t="s">
        <v>640</v>
      </c>
      <c r="C7" s="138" t="s">
        <v>641</v>
      </c>
      <c r="D7" s="138" t="s">
        <v>642</v>
      </c>
      <c r="E7" s="138" t="s">
        <v>643</v>
      </c>
      <c r="F7" s="138" t="s">
        <v>644</v>
      </c>
      <c r="G7" s="138" t="s">
        <v>645</v>
      </c>
      <c r="H7" s="131"/>
      <c r="I7" s="137" t="s">
        <v>639</v>
      </c>
      <c r="J7" s="138" t="s">
        <v>640</v>
      </c>
      <c r="K7" s="138" t="s">
        <v>641</v>
      </c>
      <c r="L7" s="138" t="s">
        <v>642</v>
      </c>
      <c r="M7" s="138" t="s">
        <v>643</v>
      </c>
      <c r="N7" s="138" t="s">
        <v>644</v>
      </c>
      <c r="O7" s="138" t="s">
        <v>645</v>
      </c>
      <c r="P7" s="131"/>
      <c r="Q7" s="131"/>
      <c r="R7" s="131"/>
      <c r="S7" s="131"/>
      <c r="T7" s="131"/>
      <c r="U7" s="131"/>
      <c r="V7" s="131"/>
      <c r="W7" s="131"/>
      <c r="X7" s="131"/>
      <c r="Y7" s="131"/>
      <c r="Z7" s="131"/>
      <c r="AA7" s="131"/>
      <c r="AB7" s="133"/>
    </row>
    <row r="8" spans="1:28">
      <c r="A8" s="131" t="s">
        <v>629</v>
      </c>
      <c r="B8" s="139">
        <v>451052104</v>
      </c>
      <c r="C8" s="139">
        <v>141799753</v>
      </c>
      <c r="D8" s="139">
        <v>30184805.999999996</v>
      </c>
      <c r="E8" s="139">
        <v>240814156.00000003</v>
      </c>
      <c r="F8" s="139">
        <v>188837761</v>
      </c>
      <c r="G8" s="139">
        <v>1052688580</v>
      </c>
      <c r="H8" s="131"/>
      <c r="I8" s="131" t="s">
        <v>629</v>
      </c>
      <c r="J8" s="140">
        <v>0.42847629638007473</v>
      </c>
      <c r="K8" s="140">
        <v>0.13470247107648875</v>
      </c>
      <c r="L8" s="140">
        <v>2.8674012973523469E-2</v>
      </c>
      <c r="M8" s="140">
        <v>0.22876106055980966</v>
      </c>
      <c r="N8" s="140">
        <v>0.17938615901010344</v>
      </c>
      <c r="O8" s="140">
        <v>1</v>
      </c>
      <c r="P8" s="131"/>
      <c r="Q8" s="131"/>
      <c r="R8" s="131"/>
      <c r="S8" s="131"/>
      <c r="T8" s="131"/>
      <c r="U8" s="131"/>
      <c r="V8" s="131"/>
      <c r="W8" s="131"/>
      <c r="X8" s="131"/>
      <c r="Y8" s="131"/>
      <c r="Z8" s="131"/>
      <c r="AA8" s="131"/>
      <c r="AB8" s="133"/>
    </row>
    <row r="9" spans="1:28">
      <c r="A9" s="131" t="s">
        <v>630</v>
      </c>
      <c r="B9" s="139">
        <v>488073637</v>
      </c>
      <c r="C9" s="139">
        <v>365931051</v>
      </c>
      <c r="D9" s="139">
        <v>743673556</v>
      </c>
      <c r="E9" s="139">
        <v>235518283</v>
      </c>
      <c r="F9" s="139">
        <v>20635136</v>
      </c>
      <c r="G9" s="139">
        <v>1853831663</v>
      </c>
      <c r="H9" s="131"/>
      <c r="I9" s="131" t="s">
        <v>630</v>
      </c>
      <c r="J9" s="140">
        <v>0.26327829367752037</v>
      </c>
      <c r="K9" s="140">
        <v>0.19739173642542321</v>
      </c>
      <c r="L9" s="140">
        <v>0.40115484638801319</v>
      </c>
      <c r="M9" s="140">
        <v>0.12704405027739565</v>
      </c>
      <c r="N9" s="140">
        <v>1.1131073231647571E-2</v>
      </c>
      <c r="O9" s="140">
        <v>1</v>
      </c>
      <c r="P9" s="131"/>
      <c r="Q9" s="131"/>
      <c r="R9" s="131"/>
      <c r="S9" s="131"/>
      <c r="T9" s="131"/>
      <c r="U9" s="131"/>
      <c r="V9" s="131"/>
      <c r="W9" s="131"/>
      <c r="X9" s="131"/>
      <c r="Y9" s="131"/>
      <c r="Z9" s="131"/>
      <c r="AA9" s="131"/>
      <c r="AB9" s="133"/>
    </row>
    <row r="10" spans="1:28">
      <c r="A10" s="131" t="s">
        <v>631</v>
      </c>
      <c r="B10" s="139">
        <v>120536929</v>
      </c>
      <c r="C10" s="139">
        <v>52844931</v>
      </c>
      <c r="D10" s="139">
        <v>737990936</v>
      </c>
      <c r="E10" s="139">
        <v>81617104</v>
      </c>
      <c r="F10" s="139">
        <v>21255942</v>
      </c>
      <c r="G10" s="139">
        <v>1014245842</v>
      </c>
      <c r="H10" s="131"/>
      <c r="I10" s="131" t="s">
        <v>631</v>
      </c>
      <c r="J10" s="140">
        <v>0.11884389761195589</v>
      </c>
      <c r="K10" s="140">
        <v>5.2102684390398515E-2</v>
      </c>
      <c r="L10" s="140">
        <v>0.72762530092778044</v>
      </c>
      <c r="M10" s="140">
        <v>8.0470730685036421E-2</v>
      </c>
      <c r="N10" s="140">
        <v>2.0957386384828778E-2</v>
      </c>
      <c r="O10" s="140">
        <v>1</v>
      </c>
      <c r="P10" s="131"/>
      <c r="Q10" s="131"/>
      <c r="R10" s="131"/>
      <c r="S10" s="131"/>
      <c r="T10" s="131"/>
      <c r="U10" s="131"/>
      <c r="V10" s="131"/>
      <c r="W10" s="131"/>
      <c r="X10" s="131"/>
      <c r="Y10" s="131"/>
      <c r="Z10" s="131"/>
      <c r="AA10" s="131"/>
      <c r="AB10" s="133"/>
    </row>
    <row r="11" spans="1:28">
      <c r="A11" s="131" t="s">
        <v>633</v>
      </c>
      <c r="B11" s="139">
        <v>125278970</v>
      </c>
      <c r="C11" s="139">
        <v>43875351</v>
      </c>
      <c r="D11" s="139">
        <v>39271823</v>
      </c>
      <c r="E11" s="139">
        <v>77054457</v>
      </c>
      <c r="F11" s="139">
        <v>10499730</v>
      </c>
      <c r="G11" s="139">
        <v>295980331</v>
      </c>
      <c r="H11" s="131"/>
      <c r="I11" s="131" t="s">
        <v>633</v>
      </c>
      <c r="J11" s="140">
        <v>0.42326788937877091</v>
      </c>
      <c r="K11" s="140">
        <v>0.14823738743639692</v>
      </c>
      <c r="L11" s="140">
        <v>0.13268389445783815</v>
      </c>
      <c r="M11" s="140">
        <v>0.26033641066507218</v>
      </c>
      <c r="N11" s="140">
        <v>3.5474418061921822E-2</v>
      </c>
      <c r="O11" s="140">
        <v>1</v>
      </c>
      <c r="P11" s="131"/>
      <c r="Q11" s="131"/>
      <c r="R11" s="131"/>
      <c r="S11" s="131"/>
      <c r="T11" s="131"/>
      <c r="U11" s="131"/>
      <c r="V11" s="131"/>
      <c r="W11" s="131"/>
      <c r="X11" s="140"/>
      <c r="Y11" s="131"/>
      <c r="Z11" s="131"/>
      <c r="AA11" s="131"/>
      <c r="AB11" s="133"/>
    </row>
    <row r="12" spans="1:28">
      <c r="A12" s="131" t="s">
        <v>632</v>
      </c>
      <c r="B12" s="139">
        <v>154479825</v>
      </c>
      <c r="C12" s="139">
        <v>92417027</v>
      </c>
      <c r="D12" s="139">
        <v>163140516</v>
      </c>
      <c r="E12" s="139">
        <v>48554369</v>
      </c>
      <c r="F12" s="139">
        <v>25465478</v>
      </c>
      <c r="G12" s="139">
        <v>484057215</v>
      </c>
      <c r="H12" s="131"/>
      <c r="I12" s="131" t="s">
        <v>632</v>
      </c>
      <c r="J12" s="140">
        <v>0.31913546624855083</v>
      </c>
      <c r="K12" s="140">
        <v>0.19092170127037567</v>
      </c>
      <c r="L12" s="140">
        <v>0.33702734086919872</v>
      </c>
      <c r="M12" s="140">
        <v>0.10030708663231061</v>
      </c>
      <c r="N12" s="140">
        <v>5.2608404979564247E-2</v>
      </c>
      <c r="O12" s="140">
        <v>1</v>
      </c>
      <c r="P12" s="131"/>
      <c r="Q12" s="131"/>
      <c r="R12" s="131"/>
      <c r="S12" s="131"/>
      <c r="T12" s="131"/>
      <c r="U12" s="131"/>
      <c r="V12" s="131"/>
      <c r="W12" s="131"/>
      <c r="X12" s="131"/>
      <c r="Y12" s="131"/>
      <c r="Z12" s="131"/>
      <c r="AA12" s="131"/>
      <c r="AB12" s="133"/>
    </row>
    <row r="13" spans="1:28">
      <c r="A13" s="131"/>
      <c r="B13" s="139"/>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3"/>
    </row>
    <row r="14" spans="1:28">
      <c r="A14" s="131"/>
      <c r="B14" s="139">
        <v>275016754</v>
      </c>
      <c r="C14" s="139">
        <v>145261958</v>
      </c>
      <c r="D14" s="139">
        <v>901131452</v>
      </c>
      <c r="E14" s="139">
        <v>130171473</v>
      </c>
      <c r="F14" s="139">
        <v>46721420</v>
      </c>
      <c r="G14" s="139">
        <v>1498303057</v>
      </c>
      <c r="H14" s="131"/>
      <c r="I14" s="131"/>
      <c r="J14" s="131"/>
      <c r="K14" s="131"/>
      <c r="L14" s="131"/>
      <c r="M14" s="131"/>
      <c r="N14" s="131"/>
      <c r="O14" s="131"/>
      <c r="P14" s="131"/>
      <c r="Q14" s="131"/>
      <c r="R14" s="131"/>
      <c r="S14" s="140"/>
      <c r="T14" s="140"/>
      <c r="U14" s="140"/>
      <c r="V14" s="140"/>
      <c r="W14" s="140"/>
      <c r="X14" s="131"/>
      <c r="Y14" s="131"/>
      <c r="Z14" s="131"/>
      <c r="AA14" s="131"/>
      <c r="AB14" s="133"/>
    </row>
    <row r="15" spans="1:28">
      <c r="A15" s="137" t="s">
        <v>631</v>
      </c>
      <c r="B15" s="138" t="s">
        <v>640</v>
      </c>
      <c r="C15" s="138" t="s">
        <v>641</v>
      </c>
      <c r="D15" s="138" t="s">
        <v>642</v>
      </c>
      <c r="E15" s="138" t="s">
        <v>643</v>
      </c>
      <c r="F15" s="138" t="s">
        <v>644</v>
      </c>
      <c r="G15" s="131"/>
      <c r="H15" s="131"/>
      <c r="I15" s="131"/>
      <c r="J15" s="131"/>
      <c r="K15" s="131"/>
      <c r="L15" s="131"/>
      <c r="M15" s="131"/>
      <c r="N15" s="131"/>
      <c r="O15" s="131"/>
      <c r="P15" s="131"/>
      <c r="Q15" s="131"/>
      <c r="R15" s="131"/>
      <c r="S15" s="140"/>
      <c r="T15" s="140"/>
      <c r="U15" s="140"/>
      <c r="V15" s="140"/>
      <c r="W15" s="140"/>
      <c r="X15" s="131"/>
      <c r="Y15" s="131"/>
      <c r="Z15" s="131"/>
      <c r="AA15" s="131"/>
      <c r="AB15" s="133"/>
    </row>
    <row r="16" spans="1:28">
      <c r="A16" s="141" t="s">
        <v>631</v>
      </c>
      <c r="B16" s="142">
        <v>0.43828940327031857</v>
      </c>
      <c r="C16" s="142">
        <v>0.36379057344112076</v>
      </c>
      <c r="D16" s="142">
        <v>0.81896035740632434</v>
      </c>
      <c r="E16" s="142">
        <v>0.62699685360401503</v>
      </c>
      <c r="F16" s="142">
        <v>0.45495068428998947</v>
      </c>
      <c r="G16" s="131"/>
      <c r="H16" s="131"/>
      <c r="I16" s="131"/>
      <c r="J16" s="131"/>
      <c r="K16" s="131"/>
      <c r="L16" s="131"/>
      <c r="M16" s="131"/>
      <c r="N16" s="131"/>
      <c r="O16" s="131"/>
      <c r="P16" s="131"/>
      <c r="Q16" s="131"/>
      <c r="R16" s="131"/>
      <c r="S16" s="140"/>
      <c r="T16" s="140"/>
      <c r="U16" s="140"/>
      <c r="V16" s="140"/>
      <c r="W16" s="140"/>
      <c r="X16" s="131"/>
      <c r="Y16" s="131"/>
      <c r="Z16" s="131"/>
      <c r="AA16" s="131"/>
      <c r="AB16" s="133"/>
    </row>
    <row r="17" spans="1:28">
      <c r="A17" s="141" t="s">
        <v>632</v>
      </c>
      <c r="B17" s="142">
        <v>0.56171059672968138</v>
      </c>
      <c r="C17" s="142">
        <v>0.63620942655887924</v>
      </c>
      <c r="D17" s="142">
        <v>0.18103964259367566</v>
      </c>
      <c r="E17" s="142">
        <v>0.37300314639598492</v>
      </c>
      <c r="F17" s="142">
        <v>0.54504931571001047</v>
      </c>
      <c r="G17" s="131"/>
      <c r="H17" s="131"/>
      <c r="I17" s="131"/>
      <c r="J17" s="131"/>
      <c r="K17" s="131"/>
      <c r="L17" s="131"/>
      <c r="M17" s="131"/>
      <c r="N17" s="131"/>
      <c r="O17" s="131"/>
      <c r="P17" s="131"/>
      <c r="Q17" s="131"/>
      <c r="R17" s="131"/>
      <c r="S17" s="140"/>
      <c r="T17" s="140"/>
      <c r="U17" s="140"/>
      <c r="V17" s="140"/>
      <c r="W17" s="140"/>
      <c r="X17" s="131"/>
      <c r="Y17" s="131"/>
      <c r="Z17" s="131"/>
      <c r="AA17" s="131"/>
      <c r="AB17" s="133"/>
    </row>
    <row r="18" spans="1:28">
      <c r="A18" s="131"/>
      <c r="B18" s="140">
        <v>0.18355215436232003</v>
      </c>
      <c r="C18" s="140">
        <v>9.6950985530826428E-2</v>
      </c>
      <c r="D18" s="140">
        <v>0.60143470160456325</v>
      </c>
      <c r="E18" s="140">
        <v>8.6879268110576904E-2</v>
      </c>
      <c r="F18" s="140">
        <v>3.1182890391713323E-2</v>
      </c>
      <c r="G18" s="131"/>
      <c r="H18" s="131"/>
      <c r="I18" s="131"/>
      <c r="J18" s="131"/>
      <c r="K18" s="131"/>
      <c r="L18" s="131"/>
      <c r="M18" s="131"/>
      <c r="N18" s="131"/>
      <c r="O18" s="131"/>
      <c r="P18" s="131"/>
      <c r="Q18" s="131"/>
      <c r="R18" s="131"/>
      <c r="S18" s="140"/>
      <c r="T18" s="140"/>
      <c r="U18" s="140"/>
      <c r="V18" s="140"/>
      <c r="W18" s="140"/>
      <c r="X18" s="131"/>
      <c r="Y18" s="131"/>
      <c r="Z18" s="131"/>
      <c r="AA18" s="131"/>
      <c r="AB18" s="133"/>
    </row>
    <row r="19" spans="1:28">
      <c r="A19" s="131"/>
      <c r="B19" s="131"/>
      <c r="C19" s="131"/>
      <c r="D19" s="131"/>
      <c r="E19" s="131"/>
      <c r="F19" s="131"/>
      <c r="G19" s="131"/>
      <c r="H19" s="131"/>
      <c r="I19" s="131"/>
      <c r="J19" s="131"/>
      <c r="K19" s="131"/>
      <c r="L19" s="131"/>
      <c r="M19" s="131"/>
      <c r="N19" s="131"/>
      <c r="O19" s="131"/>
      <c r="P19" s="131"/>
      <c r="Q19" s="131"/>
      <c r="R19" s="131"/>
      <c r="S19" s="140"/>
      <c r="T19" s="140"/>
      <c r="U19" s="140"/>
      <c r="V19" s="140"/>
      <c r="W19" s="140"/>
      <c r="X19" s="131"/>
      <c r="Y19" s="131"/>
      <c r="Z19" s="131"/>
      <c r="AA19" s="131"/>
      <c r="AB19" s="133"/>
    </row>
    <row r="20" spans="1:28">
      <c r="A20" s="131"/>
      <c r="B20" s="131"/>
      <c r="C20" s="131"/>
      <c r="D20" s="131"/>
      <c r="E20" s="131"/>
      <c r="F20" s="131"/>
      <c r="G20" s="131"/>
      <c r="H20" s="131"/>
      <c r="I20" s="131"/>
      <c r="J20" s="131"/>
      <c r="K20" s="131"/>
      <c r="L20" s="131"/>
      <c r="M20" s="131"/>
      <c r="N20" s="131"/>
      <c r="O20" s="131"/>
      <c r="P20" s="131"/>
      <c r="Q20" s="131"/>
      <c r="R20" s="131"/>
      <c r="S20" s="140"/>
      <c r="T20" s="140"/>
      <c r="U20" s="140"/>
      <c r="V20" s="140"/>
      <c r="W20" s="140"/>
      <c r="X20" s="131"/>
      <c r="Y20" s="131"/>
      <c r="Z20" s="131"/>
      <c r="AA20" s="131"/>
      <c r="AB20" s="133"/>
    </row>
    <row r="21" spans="1:28">
      <c r="A21" s="131"/>
      <c r="B21" s="131"/>
      <c r="C21" s="131"/>
      <c r="D21" s="131"/>
      <c r="E21" s="131"/>
      <c r="F21" s="131"/>
      <c r="G21" s="131"/>
      <c r="H21" s="131"/>
      <c r="I21" s="131"/>
      <c r="J21" s="131"/>
      <c r="K21" s="131"/>
      <c r="L21" s="131"/>
      <c r="M21" s="131"/>
      <c r="N21" s="131"/>
      <c r="O21" s="131"/>
      <c r="P21" s="131"/>
      <c r="Q21" s="131"/>
      <c r="R21" s="131"/>
      <c r="S21" s="140"/>
      <c r="T21" s="140"/>
      <c r="U21" s="140"/>
      <c r="V21" s="140"/>
      <c r="W21" s="140"/>
      <c r="X21" s="131"/>
      <c r="Y21" s="131"/>
      <c r="Z21" s="131"/>
      <c r="AA21" s="131"/>
      <c r="AB21" s="133"/>
    </row>
    <row r="22" spans="1:28">
      <c r="A22" s="131" t="s">
        <v>646</v>
      </c>
      <c r="B22" s="131" t="s">
        <v>647</v>
      </c>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3"/>
    </row>
    <row r="23" spans="1:28">
      <c r="A23" s="131"/>
      <c r="B23" s="131"/>
      <c r="C23" s="131"/>
      <c r="D23" s="131"/>
      <c r="E23" s="131"/>
      <c r="F23" s="131"/>
      <c r="G23" s="131"/>
      <c r="H23" s="131"/>
      <c r="I23" s="131"/>
      <c r="J23" s="131"/>
      <c r="K23" s="131"/>
      <c r="L23" s="131"/>
      <c r="M23" s="131"/>
      <c r="N23" s="131"/>
      <c r="O23" s="131"/>
      <c r="P23" s="131"/>
      <c r="Q23" s="131"/>
      <c r="R23" s="131"/>
      <c r="S23" s="131"/>
      <c r="T23" s="131"/>
      <c r="U23" s="131"/>
      <c r="V23" s="131"/>
      <c r="W23" s="131"/>
      <c r="X23" s="131"/>
      <c r="Y23" s="131"/>
      <c r="Z23" s="131"/>
      <c r="AA23" s="131"/>
      <c r="AB23" s="133"/>
    </row>
    <row r="24" spans="1:28">
      <c r="A24" s="131"/>
      <c r="B24" s="131" t="s">
        <v>648</v>
      </c>
      <c r="C24" s="131" t="s">
        <v>630</v>
      </c>
      <c r="D24" s="131" t="s">
        <v>631</v>
      </c>
      <c r="E24" s="131" t="s">
        <v>633</v>
      </c>
      <c r="F24" s="131" t="s">
        <v>632</v>
      </c>
      <c r="G24" s="131"/>
      <c r="H24" s="131"/>
      <c r="I24" s="131"/>
      <c r="J24" s="131"/>
      <c r="K24" s="131" t="s">
        <v>649</v>
      </c>
      <c r="L24" s="131" t="s">
        <v>648</v>
      </c>
      <c r="M24" s="131" t="s">
        <v>630</v>
      </c>
      <c r="N24" s="131" t="s">
        <v>631</v>
      </c>
      <c r="O24" s="131" t="s">
        <v>633</v>
      </c>
      <c r="P24" s="131" t="s">
        <v>632</v>
      </c>
      <c r="Q24" s="143" t="s">
        <v>650</v>
      </c>
      <c r="R24" s="144"/>
      <c r="S24" s="144" t="s">
        <v>631</v>
      </c>
      <c r="T24" s="144" t="s">
        <v>632</v>
      </c>
      <c r="U24" s="144" t="s">
        <v>631</v>
      </c>
      <c r="V24" s="144" t="s">
        <v>633</v>
      </c>
      <c r="W24" s="144" t="s">
        <v>632</v>
      </c>
      <c r="X24" s="131"/>
      <c r="Y24" s="131"/>
      <c r="Z24" s="131"/>
      <c r="AA24" s="131"/>
      <c r="AB24" s="133"/>
    </row>
    <row r="25" spans="1:28">
      <c r="A25" s="131" t="s">
        <v>32</v>
      </c>
      <c r="B25" s="145">
        <v>0.12101753856601928</v>
      </c>
      <c r="C25" s="145">
        <v>0.19388962041657662</v>
      </c>
      <c r="D25" s="145">
        <v>0.38479678405328432</v>
      </c>
      <c r="E25" s="145">
        <v>0.18474637988526227</v>
      </c>
      <c r="F25" s="145">
        <v>0.11554967707885748</v>
      </c>
      <c r="G25" s="140">
        <v>0.99999999999999989</v>
      </c>
      <c r="H25" s="131"/>
      <c r="I25" s="131" t="s">
        <v>32</v>
      </c>
      <c r="J25" s="145">
        <v>0.73508036089914564</v>
      </c>
      <c r="K25" s="142">
        <v>447.63833799999998</v>
      </c>
      <c r="L25" s="142">
        <v>54.172089832543769</v>
      </c>
      <c r="M25" s="142">
        <v>86.792427438727216</v>
      </c>
      <c r="N25" s="142">
        <v>172.24979288135708</v>
      </c>
      <c r="O25" s="142">
        <v>82.699562443355433</v>
      </c>
      <c r="P25" s="142">
        <v>51.724465404016456</v>
      </c>
      <c r="Q25" s="146">
        <v>0</v>
      </c>
      <c r="R25" s="144" t="s">
        <v>32</v>
      </c>
      <c r="S25" s="147">
        <v>-172.24979288135708</v>
      </c>
      <c r="T25" s="147">
        <v>-51.724465404016456</v>
      </c>
      <c r="U25" s="147"/>
      <c r="V25" s="147"/>
      <c r="W25" s="147"/>
      <c r="X25" s="131"/>
      <c r="Y25" s="131"/>
      <c r="Z25" s="131"/>
      <c r="AA25" s="131"/>
      <c r="AB25" s="133"/>
    </row>
    <row r="26" spans="1:28">
      <c r="A26" s="131" t="s">
        <v>651</v>
      </c>
      <c r="B26" s="145">
        <v>0.164411381695793</v>
      </c>
      <c r="C26" s="145">
        <v>0.40776197886489035</v>
      </c>
      <c r="D26" s="145">
        <v>0.23519536692998727</v>
      </c>
      <c r="E26" s="145">
        <v>8.2088284802082856E-2</v>
      </c>
      <c r="F26" s="145">
        <v>0.11054298770724651</v>
      </c>
      <c r="G26" s="140">
        <v>1</v>
      </c>
      <c r="H26" s="131"/>
      <c r="I26" s="131" t="s">
        <v>651</v>
      </c>
      <c r="J26" s="145">
        <v>0.19845822321575829</v>
      </c>
      <c r="K26" s="142">
        <v>271.99211200000002</v>
      </c>
      <c r="L26" s="142">
        <v>44.718598944276884</v>
      </c>
      <c r="M26" s="142">
        <v>110.9080418247609</v>
      </c>
      <c r="N26" s="142">
        <v>63.971284583902197</v>
      </c>
      <c r="O26" s="142">
        <v>22.32736595377602</v>
      </c>
      <c r="P26" s="142">
        <v>30.066820693284019</v>
      </c>
      <c r="Q26" s="146">
        <v>0</v>
      </c>
      <c r="R26" s="144" t="s">
        <v>651</v>
      </c>
      <c r="S26" s="147">
        <v>-63.971284583902197</v>
      </c>
      <c r="T26" s="147">
        <v>-30.066820693284019</v>
      </c>
      <c r="U26" s="147"/>
      <c r="V26" s="147"/>
      <c r="W26" s="147"/>
      <c r="X26" s="131"/>
      <c r="Y26" s="131"/>
      <c r="Z26" s="131"/>
      <c r="AA26" s="131"/>
      <c r="AB26" s="133"/>
    </row>
    <row r="27" spans="1:28">
      <c r="A27" s="131" t="s">
        <v>652</v>
      </c>
      <c r="B27" s="145">
        <v>0.15633015488539886</v>
      </c>
      <c r="C27" s="145">
        <v>0.53930838920388169</v>
      </c>
      <c r="D27" s="145">
        <v>0.14789864926248986</v>
      </c>
      <c r="E27" s="145">
        <v>5.4137618691327716E-2</v>
      </c>
      <c r="F27" s="145">
        <v>0.10232518795690186</v>
      </c>
      <c r="G27" s="140">
        <v>0.99999999999999989</v>
      </c>
      <c r="H27" s="131"/>
      <c r="I27" s="131" t="s">
        <v>652</v>
      </c>
      <c r="J27" s="145">
        <v>6.6461415885096062E-2</v>
      </c>
      <c r="K27" s="142">
        <v>138.11435900000001</v>
      </c>
      <c r="L27" s="142">
        <v>21.591439134367583</v>
      </c>
      <c r="M27" s="142">
        <v>74.48623247821665</v>
      </c>
      <c r="N27" s="142">
        <v>20.426927139854609</v>
      </c>
      <c r="O27" s="142">
        <v>7.4771825033391464</v>
      </c>
      <c r="P27" s="142">
        <v>14.13257774422202</v>
      </c>
      <c r="Q27" s="146">
        <v>0</v>
      </c>
      <c r="R27" s="144" t="s">
        <v>652</v>
      </c>
      <c r="S27" s="147">
        <v>-20.426927139854609</v>
      </c>
      <c r="T27" s="147">
        <v>-14.13257774422202</v>
      </c>
      <c r="U27" s="147"/>
      <c r="V27" s="147"/>
      <c r="W27" s="147"/>
      <c r="X27" s="131"/>
      <c r="Y27" s="131"/>
      <c r="Z27" s="131"/>
      <c r="AA27" s="131"/>
      <c r="AB27" s="133"/>
    </row>
    <row r="28" spans="1:28">
      <c r="A28" s="131" t="s">
        <v>638</v>
      </c>
      <c r="B28" s="145">
        <v>0</v>
      </c>
      <c r="C28" s="145">
        <v>0</v>
      </c>
      <c r="D28" s="145">
        <v>0.62849974648919449</v>
      </c>
      <c r="E28" s="145">
        <v>0</v>
      </c>
      <c r="F28" s="145">
        <v>0.37150025351080562</v>
      </c>
      <c r="G28" s="140">
        <v>1</v>
      </c>
      <c r="H28" s="131"/>
      <c r="I28" s="131" t="s">
        <v>638</v>
      </c>
      <c r="J28" s="131"/>
      <c r="K28" s="142">
        <v>16.342311377027659</v>
      </c>
      <c r="L28" s="142">
        <v>0</v>
      </c>
      <c r="M28" s="142">
        <v>0</v>
      </c>
      <c r="N28" s="142">
        <v>7.5952768455378816</v>
      </c>
      <c r="O28" s="142">
        <v>4.2575382518749905</v>
      </c>
      <c r="P28" s="142">
        <v>4.4894962796147873</v>
      </c>
      <c r="Q28" s="131"/>
      <c r="R28" s="131"/>
      <c r="S28" s="131"/>
      <c r="T28" s="131"/>
      <c r="U28" s="131"/>
      <c r="V28" s="131"/>
      <c r="W28" s="131"/>
      <c r="X28" s="131"/>
      <c r="Y28" s="131"/>
      <c r="Z28" s="131"/>
      <c r="AA28" s="131"/>
      <c r="AB28" s="133"/>
    </row>
    <row r="29" spans="1:28">
      <c r="A29" s="131"/>
      <c r="B29" s="145"/>
      <c r="C29" s="140"/>
      <c r="D29" s="140"/>
      <c r="E29" s="140"/>
      <c r="F29" s="140"/>
      <c r="G29" s="140"/>
      <c r="H29" s="131"/>
      <c r="I29" s="131"/>
      <c r="J29" s="131"/>
      <c r="K29" s="131"/>
      <c r="L29" s="131"/>
      <c r="M29" s="131"/>
      <c r="N29" s="131"/>
      <c r="O29" s="140">
        <v>112.50411090047061</v>
      </c>
      <c r="P29" s="131"/>
      <c r="Q29" s="131"/>
      <c r="R29" s="131"/>
      <c r="S29" s="131"/>
      <c r="T29" s="131"/>
      <c r="U29" s="131"/>
      <c r="V29" s="131"/>
      <c r="W29" s="131"/>
      <c r="X29" s="131"/>
      <c r="Y29" s="131"/>
      <c r="Z29" s="131"/>
      <c r="AA29" s="131"/>
      <c r="AB29" s="133"/>
    </row>
    <row r="30" spans="1:28" s="134" customFormat="1">
      <c r="I30" s="131"/>
    </row>
    <row r="31" spans="1:28" s="134" customFormat="1">
      <c r="I31" s="131"/>
    </row>
    <row r="32" spans="1:28" s="134" customFormat="1">
      <c r="I32" s="131"/>
    </row>
    <row r="33" s="134" customFormat="1"/>
    <row r="34" s="134" customFormat="1"/>
    <row r="35" s="134" customFormat="1"/>
    <row r="36" s="134" customFormat="1"/>
    <row r="37" s="134" customFormat="1"/>
    <row r="38" s="134" customFormat="1"/>
    <row r="39" s="134" customFormat="1"/>
    <row r="40" s="134" customFormat="1"/>
    <row r="41" s="134" customFormat="1"/>
    <row r="42" s="134" customFormat="1"/>
    <row r="43" s="134" customFormat="1"/>
    <row r="44" s="134" customFormat="1"/>
    <row r="45" s="134" customFormat="1"/>
    <row r="46" s="134" customFormat="1"/>
    <row r="47" s="134" customFormat="1"/>
    <row r="48" s="134" customFormat="1"/>
    <row r="49" s="134" customFormat="1"/>
    <row r="50" s="134" customFormat="1"/>
    <row r="51" s="134" customFormat="1"/>
    <row r="52" s="134" customFormat="1"/>
    <row r="53" s="134" customFormat="1"/>
    <row r="54" s="134" customFormat="1"/>
    <row r="55" s="134" customFormat="1"/>
    <row r="56" s="134" customFormat="1"/>
    <row r="57" s="134" customFormat="1"/>
    <row r="58" s="134" customFormat="1"/>
    <row r="59" s="134" customFormat="1"/>
    <row r="60" s="134" customFormat="1"/>
    <row r="61" s="134" customFormat="1"/>
    <row r="62" s="134" customFormat="1"/>
    <row r="63" s="134" customFormat="1"/>
    <row r="64" s="134" customFormat="1"/>
    <row r="65" s="134" customFormat="1"/>
    <row r="66" s="134" customFormat="1"/>
    <row r="67" s="134" customFormat="1"/>
    <row r="68" s="134" customFormat="1"/>
    <row r="69" s="134" customFormat="1"/>
    <row r="70" s="134" customFormat="1"/>
    <row r="71" s="134" customFormat="1"/>
    <row r="72" s="134" customFormat="1"/>
    <row r="73" s="134" customFormat="1"/>
    <row r="74" s="134" customFormat="1"/>
    <row r="75" s="134" customFormat="1"/>
    <row r="76" s="134" customFormat="1"/>
    <row r="77" s="134" customFormat="1"/>
    <row r="78" s="134" customFormat="1"/>
    <row r="79" s="134" customFormat="1"/>
    <row r="80" s="134" customFormat="1"/>
    <row r="81" s="134" customFormat="1"/>
    <row r="82" s="134" customFormat="1"/>
    <row r="83" s="134" customFormat="1"/>
    <row r="84" s="134" customFormat="1"/>
    <row r="85" s="134" customFormat="1"/>
    <row r="86" s="134" customFormat="1"/>
    <row r="87" s="134" customFormat="1"/>
    <row r="88" s="134" customFormat="1"/>
    <row r="89" s="134" customFormat="1"/>
    <row r="90" s="134" customFormat="1"/>
    <row r="91" s="134" customFormat="1"/>
    <row r="92" s="134" customFormat="1"/>
    <row r="93" s="134" customFormat="1"/>
    <row r="94" s="134" customFormat="1"/>
    <row r="95" s="134" customFormat="1"/>
    <row r="96" s="134" customFormat="1"/>
    <row r="97" s="134" customFormat="1"/>
    <row r="98" s="134" customFormat="1"/>
    <row r="99" s="134" customFormat="1"/>
    <row r="100" s="134" customFormat="1"/>
    <row r="101" s="134" customFormat="1"/>
    <row r="102" s="134" customFormat="1"/>
    <row r="103" s="134" customFormat="1"/>
    <row r="104" s="134" customFormat="1"/>
    <row r="105" s="134" customFormat="1"/>
    <row r="106" s="134" customFormat="1"/>
    <row r="107" s="134" customFormat="1"/>
    <row r="108" s="134" customFormat="1"/>
    <row r="109" s="134" customFormat="1"/>
    <row r="110" s="134" customFormat="1"/>
    <row r="111" s="134" customFormat="1"/>
    <row r="112" s="134" customFormat="1"/>
    <row r="113" s="134" customFormat="1"/>
    <row r="114" s="134" customFormat="1"/>
    <row r="115" s="134" customFormat="1"/>
    <row r="116" s="134" customFormat="1"/>
    <row r="117" s="134" customFormat="1"/>
    <row r="118" s="134" customFormat="1"/>
    <row r="119" s="134" customFormat="1"/>
    <row r="120" s="134" customFormat="1"/>
    <row r="121" s="134" customFormat="1"/>
    <row r="122" s="134" customFormat="1"/>
    <row r="123" s="134" customFormat="1"/>
    <row r="124" s="134" customFormat="1"/>
    <row r="125" s="134" customFormat="1"/>
    <row r="126" s="134" customFormat="1"/>
    <row r="127" s="134" customFormat="1"/>
    <row r="128" s="134" customFormat="1"/>
    <row r="129" s="134" customFormat="1"/>
    <row r="130" s="134" customFormat="1"/>
    <row r="131" s="134" customFormat="1"/>
    <row r="132" s="134" customFormat="1"/>
    <row r="133" s="134" customFormat="1"/>
    <row r="134" s="134" customFormat="1"/>
    <row r="135" s="134" customFormat="1"/>
    <row r="136" s="134" customFormat="1"/>
    <row r="137" s="134" customFormat="1"/>
    <row r="138" s="134" customFormat="1"/>
    <row r="139" s="134" customFormat="1"/>
    <row r="140" s="134" customFormat="1"/>
    <row r="141" s="134" customFormat="1"/>
    <row r="142" s="134" customFormat="1"/>
    <row r="143" s="134" customFormat="1"/>
    <row r="144" s="134" customFormat="1"/>
    <row r="145" s="134" customFormat="1"/>
    <row r="146" s="134" customFormat="1"/>
    <row r="147" s="134" customFormat="1"/>
    <row r="148" s="134" customFormat="1"/>
    <row r="149" s="134" customFormat="1"/>
    <row r="150" s="134" customFormat="1"/>
    <row r="151" s="134" customFormat="1"/>
    <row r="152" s="134" customFormat="1"/>
    <row r="153" s="134" customFormat="1"/>
    <row r="154" s="134" customFormat="1"/>
    <row r="155" s="134" customFormat="1"/>
    <row r="156" s="134" customFormat="1"/>
    <row r="157" s="134" customFormat="1"/>
    <row r="158" s="134" customFormat="1"/>
    <row r="159" s="134" customFormat="1"/>
    <row r="160" s="134" customFormat="1"/>
    <row r="161" s="134" customFormat="1"/>
    <row r="162" s="134" customFormat="1"/>
    <row r="163" s="134" customFormat="1"/>
    <row r="164" s="134" customFormat="1"/>
    <row r="165" s="134" customFormat="1"/>
    <row r="166" s="134" customFormat="1"/>
    <row r="167" s="134" customFormat="1"/>
    <row r="168" s="134" customFormat="1"/>
    <row r="169" s="134" customFormat="1"/>
    <row r="170" s="134" customFormat="1"/>
    <row r="171" s="134" customFormat="1"/>
    <row r="172" s="134" customFormat="1"/>
    <row r="173" s="134" customFormat="1"/>
    <row r="174" s="134" customFormat="1"/>
    <row r="175" s="134" customFormat="1"/>
    <row r="176" s="134" customFormat="1"/>
    <row r="177" s="134" customFormat="1"/>
    <row r="178" s="134" customFormat="1"/>
    <row r="179" s="134" customFormat="1"/>
    <row r="180" s="134" customFormat="1"/>
    <row r="181" s="134" customFormat="1"/>
    <row r="182" s="134" customFormat="1"/>
    <row r="183" s="134" customFormat="1"/>
    <row r="184" s="134" customFormat="1"/>
    <row r="185" s="134" customFormat="1"/>
    <row r="186" s="134" customFormat="1"/>
    <row r="187" s="134" customFormat="1"/>
    <row r="188" s="134" customFormat="1"/>
    <row r="189" s="134" customFormat="1"/>
    <row r="190" s="134" customFormat="1"/>
    <row r="191" s="134" customFormat="1"/>
    <row r="192" s="134" customFormat="1"/>
    <row r="193" s="134" customFormat="1"/>
    <row r="194" s="134" customFormat="1"/>
    <row r="195" s="134" customFormat="1"/>
    <row r="196" s="134" customFormat="1"/>
    <row r="197" s="134" customFormat="1"/>
    <row r="198" s="134" customFormat="1"/>
    <row r="199" s="134" customFormat="1"/>
    <row r="200" s="134" customFormat="1"/>
    <row r="201" s="134" customFormat="1"/>
    <row r="202" s="134" customFormat="1"/>
    <row r="203" s="134" customFormat="1"/>
    <row r="204" s="134" customFormat="1"/>
    <row r="205" s="134" customFormat="1"/>
    <row r="206" s="134" customFormat="1"/>
    <row r="207" s="134" customFormat="1"/>
    <row r="208" s="134" customFormat="1"/>
    <row r="209" s="134" customFormat="1"/>
    <row r="210" s="134" customFormat="1"/>
    <row r="211" s="134" customFormat="1"/>
    <row r="212" s="134" customFormat="1"/>
    <row r="213" s="134" customFormat="1"/>
    <row r="214" s="134" customFormat="1"/>
    <row r="215" s="134" customFormat="1"/>
    <row r="216" s="134" customFormat="1"/>
    <row r="217" s="134" customFormat="1"/>
    <row r="218" s="134" customFormat="1"/>
    <row r="219" s="134" customFormat="1"/>
    <row r="220" s="134" customFormat="1"/>
    <row r="221" s="134" customFormat="1"/>
    <row r="222" s="134" customFormat="1"/>
    <row r="223" s="134" customFormat="1"/>
    <row r="224" s="134" customFormat="1"/>
    <row r="225" s="134" customFormat="1"/>
    <row r="226" s="134" customFormat="1"/>
    <row r="227" s="134" customFormat="1"/>
    <row r="228" s="134" customFormat="1"/>
    <row r="229" s="134" customFormat="1"/>
    <row r="230" s="134" customFormat="1"/>
    <row r="231" s="134" customFormat="1"/>
    <row r="232" s="134" customFormat="1"/>
    <row r="233" s="134" customFormat="1"/>
    <row r="234" s="134" customFormat="1"/>
    <row r="235" s="134" customFormat="1"/>
    <row r="236" s="134" customFormat="1"/>
    <row r="237" s="134" customFormat="1"/>
    <row r="238" s="134" customFormat="1"/>
    <row r="239" s="134" customFormat="1"/>
    <row r="240" s="134" customFormat="1"/>
    <row r="241" s="134" customFormat="1"/>
    <row r="242" s="134" customFormat="1"/>
    <row r="243" s="134" customFormat="1"/>
    <row r="244" s="134" customFormat="1"/>
    <row r="245" s="134" customFormat="1"/>
    <row r="246" s="134" customFormat="1"/>
    <row r="247" s="134" customFormat="1"/>
    <row r="248" s="134" customFormat="1"/>
    <row r="249" s="134" customFormat="1"/>
    <row r="250" s="134" customFormat="1"/>
    <row r="251" s="134" customFormat="1"/>
    <row r="252" s="134" customFormat="1"/>
    <row r="253" s="134" customFormat="1"/>
    <row r="254" s="134" customFormat="1"/>
    <row r="255" s="134" customFormat="1"/>
    <row r="256" s="134" customFormat="1"/>
    <row r="257" s="134" customFormat="1"/>
    <row r="258" s="134" customFormat="1"/>
    <row r="259" s="134" customFormat="1"/>
    <row r="260" s="134" customFormat="1"/>
    <row r="261" s="134" customFormat="1"/>
    <row r="262" s="134" customFormat="1"/>
    <row r="263" s="134" customFormat="1"/>
    <row r="264" s="134" customFormat="1"/>
    <row r="265" s="134" customFormat="1"/>
    <row r="266" s="134" customFormat="1"/>
    <row r="267" s="134" customFormat="1"/>
    <row r="268" s="134" customFormat="1"/>
    <row r="269" s="134" customFormat="1"/>
    <row r="270" s="134" customFormat="1"/>
    <row r="271" s="134" customFormat="1"/>
    <row r="272" s="134" customFormat="1"/>
    <row r="273" s="134" customFormat="1"/>
    <row r="274" s="134" customFormat="1"/>
    <row r="275" s="134" customFormat="1"/>
    <row r="276" s="134" customFormat="1"/>
    <row r="277" s="134" customFormat="1"/>
    <row r="278" s="134" customFormat="1"/>
    <row r="279" s="134" customFormat="1"/>
    <row r="280" s="134" customFormat="1"/>
    <row r="281" s="134" customFormat="1"/>
    <row r="282" s="134" customFormat="1"/>
    <row r="283" s="134" customFormat="1"/>
    <row r="284" s="134" customFormat="1"/>
    <row r="285" s="134" customFormat="1"/>
    <row r="286" s="134" customFormat="1"/>
    <row r="287" s="134" customFormat="1"/>
    <row r="288" s="134" customFormat="1"/>
    <row r="289" s="134" customFormat="1"/>
    <row r="290" s="134" customFormat="1"/>
    <row r="291" s="134" customFormat="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0E6A0-2370-4FCD-BEEF-469F11C48777}">
  <sheetPr>
    <tabColor rgb="FFFF0000"/>
  </sheetPr>
  <dimension ref="B3:BC18"/>
  <sheetViews>
    <sheetView workbookViewId="0"/>
  </sheetViews>
  <sheetFormatPr defaultColWidth="56.875" defaultRowHeight="13.15"/>
  <cols>
    <col min="1" max="1" width="3.625" style="280" customWidth="1"/>
    <col min="2" max="2" width="19.625" style="280" customWidth="1"/>
    <col min="3" max="3" width="9.375" style="280" bestFit="1" customWidth="1"/>
    <col min="4" max="4" width="25.125" style="280" bestFit="1" customWidth="1"/>
    <col min="5" max="5" width="7" style="280" bestFit="1" customWidth="1"/>
    <col min="6" max="6" width="7.75" style="280" bestFit="1" customWidth="1"/>
    <col min="7" max="7" width="9.375" style="280" bestFit="1" customWidth="1"/>
    <col min="8" max="8" width="11.625" style="280" bestFit="1" customWidth="1"/>
    <col min="9" max="9" width="10.75" style="280" bestFit="1" customWidth="1"/>
    <col min="10" max="10" width="3.875" style="280" bestFit="1" customWidth="1"/>
    <col min="11" max="11" width="12.5" style="280" bestFit="1" customWidth="1"/>
    <col min="12" max="12" width="12.375" style="280" bestFit="1" customWidth="1"/>
    <col min="13" max="13" width="12.5" style="280" bestFit="1" customWidth="1"/>
    <col min="14" max="14" width="11.5" style="280" bestFit="1" customWidth="1"/>
    <col min="15" max="15" width="11.625" style="280" bestFit="1" customWidth="1"/>
    <col min="16" max="16" width="13.125" style="280" bestFit="1" customWidth="1"/>
    <col min="17" max="20" width="17.5" style="280" bestFit="1" customWidth="1"/>
    <col min="21" max="24" width="17.25" style="280" bestFit="1" customWidth="1"/>
    <col min="25" max="28" width="18.25" style="280" bestFit="1" customWidth="1"/>
    <col min="29" max="32" width="18.875" style="280" bestFit="1" customWidth="1"/>
    <col min="33" max="36" width="17.5" style="280" bestFit="1" customWidth="1"/>
    <col min="37" max="40" width="16.25" style="280" bestFit="1" customWidth="1"/>
    <col min="41" max="44" width="18" style="280" bestFit="1" customWidth="1"/>
    <col min="45" max="48" width="17.75" style="280" bestFit="1" customWidth="1"/>
    <col min="49" max="52" width="18.75" style="280" bestFit="1" customWidth="1"/>
    <col min="53" max="53" width="9" style="280" customWidth="1"/>
    <col min="54" max="54" width="4.875" style="280" bestFit="1" customWidth="1"/>
    <col min="55" max="55" width="6.125" style="280" bestFit="1" customWidth="1"/>
    <col min="56" max="16384" width="56.875" style="280"/>
  </cols>
  <sheetData>
    <row r="3" spans="2:55" s="150" customFormat="1">
      <c r="D3" s="151"/>
      <c r="G3" s="2" t="s">
        <v>318</v>
      </c>
      <c r="H3" s="154"/>
      <c r="I3" s="154"/>
      <c r="J3" s="154"/>
      <c r="BB3" s="154"/>
      <c r="BC3" s="154"/>
    </row>
    <row r="4" spans="2:55" s="153" customFormat="1" ht="13.9" thickBot="1">
      <c r="B4" s="1276" t="s">
        <v>1</v>
      </c>
      <c r="C4" s="1276" t="s">
        <v>81</v>
      </c>
      <c r="D4" s="1276" t="s">
        <v>301</v>
      </c>
      <c r="E4" s="1276" t="s">
        <v>653</v>
      </c>
      <c r="F4" s="1276" t="s">
        <v>319</v>
      </c>
      <c r="G4" s="1276" t="s">
        <v>320</v>
      </c>
      <c r="H4" s="1276" t="s">
        <v>321</v>
      </c>
      <c r="I4" s="1276" t="s">
        <v>330</v>
      </c>
      <c r="J4" s="1276" t="s">
        <v>324</v>
      </c>
      <c r="K4" s="1276" t="s">
        <v>502</v>
      </c>
      <c r="L4" s="1276" t="s">
        <v>503</v>
      </c>
      <c r="M4" s="1276" t="s">
        <v>504</v>
      </c>
      <c r="N4" s="1276" t="s">
        <v>505</v>
      </c>
      <c r="O4" s="1276" t="s">
        <v>506</v>
      </c>
      <c r="P4" s="1276" t="s">
        <v>507</v>
      </c>
      <c r="Q4" s="1276" t="s">
        <v>508</v>
      </c>
      <c r="R4" s="1276" t="s">
        <v>509</v>
      </c>
      <c r="S4" s="1276" t="s">
        <v>510</v>
      </c>
      <c r="T4" s="1276" t="s">
        <v>511</v>
      </c>
      <c r="U4" s="1276" t="s">
        <v>512</v>
      </c>
      <c r="V4" s="1276" t="s">
        <v>513</v>
      </c>
      <c r="W4" s="1276" t="s">
        <v>514</v>
      </c>
      <c r="X4" s="1276" t="s">
        <v>515</v>
      </c>
      <c r="Y4" s="1276" t="s">
        <v>516</v>
      </c>
      <c r="Z4" s="1276" t="s">
        <v>517</v>
      </c>
      <c r="AA4" s="1276" t="s">
        <v>518</v>
      </c>
      <c r="AB4" s="1276" t="s">
        <v>519</v>
      </c>
      <c r="AC4" s="1276" t="s">
        <v>654</v>
      </c>
      <c r="AD4" s="1276" t="s">
        <v>655</v>
      </c>
      <c r="AE4" s="1276" t="s">
        <v>656</v>
      </c>
      <c r="AF4" s="1276" t="s">
        <v>657</v>
      </c>
      <c r="AG4" s="1276" t="s">
        <v>524</v>
      </c>
      <c r="AH4" s="1276" t="s">
        <v>525</v>
      </c>
      <c r="AI4" s="1276" t="s">
        <v>526</v>
      </c>
      <c r="AJ4" s="1276" t="s">
        <v>527</v>
      </c>
      <c r="AK4" s="1276" t="s">
        <v>528</v>
      </c>
      <c r="AL4" s="1276" t="s">
        <v>529</v>
      </c>
      <c r="AM4" s="1276" t="s">
        <v>530</v>
      </c>
      <c r="AN4" s="1276" t="s">
        <v>531</v>
      </c>
      <c r="AO4" s="1276" t="s">
        <v>532</v>
      </c>
      <c r="AP4" s="1276" t="s">
        <v>533</v>
      </c>
      <c r="AQ4" s="1276" t="s">
        <v>534</v>
      </c>
      <c r="AR4" s="1276" t="s">
        <v>535</v>
      </c>
      <c r="AS4" s="1276" t="s">
        <v>536</v>
      </c>
      <c r="AT4" s="1276" t="s">
        <v>537</v>
      </c>
      <c r="AU4" s="1276" t="s">
        <v>538</v>
      </c>
      <c r="AV4" s="1276" t="s">
        <v>539</v>
      </c>
      <c r="AW4" s="1276" t="s">
        <v>540</v>
      </c>
      <c r="AX4" s="1276" t="s">
        <v>541</v>
      </c>
      <c r="AY4" s="1276" t="s">
        <v>542</v>
      </c>
      <c r="AZ4" s="1276" t="s">
        <v>543</v>
      </c>
      <c r="BB4" s="353" t="s">
        <v>325</v>
      </c>
      <c r="BC4" s="353" t="s">
        <v>326</v>
      </c>
    </row>
    <row r="5" spans="2:55" s="150" customFormat="1" ht="13.9" thickBot="1">
      <c r="B5" s="301" t="s">
        <v>658</v>
      </c>
      <c r="C5" s="301"/>
      <c r="D5" s="302"/>
      <c r="E5" s="301"/>
      <c r="F5" s="301"/>
      <c r="G5" s="301"/>
      <c r="H5" s="301"/>
      <c r="I5" s="301"/>
      <c r="J5" s="301"/>
      <c r="K5" s="301"/>
      <c r="L5" s="301"/>
      <c r="M5" s="301"/>
      <c r="N5" s="301"/>
      <c r="O5" s="301"/>
      <c r="P5" s="301"/>
      <c r="Q5" s="301"/>
      <c r="R5" s="301"/>
      <c r="S5" s="301"/>
      <c r="T5" s="301" t="s">
        <v>628</v>
      </c>
      <c r="U5" s="301"/>
      <c r="V5" s="301"/>
      <c r="W5" s="301"/>
      <c r="X5" s="301" t="s">
        <v>628</v>
      </c>
      <c r="Y5" s="301"/>
      <c r="Z5" s="301"/>
      <c r="AA5" s="301"/>
      <c r="AB5" s="301" t="s">
        <v>628</v>
      </c>
      <c r="AC5" s="301"/>
      <c r="AD5" s="301"/>
      <c r="AE5" s="301"/>
      <c r="AF5" s="301" t="s">
        <v>628</v>
      </c>
      <c r="AG5" s="301"/>
      <c r="AH5" s="301"/>
      <c r="AI5" s="301"/>
      <c r="AJ5" s="301" t="s">
        <v>628</v>
      </c>
      <c r="AK5" s="301"/>
      <c r="AL5" s="301"/>
      <c r="AM5" s="301"/>
      <c r="AN5" s="301" t="s">
        <v>628</v>
      </c>
      <c r="AO5" s="301"/>
      <c r="AP5" s="301"/>
      <c r="AQ5" s="301"/>
      <c r="AR5" s="301" t="s">
        <v>628</v>
      </c>
      <c r="AS5" s="301"/>
      <c r="AT5" s="301"/>
      <c r="AU5" s="301"/>
      <c r="AV5" s="301" t="s">
        <v>628</v>
      </c>
      <c r="AW5" s="301"/>
      <c r="AX5" s="301"/>
      <c r="AY5" s="301"/>
      <c r="AZ5" s="301" t="s">
        <v>628</v>
      </c>
      <c r="BB5" s="303"/>
      <c r="BC5" s="303"/>
    </row>
    <row r="6" spans="2:55" s="150" customFormat="1">
      <c r="B6" s="287" t="s">
        <v>159</v>
      </c>
      <c r="C6" s="287" t="s">
        <v>310</v>
      </c>
      <c r="D6" s="300" t="s">
        <v>311</v>
      </c>
      <c r="E6" s="287" t="s">
        <v>329</v>
      </c>
      <c r="F6" s="287" t="s">
        <v>483</v>
      </c>
      <c r="G6" s="287" t="s">
        <v>409</v>
      </c>
      <c r="H6" s="287">
        <v>2010</v>
      </c>
      <c r="I6" s="287">
        <v>50</v>
      </c>
      <c r="J6" s="287">
        <v>1</v>
      </c>
      <c r="K6" s="287"/>
      <c r="L6" s="287"/>
      <c r="M6" s="287"/>
      <c r="N6" s="287"/>
      <c r="O6" s="287"/>
      <c r="P6" s="287"/>
      <c r="Q6" s="287"/>
      <c r="R6" s="287"/>
      <c r="S6" s="287"/>
      <c r="T6" s="287" t="s">
        <v>628</v>
      </c>
      <c r="U6" s="287"/>
      <c r="V6" s="287"/>
      <c r="W6" s="287"/>
      <c r="X6" s="287" t="s">
        <v>628</v>
      </c>
      <c r="Y6" s="287"/>
      <c r="Z6" s="287"/>
      <c r="AA6" s="287"/>
      <c r="AB6" s="287" t="s">
        <v>628</v>
      </c>
      <c r="AC6" s="287"/>
      <c r="AD6" s="287"/>
      <c r="AE6" s="287"/>
      <c r="AF6" s="287" t="s">
        <v>628</v>
      </c>
      <c r="AG6" s="287"/>
      <c r="AH6" s="287"/>
      <c r="AI6" s="287"/>
      <c r="AJ6" s="287" t="s">
        <v>628</v>
      </c>
      <c r="AK6" s="287"/>
      <c r="AL6" s="287"/>
      <c r="AM6" s="287"/>
      <c r="AN6" s="287" t="s">
        <v>628</v>
      </c>
      <c r="AO6" s="287"/>
      <c r="AP6" s="287"/>
      <c r="AQ6" s="287"/>
      <c r="AR6" s="287" t="s">
        <v>628</v>
      </c>
      <c r="AS6" s="287"/>
      <c r="AT6" s="287"/>
      <c r="AU6" s="287"/>
      <c r="AV6" s="287" t="s">
        <v>628</v>
      </c>
      <c r="AW6" s="287"/>
      <c r="AX6" s="287"/>
      <c r="AY6" s="287"/>
      <c r="AZ6" s="287" t="s">
        <v>628</v>
      </c>
      <c r="BB6" s="286">
        <v>1</v>
      </c>
      <c r="BC6" s="286">
        <v>1</v>
      </c>
    </row>
    <row r="7" spans="2:55" s="150" customFormat="1">
      <c r="B7" s="287" t="s">
        <v>159</v>
      </c>
      <c r="C7" s="287" t="s">
        <v>659</v>
      </c>
      <c r="D7" s="300" t="s">
        <v>660</v>
      </c>
      <c r="E7" s="287" t="s">
        <v>329</v>
      </c>
      <c r="F7" s="287" t="s">
        <v>661</v>
      </c>
      <c r="G7" s="287" t="s">
        <v>662</v>
      </c>
      <c r="H7" s="287">
        <v>2010</v>
      </c>
      <c r="I7" s="287">
        <v>50</v>
      </c>
      <c r="J7" s="287">
        <v>1</v>
      </c>
      <c r="K7" s="287"/>
      <c r="L7" s="287"/>
      <c r="M7" s="287"/>
      <c r="N7" s="287"/>
      <c r="O7" s="287"/>
      <c r="P7" s="287"/>
      <c r="Q7" s="287"/>
      <c r="R7" s="287"/>
      <c r="S7" s="287"/>
      <c r="T7" s="287" t="s">
        <v>628</v>
      </c>
      <c r="U7" s="287"/>
      <c r="V7" s="287"/>
      <c r="W7" s="287"/>
      <c r="X7" s="287" t="s">
        <v>628</v>
      </c>
      <c r="Y7" s="287"/>
      <c r="Z7" s="287"/>
      <c r="AA7" s="287"/>
      <c r="AB7" s="287" t="s">
        <v>628</v>
      </c>
      <c r="AC7" s="287"/>
      <c r="AD7" s="287"/>
      <c r="AE7" s="287"/>
      <c r="AF7" s="287" t="s">
        <v>628</v>
      </c>
      <c r="AG7" s="287"/>
      <c r="AH7" s="287"/>
      <c r="AI7" s="287"/>
      <c r="AJ7" s="287" t="s">
        <v>628</v>
      </c>
      <c r="AK7" s="287"/>
      <c r="AL7" s="287"/>
      <c r="AM7" s="287"/>
      <c r="AN7" s="287" t="s">
        <v>628</v>
      </c>
      <c r="AO7" s="287"/>
      <c r="AP7" s="287"/>
      <c r="AQ7" s="287"/>
      <c r="AR7" s="287" t="s">
        <v>628</v>
      </c>
      <c r="AS7" s="287"/>
      <c r="AT7" s="287"/>
      <c r="AU7" s="287"/>
      <c r="AV7" s="287" t="s">
        <v>628</v>
      </c>
      <c r="AW7" s="287"/>
      <c r="AX7" s="287"/>
      <c r="AY7" s="287"/>
      <c r="AZ7" s="287" t="s">
        <v>628</v>
      </c>
      <c r="BB7" s="286">
        <v>1</v>
      </c>
      <c r="BC7" s="286">
        <v>1</v>
      </c>
    </row>
    <row r="8" spans="2:55" s="150" customFormat="1">
      <c r="B8" s="287" t="s">
        <v>159</v>
      </c>
      <c r="C8" s="287" t="s">
        <v>663</v>
      </c>
      <c r="D8" s="300" t="s">
        <v>664</v>
      </c>
      <c r="E8" s="287" t="s">
        <v>329</v>
      </c>
      <c r="F8" s="287" t="s">
        <v>665</v>
      </c>
      <c r="G8" s="287" t="s">
        <v>666</v>
      </c>
      <c r="H8" s="287">
        <v>2010</v>
      </c>
      <c r="I8" s="287">
        <v>50</v>
      </c>
      <c r="J8" s="287">
        <v>1</v>
      </c>
      <c r="K8" s="287"/>
      <c r="L8" s="287"/>
      <c r="M8" s="287"/>
      <c r="N8" s="287"/>
      <c r="O8" s="287"/>
      <c r="P8" s="287"/>
      <c r="Q8" s="287"/>
      <c r="R8" s="287"/>
      <c r="S8" s="287"/>
      <c r="T8" s="287" t="s">
        <v>628</v>
      </c>
      <c r="U8" s="287"/>
      <c r="V8" s="287"/>
      <c r="W8" s="287"/>
      <c r="X8" s="287" t="s">
        <v>628</v>
      </c>
      <c r="Y8" s="287"/>
      <c r="Z8" s="287"/>
      <c r="AA8" s="287"/>
      <c r="AB8" s="287" t="s">
        <v>628</v>
      </c>
      <c r="AC8" s="287"/>
      <c r="AD8" s="287"/>
      <c r="AE8" s="287"/>
      <c r="AF8" s="287" t="s">
        <v>628</v>
      </c>
      <c r="AG8" s="287"/>
      <c r="AH8" s="287"/>
      <c r="AI8" s="287"/>
      <c r="AJ8" s="287" t="s">
        <v>628</v>
      </c>
      <c r="AK8" s="287"/>
      <c r="AL8" s="287"/>
      <c r="AM8" s="287"/>
      <c r="AN8" s="287" t="s">
        <v>628</v>
      </c>
      <c r="AO8" s="287"/>
      <c r="AP8" s="287"/>
      <c r="AQ8" s="287"/>
      <c r="AR8" s="287" t="s">
        <v>628</v>
      </c>
      <c r="AS8" s="287"/>
      <c r="AT8" s="287"/>
      <c r="AU8" s="287"/>
      <c r="AV8" s="287" t="s">
        <v>628</v>
      </c>
      <c r="AW8" s="287"/>
      <c r="AX8" s="287"/>
      <c r="AY8" s="287"/>
      <c r="AZ8" s="287" t="s">
        <v>628</v>
      </c>
      <c r="BB8" s="286">
        <v>1</v>
      </c>
      <c r="BC8" s="286">
        <v>1</v>
      </c>
    </row>
    <row r="9" spans="2:55" s="150" customFormat="1">
      <c r="B9" s="287" t="s">
        <v>159</v>
      </c>
      <c r="C9" s="287" t="s">
        <v>312</v>
      </c>
      <c r="D9" s="300" t="s">
        <v>313</v>
      </c>
      <c r="E9" s="287" t="s">
        <v>329</v>
      </c>
      <c r="F9" s="287" t="s">
        <v>484</v>
      </c>
      <c r="G9" s="287" t="s">
        <v>433</v>
      </c>
      <c r="H9" s="287">
        <v>2010</v>
      </c>
      <c r="I9" s="287">
        <v>50</v>
      </c>
      <c r="J9" s="287">
        <v>1</v>
      </c>
      <c r="K9" s="287"/>
      <c r="L9" s="287"/>
      <c r="M9" s="287"/>
      <c r="N9" s="287"/>
      <c r="O9" s="287"/>
      <c r="P9" s="287"/>
      <c r="Q9" s="287"/>
      <c r="R9" s="287"/>
      <c r="S9" s="287"/>
      <c r="T9" s="287" t="s">
        <v>628</v>
      </c>
      <c r="U9" s="287"/>
      <c r="V9" s="287"/>
      <c r="W9" s="287"/>
      <c r="X9" s="287" t="s">
        <v>628</v>
      </c>
      <c r="Y9" s="287"/>
      <c r="Z9" s="287"/>
      <c r="AA9" s="287"/>
      <c r="AB9" s="287" t="s">
        <v>628</v>
      </c>
      <c r="AC9" s="287"/>
      <c r="AD9" s="287"/>
      <c r="AE9" s="287"/>
      <c r="AF9" s="287" t="s">
        <v>628</v>
      </c>
      <c r="AG9" s="287"/>
      <c r="AH9" s="287"/>
      <c r="AI9" s="287"/>
      <c r="AJ9" s="287" t="s">
        <v>628</v>
      </c>
      <c r="AK9" s="287"/>
      <c r="AL9" s="287"/>
      <c r="AM9" s="287"/>
      <c r="AN9" s="287" t="s">
        <v>628</v>
      </c>
      <c r="AO9" s="287"/>
      <c r="AP9" s="287"/>
      <c r="AQ9" s="287"/>
      <c r="AR9" s="287" t="s">
        <v>628</v>
      </c>
      <c r="AS9" s="287"/>
      <c r="AT9" s="287"/>
      <c r="AU9" s="287"/>
      <c r="AV9" s="287" t="s">
        <v>628</v>
      </c>
      <c r="AW9" s="287"/>
      <c r="AX9" s="287"/>
      <c r="AY9" s="287"/>
      <c r="AZ9" s="287" t="s">
        <v>628</v>
      </c>
      <c r="BB9" s="286">
        <v>1</v>
      </c>
      <c r="BC9" s="286">
        <v>1</v>
      </c>
    </row>
    <row r="10" spans="2:55" s="150" customFormat="1">
      <c r="B10" s="287" t="s">
        <v>11</v>
      </c>
      <c r="C10" s="287" t="s">
        <v>90</v>
      </c>
      <c r="D10" s="300" t="s">
        <v>91</v>
      </c>
      <c r="E10" s="287" t="s">
        <v>329</v>
      </c>
      <c r="F10" s="287" t="s">
        <v>33</v>
      </c>
      <c r="G10" s="287" t="s">
        <v>48</v>
      </c>
      <c r="H10" s="287">
        <v>2010</v>
      </c>
      <c r="I10" s="287">
        <v>50</v>
      </c>
      <c r="J10" s="287">
        <v>1</v>
      </c>
      <c r="K10" s="287">
        <v>5.6000000000000001E-2</v>
      </c>
      <c r="L10" s="287">
        <v>8.5303541040031208E-4</v>
      </c>
      <c r="M10" s="287">
        <v>8.5303541040031208E-4</v>
      </c>
      <c r="N10" s="287">
        <v>1.8956356736242881E-4</v>
      </c>
      <c r="O10" s="287">
        <v>3.1593927893738138E-4</v>
      </c>
      <c r="P10" s="287">
        <v>56</v>
      </c>
      <c r="Q10" s="287">
        <v>5.8533343793407397E-2</v>
      </c>
      <c r="R10" s="287">
        <v>5.8533343793407397E-2</v>
      </c>
      <c r="S10" s="287">
        <v>5.8533343793407397E-2</v>
      </c>
      <c r="T10" s="287">
        <v>5.8533343793407397E-2</v>
      </c>
      <c r="U10" s="287">
        <v>2.5069701152660712E-4</v>
      </c>
      <c r="V10" s="287">
        <v>2.5069701152660712E-4</v>
      </c>
      <c r="W10" s="287">
        <v>2.5069701152660712E-4</v>
      </c>
      <c r="X10" s="287">
        <v>2.5069701152660712E-4</v>
      </c>
      <c r="Y10" s="287">
        <v>3.1593927893738142E-3</v>
      </c>
      <c r="Z10" s="287">
        <v>3.1593927893738142E-3</v>
      </c>
      <c r="AA10" s="287">
        <v>3.1593927893738142E-3</v>
      </c>
      <c r="AB10" s="287">
        <v>3.1593927893738142E-3</v>
      </c>
      <c r="AC10" s="287">
        <v>3.1593927893738142E-3</v>
      </c>
      <c r="AD10" s="287">
        <v>3.1593927893738142E-3</v>
      </c>
      <c r="AE10" s="287">
        <v>3.1593927893738142E-3</v>
      </c>
      <c r="AF10" s="287">
        <v>3.1593927893738142E-3</v>
      </c>
      <c r="AG10" s="287">
        <v>2.2144902684850289E-3</v>
      </c>
      <c r="AH10" s="287">
        <v>2.2144902684850289E-3</v>
      </c>
      <c r="AI10" s="287">
        <v>2.2144902684850289E-3</v>
      </c>
      <c r="AJ10" s="287">
        <v>2.2144902684850289E-3</v>
      </c>
      <c r="AK10" s="287">
        <v>3.3169829222011393E-2</v>
      </c>
      <c r="AL10" s="287">
        <v>3.3169829222011393E-2</v>
      </c>
      <c r="AM10" s="287">
        <v>3.3169829222011393E-2</v>
      </c>
      <c r="AN10" s="287">
        <v>3.3169829222011393E-2</v>
      </c>
      <c r="AO10" s="287">
        <v>5.8533343793407397E-2</v>
      </c>
      <c r="AP10" s="287">
        <v>5.8533343793407397E-2</v>
      </c>
      <c r="AQ10" s="287">
        <v>5.8533343793407397E-2</v>
      </c>
      <c r="AR10" s="287">
        <v>5.8533343793407397E-2</v>
      </c>
      <c r="AS10" s="287">
        <v>2.5069701152660712E-4</v>
      </c>
      <c r="AT10" s="287">
        <v>2.5069701152660712E-4</v>
      </c>
      <c r="AU10" s="287">
        <v>2.5069701152660712E-4</v>
      </c>
      <c r="AV10" s="287">
        <v>2.5069701152660712E-4</v>
      </c>
      <c r="AW10" s="287">
        <v>3.1593927893738142E-3</v>
      </c>
      <c r="AX10" s="287">
        <v>3.1593927893738142E-3</v>
      </c>
      <c r="AY10" s="287">
        <v>3.1593927893738142E-3</v>
      </c>
      <c r="AZ10" s="287">
        <v>3.1593927893738142E-3</v>
      </c>
      <c r="BB10" s="286">
        <v>1</v>
      </c>
      <c r="BC10" s="286">
        <v>1</v>
      </c>
    </row>
    <row r="11" spans="2:55" s="150" customFormat="1">
      <c r="B11" s="287" t="s">
        <v>159</v>
      </c>
      <c r="C11" s="287" t="s">
        <v>667</v>
      </c>
      <c r="D11" s="300" t="s">
        <v>668</v>
      </c>
      <c r="E11" s="287" t="s">
        <v>329</v>
      </c>
      <c r="F11" s="287" t="s">
        <v>669</v>
      </c>
      <c r="G11" s="287" t="s">
        <v>670</v>
      </c>
      <c r="H11" s="287">
        <v>2010</v>
      </c>
      <c r="I11" s="287">
        <v>50</v>
      </c>
      <c r="J11" s="287">
        <v>1</v>
      </c>
      <c r="K11" s="287"/>
      <c r="L11" s="287"/>
      <c r="M11" s="287"/>
      <c r="N11" s="287"/>
      <c r="O11" s="287"/>
      <c r="P11" s="287"/>
      <c r="Q11" s="287"/>
      <c r="R11" s="287"/>
      <c r="S11" s="287"/>
      <c r="T11" s="287" t="s">
        <v>628</v>
      </c>
      <c r="U11" s="287"/>
      <c r="V11" s="287"/>
      <c r="W11" s="287"/>
      <c r="X11" s="287" t="s">
        <v>628</v>
      </c>
      <c r="Y11" s="287"/>
      <c r="Z11" s="287"/>
      <c r="AA11" s="287"/>
      <c r="AB11" s="287" t="s">
        <v>628</v>
      </c>
      <c r="AC11" s="287"/>
      <c r="AD11" s="287"/>
      <c r="AE11" s="287"/>
      <c r="AF11" s="287" t="s">
        <v>628</v>
      </c>
      <c r="AG11" s="287"/>
      <c r="AH11" s="287"/>
      <c r="AI11" s="287"/>
      <c r="AJ11" s="287" t="s">
        <v>628</v>
      </c>
      <c r="AK11" s="287"/>
      <c r="AL11" s="287"/>
      <c r="AM11" s="287"/>
      <c r="AN11" s="287" t="s">
        <v>628</v>
      </c>
      <c r="AO11" s="287"/>
      <c r="AP11" s="287"/>
      <c r="AQ11" s="287"/>
      <c r="AR11" s="287" t="s">
        <v>628</v>
      </c>
      <c r="AS11" s="287"/>
      <c r="AT11" s="287"/>
      <c r="AU11" s="287"/>
      <c r="AV11" s="287" t="s">
        <v>628</v>
      </c>
      <c r="AW11" s="287"/>
      <c r="AX11" s="287"/>
      <c r="AY11" s="287"/>
      <c r="AZ11" s="287" t="s">
        <v>628</v>
      </c>
      <c r="BB11" s="286">
        <v>1</v>
      </c>
      <c r="BC11" s="286">
        <v>1</v>
      </c>
    </row>
    <row r="12" spans="2:55" s="150" customFormat="1">
      <c r="B12" s="287" t="s">
        <v>11</v>
      </c>
      <c r="C12" s="287" t="s">
        <v>305</v>
      </c>
      <c r="D12" s="300" t="s">
        <v>306</v>
      </c>
      <c r="E12" s="287" t="s">
        <v>329</v>
      </c>
      <c r="F12" s="287" t="s">
        <v>481</v>
      </c>
      <c r="G12" s="287" t="s">
        <v>394</v>
      </c>
      <c r="H12" s="287">
        <v>2010</v>
      </c>
      <c r="I12" s="287">
        <v>50</v>
      </c>
      <c r="J12" s="287">
        <v>1</v>
      </c>
      <c r="K12" s="287">
        <v>8.3099999999999993E-2</v>
      </c>
      <c r="L12" s="287">
        <v>2.8400000000000001E-3</v>
      </c>
      <c r="M12" s="287">
        <v>2.8400000000000002E-4</v>
      </c>
      <c r="N12" s="287">
        <v>2.5494307400379501E-2</v>
      </c>
      <c r="O12" s="287">
        <v>6.8834629981024678E-3</v>
      </c>
      <c r="P12" s="287">
        <v>83.1</v>
      </c>
      <c r="Q12" s="287">
        <v>0.83858254269449717</v>
      </c>
      <c r="R12" s="287">
        <v>0.83858254269449717</v>
      </c>
      <c r="S12" s="287">
        <v>0.83858254269449717</v>
      </c>
      <c r="T12" s="287">
        <v>0.83858254269449717</v>
      </c>
      <c r="U12" s="287">
        <v>0.23453782493904479</v>
      </c>
      <c r="V12" s="287">
        <v>0.23453782493904479</v>
      </c>
      <c r="W12" s="287">
        <v>0.23453782493904479</v>
      </c>
      <c r="X12" s="287">
        <v>0.23453782493904479</v>
      </c>
      <c r="Y12" s="287">
        <v>8.4981024667931684E-2</v>
      </c>
      <c r="Z12" s="287">
        <v>8.4981024667931684E-2</v>
      </c>
      <c r="AA12" s="287">
        <v>8.4981024667931684E-2</v>
      </c>
      <c r="AB12" s="287">
        <v>8.4981024667931684E-2</v>
      </c>
      <c r="AC12" s="287">
        <v>7.6482922201138531E-2</v>
      </c>
      <c r="AD12" s="287">
        <v>7.6482922201138531E-2</v>
      </c>
      <c r="AE12" s="287">
        <v>7.6482922201138531E-2</v>
      </c>
      <c r="AF12" s="287">
        <v>7.6482922201138531E-2</v>
      </c>
      <c r="AG12" s="287">
        <v>9.3519924098671728E-2</v>
      </c>
      <c r="AH12" s="287">
        <v>9.3519924098671728E-2</v>
      </c>
      <c r="AI12" s="287">
        <v>9.3519924098671728E-2</v>
      </c>
      <c r="AJ12" s="287">
        <v>9.3519924098671728E-2</v>
      </c>
      <c r="AK12" s="287">
        <v>0.34250094876660342</v>
      </c>
      <c r="AL12" s="287">
        <v>0.34250094876660342</v>
      </c>
      <c r="AM12" s="287">
        <v>0.34250094876660342</v>
      </c>
      <c r="AN12" s="287">
        <v>0.34250094876660342</v>
      </c>
      <c r="AO12" s="287">
        <v>0.83858254269449717</v>
      </c>
      <c r="AP12" s="287">
        <v>0.83858254269449717</v>
      </c>
      <c r="AQ12" s="287">
        <v>0.83858254269449717</v>
      </c>
      <c r="AR12" s="287">
        <v>0.83858254269449717</v>
      </c>
      <c r="AS12" s="287">
        <v>0.23453782493904479</v>
      </c>
      <c r="AT12" s="287">
        <v>0.23453782493904479</v>
      </c>
      <c r="AU12" s="287">
        <v>0.23453782493904479</v>
      </c>
      <c r="AV12" s="287">
        <v>0.23453782493904479</v>
      </c>
      <c r="AW12" s="287">
        <v>8.4981024667931684E-2</v>
      </c>
      <c r="AX12" s="287">
        <v>8.4981024667931684E-2</v>
      </c>
      <c r="AY12" s="287">
        <v>8.4981024667931684E-2</v>
      </c>
      <c r="AZ12" s="287">
        <v>8.4981024667931684E-2</v>
      </c>
      <c r="BB12" s="286">
        <v>1</v>
      </c>
      <c r="BC12" s="286">
        <v>1</v>
      </c>
    </row>
    <row r="13" spans="2:55" s="150" customFormat="1">
      <c r="B13" s="287" t="s">
        <v>159</v>
      </c>
      <c r="C13" s="287" t="s">
        <v>93</v>
      </c>
      <c r="D13" s="300" t="s">
        <v>94</v>
      </c>
      <c r="E13" s="287" t="s">
        <v>329</v>
      </c>
      <c r="F13" s="287" t="s">
        <v>35</v>
      </c>
      <c r="G13" s="287" t="s">
        <v>50</v>
      </c>
      <c r="H13" s="287">
        <v>2010</v>
      </c>
      <c r="I13" s="287">
        <v>50</v>
      </c>
      <c r="J13" s="287">
        <v>1</v>
      </c>
      <c r="K13" s="287">
        <v>7.7100000000000002E-2</v>
      </c>
      <c r="L13" s="287">
        <v>1.895634245334027E-4</v>
      </c>
      <c r="M13" s="287">
        <v>3.7912684906680528E-4</v>
      </c>
      <c r="N13" s="287">
        <v>1.3168406072106261E-2</v>
      </c>
      <c r="O13" s="287">
        <v>1.081593927893738E-3</v>
      </c>
      <c r="P13" s="287">
        <v>77.100000000000009</v>
      </c>
      <c r="Q13" s="287">
        <v>6.2683779015463389E-2</v>
      </c>
      <c r="R13" s="287">
        <v>6.2683779015463389E-2</v>
      </c>
      <c r="S13" s="287">
        <v>6.2683779015463389E-2</v>
      </c>
      <c r="T13" s="287">
        <v>6.2683779015463389E-2</v>
      </c>
      <c r="U13" s="287">
        <v>1.32831879441497E-3</v>
      </c>
      <c r="V13" s="287">
        <v>1.32831879441497E-3</v>
      </c>
      <c r="W13" s="287">
        <v>1.32831879441497E-3</v>
      </c>
      <c r="X13" s="287">
        <v>1.32831879441497E-3</v>
      </c>
      <c r="Y13" s="287">
        <v>4.389468690702087E-2</v>
      </c>
      <c r="Z13" s="287">
        <v>4.389468690702087E-2</v>
      </c>
      <c r="AA13" s="287">
        <v>4.389468690702087E-2</v>
      </c>
      <c r="AB13" s="287">
        <v>4.389468690702087E-2</v>
      </c>
      <c r="AC13" s="287">
        <v>3.6053130929791267E-2</v>
      </c>
      <c r="AD13" s="287">
        <v>3.6053130929791267E-2</v>
      </c>
      <c r="AE13" s="287">
        <v>3.6053130929791267E-2</v>
      </c>
      <c r="AF13" s="287">
        <v>3.6053130929791267E-2</v>
      </c>
      <c r="AG13" s="287">
        <v>6.2E-4</v>
      </c>
      <c r="AH13" s="287">
        <v>6.2E-4</v>
      </c>
      <c r="AI13" s="287">
        <v>6.2E-4</v>
      </c>
      <c r="AJ13" s="287">
        <v>6.2E-4</v>
      </c>
      <c r="AK13" s="287">
        <v>1.546E-2</v>
      </c>
      <c r="AL13" s="287">
        <v>1.546E-2</v>
      </c>
      <c r="AM13" s="287">
        <v>1.546E-2</v>
      </c>
      <c r="AN13" s="287">
        <v>1.546E-2</v>
      </c>
      <c r="AO13" s="287">
        <v>6.2683779015463389E-2</v>
      </c>
      <c r="AP13" s="287">
        <v>6.2683779015463389E-2</v>
      </c>
      <c r="AQ13" s="287">
        <v>6.2683779015463389E-2</v>
      </c>
      <c r="AR13" s="287">
        <v>6.2683779015463389E-2</v>
      </c>
      <c r="AS13" s="287">
        <v>1.32831879441497E-3</v>
      </c>
      <c r="AT13" s="287">
        <v>1.32831879441497E-3</v>
      </c>
      <c r="AU13" s="287">
        <v>1.32831879441497E-3</v>
      </c>
      <c r="AV13" s="287">
        <v>1.32831879441497E-3</v>
      </c>
      <c r="AW13" s="287">
        <v>4.389468690702087E-2</v>
      </c>
      <c r="AX13" s="287">
        <v>4.389468690702087E-2</v>
      </c>
      <c r="AY13" s="287">
        <v>4.389468690702087E-2</v>
      </c>
      <c r="AZ13" s="287">
        <v>4.389468690702087E-2</v>
      </c>
      <c r="BB13" s="286">
        <v>1</v>
      </c>
      <c r="BC13" s="286">
        <v>1</v>
      </c>
    </row>
    <row r="14" spans="2:55" s="150" customFormat="1">
      <c r="B14" s="287" t="s">
        <v>159</v>
      </c>
      <c r="C14" s="287" t="s">
        <v>671</v>
      </c>
      <c r="D14" s="300" t="s">
        <v>672</v>
      </c>
      <c r="E14" s="287" t="s">
        <v>329</v>
      </c>
      <c r="F14" s="287" t="s">
        <v>673</v>
      </c>
      <c r="G14" s="287" t="s">
        <v>674</v>
      </c>
      <c r="H14" s="287">
        <v>2010</v>
      </c>
      <c r="I14" s="287">
        <v>50</v>
      </c>
      <c r="J14" s="287">
        <v>1</v>
      </c>
      <c r="K14" s="287"/>
      <c r="L14" s="287"/>
      <c r="M14" s="287"/>
      <c r="N14" s="287"/>
      <c r="O14" s="287"/>
      <c r="P14" s="287"/>
      <c r="Q14" s="287"/>
      <c r="R14" s="287"/>
      <c r="S14" s="287"/>
      <c r="T14" s="287" t="s">
        <v>628</v>
      </c>
      <c r="U14" s="287"/>
      <c r="V14" s="287"/>
      <c r="W14" s="287"/>
      <c r="X14" s="287" t="s">
        <v>628</v>
      </c>
      <c r="Y14" s="287"/>
      <c r="Z14" s="287"/>
      <c r="AA14" s="287"/>
      <c r="AB14" s="287" t="s">
        <v>628</v>
      </c>
      <c r="AC14" s="287"/>
      <c r="AD14" s="287"/>
      <c r="AE14" s="287"/>
      <c r="AF14" s="287" t="s">
        <v>628</v>
      </c>
      <c r="AG14" s="287"/>
      <c r="AH14" s="287"/>
      <c r="AI14" s="287"/>
      <c r="AJ14" s="287" t="s">
        <v>628</v>
      </c>
      <c r="AK14" s="287"/>
      <c r="AL14" s="287"/>
      <c r="AM14" s="287"/>
      <c r="AN14" s="287" t="s">
        <v>628</v>
      </c>
      <c r="AO14" s="287"/>
      <c r="AP14" s="287"/>
      <c r="AQ14" s="287"/>
      <c r="AR14" s="287" t="s">
        <v>628</v>
      </c>
      <c r="AS14" s="287"/>
      <c r="AT14" s="287"/>
      <c r="AU14" s="287"/>
      <c r="AV14" s="287" t="s">
        <v>628</v>
      </c>
      <c r="AW14" s="287"/>
      <c r="AX14" s="287"/>
      <c r="AY14" s="287"/>
      <c r="AZ14" s="287" t="s">
        <v>628</v>
      </c>
      <c r="BB14" s="286">
        <v>1</v>
      </c>
      <c r="BC14" s="286">
        <v>1</v>
      </c>
    </row>
    <row r="15" spans="2:55" s="150" customFormat="1">
      <c r="B15" s="287" t="s">
        <v>159</v>
      </c>
      <c r="C15" s="287" t="s">
        <v>314</v>
      </c>
      <c r="D15" s="300" t="s">
        <v>315</v>
      </c>
      <c r="E15" s="287" t="s">
        <v>329</v>
      </c>
      <c r="F15" s="287" t="s">
        <v>485</v>
      </c>
      <c r="G15" s="287" t="s">
        <v>403</v>
      </c>
      <c r="H15" s="287">
        <v>2010</v>
      </c>
      <c r="I15" s="287">
        <v>50</v>
      </c>
      <c r="J15" s="287">
        <v>1</v>
      </c>
      <c r="K15" s="287"/>
      <c r="L15" s="287"/>
      <c r="M15" s="287"/>
      <c r="N15" s="287"/>
      <c r="O15" s="287"/>
      <c r="P15" s="287"/>
      <c r="Q15" s="287"/>
      <c r="R15" s="287"/>
      <c r="S15" s="287"/>
      <c r="T15" s="287" t="s">
        <v>628</v>
      </c>
      <c r="U15" s="287"/>
      <c r="V15" s="287"/>
      <c r="W15" s="287"/>
      <c r="X15" s="287" t="s">
        <v>628</v>
      </c>
      <c r="Y15" s="287"/>
      <c r="Z15" s="287"/>
      <c r="AA15" s="287"/>
      <c r="AB15" s="287" t="s">
        <v>628</v>
      </c>
      <c r="AC15" s="287"/>
      <c r="AD15" s="287"/>
      <c r="AE15" s="287"/>
      <c r="AF15" s="287" t="s">
        <v>628</v>
      </c>
      <c r="AG15" s="287"/>
      <c r="AH15" s="287"/>
      <c r="AI15" s="287"/>
      <c r="AJ15" s="287" t="s">
        <v>628</v>
      </c>
      <c r="AK15" s="287"/>
      <c r="AL15" s="287"/>
      <c r="AM15" s="287"/>
      <c r="AN15" s="287" t="s">
        <v>628</v>
      </c>
      <c r="AO15" s="287"/>
      <c r="AP15" s="287"/>
      <c r="AQ15" s="287"/>
      <c r="AR15" s="287" t="s">
        <v>628</v>
      </c>
      <c r="AS15" s="287"/>
      <c r="AT15" s="287"/>
      <c r="AU15" s="287"/>
      <c r="AV15" s="287" t="s">
        <v>628</v>
      </c>
      <c r="AW15" s="287"/>
      <c r="AX15" s="287"/>
      <c r="AY15" s="287"/>
      <c r="AZ15" s="287" t="s">
        <v>628</v>
      </c>
      <c r="BB15" s="286">
        <v>1</v>
      </c>
      <c r="BC15" s="286">
        <v>1</v>
      </c>
    </row>
    <row r="16" spans="2:55" s="150" customFormat="1">
      <c r="B16" s="287" t="s">
        <v>159</v>
      </c>
      <c r="C16" s="287" t="s">
        <v>316</v>
      </c>
      <c r="D16" s="300" t="s">
        <v>317</v>
      </c>
      <c r="E16" s="287" t="s">
        <v>329</v>
      </c>
      <c r="F16" s="287" t="s">
        <v>486</v>
      </c>
      <c r="G16" s="287" t="s">
        <v>390</v>
      </c>
      <c r="H16" s="287">
        <v>2010</v>
      </c>
      <c r="I16" s="287">
        <v>50</v>
      </c>
      <c r="J16" s="287">
        <v>1</v>
      </c>
      <c r="K16" s="287"/>
      <c r="L16" s="287"/>
      <c r="M16" s="287"/>
      <c r="N16" s="287"/>
      <c r="O16" s="287"/>
      <c r="P16" s="287"/>
      <c r="Q16" s="287"/>
      <c r="R16" s="287"/>
      <c r="S16" s="287"/>
      <c r="T16" s="287" t="s">
        <v>628</v>
      </c>
      <c r="U16" s="287"/>
      <c r="V16" s="287"/>
      <c r="W16" s="287"/>
      <c r="X16" s="287" t="s">
        <v>628</v>
      </c>
      <c r="Y16" s="287"/>
      <c r="Z16" s="287"/>
      <c r="AA16" s="287"/>
      <c r="AB16" s="287" t="s">
        <v>628</v>
      </c>
      <c r="AC16" s="287"/>
      <c r="AD16" s="287"/>
      <c r="AE16" s="287"/>
      <c r="AF16" s="287" t="s">
        <v>628</v>
      </c>
      <c r="AG16" s="287"/>
      <c r="AH16" s="287"/>
      <c r="AI16" s="287"/>
      <c r="AJ16" s="287" t="s">
        <v>628</v>
      </c>
      <c r="AK16" s="287"/>
      <c r="AL16" s="287"/>
      <c r="AM16" s="287"/>
      <c r="AN16" s="287" t="s">
        <v>628</v>
      </c>
      <c r="AO16" s="287"/>
      <c r="AP16" s="287"/>
      <c r="AQ16" s="287"/>
      <c r="AR16" s="287" t="s">
        <v>628</v>
      </c>
      <c r="AS16" s="287"/>
      <c r="AT16" s="287"/>
      <c r="AU16" s="287"/>
      <c r="AV16" s="287" t="s">
        <v>628</v>
      </c>
      <c r="AW16" s="287"/>
      <c r="AX16" s="287"/>
      <c r="AY16" s="287"/>
      <c r="AZ16" s="287" t="s">
        <v>628</v>
      </c>
      <c r="BB16" s="286">
        <v>1</v>
      </c>
      <c r="BC16" s="286">
        <v>1</v>
      </c>
    </row>
    <row r="17" spans="2:55" s="150" customFormat="1">
      <c r="B17" s="287" t="s">
        <v>159</v>
      </c>
      <c r="C17" s="287" t="s">
        <v>675</v>
      </c>
      <c r="D17" s="300" t="s">
        <v>676</v>
      </c>
      <c r="E17" s="287" t="s">
        <v>329</v>
      </c>
      <c r="F17" s="287" t="s">
        <v>677</v>
      </c>
      <c r="G17" s="287" t="s">
        <v>678</v>
      </c>
      <c r="H17" s="287">
        <v>2010</v>
      </c>
      <c r="I17" s="287">
        <v>50</v>
      </c>
      <c r="J17" s="287">
        <v>1</v>
      </c>
      <c r="K17" s="287"/>
      <c r="L17" s="287"/>
      <c r="M17" s="287"/>
      <c r="N17" s="287"/>
      <c r="O17" s="287"/>
      <c r="P17" s="287"/>
      <c r="Q17" s="287"/>
      <c r="R17" s="287"/>
      <c r="S17" s="287"/>
      <c r="T17" s="287" t="s">
        <v>628</v>
      </c>
      <c r="U17" s="287"/>
      <c r="V17" s="287"/>
      <c r="W17" s="287"/>
      <c r="X17" s="287" t="s">
        <v>628</v>
      </c>
      <c r="Y17" s="287"/>
      <c r="Z17" s="287"/>
      <c r="AA17" s="287"/>
      <c r="AB17" s="287" t="s">
        <v>628</v>
      </c>
      <c r="AC17" s="287"/>
      <c r="AD17" s="287"/>
      <c r="AE17" s="287"/>
      <c r="AF17" s="287" t="s">
        <v>628</v>
      </c>
      <c r="AG17" s="287"/>
      <c r="AH17" s="287"/>
      <c r="AI17" s="287"/>
      <c r="AJ17" s="287" t="s">
        <v>628</v>
      </c>
      <c r="AK17" s="287"/>
      <c r="AL17" s="287"/>
      <c r="AM17" s="287"/>
      <c r="AN17" s="287" t="s">
        <v>628</v>
      </c>
      <c r="AO17" s="287"/>
      <c r="AP17" s="287"/>
      <c r="AQ17" s="287"/>
      <c r="AR17" s="287" t="s">
        <v>628</v>
      </c>
      <c r="AS17" s="287"/>
      <c r="AT17" s="287"/>
      <c r="AU17" s="287"/>
      <c r="AV17" s="287" t="s">
        <v>628</v>
      </c>
      <c r="AW17" s="287"/>
      <c r="AX17" s="287"/>
      <c r="AY17" s="287"/>
      <c r="AZ17" s="287" t="s">
        <v>628</v>
      </c>
      <c r="BB17" s="286">
        <v>1</v>
      </c>
      <c r="BC17" s="286">
        <v>1</v>
      </c>
    </row>
    <row r="18" spans="2:55" s="150" customFormat="1">
      <c r="B18" s="287" t="s">
        <v>159</v>
      </c>
      <c r="C18" s="287" t="s">
        <v>679</v>
      </c>
      <c r="D18" s="300" t="s">
        <v>680</v>
      </c>
      <c r="E18" s="287" t="s">
        <v>329</v>
      </c>
      <c r="F18" s="287" t="s">
        <v>681</v>
      </c>
      <c r="G18" s="287" t="s">
        <v>682</v>
      </c>
      <c r="H18" s="287">
        <v>2010</v>
      </c>
      <c r="I18" s="287">
        <v>50</v>
      </c>
      <c r="J18" s="287">
        <v>1</v>
      </c>
      <c r="K18" s="287"/>
      <c r="L18" s="287"/>
      <c r="M18" s="287"/>
      <c r="N18" s="287"/>
      <c r="O18" s="287"/>
      <c r="P18" s="287"/>
      <c r="Q18" s="287"/>
      <c r="R18" s="287"/>
      <c r="S18" s="287"/>
      <c r="T18" s="287" t="s">
        <v>628</v>
      </c>
      <c r="U18" s="287"/>
      <c r="V18" s="287"/>
      <c r="W18" s="287"/>
      <c r="X18" s="287" t="s">
        <v>628</v>
      </c>
      <c r="Y18" s="287"/>
      <c r="Z18" s="287"/>
      <c r="AA18" s="287"/>
      <c r="AB18" s="287" t="s">
        <v>628</v>
      </c>
      <c r="AC18" s="287"/>
      <c r="AD18" s="287"/>
      <c r="AE18" s="287"/>
      <c r="AF18" s="287" t="s">
        <v>628</v>
      </c>
      <c r="AG18" s="287"/>
      <c r="AH18" s="287"/>
      <c r="AI18" s="287"/>
      <c r="AJ18" s="287" t="s">
        <v>628</v>
      </c>
      <c r="AK18" s="287"/>
      <c r="AL18" s="287"/>
      <c r="AM18" s="287"/>
      <c r="AN18" s="287" t="s">
        <v>628</v>
      </c>
      <c r="AO18" s="287"/>
      <c r="AP18" s="287"/>
      <c r="AQ18" s="287"/>
      <c r="AR18" s="287" t="s">
        <v>628</v>
      </c>
      <c r="AS18" s="287"/>
      <c r="AT18" s="287"/>
      <c r="AU18" s="287"/>
      <c r="AV18" s="287" t="s">
        <v>628</v>
      </c>
      <c r="AW18" s="287"/>
      <c r="AX18" s="287"/>
      <c r="AY18" s="287"/>
      <c r="AZ18" s="287" t="s">
        <v>628</v>
      </c>
      <c r="BB18" s="286">
        <v>1</v>
      </c>
      <c r="BC18" s="286">
        <v>1</v>
      </c>
    </row>
  </sheetData>
  <dataValidations count="6">
    <dataValidation allowBlank="1" showInputMessage="1" showErrorMessage="1" promptTitle="Size of tables is flexible" prompt="~FI_T tables are built using the row column headers before &amp; below the ~ tag to identify the TechName, TechDesc, Comm-IN, Comm-OUT, and the relevant years of data (Year). Then data column headers are used to provide the data describing the processes." sqref="G3" xr:uid="{30AC4CDB-97A0-4D69-AEE4-AFE57830F455}"/>
    <dataValidation allowBlank="1" showInputMessage="1" showErrorMessage="1" prompt="Process Names" sqref="C4" xr:uid="{E7AE0451-D869-4E3B-BF07-B6FAD0C98A8F}"/>
    <dataValidation allowBlank="1" showInputMessage="1" showErrorMessage="1" prompt="Process Descriptions" sqref="D4" xr:uid="{BF2EF161-8CC6-4C73-B35D-F462FEEEFB83}"/>
    <dataValidation allowBlank="1" showInputMessage="1" showErrorMessage="1" prompt="Commodity Inputs" sqref="F4" xr:uid="{E17712D6-8CC8-4E1F-9130-5157130D4E2B}"/>
    <dataValidation allowBlank="1" showInputMessage="1" showErrorMessage="1" prompt="Commodity Outputs" sqref="G4" xr:uid="{8944F03D-BE8C-4FC6-A387-44B7C5A92888}"/>
    <dataValidation allowBlank="1" showInputMessage="1" showErrorMessage="1" prompt="Region names" sqref="B4" xr:uid="{0B38C36A-383E-4E66-AD5B-68A697914D7F}"/>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DB605-5855-40EC-8271-5819A3575BB4}">
  <sheetPr>
    <tabColor theme="7"/>
  </sheetPr>
  <dimension ref="A2:Y91"/>
  <sheetViews>
    <sheetView showGridLines="0" tabSelected="1" topLeftCell="A4" zoomScale="85" zoomScaleNormal="85" workbookViewId="0">
      <selection activeCell="P8" sqref="P8"/>
    </sheetView>
  </sheetViews>
  <sheetFormatPr defaultRowHeight="13.9"/>
  <cols>
    <col min="1" max="1" width="3.625" customWidth="1"/>
    <col min="2" max="2" width="12.25" bestFit="1" customWidth="1"/>
    <col min="3" max="3" width="13.125" bestFit="1" customWidth="1"/>
    <col min="4" max="4" width="27.25" customWidth="1"/>
    <col min="5" max="7" width="10.75" customWidth="1"/>
    <col min="8" max="8" width="15.5" customWidth="1"/>
    <col min="9" max="9" width="14" style="1181" customWidth="1"/>
    <col min="10" max="10" width="14.375" customWidth="1"/>
    <col min="11" max="11" width="13" customWidth="1"/>
    <col min="12" max="12" width="15.5" customWidth="1"/>
    <col min="13" max="13" width="6" customWidth="1"/>
    <col min="14" max="14" width="11.25" customWidth="1"/>
    <col min="15" max="15" width="0.5" customWidth="1"/>
    <col min="16" max="16" width="15.375" customWidth="1"/>
    <col min="17" max="17" width="20.5" customWidth="1"/>
    <col min="18" max="19" width="20.875" customWidth="1"/>
    <col min="20" max="20" width="6" customWidth="1"/>
    <col min="21" max="22" width="22.125" bestFit="1" customWidth="1"/>
    <col min="23" max="25" width="22.5" bestFit="1" customWidth="1"/>
    <col min="26" max="26" width="9" customWidth="1"/>
  </cols>
  <sheetData>
    <row r="2" spans="2:25" ht="14.45">
      <c r="B2" s="149" t="s">
        <v>683</v>
      </c>
    </row>
    <row r="3" spans="2:25">
      <c r="B3" s="1256" t="s">
        <v>684</v>
      </c>
      <c r="C3" s="1256"/>
      <c r="D3" s="336">
        <v>0.78</v>
      </c>
      <c r="E3" s="336">
        <v>0.7</v>
      </c>
    </row>
    <row r="4" spans="2:25">
      <c r="B4" s="1256" t="s">
        <v>685</v>
      </c>
      <c r="C4" s="1256"/>
      <c r="D4" s="336">
        <v>0.3</v>
      </c>
      <c r="E4" s="336">
        <v>0.38</v>
      </c>
    </row>
    <row r="5" spans="2:25" ht="14.45">
      <c r="L5" s="149"/>
    </row>
    <row r="6" spans="2:25">
      <c r="B6" s="337" t="s">
        <v>686</v>
      </c>
    </row>
    <row r="7" spans="2:25" ht="14.45">
      <c r="B7" s="134"/>
      <c r="C7" s="134"/>
      <c r="D7" s="134"/>
      <c r="E7" s="134"/>
      <c r="F7" s="134"/>
      <c r="G7" s="378" t="s">
        <v>232</v>
      </c>
      <c r="H7" s="134"/>
      <c r="I7" s="1182"/>
      <c r="J7" s="134"/>
      <c r="K7" s="134"/>
      <c r="L7" s="134"/>
      <c r="M7" s="134"/>
      <c r="N7" s="134"/>
      <c r="O7" s="134"/>
    </row>
    <row r="8" spans="2:25" ht="15" thickBot="1">
      <c r="B8" s="1170" t="s">
        <v>1</v>
      </c>
      <c r="C8" s="1170" t="s">
        <v>81</v>
      </c>
      <c r="D8" s="1170" t="s">
        <v>82</v>
      </c>
      <c r="E8" s="1170" t="s">
        <v>235</v>
      </c>
      <c r="F8" s="1170" t="s">
        <v>319</v>
      </c>
      <c r="G8" s="1170" t="s">
        <v>320</v>
      </c>
      <c r="H8" s="1170" t="s">
        <v>321</v>
      </c>
      <c r="I8" s="1170" t="s">
        <v>330</v>
      </c>
      <c r="J8" s="1170" t="s">
        <v>332</v>
      </c>
      <c r="K8" s="1170" t="s">
        <v>333</v>
      </c>
      <c r="L8" s="1170" t="s">
        <v>331</v>
      </c>
      <c r="M8" s="1170" t="s">
        <v>324</v>
      </c>
      <c r="N8" s="1170" t="s">
        <v>687</v>
      </c>
      <c r="O8" s="1170" t="s">
        <v>688</v>
      </c>
      <c r="P8" s="1170" t="s">
        <v>689</v>
      </c>
      <c r="Q8" s="1170" t="s">
        <v>690</v>
      </c>
      <c r="R8" s="1170" t="s">
        <v>691</v>
      </c>
      <c r="S8" s="1170" t="s">
        <v>692</v>
      </c>
      <c r="T8" s="1244" t="s">
        <v>693</v>
      </c>
      <c r="U8" s="1170" t="s">
        <v>694</v>
      </c>
      <c r="V8" s="1170" t="s">
        <v>695</v>
      </c>
      <c r="W8" s="1170" t="s">
        <v>696</v>
      </c>
      <c r="X8" s="1170" t="s">
        <v>697</v>
      </c>
      <c r="Y8" s="1170" t="s">
        <v>698</v>
      </c>
    </row>
    <row r="9" spans="2:25" ht="14.45">
      <c r="B9" s="375" t="s">
        <v>97</v>
      </c>
      <c r="C9" s="375"/>
      <c r="D9" s="375"/>
      <c r="E9" s="375"/>
      <c r="F9" s="375"/>
      <c r="G9" s="375"/>
      <c r="H9" s="364"/>
      <c r="I9" s="364"/>
      <c r="J9" s="364"/>
      <c r="K9" s="364"/>
      <c r="L9" s="364"/>
      <c r="M9" s="364"/>
      <c r="N9" s="364"/>
      <c r="O9" s="364"/>
      <c r="P9" s="364"/>
      <c r="Q9" s="364"/>
      <c r="R9" s="364"/>
      <c r="S9" s="364"/>
      <c r="T9" s="1249"/>
      <c r="U9" s="364"/>
      <c r="V9" s="364"/>
      <c r="W9" s="364"/>
      <c r="X9" s="364"/>
      <c r="Y9" s="364"/>
    </row>
    <row r="10" spans="2:25" ht="14.45">
      <c r="B10" s="365" t="s">
        <v>11</v>
      </c>
      <c r="C10" s="365" t="s">
        <v>99</v>
      </c>
      <c r="D10" s="365" t="s">
        <v>100</v>
      </c>
      <c r="E10" s="365" t="s">
        <v>15</v>
      </c>
      <c r="F10" s="365" t="s">
        <v>651</v>
      </c>
      <c r="G10" s="365" t="s">
        <v>33</v>
      </c>
      <c r="H10" s="1178">
        <v>2010</v>
      </c>
      <c r="I10" s="1183">
        <v>50</v>
      </c>
      <c r="J10" s="1257"/>
      <c r="K10" s="1257"/>
      <c r="L10" s="1257"/>
      <c r="M10" s="1183">
        <v>1</v>
      </c>
      <c r="N10" s="1257"/>
      <c r="O10" s="1257"/>
      <c r="P10" s="1257"/>
      <c r="Q10" s="1257"/>
      <c r="R10" s="1257"/>
      <c r="S10" s="1257"/>
      <c r="T10" s="1257"/>
      <c r="U10" s="1257"/>
      <c r="V10" s="1257"/>
      <c r="W10" s="1257"/>
      <c r="X10" s="1257"/>
      <c r="Y10" s="1257"/>
    </row>
    <row r="11" spans="2:25" ht="14.45">
      <c r="B11" s="365" t="s">
        <v>11</v>
      </c>
      <c r="C11" s="365" t="s">
        <v>101</v>
      </c>
      <c r="D11" s="365" t="s">
        <v>102</v>
      </c>
      <c r="E11" s="365" t="s">
        <v>15</v>
      </c>
      <c r="F11" s="365" t="s">
        <v>652</v>
      </c>
      <c r="G11" s="365" t="s">
        <v>35</v>
      </c>
      <c r="H11" s="1178">
        <v>2010</v>
      </c>
      <c r="I11" s="1183">
        <v>50</v>
      </c>
      <c r="J11" s="1257"/>
      <c r="K11" s="1257"/>
      <c r="L11" s="1257"/>
      <c r="M11" s="1183">
        <v>1</v>
      </c>
      <c r="N11" s="1257"/>
      <c r="O11" s="1257"/>
      <c r="P11" s="1257"/>
      <c r="Q11" s="1257"/>
      <c r="R11" s="1257"/>
      <c r="S11" s="1257"/>
      <c r="T11" s="1257"/>
      <c r="U11" s="1257"/>
      <c r="V11" s="1257"/>
      <c r="W11" s="1257"/>
      <c r="X11" s="1257"/>
      <c r="Y11" s="1257"/>
    </row>
    <row r="12" spans="2:25" ht="15" thickBot="1">
      <c r="B12" s="370" t="s">
        <v>11</v>
      </c>
      <c r="C12" s="370" t="s">
        <v>103</v>
      </c>
      <c r="D12" s="370" t="s">
        <v>104</v>
      </c>
      <c r="E12" s="370" t="s">
        <v>15</v>
      </c>
      <c r="F12" s="370" t="s">
        <v>32</v>
      </c>
      <c r="G12" s="370" t="s">
        <v>28</v>
      </c>
      <c r="H12" s="1178">
        <v>2010</v>
      </c>
      <c r="I12" s="1183">
        <v>50</v>
      </c>
      <c r="J12" s="1257"/>
      <c r="K12" s="1257"/>
      <c r="L12" s="1257"/>
      <c r="M12" s="1183">
        <v>1</v>
      </c>
      <c r="N12" s="1257"/>
      <c r="O12" s="1257"/>
      <c r="P12" s="1257"/>
      <c r="Q12" s="1257"/>
      <c r="R12" s="1257"/>
      <c r="S12" s="1257"/>
      <c r="T12" s="1257"/>
      <c r="U12" s="1257"/>
      <c r="V12" s="1257"/>
      <c r="W12" s="1257"/>
      <c r="X12" s="1257"/>
      <c r="Y12" s="1257"/>
    </row>
    <row r="13" spans="2:25" ht="14.45">
      <c r="B13" s="364" t="s">
        <v>116</v>
      </c>
      <c r="C13" s="364"/>
      <c r="D13" s="364"/>
      <c r="E13" s="364"/>
      <c r="F13" s="364"/>
      <c r="G13" s="364"/>
      <c r="H13" s="364"/>
      <c r="I13" s="1179"/>
      <c r="J13" s="364"/>
      <c r="K13" s="364"/>
      <c r="L13" s="364"/>
      <c r="M13" s="364"/>
      <c r="N13" s="364"/>
      <c r="O13" s="364"/>
      <c r="P13" s="364"/>
      <c r="Q13" s="364"/>
      <c r="R13" s="364"/>
      <c r="S13" s="364"/>
      <c r="T13" s="1249"/>
      <c r="U13" s="364"/>
      <c r="V13" s="364"/>
      <c r="W13" s="364"/>
      <c r="X13" s="364"/>
      <c r="Y13" s="364"/>
    </row>
    <row r="14" spans="2:25" ht="14.45">
      <c r="B14" s="1177" t="s">
        <v>117</v>
      </c>
      <c r="C14" s="1176"/>
      <c r="D14" s="1176"/>
      <c r="E14" s="1176"/>
      <c r="F14" s="1176"/>
      <c r="G14" s="1176"/>
      <c r="H14" s="1176"/>
      <c r="I14" s="1180"/>
      <c r="J14" s="1176"/>
      <c r="K14" s="1176"/>
      <c r="L14" s="1176"/>
      <c r="M14" s="1176"/>
      <c r="N14" s="1176"/>
      <c r="O14" s="1176"/>
      <c r="P14" s="1176"/>
      <c r="Q14" s="1176"/>
      <c r="R14" s="1176"/>
      <c r="S14" s="1176"/>
      <c r="T14" s="1250"/>
      <c r="U14" s="1176"/>
      <c r="V14" s="1176"/>
      <c r="W14" s="1176"/>
      <c r="X14" s="1176"/>
      <c r="Y14" s="1176"/>
    </row>
    <row r="15" spans="2:25" ht="14.45">
      <c r="B15" s="1168" t="s">
        <v>11</v>
      </c>
      <c r="C15" s="1174" t="s">
        <v>118</v>
      </c>
      <c r="D15" s="1174" t="s">
        <v>119</v>
      </c>
      <c r="E15" s="1174" t="s">
        <v>329</v>
      </c>
      <c r="F15" s="1174" t="s">
        <v>28</v>
      </c>
      <c r="G15" s="1174" t="s">
        <v>13</v>
      </c>
      <c r="H15" s="1178">
        <v>2010</v>
      </c>
      <c r="I15" s="1183">
        <v>15</v>
      </c>
      <c r="J15" s="1183">
        <v>7.539536503803002</v>
      </c>
      <c r="K15" s="1183">
        <v>0.13658580622831529</v>
      </c>
      <c r="L15" s="1183">
        <v>0.18</v>
      </c>
      <c r="M15" s="1183">
        <v>3.3</v>
      </c>
      <c r="N15" s="1183">
        <v>31.536000000000001</v>
      </c>
      <c r="O15" s="1183">
        <v>0.28000000000000003</v>
      </c>
      <c r="P15" s="1183">
        <v>0</v>
      </c>
      <c r="Q15" s="1183">
        <v>0</v>
      </c>
      <c r="R15" s="1183">
        <v>0</v>
      </c>
      <c r="S15" s="1183">
        <v>0</v>
      </c>
      <c r="T15" s="1252"/>
      <c r="U15" s="1183"/>
      <c r="V15" s="1183"/>
      <c r="W15" s="1183"/>
      <c r="X15" s="1183"/>
      <c r="Y15" s="1183"/>
    </row>
    <row r="16" spans="2:25" ht="14.45">
      <c r="B16" s="1177" t="s">
        <v>120</v>
      </c>
      <c r="C16" s="1176"/>
      <c r="D16" s="1176"/>
      <c r="E16" s="1176"/>
      <c r="F16" s="1176"/>
      <c r="G16" s="1176"/>
      <c r="H16" s="1176"/>
      <c r="I16" s="1184"/>
      <c r="J16" s="1184"/>
      <c r="K16" s="1184"/>
      <c r="L16" s="1184"/>
      <c r="M16" s="1184"/>
      <c r="N16" s="1184"/>
      <c r="O16" s="1184"/>
      <c r="P16" s="1184"/>
      <c r="Q16" s="1184"/>
      <c r="R16" s="1184"/>
      <c r="S16" s="1184"/>
      <c r="T16" s="1251"/>
      <c r="U16" s="1184"/>
      <c r="V16" s="1184"/>
      <c r="W16" s="1184"/>
      <c r="X16" s="1184"/>
      <c r="Y16" s="1184"/>
    </row>
    <row r="17" spans="2:25" ht="14.45">
      <c r="B17" s="1168" t="s">
        <v>11</v>
      </c>
      <c r="C17" s="1174" t="s">
        <v>121</v>
      </c>
      <c r="D17" s="1174" t="s">
        <v>122</v>
      </c>
      <c r="E17" s="1174" t="s">
        <v>329</v>
      </c>
      <c r="F17" s="1174" t="s">
        <v>28</v>
      </c>
      <c r="G17" s="1174" t="s">
        <v>13</v>
      </c>
      <c r="H17" s="1178">
        <v>2010</v>
      </c>
      <c r="I17" s="1183">
        <v>20</v>
      </c>
      <c r="J17" s="1183">
        <v>13.76784926781418</v>
      </c>
      <c r="K17" s="1183">
        <v>1.6521419121377017</v>
      </c>
      <c r="L17" s="1183">
        <v>0.24</v>
      </c>
      <c r="M17" s="1183">
        <v>3.5</v>
      </c>
      <c r="N17" s="1183">
        <v>31.536000000000001</v>
      </c>
      <c r="O17" s="1183">
        <v>0.28000000000000003</v>
      </c>
      <c r="P17" s="1183">
        <v>0</v>
      </c>
      <c r="Q17" s="1183">
        <v>0</v>
      </c>
      <c r="R17" s="1183">
        <v>0</v>
      </c>
      <c r="S17" s="1183">
        <v>0</v>
      </c>
      <c r="T17" s="1252"/>
      <c r="U17" s="1183"/>
      <c r="V17" s="1183"/>
      <c r="W17" s="1183"/>
      <c r="X17" s="1183"/>
      <c r="Y17" s="1183"/>
    </row>
    <row r="18" spans="2:25" ht="14.45">
      <c r="B18" s="1177" t="s">
        <v>123</v>
      </c>
      <c r="C18" s="1176"/>
      <c r="D18" s="1176"/>
      <c r="E18" s="1176"/>
      <c r="F18" s="1176"/>
      <c r="G18" s="1176"/>
      <c r="H18" s="1176"/>
      <c r="I18" s="1184"/>
      <c r="J18" s="1184"/>
      <c r="K18" s="1184"/>
      <c r="L18" s="1184"/>
      <c r="M18" s="1184"/>
      <c r="N18" s="1184"/>
      <c r="O18" s="1184"/>
      <c r="P18" s="1184"/>
      <c r="Q18" s="1184"/>
      <c r="R18" s="1184"/>
      <c r="S18" s="1184"/>
      <c r="T18" s="1251"/>
      <c r="U18" s="1184"/>
      <c r="V18" s="1184"/>
      <c r="W18" s="1184"/>
      <c r="X18" s="1184"/>
      <c r="Y18" s="1184"/>
    </row>
    <row r="19" spans="2:25" ht="14.45">
      <c r="B19" s="1168" t="s">
        <v>11</v>
      </c>
      <c r="C19" s="1174" t="s">
        <v>124</v>
      </c>
      <c r="D19" s="1174" t="s">
        <v>125</v>
      </c>
      <c r="E19" s="1174" t="s">
        <v>329</v>
      </c>
      <c r="F19" s="1174" t="s">
        <v>48</v>
      </c>
      <c r="G19" s="1174" t="s">
        <v>13</v>
      </c>
      <c r="H19" s="1178">
        <v>2010</v>
      </c>
      <c r="I19" s="1183">
        <v>30</v>
      </c>
      <c r="J19" s="1183">
        <v>30.731806401370935</v>
      </c>
      <c r="K19" s="1183">
        <v>0.45073316055344037</v>
      </c>
      <c r="L19" s="1183">
        <v>0.18</v>
      </c>
      <c r="M19" s="1183">
        <v>1.4</v>
      </c>
      <c r="N19" s="1183"/>
      <c r="O19" s="1183">
        <v>0.28000000000000003</v>
      </c>
      <c r="P19" s="1183">
        <v>0</v>
      </c>
      <c r="Q19" s="1183">
        <v>0</v>
      </c>
      <c r="R19" s="1183">
        <v>0</v>
      </c>
      <c r="S19" s="1183">
        <v>0</v>
      </c>
      <c r="T19" s="1252"/>
      <c r="U19" s="1183"/>
      <c r="V19" s="1183"/>
      <c r="W19" s="1183"/>
      <c r="X19" s="1183"/>
      <c r="Y19" s="1183"/>
    </row>
    <row r="20" spans="2:25" ht="14.45">
      <c r="B20" s="1177" t="s">
        <v>126</v>
      </c>
      <c r="C20" s="1176"/>
      <c r="D20" s="1176"/>
      <c r="E20" s="1176"/>
      <c r="F20" s="1176"/>
      <c r="G20" s="1176"/>
      <c r="H20" s="1176"/>
      <c r="I20" s="1184"/>
      <c r="J20" s="1184"/>
      <c r="K20" s="1184"/>
      <c r="L20" s="1184"/>
      <c r="M20" s="1184"/>
      <c r="N20" s="1184"/>
      <c r="O20" s="1184"/>
      <c r="P20" s="1184"/>
      <c r="Q20" s="1184"/>
      <c r="R20" s="1184"/>
      <c r="S20" s="1184"/>
      <c r="T20" s="1251"/>
      <c r="U20" s="1184"/>
      <c r="V20" s="1184"/>
      <c r="W20" s="1184"/>
      <c r="X20" s="1184"/>
      <c r="Y20" s="1184"/>
    </row>
    <row r="21" spans="2:25" ht="14.45">
      <c r="B21" s="1168" t="s">
        <v>11</v>
      </c>
      <c r="C21" s="1174" t="s">
        <v>127</v>
      </c>
      <c r="D21" s="1174" t="s">
        <v>128</v>
      </c>
      <c r="E21" s="1174" t="s">
        <v>329</v>
      </c>
      <c r="F21" s="1174" t="s">
        <v>28</v>
      </c>
      <c r="G21" s="1174" t="s">
        <v>13</v>
      </c>
      <c r="H21" s="1178">
        <v>2010</v>
      </c>
      <c r="I21" s="1183">
        <v>18</v>
      </c>
      <c r="J21" s="1183">
        <v>3.7717225079234327</v>
      </c>
      <c r="K21" s="1183">
        <v>0.02</v>
      </c>
      <c r="L21" s="1183">
        <v>0.18</v>
      </c>
      <c r="M21" s="1183">
        <v>1</v>
      </c>
      <c r="N21" s="1183">
        <v>31.536000000000001</v>
      </c>
      <c r="O21" s="1183">
        <v>0.28000000000000003</v>
      </c>
      <c r="P21" s="1183">
        <v>0</v>
      </c>
      <c r="Q21" s="1183">
        <v>0</v>
      </c>
      <c r="R21" s="1183">
        <v>0</v>
      </c>
      <c r="S21" s="1183">
        <v>0</v>
      </c>
      <c r="T21" s="1252"/>
      <c r="U21" s="1183"/>
      <c r="V21" s="1183"/>
      <c r="W21" s="1183"/>
      <c r="X21" s="1183"/>
      <c r="Y21" s="1183"/>
    </row>
    <row r="22" spans="2:25" ht="14.45">
      <c r="B22" s="1168" t="s">
        <v>11</v>
      </c>
      <c r="C22" s="1174" t="s">
        <v>129</v>
      </c>
      <c r="D22" s="1174" t="s">
        <v>130</v>
      </c>
      <c r="E22" s="1174" t="s">
        <v>329</v>
      </c>
      <c r="F22" s="1174" t="s">
        <v>28</v>
      </c>
      <c r="G22" s="1174" t="s">
        <v>13</v>
      </c>
      <c r="H22" s="1178">
        <v>2010</v>
      </c>
      <c r="I22" s="1183">
        <v>18</v>
      </c>
      <c r="J22" s="1183">
        <v>2.272158639853874</v>
      </c>
      <c r="K22" s="1183">
        <v>0.02</v>
      </c>
      <c r="L22" s="1183">
        <v>0.18</v>
      </c>
      <c r="M22" s="1183">
        <v>1</v>
      </c>
      <c r="N22" s="1183">
        <v>31.536000000000001</v>
      </c>
      <c r="O22" s="1183">
        <v>0.28000000000000003</v>
      </c>
      <c r="P22" s="1183">
        <f ca="1">DemandCalc!N6*CommDemand!G6</f>
        <v>0.27236468031477934</v>
      </c>
      <c r="Q22" s="1183">
        <f ca="1">DemandCalc!N14*CommDemand!H6</f>
        <v>0.27702291957957931</v>
      </c>
      <c r="R22" s="1183">
        <f ca="1">DemandCalc!N22*CommDemand!I6</f>
        <v>0.22584865047033115</v>
      </c>
      <c r="S22" s="1183">
        <f ca="1">DemandCalc!N30*CommDemand!J6</f>
        <v>0.24488042054319484</v>
      </c>
      <c r="T22" s="1252">
        <v>0.28000000000000003</v>
      </c>
      <c r="U22" s="1183">
        <f ca="1">P22/($T22*$N22*$M22)</f>
        <v>3.0845097701807836E-2</v>
      </c>
      <c r="V22" s="1183">
        <f t="shared" ref="V22:Y22" ca="1" si="0">Q22/($T22*$N22*$M22)</f>
        <v>3.1372639837870017E-2</v>
      </c>
      <c r="W22" s="1183">
        <f t="shared" ca="1" si="0"/>
        <v>2.5577191879386271E-2</v>
      </c>
      <c r="X22" s="1183">
        <f t="shared" ca="1" si="0"/>
        <v>2.7732525701148213E-2</v>
      </c>
      <c r="Y22" s="1183">
        <f t="shared" si="0"/>
        <v>3.1709791983764585E-2</v>
      </c>
    </row>
    <row r="23" spans="2:25" ht="14.45">
      <c r="B23" s="1177" t="s">
        <v>131</v>
      </c>
      <c r="C23" s="1176"/>
      <c r="D23" s="1176"/>
      <c r="E23" s="1176"/>
      <c r="F23" s="1176"/>
      <c r="G23" s="1176"/>
      <c r="H23" s="1176"/>
      <c r="I23" s="1184"/>
      <c r="J23" s="1184"/>
      <c r="K23" s="1184"/>
      <c r="L23" s="1184"/>
      <c r="M23" s="1184"/>
      <c r="N23" s="1184"/>
      <c r="O23" s="1184"/>
      <c r="P23" s="1184"/>
      <c r="Q23" s="1184"/>
      <c r="R23" s="1184"/>
      <c r="S23" s="1184"/>
      <c r="T23" s="1251"/>
      <c r="U23" s="1184"/>
      <c r="V23" s="1184"/>
      <c r="W23" s="1184"/>
      <c r="X23" s="1184"/>
      <c r="Y23" s="1184"/>
    </row>
    <row r="24" spans="2:25" ht="14.45">
      <c r="B24" s="1168" t="s">
        <v>699</v>
      </c>
      <c r="C24" s="1174" t="s">
        <v>132</v>
      </c>
      <c r="D24" s="1174" t="s">
        <v>133</v>
      </c>
      <c r="E24" s="1174" t="s">
        <v>329</v>
      </c>
      <c r="F24" s="1174" t="s">
        <v>48</v>
      </c>
      <c r="G24" s="1174" t="s">
        <v>13</v>
      </c>
      <c r="H24" s="1178">
        <v>2010</v>
      </c>
      <c r="I24" s="1183">
        <v>17.5</v>
      </c>
      <c r="J24" s="1183">
        <v>0.9672442130841028</v>
      </c>
      <c r="K24" s="1183">
        <v>9.5138775057452746E-2</v>
      </c>
      <c r="L24" s="1183">
        <v>0.18</v>
      </c>
      <c r="M24" s="1183">
        <v>0.77525000000000011</v>
      </c>
      <c r="N24" s="1183"/>
      <c r="O24" s="1183">
        <v>0.28000000000000003</v>
      </c>
      <c r="P24" s="1183">
        <f ca="1">DemandCalc!N7*0.5*(CommDemand!G6+P36/(2*5))*var_derate</f>
        <v>1.7805006122154623</v>
      </c>
      <c r="Q24" s="1183">
        <f ca="1">DemandCalc!N15*0.5*(CommDemand!H6+Q36/(2*5))*0.85</f>
        <v>2.2686914077266631</v>
      </c>
      <c r="R24" s="1183">
        <f ca="1">DemandCalc!N23*0.5*(CommDemand!I6+R36/(2*5))*0.85</f>
        <v>2.3217333401065341</v>
      </c>
      <c r="S24" s="1183">
        <f ca="1">DemandCalc!N31*0.5*(CommDemand!J6+S36/(2*5))*var_derate</f>
        <v>1.2215304562574061</v>
      </c>
      <c r="T24" s="1252">
        <v>0.28000000000000003</v>
      </c>
      <c r="U24" s="1183">
        <f ca="1">P24/($T24*$M24)</f>
        <v>8.2024260018218182</v>
      </c>
      <c r="V24" s="1183">
        <f t="shared" ref="V24:Y25" ca="1" si="1">Q24/($T24*$M24)</f>
        <v>10.451427685662058</v>
      </c>
      <c r="W24" s="1183">
        <f t="shared" ca="1" si="1"/>
        <v>10.695781729886827</v>
      </c>
      <c r="X24" s="1183">
        <f t="shared" ca="1" si="1"/>
        <v>5.6273573329221263</v>
      </c>
      <c r="Y24" s="1183">
        <f t="shared" si="1"/>
        <v>1.2899064817800707</v>
      </c>
    </row>
    <row r="25" spans="2:25" ht="14.45">
      <c r="B25" s="1168" t="s">
        <v>144</v>
      </c>
      <c r="C25" s="1174" t="s">
        <v>132</v>
      </c>
      <c r="D25" s="1174" t="s">
        <v>133</v>
      </c>
      <c r="E25" s="1174" t="s">
        <v>329</v>
      </c>
      <c r="F25" s="1174" t="s">
        <v>48</v>
      </c>
      <c r="G25" s="1174" t="s">
        <v>13</v>
      </c>
      <c r="H25" s="1178">
        <v>2010</v>
      </c>
      <c r="I25" s="1183">
        <v>17.5</v>
      </c>
      <c r="J25" s="1183">
        <v>0.9672442130841028</v>
      </c>
      <c r="K25" s="1183">
        <v>9.5138775057452746E-2</v>
      </c>
      <c r="L25" s="1183">
        <v>0.18</v>
      </c>
      <c r="M25" s="1183">
        <v>0.77525000000000011</v>
      </c>
      <c r="N25" s="1183"/>
      <c r="O25" s="1183">
        <v>0.28000000000000003</v>
      </c>
      <c r="P25" s="1183">
        <f ca="1">P24-(P$36/(2*5))</f>
        <v>1.4776975404764008</v>
      </c>
      <c r="Q25" s="1183">
        <f ca="1">(Q24-(Q$36/(2*5)))*0.58</f>
        <v>1.1618488166827203</v>
      </c>
      <c r="R25" s="1183">
        <f ca="1">R24-(R$36/(2*5))</f>
        <v>2.1252220104908623</v>
      </c>
      <c r="S25" s="1183">
        <f ca="1">S24-(S$36/(2*5))</f>
        <v>0.97872077449674233</v>
      </c>
      <c r="T25" s="1252">
        <v>0.28000000000000003</v>
      </c>
      <c r="U25" s="1183">
        <f t="shared" ref="U25" ca="1" si="2">P25/($T25*$M25)</f>
        <v>6.8074701270392062</v>
      </c>
      <c r="V25" s="1183">
        <f t="shared" ca="1" si="1"/>
        <v>5.3524154267412358</v>
      </c>
      <c r="W25" s="1183">
        <f t="shared" ca="1" si="1"/>
        <v>9.7904915948351317</v>
      </c>
      <c r="X25" s="1183">
        <f t="shared" ca="1" si="1"/>
        <v>4.5087795388434246</v>
      </c>
      <c r="Y25" s="1183">
        <f t="shared" si="1"/>
        <v>1.2899064817800707</v>
      </c>
    </row>
    <row r="26" spans="2:25" ht="14.45">
      <c r="B26" s="1177" t="s">
        <v>134</v>
      </c>
      <c r="C26" s="1176"/>
      <c r="D26" s="1176"/>
      <c r="E26" s="1176"/>
      <c r="F26" s="1176"/>
      <c r="G26" s="1176"/>
      <c r="H26" s="1176"/>
      <c r="I26" s="1184"/>
      <c r="J26" s="1184"/>
      <c r="K26" s="1184"/>
      <c r="L26" s="1184"/>
      <c r="M26" s="1184"/>
      <c r="N26" s="1184"/>
      <c r="O26" s="1184"/>
      <c r="P26" s="1184"/>
      <c r="Q26" s="1184"/>
      <c r="R26" s="1184"/>
      <c r="S26" s="1184"/>
      <c r="T26" s="1251"/>
      <c r="U26" s="1184"/>
      <c r="V26" s="1184"/>
      <c r="W26" s="1184"/>
      <c r="X26" s="1184"/>
      <c r="Y26" s="1184"/>
    </row>
    <row r="27" spans="2:25" ht="14.45">
      <c r="B27" s="1168" t="s">
        <v>699</v>
      </c>
      <c r="C27" s="1174" t="s">
        <v>135</v>
      </c>
      <c r="D27" s="1174" t="s">
        <v>136</v>
      </c>
      <c r="E27" s="1174" t="s">
        <v>329</v>
      </c>
      <c r="F27" s="1174" t="s">
        <v>48</v>
      </c>
      <c r="G27" s="1174" t="s">
        <v>13</v>
      </c>
      <c r="H27" s="1178">
        <v>2010</v>
      </c>
      <c r="I27" s="1183">
        <v>30</v>
      </c>
      <c r="J27" s="1183">
        <v>1.5900547911427214</v>
      </c>
      <c r="K27" s="1183">
        <v>7.0919543327232479E-2</v>
      </c>
      <c r="L27" s="1183">
        <v>0.18</v>
      </c>
      <c r="M27" s="1183">
        <v>0.78</v>
      </c>
      <c r="N27" s="1183"/>
      <c r="O27" s="1183">
        <v>0.28000000000000003</v>
      </c>
      <c r="P27" s="1183">
        <f ca="1">DemandCalc!N7*0.5*(CommDemand!G6+P36/(2*5))*var_derate</f>
        <v>1.7805006122154623</v>
      </c>
      <c r="Q27" s="1183">
        <f ca="1">DemandCalc!N15*0.5*(CommDemand!H6+Q36/(2*5))*0.85</f>
        <v>2.2686914077266631</v>
      </c>
      <c r="R27" s="1183">
        <f ca="1">DemandCalc!N23*0.5*(CommDemand!I6+R36/(2*5))*0.74</f>
        <v>2.0212737313868652</v>
      </c>
      <c r="S27" s="1183">
        <f ca="1">DemandCalc!N31*0.5*(CommDemand!J6+S36/(2*5))*var_derate</f>
        <v>1.2215304562574061</v>
      </c>
      <c r="T27" s="1252">
        <v>0.28000000000000003</v>
      </c>
      <c r="U27" s="1183">
        <f t="shared" ref="U27:U28" ca="1" si="3">P27/($T27*$M27)</f>
        <v>8.1524753306568769</v>
      </c>
      <c r="V27" s="1183">
        <f t="shared" ref="V27:V28" ca="1" si="4">Q27/($T27*$M27)</f>
        <v>10.387781170909628</v>
      </c>
      <c r="W27" s="1183">
        <f t="shared" ref="W27:W28" ca="1" si="5">R27/($T27*$M27)</f>
        <v>9.2549163525039599</v>
      </c>
      <c r="X27" s="1183">
        <f t="shared" ref="X27:X28" ca="1" si="6">S27/($T27*$M27)</f>
        <v>5.5930881696767667</v>
      </c>
      <c r="Y27" s="1183">
        <f t="shared" ref="Y27:Y28" si="7">T27/($T27*$M27)</f>
        <v>1.2820512820512819</v>
      </c>
    </row>
    <row r="28" spans="2:25" ht="14.45">
      <c r="B28" s="1168" t="s">
        <v>144</v>
      </c>
      <c r="C28" s="1174" t="s">
        <v>135</v>
      </c>
      <c r="D28" s="1174" t="s">
        <v>136</v>
      </c>
      <c r="E28" s="1174" t="s">
        <v>329</v>
      </c>
      <c r="F28" s="1174" t="s">
        <v>48</v>
      </c>
      <c r="G28" s="1174" t="s">
        <v>13</v>
      </c>
      <c r="H28" s="1178">
        <v>2010</v>
      </c>
      <c r="I28" s="1183">
        <v>30</v>
      </c>
      <c r="J28" s="1183">
        <v>1.5900547911427214</v>
      </c>
      <c r="K28" s="1183">
        <v>7.0919543327232479E-2</v>
      </c>
      <c r="L28" s="1183">
        <v>0.18</v>
      </c>
      <c r="M28" s="1183">
        <v>0.78</v>
      </c>
      <c r="N28" s="1183"/>
      <c r="O28" s="1183">
        <v>0.28000000000000003</v>
      </c>
      <c r="P28" s="1183">
        <f ca="1">P27-(P$36/(2*5))</f>
        <v>1.4776975404764008</v>
      </c>
      <c r="Q28" s="1183">
        <f ca="1">(Q27-(Q$36/(2*5)))*0.58</f>
        <v>1.1618488166827203</v>
      </c>
      <c r="R28" s="1183">
        <f ca="1">R27-(R$36/(2*5))</f>
        <v>1.8247624017711932</v>
      </c>
      <c r="S28" s="1183">
        <f ca="1">S27-(S$36/(2*5))</f>
        <v>0.97872077449674233</v>
      </c>
      <c r="T28" s="1252">
        <v>0.28000000000000003</v>
      </c>
      <c r="U28" s="1183">
        <f t="shared" ca="1" si="3"/>
        <v>6.7660143794706986</v>
      </c>
      <c r="V28" s="1183">
        <f t="shared" ca="1" si="4"/>
        <v>5.3198205892065937</v>
      </c>
      <c r="W28" s="1183">
        <f t="shared" ca="1" si="5"/>
        <v>8.3551392022490525</v>
      </c>
      <c r="X28" s="1183">
        <f t="shared" ca="1" si="6"/>
        <v>4.4813222275491853</v>
      </c>
      <c r="Y28" s="1183">
        <f t="shared" si="7"/>
        <v>1.2820512820512819</v>
      </c>
    </row>
    <row r="29" spans="2:25" ht="14.45">
      <c r="B29" s="1177" t="s">
        <v>137</v>
      </c>
      <c r="C29" s="1176"/>
      <c r="D29" s="1176"/>
      <c r="E29" s="1176"/>
      <c r="F29" s="1176"/>
      <c r="G29" s="1176"/>
      <c r="H29" s="1176"/>
      <c r="I29" s="1184"/>
      <c r="J29" s="1184"/>
      <c r="K29" s="1184"/>
      <c r="L29" s="1184"/>
      <c r="M29" s="1184"/>
      <c r="N29" s="1184"/>
      <c r="O29" s="1184"/>
      <c r="P29" s="1184"/>
      <c r="Q29" s="1184"/>
      <c r="R29" s="1184"/>
      <c r="S29" s="1184"/>
      <c r="T29" s="1251"/>
      <c r="U29" s="1184"/>
      <c r="V29" s="1184"/>
      <c r="W29" s="1184"/>
      <c r="X29" s="1184"/>
      <c r="Y29" s="1184"/>
    </row>
    <row r="30" spans="2:25" ht="14.45">
      <c r="B30" s="1168" t="s">
        <v>11</v>
      </c>
      <c r="C30" s="1169" t="s">
        <v>138</v>
      </c>
      <c r="D30" s="1168" t="s">
        <v>139</v>
      </c>
      <c r="E30" s="1169" t="s">
        <v>329</v>
      </c>
      <c r="F30" s="1168" t="s">
        <v>50</v>
      </c>
      <c r="G30" s="1174" t="s">
        <v>13</v>
      </c>
      <c r="H30" s="1178">
        <v>2010</v>
      </c>
      <c r="I30" s="1172">
        <v>19</v>
      </c>
      <c r="J30" s="1172">
        <v>1.3061742299482397</v>
      </c>
      <c r="K30" s="1172">
        <v>9.2746099167922355E-2</v>
      </c>
      <c r="L30" s="1172">
        <v>0.18</v>
      </c>
      <c r="M30" s="1172">
        <v>0.79525000000000001</v>
      </c>
      <c r="N30" s="1172"/>
      <c r="O30" s="1172">
        <v>0.28000000000000003</v>
      </c>
      <c r="P30" s="1172">
        <f ca="1">0.5*DemandCalc!N8*CommDemand!G6*0.75</f>
        <v>0.23305645584286255</v>
      </c>
      <c r="Q30" s="1172">
        <f ca="1">0.5*DemandCalc!N16*CommDemand!H6*0.75</f>
        <v>0.25022281235004329</v>
      </c>
      <c r="R30" s="1172">
        <f ca="1">0.5*DemandCalc!N24*CommDemand!I6*var_derate</f>
        <v>0.15277015471556035</v>
      </c>
      <c r="S30" s="1172">
        <f ca="1">0.5*DemandCalc!N32*CommDemand!J6*var_derate</f>
        <v>0.13890456533148071</v>
      </c>
      <c r="T30" s="1253">
        <v>0.28000000000000003</v>
      </c>
      <c r="U30" s="1183">
        <f t="shared" ref="U30:U31" ca="1" si="8">P30/($T30*$M30)</f>
        <v>1.0466450614939711</v>
      </c>
      <c r="V30" s="1183">
        <f t="shared" ref="V30:V31" ca="1" si="9">Q30/($T30*$M30)</f>
        <v>1.1237383228546425</v>
      </c>
      <c r="W30" s="1183">
        <f t="shared" ref="W30:W31" ca="1" si="10">R30/($T30*$M30)</f>
        <v>0.68608323849445518</v>
      </c>
      <c r="X30" s="1183">
        <f t="shared" ref="X30:X31" ca="1" si="11">S30/($T30*$M30)</f>
        <v>0.62381355966893026</v>
      </c>
      <c r="Y30" s="1183">
        <f t="shared" ref="Y30:Y31" si="12">T30/($T30*$M30)</f>
        <v>1.2574662055957246</v>
      </c>
    </row>
    <row r="31" spans="2:25" ht="14.45">
      <c r="B31" s="1168" t="s">
        <v>700</v>
      </c>
      <c r="C31" s="1169" t="s">
        <v>138</v>
      </c>
      <c r="D31" s="1168" t="s">
        <v>139</v>
      </c>
      <c r="E31" s="1169" t="s">
        <v>329</v>
      </c>
      <c r="F31" s="1168" t="s">
        <v>50</v>
      </c>
      <c r="G31" s="1174" t="s">
        <v>13</v>
      </c>
      <c r="H31" s="1178">
        <v>2010</v>
      </c>
      <c r="I31" s="1172">
        <v>19</v>
      </c>
      <c r="J31" s="1172">
        <v>1.3061742299482397</v>
      </c>
      <c r="K31" s="1172">
        <v>9.2746099167922355E-2</v>
      </c>
      <c r="L31" s="1172">
        <v>0.18</v>
      </c>
      <c r="M31" s="1172">
        <v>0.79525000000000001</v>
      </c>
      <c r="N31" s="1172"/>
      <c r="O31" s="1172">
        <v>0.28000000000000003</v>
      </c>
      <c r="P31" s="1183"/>
      <c r="Q31" s="1172"/>
      <c r="R31" s="1172"/>
      <c r="S31" s="1172"/>
      <c r="T31" s="1253">
        <v>0.28000000000000003</v>
      </c>
      <c r="U31" s="1183">
        <f t="shared" si="8"/>
        <v>0</v>
      </c>
      <c r="V31" s="1183">
        <f t="shared" si="9"/>
        <v>0</v>
      </c>
      <c r="W31" s="1183">
        <f t="shared" si="10"/>
        <v>0</v>
      </c>
      <c r="X31" s="1183">
        <f t="shared" si="11"/>
        <v>0</v>
      </c>
      <c r="Y31" s="1183">
        <f t="shared" si="12"/>
        <v>1.2574662055957246</v>
      </c>
    </row>
    <row r="32" spans="2:25" ht="14.45">
      <c r="B32" s="1177" t="s">
        <v>140</v>
      </c>
      <c r="C32" s="1176"/>
      <c r="D32" s="1176"/>
      <c r="E32" s="1176"/>
      <c r="F32" s="1176"/>
      <c r="G32" s="1176"/>
      <c r="H32" s="1176"/>
      <c r="I32" s="1184"/>
      <c r="J32" s="1184"/>
      <c r="K32" s="1184"/>
      <c r="L32" s="1184"/>
      <c r="M32" s="1184"/>
      <c r="N32" s="1184"/>
      <c r="O32" s="1184"/>
      <c r="P32" s="1184"/>
      <c r="Q32" s="1184"/>
      <c r="R32" s="1184"/>
      <c r="S32" s="1184"/>
      <c r="T32" s="1251"/>
      <c r="U32" s="1184"/>
      <c r="V32" s="1184"/>
      <c r="W32" s="1184"/>
      <c r="X32" s="1184"/>
      <c r="Y32" s="1184"/>
    </row>
    <row r="33" spans="1:25" ht="14.45">
      <c r="A33" s="337"/>
      <c r="B33" s="1168" t="s">
        <v>11</v>
      </c>
      <c r="C33" s="1169" t="s">
        <v>141</v>
      </c>
      <c r="D33" s="1168" t="s">
        <v>142</v>
      </c>
      <c r="E33" s="1169" t="s">
        <v>329</v>
      </c>
      <c r="F33" s="1168" t="s">
        <v>50</v>
      </c>
      <c r="G33" s="1174" t="s">
        <v>13</v>
      </c>
      <c r="H33" s="1178">
        <v>2010</v>
      </c>
      <c r="I33" s="1172">
        <v>25</v>
      </c>
      <c r="J33" s="1172">
        <v>1.79</v>
      </c>
      <c r="K33" s="1172">
        <v>0.02</v>
      </c>
      <c r="L33" s="1172">
        <v>0.18</v>
      </c>
      <c r="M33" s="1172">
        <v>0.77</v>
      </c>
      <c r="N33" s="1172"/>
      <c r="O33" s="1172">
        <v>0.28000000000000003</v>
      </c>
      <c r="P33" s="1172">
        <f ca="1">0.5*DemandCalc!N8*CommDemand!G6*0.75</f>
        <v>0.23305645584286255</v>
      </c>
      <c r="Q33" s="1172">
        <f ca="1">0.5*DemandCalc!N16*CommDemand!H6*0.75</f>
        <v>0.25022281235004329</v>
      </c>
      <c r="R33" s="1172">
        <f ca="1">0.5*DemandCalc!N24*CommDemand!I6*var_derate</f>
        <v>0.15277015471556035</v>
      </c>
      <c r="S33" s="1172">
        <f ca="1">0.5*DemandCalc!N32*CommDemand!J6*var_derate</f>
        <v>0.13890456533148071</v>
      </c>
      <c r="T33" s="1253">
        <v>0.28000000000000003</v>
      </c>
      <c r="U33" s="1183">
        <f t="shared" ref="U33:U34" ca="1" si="13">P33/($T33*$M33)</f>
        <v>1.0809668638351695</v>
      </c>
      <c r="V33" s="1183">
        <f t="shared" ref="V33:V34" ca="1" si="14">Q33/($T33*$M33)</f>
        <v>1.1605881834417591</v>
      </c>
      <c r="W33" s="1183">
        <f t="shared" ref="W33:W34" ca="1" si="15">R33/($T33*$M33)</f>
        <v>0.70858142261391621</v>
      </c>
      <c r="X33" s="1183">
        <f t="shared" ref="X33:X34" ca="1" si="16">S33/($T33*$M33)</f>
        <v>0.64426978354119069</v>
      </c>
      <c r="Y33" s="1183">
        <f t="shared" ref="Y33:Y34" si="17">T33/($T33*$M33)</f>
        <v>1.2987012987012987</v>
      </c>
    </row>
    <row r="34" spans="1:25" ht="14.45">
      <c r="A34" s="337"/>
      <c r="B34" s="1168" t="s">
        <v>700</v>
      </c>
      <c r="C34" s="1169" t="s">
        <v>141</v>
      </c>
      <c r="D34" s="1168" t="s">
        <v>142</v>
      </c>
      <c r="E34" s="1169" t="s">
        <v>329</v>
      </c>
      <c r="F34" s="1168" t="s">
        <v>50</v>
      </c>
      <c r="G34" s="1174" t="s">
        <v>13</v>
      </c>
      <c r="H34" s="1178">
        <v>2010</v>
      </c>
      <c r="I34" s="1172">
        <v>25</v>
      </c>
      <c r="J34" s="1172">
        <v>1.79</v>
      </c>
      <c r="K34" s="1172">
        <v>0.02</v>
      </c>
      <c r="L34" s="1172">
        <v>0.18</v>
      </c>
      <c r="M34" s="1172">
        <v>0.77</v>
      </c>
      <c r="N34" s="1172"/>
      <c r="O34" s="1172">
        <v>0.28000000000000003</v>
      </c>
      <c r="P34" s="1183"/>
      <c r="Q34" s="1172"/>
      <c r="R34" s="1172"/>
      <c r="S34" s="1172"/>
      <c r="T34" s="1253">
        <v>0.28000000000000003</v>
      </c>
      <c r="U34" s="1183">
        <f t="shared" si="13"/>
        <v>0</v>
      </c>
      <c r="V34" s="1183">
        <f t="shared" si="14"/>
        <v>0</v>
      </c>
      <c r="W34" s="1183">
        <f t="shared" si="15"/>
        <v>0</v>
      </c>
      <c r="X34" s="1183">
        <f t="shared" si="16"/>
        <v>0</v>
      </c>
      <c r="Y34" s="1183">
        <f t="shared" si="17"/>
        <v>1.2987012987012987</v>
      </c>
    </row>
    <row r="35" spans="1:25" ht="14.45">
      <c r="B35" s="1177" t="s">
        <v>143</v>
      </c>
      <c r="C35" s="1176"/>
      <c r="D35" s="1176"/>
      <c r="E35" s="1176"/>
      <c r="F35" s="1176"/>
      <c r="G35" s="1176"/>
      <c r="H35" s="1176"/>
      <c r="I35" s="1184"/>
      <c r="J35" s="1184"/>
      <c r="K35" s="1184"/>
      <c r="L35" s="1184"/>
      <c r="M35" s="1184"/>
      <c r="N35" s="1184"/>
      <c r="O35" s="1184"/>
      <c r="P35" s="1184"/>
      <c r="Q35" s="1184"/>
      <c r="R35" s="1184"/>
      <c r="S35" s="1184"/>
      <c r="T35" s="1251"/>
      <c r="U35" s="1184"/>
      <c r="V35" s="1184"/>
      <c r="W35" s="1184"/>
      <c r="X35" s="1184"/>
      <c r="Y35" s="1184"/>
    </row>
    <row r="36" spans="1:25" ht="14.45">
      <c r="B36" s="1168" t="s">
        <v>144</v>
      </c>
      <c r="C36" s="1169" t="s">
        <v>145</v>
      </c>
      <c r="D36" s="1168" t="s">
        <v>146</v>
      </c>
      <c r="E36" s="1169" t="s">
        <v>329</v>
      </c>
      <c r="F36" s="1168" t="s">
        <v>43</v>
      </c>
      <c r="G36" s="1174" t="s">
        <v>13</v>
      </c>
      <c r="H36" s="1178">
        <v>2010</v>
      </c>
      <c r="I36" s="1172">
        <v>30</v>
      </c>
      <c r="J36" s="1172">
        <v>2.5215837627460433</v>
      </c>
      <c r="K36" s="1172">
        <v>7.0919543327232479E-2</v>
      </c>
      <c r="L36" s="1172">
        <v>0.18</v>
      </c>
      <c r="M36" s="1172">
        <v>0.78</v>
      </c>
      <c r="N36" s="1172"/>
      <c r="O36" s="1172">
        <v>0.28000000000000003</v>
      </c>
      <c r="P36" s="1172">
        <f ca="1">DemandCalc!N9*CommDemand!G6*5*var_derate</f>
        <v>3.0280307173906156</v>
      </c>
      <c r="Q36" s="1172">
        <f ca="1">DemandCalc!N17*CommDemand!H6*5*var_derate</f>
        <v>2.6550379275645559</v>
      </c>
      <c r="R36" s="1172">
        <f ca="1">DemandCalc!N25*CommDemand!I6*5*var_derate</f>
        <v>1.9651132961567188</v>
      </c>
      <c r="S36" s="1172">
        <f ca="1">DemandCalc!N33*CommDemand!J6*5</f>
        <v>2.4280968176066375</v>
      </c>
      <c r="T36" s="1253">
        <v>0.28000000000000003</v>
      </c>
      <c r="U36" s="1183">
        <f t="shared" ref="U36:Y36" ca="1" si="18">P36/($T36*$M36)</f>
        <v>13.86460951186179</v>
      </c>
      <c r="V36" s="1183">
        <f t="shared" ca="1" si="18"/>
        <v>12.156767067603276</v>
      </c>
      <c r="W36" s="1183">
        <f t="shared" ca="1" si="18"/>
        <v>8.9977715025490781</v>
      </c>
      <c r="X36" s="1183">
        <f t="shared" ca="1" si="18"/>
        <v>11.11765942127581</v>
      </c>
      <c r="Y36" s="1183">
        <f t="shared" si="18"/>
        <v>1.2820512820512819</v>
      </c>
    </row>
    <row r="37" spans="1:25" ht="14.45">
      <c r="B37" s="1168" t="s">
        <v>144</v>
      </c>
      <c r="C37" s="1169" t="s">
        <v>147</v>
      </c>
      <c r="D37" s="1168" t="s">
        <v>148</v>
      </c>
      <c r="E37" s="1169" t="s">
        <v>329</v>
      </c>
      <c r="F37" s="1168" t="s">
        <v>39</v>
      </c>
      <c r="G37" s="1174" t="s">
        <v>13</v>
      </c>
      <c r="H37" s="1178">
        <v>2010</v>
      </c>
      <c r="I37" s="1172">
        <v>30</v>
      </c>
      <c r="J37" s="1172">
        <v>2.5215837627460433</v>
      </c>
      <c r="K37" s="1172">
        <v>7.0919543327232479E-2</v>
      </c>
      <c r="L37" s="1172">
        <v>0.18</v>
      </c>
      <c r="M37" s="1172">
        <v>0.78</v>
      </c>
      <c r="N37" s="1172"/>
      <c r="O37" s="1172">
        <v>0.28000000000000003</v>
      </c>
      <c r="P37" s="1172">
        <v>0</v>
      </c>
      <c r="Q37" s="1172">
        <v>0</v>
      </c>
      <c r="R37" s="1172">
        <v>0</v>
      </c>
      <c r="S37" s="1172">
        <v>0</v>
      </c>
      <c r="T37" s="1253"/>
      <c r="U37" s="1172"/>
      <c r="V37" s="1172"/>
      <c r="W37" s="1172"/>
      <c r="X37" s="1172"/>
      <c r="Y37" s="1172"/>
    </row>
    <row r="38" spans="1:25" ht="15" thickBot="1">
      <c r="B38" s="1168" t="s">
        <v>144</v>
      </c>
      <c r="C38" s="1169" t="s">
        <v>149</v>
      </c>
      <c r="D38" s="1168" t="s">
        <v>150</v>
      </c>
      <c r="E38" s="1169" t="s">
        <v>329</v>
      </c>
      <c r="F38" s="1168" t="s">
        <v>41</v>
      </c>
      <c r="G38" s="1174" t="s">
        <v>13</v>
      </c>
      <c r="H38" s="1178">
        <v>2010</v>
      </c>
      <c r="I38" s="1172">
        <v>30</v>
      </c>
      <c r="J38" s="1172">
        <v>2.5215837627460433</v>
      </c>
      <c r="K38" s="1172">
        <v>7.0919543327232479E-2</v>
      </c>
      <c r="L38" s="1172">
        <v>0.18</v>
      </c>
      <c r="M38" s="1172">
        <v>0.78</v>
      </c>
      <c r="N38" s="1172"/>
      <c r="O38" s="1172">
        <v>0.28000000000000003</v>
      </c>
      <c r="P38" s="1172">
        <v>0</v>
      </c>
      <c r="Q38" s="1172">
        <v>0</v>
      </c>
      <c r="R38" s="1172">
        <v>0</v>
      </c>
      <c r="S38" s="1172">
        <v>0</v>
      </c>
      <c r="T38" s="1253"/>
      <c r="U38" s="1172"/>
      <c r="V38" s="1172"/>
      <c r="W38" s="1172"/>
      <c r="X38" s="1172"/>
      <c r="Y38" s="1172"/>
    </row>
    <row r="39" spans="1:25" ht="14.45">
      <c r="B39" s="364" t="s">
        <v>701</v>
      </c>
      <c r="C39" s="364"/>
      <c r="D39" s="364"/>
      <c r="E39" s="364"/>
      <c r="F39" s="364"/>
      <c r="G39" s="364"/>
      <c r="H39" s="364"/>
      <c r="I39" s="1185"/>
      <c r="J39" s="1185"/>
      <c r="K39" s="1185"/>
      <c r="L39" s="1185"/>
      <c r="M39" s="1185"/>
      <c r="N39" s="1185"/>
      <c r="O39" s="1185"/>
      <c r="P39" s="1185"/>
      <c r="Q39" s="1185"/>
      <c r="R39" s="1185"/>
      <c r="S39" s="1185"/>
      <c r="T39" s="1255"/>
      <c r="U39" s="1185"/>
      <c r="V39" s="1185"/>
      <c r="W39" s="1185"/>
      <c r="X39" s="1185"/>
      <c r="Y39" s="1185"/>
    </row>
    <row r="40" spans="1:25" ht="14.45">
      <c r="B40" s="1177" t="s">
        <v>702</v>
      </c>
      <c r="C40" s="1176"/>
      <c r="D40" s="1176"/>
      <c r="E40" s="1176"/>
      <c r="F40" s="1176"/>
      <c r="G40" s="1176"/>
      <c r="H40" s="1176"/>
      <c r="I40" s="1184"/>
      <c r="J40" s="1184"/>
      <c r="K40" s="1184"/>
      <c r="L40" s="1184"/>
      <c r="M40" s="1184"/>
      <c r="N40" s="1184"/>
      <c r="O40" s="1184"/>
      <c r="P40" s="1184"/>
      <c r="Q40" s="1184"/>
      <c r="R40" s="1184"/>
      <c r="S40" s="1184"/>
      <c r="T40" s="1251"/>
      <c r="U40" s="1184"/>
      <c r="V40" s="1184"/>
      <c r="W40" s="1184"/>
      <c r="X40" s="1184"/>
      <c r="Y40" s="1184"/>
    </row>
    <row r="41" spans="1:25" ht="14.45">
      <c r="B41" s="1168" t="s">
        <v>11</v>
      </c>
      <c r="C41" s="1174" t="s">
        <v>153</v>
      </c>
      <c r="D41" s="1174" t="s">
        <v>154</v>
      </c>
      <c r="E41" s="1174" t="s">
        <v>329</v>
      </c>
      <c r="F41" s="1174" t="s">
        <v>28</v>
      </c>
      <c r="G41" s="1174" t="s">
        <v>16</v>
      </c>
      <c r="H41" s="1178">
        <v>2010</v>
      </c>
      <c r="I41" s="1183">
        <v>15</v>
      </c>
      <c r="J41" s="1183">
        <v>7.539536503803002</v>
      </c>
      <c r="K41" s="1183">
        <v>0.13658580622831529</v>
      </c>
      <c r="L41" s="1183">
        <v>0.18</v>
      </c>
      <c r="M41" s="1183">
        <v>3.2239155920281362</v>
      </c>
      <c r="N41" s="1183">
        <v>31.536000000000001</v>
      </c>
      <c r="O41" s="1183">
        <v>0.17</v>
      </c>
      <c r="P41" s="1183">
        <v>0</v>
      </c>
      <c r="Q41" s="1183">
        <v>0</v>
      </c>
      <c r="R41" s="1183">
        <v>0</v>
      </c>
      <c r="S41" s="1183">
        <v>0</v>
      </c>
      <c r="T41" s="1252"/>
      <c r="U41" s="1183"/>
      <c r="V41" s="1183"/>
      <c r="W41" s="1183"/>
      <c r="X41" s="1183"/>
      <c r="Y41" s="1183"/>
    </row>
    <row r="42" spans="1:25" ht="14.45">
      <c r="B42" s="1168" t="s">
        <v>11</v>
      </c>
      <c r="C42" s="1174" t="s">
        <v>155</v>
      </c>
      <c r="D42" s="1174" t="s">
        <v>156</v>
      </c>
      <c r="E42" s="1174" t="s">
        <v>329</v>
      </c>
      <c r="F42" s="1174" t="s">
        <v>28</v>
      </c>
      <c r="G42" s="1174" t="s">
        <v>16</v>
      </c>
      <c r="H42" s="1178">
        <v>2010</v>
      </c>
      <c r="I42" s="1183">
        <v>20</v>
      </c>
      <c r="J42" s="1183">
        <v>13.76784926781418</v>
      </c>
      <c r="K42" s="1183">
        <v>1.6521419121377017</v>
      </c>
      <c r="L42" s="1183">
        <v>0.24</v>
      </c>
      <c r="M42" s="1183">
        <v>4.1031652989449006</v>
      </c>
      <c r="N42" s="1183">
        <v>31.536000000000001</v>
      </c>
      <c r="O42" s="1183">
        <v>0.17</v>
      </c>
      <c r="P42" s="1183">
        <v>0</v>
      </c>
      <c r="Q42" s="1183">
        <v>0</v>
      </c>
      <c r="R42" s="1183">
        <v>0</v>
      </c>
      <c r="S42" s="1183">
        <v>0</v>
      </c>
      <c r="T42" s="1252"/>
      <c r="U42" s="1183"/>
      <c r="V42" s="1183"/>
      <c r="W42" s="1183"/>
      <c r="X42" s="1183"/>
      <c r="Y42" s="1183"/>
    </row>
    <row r="43" spans="1:25" ht="14.45">
      <c r="B43" s="1168" t="s">
        <v>11</v>
      </c>
      <c r="C43" s="1174" t="s">
        <v>157</v>
      </c>
      <c r="D43" s="1174" t="s">
        <v>158</v>
      </c>
      <c r="E43" s="1174" t="s">
        <v>329</v>
      </c>
      <c r="F43" s="1174" t="s">
        <v>28</v>
      </c>
      <c r="G43" s="1174" t="s">
        <v>16</v>
      </c>
      <c r="H43" s="1178">
        <v>2010</v>
      </c>
      <c r="I43" s="1183">
        <v>20</v>
      </c>
      <c r="J43" s="1183">
        <v>4.814649669548114</v>
      </c>
      <c r="K43" s="1183">
        <v>0.26634232214521475</v>
      </c>
      <c r="L43" s="1183">
        <v>0.18</v>
      </c>
      <c r="M43" s="1183">
        <v>3.907776475185619</v>
      </c>
      <c r="N43" s="1183">
        <v>31.536000000000001</v>
      </c>
      <c r="O43" s="1183">
        <v>0.17</v>
      </c>
      <c r="P43" s="1183">
        <f ca="1">0.5*CommDemand!G7/var_inflate</f>
        <v>1.3759414797696796</v>
      </c>
      <c r="Q43" s="1183">
        <f ca="1">0.5*CommDemand!H7/var_inflate</f>
        <v>1.39947413686649</v>
      </c>
      <c r="R43" s="1183">
        <f ca="1">0.5*CommDemand!I7/var_inflate</f>
        <v>1.1409501627486538</v>
      </c>
      <c r="S43" s="1183">
        <f ca="1">0.5*CommDemand!J7/var_inflate</f>
        <v>1.2370955287573002</v>
      </c>
      <c r="T43" s="1252">
        <v>0.17</v>
      </c>
      <c r="U43" s="1183">
        <f t="shared" ref="U43:Y43" ca="1" si="19">P43/($T43*$N43*$M43)</f>
        <v>6.5677213842081694E-2</v>
      </c>
      <c r="V43" s="1183">
        <f t="shared" ca="1" si="19"/>
        <v>6.6800487887630725E-2</v>
      </c>
      <c r="W43" s="1183">
        <f t="shared" ca="1" si="19"/>
        <v>5.4460475916857022E-2</v>
      </c>
      <c r="X43" s="1183">
        <f t="shared" ca="1" si="19"/>
        <v>5.9049740690190325E-2</v>
      </c>
      <c r="Y43" s="1183">
        <f t="shared" si="19"/>
        <v>8.1145357686453583E-3</v>
      </c>
    </row>
    <row r="44" spans="1:25" ht="14.45">
      <c r="B44" s="1234" t="s">
        <v>11</v>
      </c>
      <c r="C44" s="1240" t="s">
        <v>160</v>
      </c>
      <c r="D44" s="1240" t="s">
        <v>161</v>
      </c>
      <c r="E44" s="1240" t="s">
        <v>329</v>
      </c>
      <c r="F44" s="1240" t="s">
        <v>28</v>
      </c>
      <c r="G44" s="1240" t="s">
        <v>16</v>
      </c>
      <c r="H44" s="1241">
        <v>2010</v>
      </c>
      <c r="I44" s="1242">
        <v>25</v>
      </c>
      <c r="J44" s="1242">
        <v>2.91</v>
      </c>
      <c r="K44" s="1242">
        <v>0.18439083840822562</v>
      </c>
      <c r="L44" s="1242">
        <v>0.18</v>
      </c>
      <c r="M44" s="1242">
        <v>6.6787452484990579</v>
      </c>
      <c r="N44" s="1242">
        <v>31.536000000000001</v>
      </c>
      <c r="O44" s="1242">
        <v>0.17</v>
      </c>
      <c r="P44" s="1242">
        <v>0</v>
      </c>
      <c r="Q44" s="1242">
        <v>0</v>
      </c>
      <c r="R44" s="1242">
        <v>0</v>
      </c>
      <c r="S44" s="1242">
        <v>0</v>
      </c>
      <c r="T44" s="1242"/>
      <c r="U44" s="1242"/>
      <c r="V44" s="1242"/>
      <c r="W44" s="1242"/>
      <c r="X44" s="1242"/>
      <c r="Y44" s="1242"/>
    </row>
    <row r="45" spans="1:25" ht="14.45">
      <c r="B45" s="1168" t="s">
        <v>11</v>
      </c>
      <c r="C45" s="1174" t="s">
        <v>162</v>
      </c>
      <c r="D45" s="1174" t="s">
        <v>163</v>
      </c>
      <c r="E45" s="1174" t="s">
        <v>329</v>
      </c>
      <c r="F45" s="1174" t="s">
        <v>28</v>
      </c>
      <c r="G45" s="1174" t="s">
        <v>16</v>
      </c>
      <c r="H45" s="1178">
        <v>2010</v>
      </c>
      <c r="I45" s="1183">
        <v>15</v>
      </c>
      <c r="J45" s="1183">
        <v>9.06929753356013</v>
      </c>
      <c r="K45" s="1183">
        <v>0.2458544512109675</v>
      </c>
      <c r="L45" s="1183">
        <v>0.18</v>
      </c>
      <c r="M45" s="1183">
        <v>3.3294255568581477</v>
      </c>
      <c r="N45" s="1183">
        <v>31.536000000000001</v>
      </c>
      <c r="O45" s="1183">
        <v>0.17</v>
      </c>
      <c r="P45" s="1183">
        <v>0</v>
      </c>
      <c r="Q45" s="1183">
        <v>0</v>
      </c>
      <c r="R45" s="1183">
        <v>0</v>
      </c>
      <c r="S45" s="1183">
        <v>0</v>
      </c>
      <c r="T45" s="1252"/>
      <c r="U45" s="1183"/>
      <c r="V45" s="1183"/>
      <c r="W45" s="1183"/>
      <c r="X45" s="1183"/>
      <c r="Y45" s="1183"/>
    </row>
    <row r="46" spans="1:25" ht="14.45">
      <c r="B46" s="1168" t="s">
        <v>11</v>
      </c>
      <c r="C46" s="1174" t="s">
        <v>164</v>
      </c>
      <c r="D46" s="1174" t="s">
        <v>165</v>
      </c>
      <c r="E46" s="1174" t="s">
        <v>329</v>
      </c>
      <c r="F46" s="1174" t="s">
        <v>28</v>
      </c>
      <c r="G46" s="1174" t="s">
        <v>16</v>
      </c>
      <c r="H46" s="1178">
        <v>2010</v>
      </c>
      <c r="I46" s="1183">
        <v>11</v>
      </c>
      <c r="J46" s="1183">
        <v>2.5194227571714385</v>
      </c>
      <c r="K46" s="1183">
        <v>9.3658838556559029E-2</v>
      </c>
      <c r="L46" s="1183">
        <v>0.18</v>
      </c>
      <c r="M46" s="1183">
        <v>2.9308323563892147</v>
      </c>
      <c r="N46" s="1183">
        <v>31.536000000000001</v>
      </c>
      <c r="O46" s="1183">
        <v>0.17</v>
      </c>
      <c r="P46" s="1183">
        <f ca="1">0.5*CommDemand!G7/var_inflate</f>
        <v>1.3759414797696796</v>
      </c>
      <c r="Q46" s="1183">
        <f ca="1">0.5*CommDemand!H7/var_inflate</f>
        <v>1.39947413686649</v>
      </c>
      <c r="R46" s="1183">
        <f ca="1">0.5*CommDemand!I7/var_inflate</f>
        <v>1.1409501627486538</v>
      </c>
      <c r="S46" s="1183">
        <f ca="1">0.5*CommDemand!J7/var_inflate</f>
        <v>1.2370955287573002</v>
      </c>
      <c r="T46" s="1252">
        <v>0.17</v>
      </c>
      <c r="U46" s="1183">
        <f t="shared" ref="U46:Y46" ca="1" si="20">P46/($T46*$N46*$M46)</f>
        <v>8.7569618456108916E-2</v>
      </c>
      <c r="V46" s="1183">
        <f t="shared" ca="1" si="20"/>
        <v>8.9067317183507605E-2</v>
      </c>
      <c r="W46" s="1183">
        <f t="shared" ca="1" si="20"/>
        <v>7.2613967889142678E-2</v>
      </c>
      <c r="X46" s="1183">
        <f t="shared" ca="1" si="20"/>
        <v>7.8732987586920419E-2</v>
      </c>
      <c r="Y46" s="1183">
        <f t="shared" si="20"/>
        <v>1.0819381024860476E-2</v>
      </c>
    </row>
    <row r="47" spans="1:25" ht="14.45">
      <c r="B47" s="1168" t="s">
        <v>11</v>
      </c>
      <c r="C47" s="1174" t="s">
        <v>166</v>
      </c>
      <c r="D47" s="1174" t="s">
        <v>167</v>
      </c>
      <c r="E47" s="1174" t="s">
        <v>329</v>
      </c>
      <c r="F47" s="1174" t="s">
        <v>28</v>
      </c>
      <c r="G47" s="1174" t="s">
        <v>16</v>
      </c>
      <c r="H47" s="1178">
        <v>2010</v>
      </c>
      <c r="I47" s="1183">
        <v>16.5</v>
      </c>
      <c r="J47" s="1183">
        <v>9.7886494463625926</v>
      </c>
      <c r="K47" s="1183">
        <v>0.19122012871964136</v>
      </c>
      <c r="L47" s="1183">
        <v>0.18</v>
      </c>
      <c r="M47" s="1183">
        <v>4.0250097694411879</v>
      </c>
      <c r="N47" s="1183">
        <v>31.536000000000001</v>
      </c>
      <c r="O47" s="1183">
        <v>0.17</v>
      </c>
      <c r="P47" s="1183">
        <v>0</v>
      </c>
      <c r="Q47" s="1183">
        <v>0</v>
      </c>
      <c r="R47" s="1183">
        <v>0</v>
      </c>
      <c r="S47" s="1183">
        <v>0</v>
      </c>
      <c r="T47" s="1252"/>
      <c r="U47" s="1183"/>
      <c r="V47" s="1183"/>
      <c r="W47" s="1183"/>
      <c r="X47" s="1183"/>
      <c r="Y47" s="1183"/>
    </row>
    <row r="48" spans="1:25" ht="14.45">
      <c r="B48" s="1177" t="s">
        <v>703</v>
      </c>
      <c r="C48" s="1176"/>
      <c r="D48" s="1176"/>
      <c r="E48" s="1176"/>
      <c r="F48" s="1176"/>
      <c r="G48" s="1176"/>
      <c r="H48" s="1176"/>
      <c r="I48" s="1184"/>
      <c r="J48" s="1184"/>
      <c r="K48" s="1184"/>
      <c r="L48" s="1184"/>
      <c r="M48" s="1184"/>
      <c r="N48" s="1184"/>
      <c r="O48" s="1184"/>
      <c r="P48" s="1184"/>
      <c r="Q48" s="1184"/>
      <c r="R48" s="1184"/>
      <c r="S48" s="1184"/>
      <c r="T48" s="1184"/>
      <c r="U48" s="1184"/>
      <c r="V48" s="1184"/>
      <c r="W48" s="1184"/>
      <c r="X48" s="1184"/>
      <c r="Y48" s="1184"/>
    </row>
    <row r="49" spans="2:25" ht="14.45">
      <c r="B49" s="1234" t="s">
        <v>159</v>
      </c>
      <c r="C49" s="1240" t="s">
        <v>169</v>
      </c>
      <c r="D49" s="1240" t="s">
        <v>170</v>
      </c>
      <c r="E49" s="1240" t="s">
        <v>329</v>
      </c>
      <c r="F49" s="1240" t="s">
        <v>48</v>
      </c>
      <c r="G49" s="1240" t="s">
        <v>16</v>
      </c>
      <c r="H49" s="1241">
        <v>2010</v>
      </c>
      <c r="I49" s="1242">
        <v>30</v>
      </c>
      <c r="J49" s="1242">
        <v>30.731806401370935</v>
      </c>
      <c r="K49" s="1242">
        <v>0.45073316055344037</v>
      </c>
      <c r="L49" s="1242">
        <v>0.18</v>
      </c>
      <c r="M49" s="1242">
        <v>1.1000000000000001</v>
      </c>
      <c r="N49" s="1242"/>
      <c r="O49" s="1242">
        <v>0.17</v>
      </c>
      <c r="P49" s="1242">
        <v>0</v>
      </c>
      <c r="Q49" s="1242">
        <v>0</v>
      </c>
      <c r="R49" s="1242">
        <v>0</v>
      </c>
      <c r="S49" s="1242">
        <v>0</v>
      </c>
      <c r="T49" s="1242"/>
      <c r="U49" s="1242"/>
      <c r="V49" s="1242"/>
      <c r="W49" s="1242"/>
      <c r="X49" s="1242"/>
      <c r="Y49" s="1242"/>
    </row>
    <row r="50" spans="2:25" ht="15" thickBot="1">
      <c r="B50" s="1234" t="s">
        <v>159</v>
      </c>
      <c r="C50" s="1240" t="s">
        <v>171</v>
      </c>
      <c r="D50" s="1240" t="s">
        <v>172</v>
      </c>
      <c r="E50" s="1240" t="s">
        <v>329</v>
      </c>
      <c r="F50" s="1240" t="s">
        <v>48</v>
      </c>
      <c r="G50" s="1240" t="s">
        <v>16</v>
      </c>
      <c r="H50" s="1241">
        <v>2010</v>
      </c>
      <c r="I50" s="1242">
        <v>23</v>
      </c>
      <c r="J50" s="1242">
        <v>6.7609974083016056</v>
      </c>
      <c r="K50" s="1242">
        <v>0.18439083840822562</v>
      </c>
      <c r="L50" s="1242">
        <v>0.18</v>
      </c>
      <c r="M50" s="1242">
        <v>1.1000000000000001</v>
      </c>
      <c r="N50" s="1242"/>
      <c r="O50" s="1242">
        <v>0.17</v>
      </c>
      <c r="P50" s="1242">
        <v>0</v>
      </c>
      <c r="Q50" s="1242">
        <v>0</v>
      </c>
      <c r="R50" s="1242">
        <v>0</v>
      </c>
      <c r="S50" s="1242">
        <v>0</v>
      </c>
      <c r="T50" s="1242"/>
      <c r="U50" s="1242"/>
      <c r="V50" s="1242"/>
      <c r="W50" s="1242"/>
      <c r="X50" s="1242"/>
      <c r="Y50" s="1242"/>
    </row>
    <row r="51" spans="2:25" ht="14.45">
      <c r="B51" s="364" t="s">
        <v>704</v>
      </c>
      <c r="C51" s="364"/>
      <c r="D51" s="364"/>
      <c r="E51" s="364"/>
      <c r="F51" s="364"/>
      <c r="G51" s="364"/>
      <c r="H51" s="364"/>
      <c r="I51" s="1185"/>
      <c r="J51" s="1185"/>
      <c r="K51" s="1185"/>
      <c r="L51" s="1185"/>
      <c r="M51" s="1185"/>
      <c r="N51" s="1185"/>
      <c r="O51" s="1185"/>
      <c r="P51" s="1185"/>
      <c r="Q51" s="1185"/>
      <c r="R51" s="1185"/>
      <c r="S51" s="1185"/>
      <c r="T51" s="1255"/>
      <c r="U51" s="1185"/>
      <c r="V51" s="1185"/>
      <c r="W51" s="1185"/>
      <c r="X51" s="1185"/>
      <c r="Y51" s="1185"/>
    </row>
    <row r="52" spans="2:25" ht="14.45">
      <c r="B52" s="1177" t="s">
        <v>174</v>
      </c>
      <c r="C52" s="1176"/>
      <c r="D52" s="1176"/>
      <c r="E52" s="1176"/>
      <c r="F52" s="1176"/>
      <c r="G52" s="1176"/>
      <c r="H52" s="1176"/>
      <c r="I52" s="1184"/>
      <c r="J52" s="1184"/>
      <c r="K52" s="1184"/>
      <c r="L52" s="1184"/>
      <c r="M52" s="1184"/>
      <c r="N52" s="1184"/>
      <c r="O52" s="1184"/>
      <c r="P52" s="1184"/>
      <c r="Q52" s="1184"/>
      <c r="R52" s="1184"/>
      <c r="S52" s="1184"/>
      <c r="T52" s="1251"/>
      <c r="U52" s="1184"/>
      <c r="V52" s="1184"/>
      <c r="W52" s="1184"/>
      <c r="X52" s="1184"/>
      <c r="Y52" s="1184"/>
    </row>
    <row r="53" spans="2:25" ht="14.45">
      <c r="B53" s="1168" t="s">
        <v>11</v>
      </c>
      <c r="C53" s="1174" t="s">
        <v>175</v>
      </c>
      <c r="D53" s="1174" t="s">
        <v>176</v>
      </c>
      <c r="E53" s="1174" t="s">
        <v>329</v>
      </c>
      <c r="F53" s="1174" t="s">
        <v>28</v>
      </c>
      <c r="G53" s="1174" t="s">
        <v>18</v>
      </c>
      <c r="H53" s="1178">
        <v>2010</v>
      </c>
      <c r="I53" s="1183">
        <v>13</v>
      </c>
      <c r="J53" s="1183">
        <v>25.990327699445132</v>
      </c>
      <c r="K53" s="1183">
        <v>0.21073238675225783</v>
      </c>
      <c r="L53" s="1183">
        <v>0.24</v>
      </c>
      <c r="M53" s="1183">
        <v>2</v>
      </c>
      <c r="N53" s="1183">
        <v>31.536000000000001</v>
      </c>
      <c r="O53" s="1183">
        <v>0.44</v>
      </c>
      <c r="P53" s="1183">
        <v>0</v>
      </c>
      <c r="Q53" s="1183">
        <v>0</v>
      </c>
      <c r="R53" s="1183">
        <v>0</v>
      </c>
      <c r="S53" s="1183">
        <v>0</v>
      </c>
      <c r="T53" s="1252"/>
      <c r="U53" s="1183"/>
      <c r="V53" s="1183"/>
      <c r="W53" s="1183"/>
      <c r="X53" s="1183"/>
      <c r="Y53" s="1183"/>
    </row>
    <row r="54" spans="2:25" ht="14.45">
      <c r="B54" s="1177" t="s">
        <v>177</v>
      </c>
      <c r="C54" s="1176"/>
      <c r="D54" s="1176"/>
      <c r="E54" s="1176"/>
      <c r="F54" s="1176"/>
      <c r="G54" s="1176"/>
      <c r="H54" s="1176"/>
      <c r="I54" s="1184"/>
      <c r="J54" s="1184"/>
      <c r="K54" s="1184"/>
      <c r="L54" s="1184"/>
      <c r="M54" s="1184"/>
      <c r="N54" s="1184"/>
      <c r="O54" s="1184"/>
      <c r="P54" s="1184"/>
      <c r="Q54" s="1184"/>
      <c r="R54" s="1184"/>
      <c r="S54" s="1184"/>
      <c r="T54" s="1251"/>
      <c r="U54" s="1184"/>
      <c r="V54" s="1184"/>
      <c r="W54" s="1184"/>
      <c r="X54" s="1184"/>
      <c r="Y54" s="1184"/>
    </row>
    <row r="55" spans="2:25" ht="14.45">
      <c r="B55" s="1168" t="s">
        <v>11</v>
      </c>
      <c r="C55" s="1174" t="s">
        <v>178</v>
      </c>
      <c r="D55" s="1174" t="s">
        <v>179</v>
      </c>
      <c r="E55" s="1174" t="s">
        <v>329</v>
      </c>
      <c r="F55" s="1174" t="s">
        <v>28</v>
      </c>
      <c r="G55" s="1174" t="s">
        <v>18</v>
      </c>
      <c r="H55" s="1178">
        <v>2010</v>
      </c>
      <c r="I55" s="1183">
        <v>13</v>
      </c>
      <c r="J55" s="1183">
        <v>3.3015266005563211</v>
      </c>
      <c r="K55" s="1183">
        <v>3.3015266005563211E-2</v>
      </c>
      <c r="L55" s="1183">
        <v>0.18</v>
      </c>
      <c r="M55" s="1183">
        <v>0.97</v>
      </c>
      <c r="N55" s="1183">
        <v>31.536000000000001</v>
      </c>
      <c r="O55" s="1183">
        <v>0.44</v>
      </c>
      <c r="P55" s="1183">
        <f ca="1">DemandCalc!O6*CommDemand!G8</f>
        <v>0.11984020584037469</v>
      </c>
      <c r="Q55" s="1183">
        <f ca="1">DemandCalc!O14*CommDemand!H8</f>
        <v>0.12188982678132111</v>
      </c>
      <c r="R55" s="1183">
        <f ca="1">DemandCalc!O22*CommDemand!I8</f>
        <v>9.9373196002707442E-2</v>
      </c>
      <c r="S55" s="1183">
        <f ca="1">DemandCalc!O30*CommDemand!J8</f>
        <v>0.10774715712131769</v>
      </c>
      <c r="T55" s="1252">
        <v>0.44</v>
      </c>
      <c r="U55" s="1183">
        <f t="shared" ref="U55:X56" ca="1" si="21">P55*$M55/($T55*$N55)</f>
        <v>8.3775108148525391E-3</v>
      </c>
      <c r="V55" s="1183">
        <f t="shared" ca="1" si="21"/>
        <v>8.5207909559263783E-3</v>
      </c>
      <c r="W55" s="1183">
        <f t="shared" ca="1" si="21"/>
        <v>6.9467506199715635E-3</v>
      </c>
      <c r="X55" s="1183">
        <f t="shared" ca="1" si="21"/>
        <v>7.5321380476913932E-3</v>
      </c>
      <c r="Y55" s="1183">
        <f t="shared" ref="Y55:Y56" ca="1" si="22">X55</f>
        <v>7.5321380476913932E-3</v>
      </c>
    </row>
    <row r="56" spans="2:25" ht="14.45">
      <c r="B56" s="1168" t="s">
        <v>700</v>
      </c>
      <c r="C56" s="1174" t="s">
        <v>178</v>
      </c>
      <c r="D56" s="1174" t="s">
        <v>179</v>
      </c>
      <c r="E56" s="1174" t="s">
        <v>329</v>
      </c>
      <c r="F56" s="1174" t="s">
        <v>28</v>
      </c>
      <c r="G56" s="1174" t="s">
        <v>18</v>
      </c>
      <c r="H56" s="1178">
        <v>2010</v>
      </c>
      <c r="I56" s="1183">
        <v>13</v>
      </c>
      <c r="J56" s="1183">
        <v>3.3015266005563211</v>
      </c>
      <c r="K56" s="1183">
        <v>3.3015266005563211E-2</v>
      </c>
      <c r="L56" s="1183">
        <v>0.18</v>
      </c>
      <c r="M56" s="1183">
        <v>0.97</v>
      </c>
      <c r="N56" s="1183">
        <v>31.536000000000001</v>
      </c>
      <c r="O56" s="1183">
        <v>0.44</v>
      </c>
      <c r="P56" s="1183"/>
      <c r="Q56" s="1183"/>
      <c r="R56" s="1183"/>
      <c r="S56" s="1183"/>
      <c r="T56" s="1252">
        <v>0.44</v>
      </c>
      <c r="U56" s="1183">
        <f t="shared" si="21"/>
        <v>0</v>
      </c>
      <c r="V56" s="1183">
        <f t="shared" si="21"/>
        <v>0</v>
      </c>
      <c r="W56" s="1183">
        <f t="shared" si="21"/>
        <v>0</v>
      </c>
      <c r="X56" s="1183">
        <f t="shared" si="21"/>
        <v>0</v>
      </c>
      <c r="Y56" s="1183">
        <f t="shared" si="22"/>
        <v>0</v>
      </c>
    </row>
    <row r="57" spans="2:25" ht="14.45">
      <c r="B57" s="1177" t="s">
        <v>180</v>
      </c>
      <c r="C57" s="1176"/>
      <c r="D57" s="1176"/>
      <c r="E57" s="1176"/>
      <c r="F57" s="1176"/>
      <c r="G57" s="1176"/>
      <c r="H57" s="1176"/>
      <c r="I57" s="1184"/>
      <c r="J57" s="1184"/>
      <c r="K57" s="1184"/>
      <c r="L57" s="1184"/>
      <c r="M57" s="1184"/>
      <c r="N57" s="1184"/>
      <c r="O57" s="1184"/>
      <c r="P57" s="1184"/>
      <c r="Q57" s="1184"/>
      <c r="R57" s="1184"/>
      <c r="S57" s="1184"/>
      <c r="T57" s="1251"/>
      <c r="U57" s="1184"/>
      <c r="V57" s="1184"/>
      <c r="W57" s="1184"/>
      <c r="X57" s="1184"/>
      <c r="Y57" s="1184"/>
    </row>
    <row r="58" spans="2:25" ht="14.45">
      <c r="B58" s="1168" t="s">
        <v>699</v>
      </c>
      <c r="C58" s="1174" t="s">
        <v>181</v>
      </c>
      <c r="D58" s="1174" t="s">
        <v>182</v>
      </c>
      <c r="E58" s="1174" t="s">
        <v>329</v>
      </c>
      <c r="F58" s="1174" t="s">
        <v>48</v>
      </c>
      <c r="G58" s="1174" t="s">
        <v>18</v>
      </c>
      <c r="H58" s="1178">
        <v>2010</v>
      </c>
      <c r="I58" s="1183">
        <v>13</v>
      </c>
      <c r="J58" s="1183">
        <v>2.5215841149842819</v>
      </c>
      <c r="K58" s="1183">
        <v>6.303960287460704E-2</v>
      </c>
      <c r="L58" s="1183">
        <v>0.18</v>
      </c>
      <c r="M58" s="1183">
        <v>0.78</v>
      </c>
      <c r="N58" s="1183"/>
      <c r="O58" s="1183">
        <v>0.44</v>
      </c>
      <c r="P58" s="1183">
        <f ca="1">DemandCalc!O7*(CommDemand!G8+(P$68/5))</f>
        <v>0.19070166101398375</v>
      </c>
      <c r="Q58" s="1183">
        <f ca="1">DemandCalc!O15*(CommDemand!H8+(Q68/5))</f>
        <v>0.21819844503599159</v>
      </c>
      <c r="R58" s="1183">
        <f ca="1">DemandCalc!O23*(CommDemand!I8+(R66/5))</f>
        <v>0.17562092301878227</v>
      </c>
      <c r="S58" s="1183">
        <f ca="1">DemandCalc!O31*(CommDemand!J8+(S66/5))</f>
        <v>9.7890965813330386E-2</v>
      </c>
      <c r="T58" s="1252">
        <v>0.44</v>
      </c>
      <c r="U58" s="1183">
        <f t="shared" ref="U58:U59" ca="1" si="23">P58/($T58*$M58)</f>
        <v>0.55565752043701555</v>
      </c>
      <c r="V58" s="1183">
        <f t="shared" ref="V58:V59" ca="1" si="24">Q58/($T58*$M58)</f>
        <v>0.63577635499997553</v>
      </c>
      <c r="W58" s="1183">
        <f t="shared" ref="W58:W59" ca="1" si="25">R58/($T58*$M58)</f>
        <v>0.51171597616195297</v>
      </c>
      <c r="X58" s="1183">
        <f t="shared" ref="X58:X59" ca="1" si="26">S58/($T58*$M58)</f>
        <v>0.28523008686867829</v>
      </c>
      <c r="Y58" s="1183">
        <f t="shared" ref="Y58:Y59" si="27">T58/($T58*$M58)</f>
        <v>1.2820512820512819</v>
      </c>
    </row>
    <row r="59" spans="2:25" ht="14.45">
      <c r="B59" s="1168" t="s">
        <v>144</v>
      </c>
      <c r="C59" s="1174" t="s">
        <v>181</v>
      </c>
      <c r="D59" s="1174" t="s">
        <v>182</v>
      </c>
      <c r="E59" s="1174" t="s">
        <v>329</v>
      </c>
      <c r="F59" s="1174" t="s">
        <v>48</v>
      </c>
      <c r="G59" s="1174" t="s">
        <v>18</v>
      </c>
      <c r="H59" s="1178">
        <v>2010</v>
      </c>
      <c r="I59" s="1183">
        <v>13</v>
      </c>
      <c r="J59" s="1183">
        <v>2.5215841149842819</v>
      </c>
      <c r="K59" s="1183">
        <v>6.303960287460704E-2</v>
      </c>
      <c r="L59" s="1183">
        <v>0.18</v>
      </c>
      <c r="M59" s="1183">
        <v>0.78</v>
      </c>
      <c r="N59" s="1183"/>
      <c r="O59" s="1183">
        <v>0.44</v>
      </c>
      <c r="P59" s="1183">
        <f ca="1">P58-(P68/5)</f>
        <v>8.0222231347829853E-3</v>
      </c>
      <c r="Q59" s="1183">
        <f ca="1">Q58-(Q68/5)</f>
        <v>5.8021458267041359E-2</v>
      </c>
      <c r="R59" s="1183">
        <f ca="1">R58-(R68/5)</f>
        <v>5.7066712108991252E-2</v>
      </c>
      <c r="S59" s="1183">
        <f ca="1">MAX(0,S58-(S68/5))</f>
        <v>0</v>
      </c>
      <c r="T59" s="1252">
        <v>0.44</v>
      </c>
      <c r="U59" s="1183">
        <f t="shared" ca="1" si="23"/>
        <v>2.3374776033749958E-2</v>
      </c>
      <c r="V59" s="1183">
        <f t="shared" ca="1" si="24"/>
        <v>0.16906019308578485</v>
      </c>
      <c r="W59" s="1183">
        <f t="shared" ca="1" si="25"/>
        <v>0.16627829868587193</v>
      </c>
      <c r="X59" s="1183">
        <f t="shared" ca="1" si="26"/>
        <v>0</v>
      </c>
      <c r="Y59" s="1183">
        <f t="shared" si="27"/>
        <v>1.2820512820512819</v>
      </c>
    </row>
    <row r="60" spans="2:25" ht="14.45">
      <c r="B60" s="1177" t="s">
        <v>183</v>
      </c>
      <c r="C60" s="1176"/>
      <c r="D60" s="1176"/>
      <c r="E60" s="1176"/>
      <c r="F60" s="1176"/>
      <c r="G60" s="1176"/>
      <c r="H60" s="1176"/>
      <c r="I60" s="1184"/>
      <c r="J60" s="1184"/>
      <c r="K60" s="1184"/>
      <c r="L60" s="1184"/>
      <c r="M60" s="1184"/>
      <c r="N60" s="1184"/>
      <c r="O60" s="1184"/>
      <c r="P60" s="1184"/>
      <c r="Q60" s="1184"/>
      <c r="R60" s="1184"/>
      <c r="S60" s="1184"/>
      <c r="T60" s="1251"/>
      <c r="U60" s="1184"/>
      <c r="V60" s="1184"/>
      <c r="W60" s="1184"/>
      <c r="X60" s="1184"/>
      <c r="Y60" s="1184"/>
    </row>
    <row r="61" spans="2:25" ht="14.45">
      <c r="B61" s="1168" t="s">
        <v>11</v>
      </c>
      <c r="C61" s="1174" t="s">
        <v>184</v>
      </c>
      <c r="D61" s="1174" t="s">
        <v>185</v>
      </c>
      <c r="E61" s="1174" t="s">
        <v>329</v>
      </c>
      <c r="F61" s="1174" t="s">
        <v>50</v>
      </c>
      <c r="G61" s="1174" t="s">
        <v>18</v>
      </c>
      <c r="H61" s="1178">
        <v>2010</v>
      </c>
      <c r="I61" s="1183">
        <v>13</v>
      </c>
      <c r="J61" s="1183">
        <v>1.9940477049286121</v>
      </c>
      <c r="K61" s="1183">
        <v>6.272440486023402E-2</v>
      </c>
      <c r="L61" s="1183">
        <v>1.75</v>
      </c>
      <c r="M61" s="1183">
        <v>0.78400000000000003</v>
      </c>
      <c r="N61" s="1183"/>
      <c r="O61" s="1183">
        <v>0.44</v>
      </c>
      <c r="P61" s="1183">
        <f ca="1">DemandCalc!O8*(CommDemand!G8+P68/2)*var_derate</f>
        <v>9.2354928303351985E-2</v>
      </c>
      <c r="Q61" s="1183">
        <f ca="1">DemandCalc!O16*(CommDemand!H8+Q68/2)*0.46</f>
        <v>5.5083625246484302E-2</v>
      </c>
      <c r="R61" s="1183">
        <f ca="1">DemandCalc!O24*(CommDemand!I8+R66/2)*0.8</f>
        <v>3.2975580207612973E-2</v>
      </c>
      <c r="S61" s="1183">
        <f ca="1">DemandCalc!O32*(CommDemand!J8+S66/2)</f>
        <v>3.7478349778300279E-2</v>
      </c>
      <c r="T61" s="1252">
        <v>0.44</v>
      </c>
      <c r="U61" s="1183">
        <f t="shared" ref="U61:U62" ca="1" si="28">P61/($T61*$M61)</f>
        <v>0.26772648510943875</v>
      </c>
      <c r="V61" s="1183">
        <f t="shared" ref="V61:V62" ca="1" si="29">Q61/($T61*$M61)</f>
        <v>0.15968119563568037</v>
      </c>
      <c r="W61" s="1183">
        <f t="shared" ref="W61:W62" ca="1" si="30">R61/($T61*$M61)</f>
        <v>9.559247509164244E-2</v>
      </c>
      <c r="X61" s="1183">
        <f t="shared" ref="X61:X62" ca="1" si="31">S61/($T61*$M61)</f>
        <v>0.10864549448718773</v>
      </c>
      <c r="Y61" s="1183">
        <f t="shared" ref="Y61:Y62" si="32">T61/($T61*$M61)</f>
        <v>1.2755102040816326</v>
      </c>
    </row>
    <row r="62" spans="2:25" ht="14.45">
      <c r="B62" s="1168" t="s">
        <v>705</v>
      </c>
      <c r="C62" s="1174" t="s">
        <v>184</v>
      </c>
      <c r="D62" s="1174" t="s">
        <v>185</v>
      </c>
      <c r="E62" s="1174" t="s">
        <v>329</v>
      </c>
      <c r="F62" s="1174" t="s">
        <v>50</v>
      </c>
      <c r="G62" s="1174" t="s">
        <v>18</v>
      </c>
      <c r="H62" s="1178">
        <v>2010</v>
      </c>
      <c r="I62" s="1183">
        <v>13</v>
      </c>
      <c r="J62" s="1183">
        <v>1.9940477049286121</v>
      </c>
      <c r="K62" s="1183">
        <v>6.272440486023402E-2</v>
      </c>
      <c r="L62" s="1183">
        <v>1.75</v>
      </c>
      <c r="M62" s="1183">
        <v>0.78400000000000003</v>
      </c>
      <c r="N62" s="1183"/>
      <c r="O62" s="1183">
        <v>0.44</v>
      </c>
      <c r="P62" s="1183"/>
      <c r="Q62" s="1183"/>
      <c r="R62" s="1183"/>
      <c r="S62" s="1183"/>
      <c r="T62" s="1252">
        <v>0.44</v>
      </c>
      <c r="U62" s="1183">
        <f t="shared" si="28"/>
        <v>0</v>
      </c>
      <c r="V62" s="1183">
        <f t="shared" si="29"/>
        <v>0</v>
      </c>
      <c r="W62" s="1183">
        <f t="shared" si="30"/>
        <v>0</v>
      </c>
      <c r="X62" s="1183">
        <f t="shared" si="31"/>
        <v>0</v>
      </c>
      <c r="Y62" s="1183">
        <f t="shared" si="32"/>
        <v>1.2755102040816326</v>
      </c>
    </row>
    <row r="63" spans="2:25" ht="14.45">
      <c r="B63" s="1177" t="s">
        <v>186</v>
      </c>
      <c r="C63" s="1176"/>
      <c r="D63" s="1176"/>
      <c r="E63" s="1176"/>
      <c r="F63" s="1176"/>
      <c r="G63" s="1176"/>
      <c r="H63" s="1176"/>
      <c r="I63" s="1184"/>
      <c r="J63" s="1184"/>
      <c r="K63" s="1184"/>
      <c r="L63" s="1184"/>
      <c r="M63" s="1184"/>
      <c r="N63" s="1184"/>
      <c r="O63" s="1184"/>
      <c r="P63" s="1184"/>
      <c r="Q63" s="1184"/>
      <c r="R63" s="1184"/>
      <c r="S63" s="1184"/>
      <c r="T63" s="1251"/>
      <c r="U63" s="1184"/>
      <c r="V63" s="1184"/>
      <c r="W63" s="1184"/>
      <c r="X63" s="1184"/>
      <c r="Y63" s="1184"/>
    </row>
    <row r="64" spans="2:25" ht="14.45">
      <c r="B64" s="1234" t="s">
        <v>159</v>
      </c>
      <c r="C64" s="1240" t="s">
        <v>187</v>
      </c>
      <c r="D64" s="1240" t="s">
        <v>188</v>
      </c>
      <c r="E64" s="1240" t="s">
        <v>329</v>
      </c>
      <c r="F64" s="1240" t="s">
        <v>45</v>
      </c>
      <c r="G64" s="1240" t="s">
        <v>18</v>
      </c>
      <c r="H64" s="1241">
        <v>2010</v>
      </c>
      <c r="I64" s="1242"/>
      <c r="J64" s="1242"/>
      <c r="K64" s="1242"/>
      <c r="L64" s="1242"/>
      <c r="M64" s="1242">
        <v>1</v>
      </c>
      <c r="N64" s="1242"/>
      <c r="O64" s="1242">
        <v>0.44</v>
      </c>
      <c r="P64" s="1242">
        <v>0</v>
      </c>
      <c r="Q64" s="1242">
        <v>0</v>
      </c>
      <c r="R64" s="1242">
        <v>0</v>
      </c>
      <c r="S64" s="1242">
        <v>0</v>
      </c>
      <c r="T64" s="1242"/>
      <c r="U64" s="1242"/>
      <c r="V64" s="1242"/>
      <c r="W64" s="1242"/>
      <c r="X64" s="1242"/>
      <c r="Y64" s="1242"/>
    </row>
    <row r="65" spans="2:25" ht="14.45">
      <c r="B65" s="1177" t="s">
        <v>189</v>
      </c>
      <c r="C65" s="1176"/>
      <c r="D65" s="1176"/>
      <c r="E65" s="1176"/>
      <c r="F65" s="1176"/>
      <c r="G65" s="1176"/>
      <c r="H65" s="1176"/>
      <c r="I65" s="1184"/>
      <c r="J65" s="1184"/>
      <c r="K65" s="1184"/>
      <c r="L65" s="1184"/>
      <c r="M65" s="1184"/>
      <c r="N65" s="1184"/>
      <c r="O65" s="1184"/>
      <c r="P65" s="1184"/>
      <c r="Q65" s="1184"/>
      <c r="R65" s="1184"/>
      <c r="S65" s="1184"/>
      <c r="T65" s="1251"/>
      <c r="U65" s="1184"/>
      <c r="V65" s="1184"/>
      <c r="W65" s="1184"/>
      <c r="X65" s="1184"/>
      <c r="Y65" s="1184"/>
    </row>
    <row r="66" spans="2:25" ht="14.45">
      <c r="B66" s="1168" t="s">
        <v>144</v>
      </c>
      <c r="C66" s="1174" t="s">
        <v>190</v>
      </c>
      <c r="D66" s="1174" t="s">
        <v>191</v>
      </c>
      <c r="E66" s="1174" t="s">
        <v>329</v>
      </c>
      <c r="F66" s="1174" t="s">
        <v>706</v>
      </c>
      <c r="G66" s="1174" t="s">
        <v>18</v>
      </c>
      <c r="H66" s="1178">
        <v>2010</v>
      </c>
      <c r="I66" s="1183">
        <v>30</v>
      </c>
      <c r="J66" s="1183">
        <v>2.5215837627460433</v>
      </c>
      <c r="K66" s="1183">
        <v>7.0919543327232479E-2</v>
      </c>
      <c r="L66" s="1183">
        <v>0.18</v>
      </c>
      <c r="M66" s="1183">
        <v>0.78</v>
      </c>
      <c r="N66" s="1183"/>
      <c r="O66" s="1183">
        <v>0.44</v>
      </c>
      <c r="P66" s="1183">
        <v>0</v>
      </c>
      <c r="Q66" s="1183">
        <v>0</v>
      </c>
      <c r="R66" s="1183">
        <v>0</v>
      </c>
      <c r="S66" s="1183">
        <v>0</v>
      </c>
      <c r="T66" s="1252">
        <v>0.44</v>
      </c>
      <c r="U66" s="1183">
        <f>P66*$M66/$T66</f>
        <v>0</v>
      </c>
      <c r="V66" s="1183">
        <f>Q66*$M66/$T66</f>
        <v>0</v>
      </c>
      <c r="W66" s="1183">
        <f>R66*$M66/$T66</f>
        <v>0</v>
      </c>
      <c r="X66" s="1183">
        <f>S66*$M66/$T66</f>
        <v>0</v>
      </c>
      <c r="Y66" s="1183">
        <f>X66</f>
        <v>0</v>
      </c>
    </row>
    <row r="67" spans="2:25" ht="14.45">
      <c r="B67" s="1168" t="s">
        <v>144</v>
      </c>
      <c r="C67" s="1174" t="s">
        <v>192</v>
      </c>
      <c r="D67" s="1174" t="s">
        <v>193</v>
      </c>
      <c r="E67" s="1174" t="s">
        <v>329</v>
      </c>
      <c r="F67" s="1174" t="s">
        <v>41</v>
      </c>
      <c r="G67" s="1174" t="s">
        <v>18</v>
      </c>
      <c r="H67" s="1178">
        <v>2010</v>
      </c>
      <c r="I67" s="1183">
        <v>30</v>
      </c>
      <c r="J67" s="1183">
        <v>2.5215837627460433</v>
      </c>
      <c r="K67" s="1183">
        <v>7.0919543327232479E-2</v>
      </c>
      <c r="L67" s="1183">
        <v>0.18</v>
      </c>
      <c r="M67" s="1183">
        <v>0.78</v>
      </c>
      <c r="N67" s="1183"/>
      <c r="O67" s="1183">
        <v>0.44</v>
      </c>
      <c r="P67" s="1183">
        <v>0</v>
      </c>
      <c r="Q67" s="1183">
        <v>0</v>
      </c>
      <c r="R67" s="1183">
        <v>0</v>
      </c>
      <c r="S67" s="1183">
        <v>0</v>
      </c>
      <c r="T67" s="1252"/>
      <c r="U67" s="1183"/>
      <c r="V67" s="1183"/>
      <c r="W67" s="1183"/>
      <c r="X67" s="1183"/>
      <c r="Y67" s="1183"/>
    </row>
    <row r="68" spans="2:25" ht="15" thickBot="1">
      <c r="B68" s="1168" t="s">
        <v>144</v>
      </c>
      <c r="C68" s="1174" t="s">
        <v>194</v>
      </c>
      <c r="D68" s="1174" t="s">
        <v>195</v>
      </c>
      <c r="E68" s="1174" t="s">
        <v>329</v>
      </c>
      <c r="F68" s="1174" t="s">
        <v>41</v>
      </c>
      <c r="G68" s="1174" t="s">
        <v>18</v>
      </c>
      <c r="H68" s="1178">
        <v>2010</v>
      </c>
      <c r="I68" s="1183">
        <v>30</v>
      </c>
      <c r="J68" s="1183">
        <v>2.5215837627460433</v>
      </c>
      <c r="K68" s="1183">
        <v>7.0919543327232479E-2</v>
      </c>
      <c r="L68" s="1183">
        <v>0.18</v>
      </c>
      <c r="M68" s="1183">
        <v>0.78</v>
      </c>
      <c r="N68" s="1183"/>
      <c r="O68" s="1183">
        <v>0.44</v>
      </c>
      <c r="P68" s="1183">
        <f ca="1">DemandCalc!O9*CommDemand!G8*5*var_derate</f>
        <v>0.91339718939600389</v>
      </c>
      <c r="Q68" s="1183">
        <f ca="1">DemandCalc!O17*CommDemand!H8*5*var_derate</f>
        <v>0.80088493384475112</v>
      </c>
      <c r="R68" s="1183">
        <f ca="1">DemandCalc!O25*CommDemand!I8*5*var_derate</f>
        <v>0.59277105454895507</v>
      </c>
      <c r="S68" s="1183">
        <f ca="1">DemandCalc!O33*CommDemand!J8*5</f>
        <v>0.7324287683232199</v>
      </c>
      <c r="T68" s="1252">
        <v>0.44</v>
      </c>
      <c r="U68" s="1183">
        <f t="shared" ref="U68:Y68" ca="1" si="33">P68/($T68*$M68)</f>
        <v>2.6614137220163285</v>
      </c>
      <c r="V68" s="1183">
        <f t="shared" ca="1" si="33"/>
        <v>2.3335808095709529</v>
      </c>
      <c r="W68" s="1183">
        <f t="shared" ca="1" si="33"/>
        <v>1.7271883873804053</v>
      </c>
      <c r="X68" s="1183">
        <f t="shared" ca="1" si="33"/>
        <v>2.1341164578182399</v>
      </c>
      <c r="Y68" s="1183">
        <f t="shared" si="33"/>
        <v>1.2820512820512819</v>
      </c>
    </row>
    <row r="69" spans="2:25" ht="14.45">
      <c r="B69" s="364" t="s">
        <v>707</v>
      </c>
      <c r="C69" s="364"/>
      <c r="D69" s="364"/>
      <c r="E69" s="364"/>
      <c r="F69" s="364"/>
      <c r="G69" s="364"/>
      <c r="H69" s="364"/>
      <c r="I69" s="1185"/>
      <c r="J69" s="364"/>
      <c r="K69" s="364"/>
      <c r="L69" s="364"/>
      <c r="M69" s="364"/>
      <c r="N69" s="364"/>
      <c r="O69" s="364"/>
      <c r="P69" s="364"/>
      <c r="Q69" s="364"/>
      <c r="R69" s="364"/>
      <c r="S69" s="364"/>
      <c r="T69" s="1249"/>
      <c r="U69" s="364"/>
      <c r="V69" s="364"/>
      <c r="W69" s="364"/>
      <c r="X69" s="364"/>
      <c r="Y69" s="364"/>
    </row>
    <row r="70" spans="2:25" ht="14.45">
      <c r="B70" s="1168" t="s">
        <v>11</v>
      </c>
      <c r="C70" s="1174" t="s">
        <v>197</v>
      </c>
      <c r="D70" s="1174" t="s">
        <v>198</v>
      </c>
      <c r="E70" s="1174" t="s">
        <v>329</v>
      </c>
      <c r="F70" s="1174" t="s">
        <v>28</v>
      </c>
      <c r="G70" s="1174" t="s">
        <v>20</v>
      </c>
      <c r="H70" s="1178">
        <v>2010</v>
      </c>
      <c r="I70" s="1183">
        <v>15</v>
      </c>
      <c r="J70" s="1183">
        <v>97.010483565954374</v>
      </c>
      <c r="K70" s="1183">
        <v>4.9917018207758854</v>
      </c>
      <c r="L70" s="1183">
        <v>0.18</v>
      </c>
      <c r="M70" s="1183">
        <v>0.31711108266597254</v>
      </c>
      <c r="N70" s="1183">
        <v>31.536000000000001</v>
      </c>
      <c r="O70" s="1183">
        <v>0.42</v>
      </c>
      <c r="P70" s="1183">
        <v>0</v>
      </c>
      <c r="Q70" s="1183">
        <v>0</v>
      </c>
      <c r="R70" s="1183">
        <v>0</v>
      </c>
      <c r="S70" s="1183">
        <v>0</v>
      </c>
      <c r="T70" s="1252"/>
      <c r="U70" s="1183"/>
      <c r="V70" s="1183"/>
      <c r="W70" s="1183"/>
      <c r="X70" s="1183"/>
      <c r="Y70" s="1183"/>
    </row>
    <row r="71" spans="2:25" ht="14.45">
      <c r="B71" s="1168" t="s">
        <v>11</v>
      </c>
      <c r="C71" s="1174" t="s">
        <v>199</v>
      </c>
      <c r="D71" s="1174" t="s">
        <v>200</v>
      </c>
      <c r="E71" s="1174" t="s">
        <v>329</v>
      </c>
      <c r="F71" s="1174" t="s">
        <v>28</v>
      </c>
      <c r="G71" s="1174" t="s">
        <v>20</v>
      </c>
      <c r="H71" s="1178">
        <v>2010</v>
      </c>
      <c r="I71" s="1183">
        <v>15</v>
      </c>
      <c r="J71" s="1183">
        <v>97.421988142424382</v>
      </c>
      <c r="K71" s="1183">
        <v>1.9665276441233357</v>
      </c>
      <c r="L71" s="1183">
        <v>0.18</v>
      </c>
      <c r="M71" s="1183">
        <v>1.281128773970529</v>
      </c>
      <c r="N71" s="1183">
        <v>31.536000000000001</v>
      </c>
      <c r="O71" s="1183">
        <v>0.42</v>
      </c>
      <c r="P71" s="1183">
        <v>0</v>
      </c>
      <c r="Q71" s="1183">
        <v>0</v>
      </c>
      <c r="R71" s="1183">
        <v>0</v>
      </c>
      <c r="S71" s="1183">
        <v>0</v>
      </c>
      <c r="T71" s="1252"/>
      <c r="U71" s="1183"/>
      <c r="V71" s="1183"/>
      <c r="W71" s="1183"/>
      <c r="X71" s="1183"/>
      <c r="Y71" s="1183"/>
    </row>
    <row r="72" spans="2:25" ht="14.45">
      <c r="B72" s="1168" t="s">
        <v>11</v>
      </c>
      <c r="C72" s="1174" t="s">
        <v>201</v>
      </c>
      <c r="D72" s="1174" t="s">
        <v>202</v>
      </c>
      <c r="E72" s="1174" t="s">
        <v>329</v>
      </c>
      <c r="F72" s="1174" t="s">
        <v>28</v>
      </c>
      <c r="G72" s="1174" t="s">
        <v>20</v>
      </c>
      <c r="H72" s="1178">
        <v>2010</v>
      </c>
      <c r="I72" s="1183">
        <v>15</v>
      </c>
      <c r="J72" s="1183">
        <v>63.095466445233136</v>
      </c>
      <c r="K72" s="1183">
        <v>6.033385163267349</v>
      </c>
      <c r="L72" s="1183">
        <v>0.18</v>
      </c>
      <c r="M72" s="1183">
        <v>0.61519550037198656</v>
      </c>
      <c r="N72" s="1183">
        <v>31.536000000000001</v>
      </c>
      <c r="O72" s="1183">
        <v>0.42</v>
      </c>
      <c r="P72" s="1183">
        <v>0</v>
      </c>
      <c r="Q72" s="1183">
        <v>0</v>
      </c>
      <c r="R72" s="1183">
        <v>0</v>
      </c>
      <c r="S72" s="1183">
        <v>0</v>
      </c>
      <c r="T72" s="1252"/>
      <c r="U72" s="1183"/>
      <c r="V72" s="1183"/>
      <c r="W72" s="1183"/>
      <c r="X72" s="1183"/>
      <c r="Y72" s="1183"/>
    </row>
    <row r="73" spans="2:25" ht="14.45">
      <c r="B73" s="1168" t="s">
        <v>11</v>
      </c>
      <c r="C73" s="1174" t="s">
        <v>203</v>
      </c>
      <c r="D73" s="1174" t="s">
        <v>204</v>
      </c>
      <c r="E73" s="1174" t="s">
        <v>329</v>
      </c>
      <c r="F73" s="1174" t="s">
        <v>28</v>
      </c>
      <c r="G73" s="1174" t="s">
        <v>20</v>
      </c>
      <c r="H73" s="1178">
        <v>2010</v>
      </c>
      <c r="I73" s="1183">
        <v>15</v>
      </c>
      <c r="J73" s="1183">
        <v>31.728417300519226</v>
      </c>
      <c r="K73" s="1183">
        <v>0.85953857312688897</v>
      </c>
      <c r="L73" s="1183">
        <v>0.18</v>
      </c>
      <c r="M73" s="1183">
        <v>1.8709901721194864</v>
      </c>
      <c r="N73" s="1183">
        <v>31.536000000000001</v>
      </c>
      <c r="O73" s="1183">
        <v>0.42</v>
      </c>
      <c r="P73" s="1183">
        <v>0</v>
      </c>
      <c r="Q73" s="1183">
        <v>0</v>
      </c>
      <c r="R73" s="1183">
        <v>0</v>
      </c>
      <c r="S73" s="1183">
        <v>0</v>
      </c>
      <c r="T73" s="1252"/>
      <c r="U73" s="1183"/>
      <c r="V73" s="1183"/>
      <c r="W73" s="1183"/>
      <c r="X73" s="1183"/>
      <c r="Y73" s="1183"/>
    </row>
    <row r="74" spans="2:25" ht="14.45">
      <c r="B74" s="1168" t="s">
        <v>11</v>
      </c>
      <c r="C74" s="1174" t="s">
        <v>205</v>
      </c>
      <c r="D74" s="1174" t="s">
        <v>206</v>
      </c>
      <c r="E74" s="1174" t="s">
        <v>329</v>
      </c>
      <c r="F74" s="1174" t="s">
        <v>28</v>
      </c>
      <c r="G74" s="1174" t="s">
        <v>20</v>
      </c>
      <c r="H74" s="1178">
        <v>2010</v>
      </c>
      <c r="I74" s="1183">
        <v>15</v>
      </c>
      <c r="J74" s="1183">
        <v>24.294841909214686</v>
      </c>
      <c r="K74" s="1183">
        <v>1.0664663901978892</v>
      </c>
      <c r="L74" s="1183">
        <v>0.18</v>
      </c>
      <c r="M74" s="1183">
        <v>1.589249757442921</v>
      </c>
      <c r="N74" s="1183">
        <v>31.536000000000001</v>
      </c>
      <c r="O74" s="1183">
        <v>0.42</v>
      </c>
      <c r="P74" s="1183">
        <v>0</v>
      </c>
      <c r="Q74" s="1183">
        <v>0</v>
      </c>
      <c r="R74" s="1183">
        <v>0</v>
      </c>
      <c r="S74" s="1183">
        <v>0</v>
      </c>
      <c r="T74" s="1252"/>
      <c r="U74" s="1183"/>
      <c r="V74" s="1183"/>
      <c r="W74" s="1183"/>
      <c r="X74" s="1183"/>
      <c r="Y74" s="1183"/>
    </row>
    <row r="75" spans="2:25" ht="14.45">
      <c r="B75" s="1168" t="s">
        <v>11</v>
      </c>
      <c r="C75" s="1174" t="s">
        <v>207</v>
      </c>
      <c r="D75" s="1174" t="s">
        <v>208</v>
      </c>
      <c r="E75" s="1174" t="s">
        <v>329</v>
      </c>
      <c r="F75" s="1174" t="s">
        <v>28</v>
      </c>
      <c r="G75" s="1174" t="s">
        <v>20</v>
      </c>
      <c r="H75" s="1178">
        <v>2010</v>
      </c>
      <c r="I75" s="1183">
        <v>15</v>
      </c>
      <c r="J75" s="1183">
        <v>25.359061789720339</v>
      </c>
      <c r="K75" s="1183">
        <v>1.2194116745249306</v>
      </c>
      <c r="L75" s="1183">
        <v>0.24</v>
      </c>
      <c r="M75" s="1183">
        <v>2.5556855472442392</v>
      </c>
      <c r="N75" s="1183">
        <v>31.536000000000001</v>
      </c>
      <c r="O75" s="1183">
        <v>0.42</v>
      </c>
      <c r="P75" s="1183">
        <v>0</v>
      </c>
      <c r="Q75" s="1183">
        <v>0</v>
      </c>
      <c r="R75" s="1183">
        <v>0</v>
      </c>
      <c r="S75" s="1183">
        <v>0</v>
      </c>
      <c r="T75" s="1252"/>
      <c r="U75" s="1183"/>
      <c r="V75" s="1183"/>
      <c r="W75" s="1183"/>
      <c r="X75" s="1183"/>
      <c r="Y75" s="1183"/>
    </row>
    <row r="76" spans="2:25" ht="14.45">
      <c r="B76" s="1168" t="s">
        <v>11</v>
      </c>
      <c r="C76" s="1174" t="s">
        <v>209</v>
      </c>
      <c r="D76" s="1174" t="s">
        <v>210</v>
      </c>
      <c r="E76" s="1174" t="s">
        <v>329</v>
      </c>
      <c r="F76" s="1174" t="s">
        <v>28</v>
      </c>
      <c r="G76" s="1174" t="s">
        <v>20</v>
      </c>
      <c r="H76" s="1178">
        <v>2010</v>
      </c>
      <c r="I76" s="1183">
        <v>15</v>
      </c>
      <c r="J76" s="1183">
        <v>13.677166711247315</v>
      </c>
      <c r="K76" s="1183">
        <v>0.766563892181919</v>
      </c>
      <c r="L76" s="1183">
        <v>0.18</v>
      </c>
      <c r="M76" s="1183">
        <v>2.3307664575948985</v>
      </c>
      <c r="N76" s="1183">
        <v>31.536000000000001</v>
      </c>
      <c r="O76" s="1183">
        <v>0.42</v>
      </c>
      <c r="P76" s="1183">
        <v>0</v>
      </c>
      <c r="Q76" s="1183">
        <v>0</v>
      </c>
      <c r="R76" s="1183">
        <v>0</v>
      </c>
      <c r="S76" s="1183">
        <v>0</v>
      </c>
      <c r="T76" s="1252"/>
      <c r="U76" s="1183"/>
      <c r="V76" s="1183"/>
      <c r="W76" s="1183"/>
      <c r="X76" s="1183"/>
      <c r="Y76" s="1183"/>
    </row>
    <row r="77" spans="2:25" ht="14.45">
      <c r="B77" s="1168" t="s">
        <v>11</v>
      </c>
      <c r="C77" s="1174" t="s">
        <v>211</v>
      </c>
      <c r="D77" s="1174" t="s">
        <v>212</v>
      </c>
      <c r="E77" s="1174" t="s">
        <v>329</v>
      </c>
      <c r="F77" s="1174" t="s">
        <v>28</v>
      </c>
      <c r="G77" s="1174" t="s">
        <v>20</v>
      </c>
      <c r="H77" s="1178">
        <v>2010</v>
      </c>
      <c r="I77" s="1183">
        <v>15</v>
      </c>
      <c r="J77" s="1183">
        <v>14.486886417844712</v>
      </c>
      <c r="K77" s="1183">
        <v>0.80138805013724468</v>
      </c>
      <c r="L77" s="1183">
        <v>0.24</v>
      </c>
      <c r="M77" s="1183">
        <v>2.6351930969542314</v>
      </c>
      <c r="N77" s="1183">
        <v>31.536000000000001</v>
      </c>
      <c r="O77" s="1183">
        <v>0.42</v>
      </c>
      <c r="P77" s="1183">
        <f ca="1">CommDemand!G9/var_inflate2</f>
        <v>6.7819821734951136</v>
      </c>
      <c r="Q77" s="1183">
        <f ca="1">CommDemand!H9/0.38</f>
        <v>6.8979740694238982</v>
      </c>
      <c r="R77" s="1183">
        <f ca="1">CommDemand!I9/var_inflate2</f>
        <v>5.6237156727791771</v>
      </c>
      <c r="S77" s="1183">
        <f ca="1">CommDemand!J9/var_inflate2</f>
        <v>6.0976138493527543</v>
      </c>
      <c r="T77" s="1252">
        <v>0.42</v>
      </c>
      <c r="U77" s="1183">
        <f t="shared" ref="U77:Y77" ca="1" si="34">P77/($T77*$N77*$M77)</f>
        <v>0.19430693550791359</v>
      </c>
      <c r="V77" s="1183">
        <f t="shared" ca="1" si="34"/>
        <v>0.19763015713620932</v>
      </c>
      <c r="W77" s="1183">
        <f t="shared" ca="1" si="34"/>
        <v>0.1611220629296356</v>
      </c>
      <c r="X77" s="1183">
        <f t="shared" ca="1" si="34"/>
        <v>0.17469946553512569</v>
      </c>
      <c r="Y77" s="1183">
        <f t="shared" si="34"/>
        <v>1.2033194842691001E-2</v>
      </c>
    </row>
    <row r="78" spans="2:25" ht="14.45">
      <c r="B78" s="1168" t="s">
        <v>11</v>
      </c>
      <c r="C78" s="1174" t="s">
        <v>213</v>
      </c>
      <c r="D78" s="1174" t="s">
        <v>214</v>
      </c>
      <c r="E78" s="1174" t="s">
        <v>329</v>
      </c>
      <c r="F78" s="1174" t="s">
        <v>28</v>
      </c>
      <c r="G78" s="1174" t="s">
        <v>20</v>
      </c>
      <c r="H78" s="1178">
        <v>2010</v>
      </c>
      <c r="I78" s="1183">
        <v>15</v>
      </c>
      <c r="J78" s="1183">
        <v>37.831862632325105</v>
      </c>
      <c r="K78" s="1183">
        <v>0.92700421965883617</v>
      </c>
      <c r="L78" s="1183">
        <v>0.18</v>
      </c>
      <c r="M78" s="1183">
        <v>2.2578309085817243</v>
      </c>
      <c r="N78" s="1183">
        <v>31.536000000000001</v>
      </c>
      <c r="O78" s="1183">
        <v>0.42</v>
      </c>
      <c r="P78" s="1183">
        <v>0</v>
      </c>
      <c r="Q78" s="1183">
        <v>0</v>
      </c>
      <c r="R78" s="1183">
        <v>0</v>
      </c>
      <c r="S78" s="1183">
        <v>0</v>
      </c>
      <c r="T78" s="1252"/>
      <c r="U78" s="1183"/>
      <c r="V78" s="1183"/>
      <c r="W78" s="1183"/>
      <c r="X78" s="1183"/>
      <c r="Y78" s="1183"/>
    </row>
    <row r="79" spans="2:25" ht="14.45">
      <c r="B79" s="1168" t="s">
        <v>11</v>
      </c>
      <c r="C79" s="1174" t="s">
        <v>215</v>
      </c>
      <c r="D79" s="1174" t="s">
        <v>216</v>
      </c>
      <c r="E79" s="1174" t="s">
        <v>329</v>
      </c>
      <c r="F79" s="1174" t="s">
        <v>28</v>
      </c>
      <c r="G79" s="1174" t="s">
        <v>20</v>
      </c>
      <c r="H79" s="1178">
        <v>2010</v>
      </c>
      <c r="I79" s="1183">
        <v>15</v>
      </c>
      <c r="J79" s="1183">
        <v>67.164129544526944</v>
      </c>
      <c r="K79" s="1183">
        <v>1.5221881603778042</v>
      </c>
      <c r="L79" s="1183">
        <v>0.18</v>
      </c>
      <c r="M79" s="1183">
        <v>1.0686643485843272</v>
      </c>
      <c r="N79" s="1183">
        <v>31.536000000000001</v>
      </c>
      <c r="O79" s="1183">
        <v>0.42</v>
      </c>
      <c r="P79" s="1183">
        <v>0</v>
      </c>
      <c r="Q79" s="1183">
        <v>0</v>
      </c>
      <c r="R79" s="1183">
        <v>0</v>
      </c>
      <c r="S79" s="1183">
        <v>0</v>
      </c>
      <c r="T79" s="1252"/>
      <c r="U79" s="1183"/>
      <c r="V79" s="1183"/>
      <c r="W79" s="1183"/>
      <c r="X79" s="1183"/>
      <c r="Y79" s="1183"/>
    </row>
    <row r="80" spans="2:25" ht="15" thickBot="1">
      <c r="B80" s="1168" t="s">
        <v>11</v>
      </c>
      <c r="C80" s="1174" t="s">
        <v>217</v>
      </c>
      <c r="D80" s="1174" t="s">
        <v>218</v>
      </c>
      <c r="E80" s="1174" t="s">
        <v>329</v>
      </c>
      <c r="F80" s="1174" t="s">
        <v>28</v>
      </c>
      <c r="G80" s="1174" t="s">
        <v>20</v>
      </c>
      <c r="H80" s="1178">
        <v>2010</v>
      </c>
      <c r="I80" s="1183">
        <v>15</v>
      </c>
      <c r="J80" s="1183">
        <v>35.7106008920058</v>
      </c>
      <c r="K80" s="1183">
        <v>0.74297116980736488</v>
      </c>
      <c r="L80" s="1183">
        <v>0.18</v>
      </c>
      <c r="M80" s="1183">
        <v>1.6043076384672164</v>
      </c>
      <c r="N80" s="1183">
        <v>31.536000000000001</v>
      </c>
      <c r="O80" s="1183">
        <v>0.42</v>
      </c>
      <c r="P80" s="1183">
        <v>0</v>
      </c>
      <c r="Q80" s="1183">
        <v>0</v>
      </c>
      <c r="R80" s="1183">
        <v>0</v>
      </c>
      <c r="S80" s="1183">
        <v>0</v>
      </c>
      <c r="T80" s="1252"/>
      <c r="U80" s="1183"/>
      <c r="V80" s="1183"/>
      <c r="W80" s="1183"/>
      <c r="X80" s="1183"/>
      <c r="Y80" s="1183"/>
    </row>
    <row r="81" spans="2:25" ht="14.45">
      <c r="B81" s="364" t="s">
        <v>708</v>
      </c>
      <c r="C81" s="364"/>
      <c r="D81" s="364"/>
      <c r="E81" s="364"/>
      <c r="F81" s="364"/>
      <c r="G81" s="364"/>
      <c r="H81" s="364"/>
      <c r="I81" s="1185"/>
      <c r="J81" s="1185"/>
      <c r="K81" s="1185"/>
      <c r="L81" s="1185"/>
      <c r="M81" s="1185"/>
      <c r="N81" s="1185"/>
      <c r="O81" s="1185"/>
      <c r="P81" s="1185"/>
      <c r="Q81" s="1185"/>
      <c r="R81" s="1185"/>
      <c r="S81" s="1185"/>
      <c r="T81" s="1255"/>
      <c r="U81" s="1185"/>
      <c r="V81" s="1185"/>
      <c r="W81" s="1185"/>
      <c r="X81" s="1185"/>
      <c r="Y81" s="1185"/>
    </row>
    <row r="82" spans="2:25" ht="14.45">
      <c r="B82" s="1168" t="s">
        <v>11</v>
      </c>
      <c r="C82" s="1174" t="s">
        <v>220</v>
      </c>
      <c r="D82" s="1174" t="s">
        <v>221</v>
      </c>
      <c r="E82" s="1174" t="s">
        <v>329</v>
      </c>
      <c r="F82" s="1174" t="s">
        <v>28</v>
      </c>
      <c r="G82" s="1174" t="s">
        <v>22</v>
      </c>
      <c r="H82" s="1178">
        <v>2010</v>
      </c>
      <c r="I82" s="1183">
        <v>50</v>
      </c>
      <c r="J82" s="1183">
        <v>0</v>
      </c>
      <c r="K82" s="1183">
        <v>0</v>
      </c>
      <c r="L82" s="1183">
        <v>0.15</v>
      </c>
      <c r="M82" s="1183">
        <v>1</v>
      </c>
      <c r="N82" s="1183">
        <v>31.536000000000001</v>
      </c>
      <c r="O82" s="1183">
        <v>1</v>
      </c>
      <c r="P82" s="1183">
        <f ca="1">DemandCalc!R6*CommDemand!G18</f>
        <v>2.5080083153283579</v>
      </c>
      <c r="Q82" s="1183">
        <f ca="1">DemandCalc!R14*CommDemand!H18</f>
        <v>2.0702542726163857</v>
      </c>
      <c r="R82" s="1183">
        <f ca="1">DemandCalc!R22*CommDemand!I18</f>
        <v>2.0586468323365672</v>
      </c>
      <c r="S82" s="1183">
        <f ca="1">DemandCalc!R30*CommDemand!J18</f>
        <v>2.2753107302198052</v>
      </c>
      <c r="T82" s="1252">
        <f>AVERAGE(T77,T56,T43,T22)</f>
        <v>0.32750000000000001</v>
      </c>
      <c r="U82" s="1183">
        <f t="shared" ref="U82:Y82" ca="1" si="35">P82/($T82*$N82*$M82)</f>
        <v>0.24283487625225672</v>
      </c>
      <c r="V82" s="1183">
        <f t="shared" ca="1" si="35"/>
        <v>0.20044986973485632</v>
      </c>
      <c r="W82" s="1183">
        <f t="shared" ca="1" si="35"/>
        <v>0.19932599334787307</v>
      </c>
      <c r="X82" s="1183">
        <f t="shared" ca="1" si="35"/>
        <v>0.2203042135990764</v>
      </c>
      <c r="Y82" s="1183">
        <f t="shared" si="35"/>
        <v>3.1709791983764585E-2</v>
      </c>
    </row>
    <row r="83" spans="2:25" ht="14.45">
      <c r="B83" s="1168" t="s">
        <v>11</v>
      </c>
      <c r="C83" s="1174" t="s">
        <v>222</v>
      </c>
      <c r="D83" s="1174" t="s">
        <v>223</v>
      </c>
      <c r="E83" s="1174" t="s">
        <v>329</v>
      </c>
      <c r="F83" s="1174" t="s">
        <v>28</v>
      </c>
      <c r="G83" s="1174" t="s">
        <v>24</v>
      </c>
      <c r="H83" s="1178">
        <v>2010</v>
      </c>
      <c r="I83" s="1183">
        <v>50</v>
      </c>
      <c r="J83" s="1183">
        <v>0</v>
      </c>
      <c r="K83" s="1183">
        <v>0</v>
      </c>
      <c r="L83" s="1183">
        <v>0.15</v>
      </c>
      <c r="M83" s="1183">
        <v>1</v>
      </c>
      <c r="N83" s="1183">
        <v>31.536000000000001</v>
      </c>
      <c r="O83" s="1183">
        <v>1</v>
      </c>
      <c r="P83" s="1183">
        <v>0</v>
      </c>
      <c r="Q83" s="1183">
        <v>0</v>
      </c>
      <c r="R83" s="1183">
        <v>0</v>
      </c>
      <c r="S83" s="1183">
        <v>0</v>
      </c>
      <c r="T83" s="1252">
        <v>0</v>
      </c>
      <c r="U83" s="1183">
        <v>0</v>
      </c>
      <c r="V83" s="1183">
        <v>0</v>
      </c>
      <c r="W83" s="1183">
        <v>0</v>
      </c>
      <c r="X83" s="1183">
        <v>0</v>
      </c>
      <c r="Y83" s="1183">
        <v>0</v>
      </c>
    </row>
    <row r="84" spans="2:25" ht="14.45">
      <c r="B84" s="1168" t="s">
        <v>11</v>
      </c>
      <c r="C84" s="1174" t="s">
        <v>224</v>
      </c>
      <c r="D84" s="1174" t="s">
        <v>225</v>
      </c>
      <c r="E84" s="1174" t="s">
        <v>329</v>
      </c>
      <c r="F84" s="1174" t="s">
        <v>48</v>
      </c>
      <c r="G84" s="1174" t="s">
        <v>24</v>
      </c>
      <c r="H84" s="1178">
        <v>2010</v>
      </c>
      <c r="I84" s="1183">
        <v>50</v>
      </c>
      <c r="J84" s="1183">
        <v>0</v>
      </c>
      <c r="K84" s="1183">
        <v>0</v>
      </c>
      <c r="L84" s="1183">
        <v>0.15</v>
      </c>
      <c r="M84" s="1183">
        <v>1</v>
      </c>
      <c r="N84" s="1183"/>
      <c r="O84" s="1183">
        <v>1</v>
      </c>
      <c r="P84" s="1183">
        <f ca="1">DemandCalc!R7*CommDemand!G18</f>
        <v>6.6242553812528401E-2</v>
      </c>
      <c r="Q84" s="1183">
        <f ca="1">DemandCalc!R15*CommDemand!H18</f>
        <v>8.0416487482153645E-2</v>
      </c>
      <c r="R84" s="1183">
        <f ca="1">DemandCalc!R23*CommDemand!I18</f>
        <v>7.9965610704209739E-2</v>
      </c>
      <c r="S84" s="1183">
        <f ca="1">DemandCalc!R31*CommDemand!J18</f>
        <v>4.5435145203921022E-2</v>
      </c>
      <c r="T84" s="1252">
        <f>AVERAGE(T58,T28)</f>
        <v>0.36</v>
      </c>
      <c r="U84" s="1183">
        <f t="shared" ref="U84:U85" ca="1" si="36">P84/($T84*$M84)</f>
        <v>0.18400709392369002</v>
      </c>
      <c r="V84" s="1183">
        <f t="shared" ref="V84:V85" ca="1" si="37">Q84/($T84*$M84)</f>
        <v>0.22337913189487124</v>
      </c>
      <c r="W84" s="1183">
        <f t="shared" ref="W84:W85" ca="1" si="38">R84/($T84*$M84)</f>
        <v>0.22212669640058261</v>
      </c>
      <c r="X84" s="1183">
        <f t="shared" ref="X84:X85" ca="1" si="39">S84/($T84*$M84)</f>
        <v>0.12620873667755839</v>
      </c>
      <c r="Y84" s="1183">
        <f t="shared" ref="Y84:Y85" si="40">T84/($T84*$M84)</f>
        <v>1</v>
      </c>
    </row>
    <row r="85" spans="2:25" ht="14.45">
      <c r="B85" s="1168" t="s">
        <v>11</v>
      </c>
      <c r="C85" s="1174" t="s">
        <v>226</v>
      </c>
      <c r="D85" s="1174" t="s">
        <v>227</v>
      </c>
      <c r="E85" s="1174" t="s">
        <v>329</v>
      </c>
      <c r="F85" s="1168" t="s">
        <v>50</v>
      </c>
      <c r="G85" s="1174" t="s">
        <v>24</v>
      </c>
      <c r="H85" s="1178">
        <v>2010</v>
      </c>
      <c r="I85" s="1183">
        <v>50</v>
      </c>
      <c r="J85" s="1183">
        <v>0</v>
      </c>
      <c r="K85" s="1183">
        <v>0</v>
      </c>
      <c r="L85" s="1183">
        <v>0.15</v>
      </c>
      <c r="M85" s="1183">
        <v>1</v>
      </c>
      <c r="N85" s="1183"/>
      <c r="O85" s="1183">
        <v>1</v>
      </c>
      <c r="P85" s="1183">
        <f ca="1">DemandCalc!R8*CommDemand!G18</f>
        <v>1.9515579442787867E-2</v>
      </c>
      <c r="Q85" s="1183">
        <f ca="1">DemandCalc!R15*CommDemand!H18</f>
        <v>8.0416487482153645E-2</v>
      </c>
      <c r="R85" s="1183">
        <f ca="1">DemandCalc!R24*CommDemand!I18</f>
        <v>1.2176196746527061E-2</v>
      </c>
      <c r="S85" s="1183">
        <f ca="1">DemandCalc!R32*CommDemand!J18</f>
        <v>1.1285270213924496E-2</v>
      </c>
      <c r="T85" s="1252">
        <f>AVERAGE(T62,T31)</f>
        <v>0.36</v>
      </c>
      <c r="U85" s="1183">
        <f t="shared" ca="1" si="36"/>
        <v>5.4209942896632966E-2</v>
      </c>
      <c r="V85" s="1183">
        <f t="shared" ca="1" si="37"/>
        <v>0.22337913189487124</v>
      </c>
      <c r="W85" s="1183">
        <f t="shared" ca="1" si="38"/>
        <v>3.3822768740352949E-2</v>
      </c>
      <c r="X85" s="1183">
        <f t="shared" ca="1" si="39"/>
        <v>3.1347972816456939E-2</v>
      </c>
      <c r="Y85" s="1183">
        <f t="shared" si="40"/>
        <v>1</v>
      </c>
    </row>
    <row r="91" spans="2:25">
      <c r="P91" s="124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6D2C3-C39A-480C-B455-F033CAEFC181}">
  <sheetPr>
    <tabColor rgb="FFFFC000"/>
  </sheetPr>
  <dimension ref="A3:EE47"/>
  <sheetViews>
    <sheetView workbookViewId="0">
      <selection activeCell="G41" sqref="G41"/>
    </sheetView>
  </sheetViews>
  <sheetFormatPr defaultColWidth="9" defaultRowHeight="14.45"/>
  <cols>
    <col min="1" max="1" width="3.625" style="366" customWidth="1"/>
    <col min="2" max="2" width="13" style="366" bestFit="1" customWidth="1"/>
    <col min="3" max="3" width="11.625" style="366" bestFit="1" customWidth="1"/>
    <col min="4" max="4" width="32.5" style="366" bestFit="1" customWidth="1"/>
    <col min="5" max="5" width="7" style="366" bestFit="1" customWidth="1"/>
    <col min="6" max="13" width="14" style="366" bestFit="1" customWidth="1"/>
    <col min="14" max="15" width="16.375" style="366" bestFit="1" customWidth="1"/>
    <col min="16" max="19" width="16.875" style="366" bestFit="1" customWidth="1"/>
    <col min="20" max="23" width="16.375" style="366" bestFit="1" customWidth="1"/>
    <col min="24" max="31" width="17.875" style="366" bestFit="1" customWidth="1"/>
    <col min="32" max="35" width="16.75" style="366" bestFit="1" customWidth="1"/>
    <col min="36" max="39" width="15.625" style="366" bestFit="1" customWidth="1"/>
    <col min="40" max="40" width="17.5" style="366" bestFit="1" customWidth="1"/>
    <col min="41" max="50" width="20.875" style="366" bestFit="1" customWidth="1"/>
    <col min="51" max="51" width="21.25" style="366" bestFit="1" customWidth="1"/>
    <col min="52" max="55" width="20.625" style="366" bestFit="1" customWidth="1"/>
    <col min="56" max="59" width="20.875" style="366" bestFit="1" customWidth="1"/>
    <col min="60" max="63" width="20.75" style="366" bestFit="1" customWidth="1"/>
    <col min="64" max="67" width="20.625" style="366" bestFit="1" customWidth="1"/>
    <col min="68" max="71" width="20.375" style="366" bestFit="1" customWidth="1"/>
    <col min="72" max="75" width="20.875" style="366" bestFit="1" customWidth="1"/>
    <col min="76" max="79" width="20.75" style="366" bestFit="1" customWidth="1"/>
    <col min="80" max="83" width="20.625" style="366" bestFit="1" customWidth="1"/>
    <col min="84" max="91" width="20.75" style="366" bestFit="1" customWidth="1"/>
    <col min="92" max="95" width="20.625" style="366" bestFit="1" customWidth="1"/>
    <col min="96" max="99" width="20.5" style="366" bestFit="1" customWidth="1"/>
    <col min="100" max="103" width="20.75" style="366" bestFit="1" customWidth="1"/>
    <col min="104" max="107" width="21.875" style="366" bestFit="1" customWidth="1"/>
    <col min="108" max="111" width="22.125" style="366" bestFit="1" customWidth="1"/>
    <col min="112" max="115" width="22" style="366" bestFit="1" customWidth="1"/>
    <col min="116" max="119" width="21.875" style="366" bestFit="1" customWidth="1"/>
    <col min="120" max="123" width="22.125" style="366" bestFit="1" customWidth="1"/>
    <col min="124" max="127" width="21.75" style="366" bestFit="1" customWidth="1"/>
    <col min="128" max="131" width="21" style="366" bestFit="1" customWidth="1"/>
    <col min="132" max="135" width="22" style="366" bestFit="1" customWidth="1"/>
    <col min="136" max="16384" width="9" style="366"/>
  </cols>
  <sheetData>
    <row r="3" spans="1:71" s="376" customFormat="1">
      <c r="A3" s="366"/>
      <c r="D3" s="377"/>
      <c r="G3" s="378" t="s">
        <v>318</v>
      </c>
      <c r="AO3" s="379"/>
      <c r="AP3" s="379"/>
      <c r="AQ3" s="379"/>
      <c r="AR3" s="379"/>
      <c r="AS3" s="379"/>
      <c r="AT3" s="379"/>
      <c r="AU3" s="379"/>
      <c r="AV3" s="379"/>
      <c r="AW3" s="379"/>
      <c r="AX3" s="379"/>
      <c r="AY3" s="379"/>
      <c r="AZ3" s="379"/>
      <c r="BA3" s="379"/>
      <c r="BB3" s="379"/>
      <c r="BC3" s="379"/>
    </row>
    <row r="4" spans="1:71" s="380" customFormat="1" ht="15" thickBot="1">
      <c r="A4" s="366"/>
      <c r="B4" s="1170" t="s">
        <v>1</v>
      </c>
      <c r="C4" s="1170" t="s">
        <v>81</v>
      </c>
      <c r="D4" s="1170" t="s">
        <v>82</v>
      </c>
      <c r="E4" s="1170" t="s">
        <v>235</v>
      </c>
      <c r="F4" s="1170" t="s">
        <v>319</v>
      </c>
      <c r="G4" s="1170" t="s">
        <v>320</v>
      </c>
      <c r="H4" s="1170" t="s">
        <v>321</v>
      </c>
      <c r="I4" s="1170" t="s">
        <v>322</v>
      </c>
      <c r="J4" s="1170" t="s">
        <v>323</v>
      </c>
      <c r="K4" s="1170" t="s">
        <v>324</v>
      </c>
      <c r="N4" s="366"/>
      <c r="O4" s="366"/>
      <c r="P4" s="366"/>
      <c r="AO4" s="381"/>
      <c r="AP4" s="381"/>
      <c r="AQ4" s="381"/>
      <c r="AR4" s="381"/>
      <c r="AS4" s="381"/>
      <c r="AT4" s="381"/>
      <c r="AU4" s="381"/>
      <c r="AV4" s="381"/>
      <c r="AW4" s="381"/>
      <c r="AX4" s="381"/>
      <c r="AY4" s="381"/>
      <c r="AZ4" s="381"/>
      <c r="BA4" s="381"/>
      <c r="BB4" s="381"/>
      <c r="BC4" s="381"/>
    </row>
    <row r="5" spans="1:71" s="380" customFormat="1" ht="15" thickBot="1">
      <c r="A5" s="366"/>
      <c r="B5" s="382" t="e">
        <f>Technologies!#REF!</f>
        <v>#REF!</v>
      </c>
      <c r="C5" s="382" t="e">
        <f>Technologies!#REF!</f>
        <v>#REF!</v>
      </c>
      <c r="D5" s="382" t="e">
        <f>Technologies!#REF!</f>
        <v>#REF!</v>
      </c>
      <c r="E5" s="383" t="s">
        <v>329</v>
      </c>
      <c r="F5" s="383" t="s">
        <v>32</v>
      </c>
      <c r="G5" s="383" t="s">
        <v>28</v>
      </c>
      <c r="H5" s="383">
        <v>2010</v>
      </c>
      <c r="I5" s="383">
        <v>1</v>
      </c>
      <c r="J5" s="383">
        <v>1</v>
      </c>
      <c r="K5" s="384">
        <v>1</v>
      </c>
      <c r="N5" s="376"/>
      <c r="O5" s="376"/>
      <c r="P5" s="376"/>
      <c r="AO5" s="381"/>
      <c r="AP5" s="381"/>
      <c r="AQ5" s="381"/>
      <c r="AR5" s="381"/>
      <c r="AS5" s="381"/>
      <c r="AT5" s="381"/>
      <c r="AU5" s="381"/>
      <c r="AV5" s="381"/>
      <c r="AW5" s="381"/>
      <c r="AX5" s="381"/>
      <c r="AY5" s="381"/>
      <c r="AZ5" s="381"/>
      <c r="BA5" s="381"/>
      <c r="BB5" s="381"/>
      <c r="BC5" s="381"/>
    </row>
    <row r="6" spans="1:71" s="376" customFormat="1">
      <c r="A6" s="366"/>
      <c r="B6" s="372" t="s">
        <v>709</v>
      </c>
      <c r="D6" s="377"/>
      <c r="AO6" s="379"/>
      <c r="AP6" s="379"/>
      <c r="AQ6" s="379"/>
      <c r="AR6" s="379"/>
      <c r="AS6" s="379"/>
      <c r="AT6" s="379"/>
      <c r="AU6" s="379"/>
      <c r="AV6" s="379"/>
      <c r="AW6" s="379"/>
      <c r="AX6" s="379"/>
      <c r="AY6" s="379"/>
      <c r="AZ6" s="379"/>
      <c r="BA6" s="379"/>
      <c r="BB6" s="379"/>
      <c r="BC6" s="379"/>
    </row>
    <row r="7" spans="1:71" s="376" customFormat="1">
      <c r="A7" s="366"/>
      <c r="B7" s="385" t="s">
        <v>710</v>
      </c>
      <c r="D7" s="377"/>
      <c r="AO7" s="379"/>
      <c r="AP7" s="379"/>
      <c r="AQ7" s="379"/>
      <c r="AR7" s="379"/>
      <c r="AS7" s="379"/>
      <c r="AT7" s="379"/>
      <c r="AU7" s="379"/>
      <c r="AV7" s="379"/>
      <c r="AW7" s="379"/>
      <c r="AX7" s="379"/>
      <c r="AY7" s="379"/>
      <c r="AZ7" s="379"/>
      <c r="BA7" s="379"/>
      <c r="BB7" s="379"/>
      <c r="BC7" s="379"/>
    </row>
    <row r="8" spans="1:71" s="376" customFormat="1">
      <c r="A8" s="366"/>
      <c r="D8" s="377"/>
      <c r="AO8" s="379"/>
      <c r="AP8" s="379"/>
      <c r="AQ8" s="379"/>
      <c r="AR8" s="379"/>
      <c r="AS8" s="379"/>
      <c r="AT8" s="379"/>
      <c r="AU8" s="379"/>
      <c r="AV8" s="379"/>
      <c r="AW8" s="379"/>
      <c r="AX8" s="379"/>
      <c r="AY8" s="379"/>
      <c r="AZ8" s="379"/>
      <c r="BA8" s="379"/>
      <c r="BB8" s="379"/>
      <c r="BC8" s="379"/>
    </row>
    <row r="9" spans="1:71" s="376" customFormat="1">
      <c r="A9" s="366"/>
      <c r="D9" s="377"/>
      <c r="G9" s="378" t="s">
        <v>318</v>
      </c>
      <c r="AO9" s="379"/>
      <c r="AP9" s="379"/>
      <c r="AQ9" s="379"/>
      <c r="AR9" s="379"/>
      <c r="AS9" s="379"/>
      <c r="AT9" s="379"/>
      <c r="AU9" s="379"/>
      <c r="AV9" s="379"/>
      <c r="AW9" s="379"/>
      <c r="AX9" s="379"/>
      <c r="AY9" s="379"/>
      <c r="AZ9" s="379"/>
      <c r="BA9" s="379"/>
      <c r="BB9" s="379"/>
      <c r="BC9" s="379"/>
    </row>
    <row r="10" spans="1:71" s="380" customFormat="1" ht="15" thickBot="1">
      <c r="A10" s="366"/>
      <c r="B10" s="1170" t="s">
        <v>1</v>
      </c>
      <c r="C10" s="1170" t="s">
        <v>81</v>
      </c>
      <c r="D10" s="1170" t="s">
        <v>82</v>
      </c>
      <c r="E10" s="1170" t="s">
        <v>235</v>
      </c>
      <c r="F10" s="1170" t="s">
        <v>319</v>
      </c>
      <c r="G10" s="1170" t="s">
        <v>320</v>
      </c>
      <c r="H10" s="1170" t="s">
        <v>321</v>
      </c>
      <c r="I10" s="1277" t="s">
        <v>330</v>
      </c>
      <c r="J10" s="1170" t="s">
        <v>322</v>
      </c>
      <c r="K10" s="1170" t="s">
        <v>331</v>
      </c>
      <c r="L10" s="1170" t="s">
        <v>332</v>
      </c>
      <c r="M10" s="1170" t="s">
        <v>333</v>
      </c>
      <c r="N10" s="1170" t="s">
        <v>337</v>
      </c>
      <c r="O10" s="1170" t="s">
        <v>338</v>
      </c>
      <c r="P10" s="1170" t="s">
        <v>339</v>
      </c>
      <c r="Q10" s="1170" t="s">
        <v>340</v>
      </c>
      <c r="R10" s="1170" t="s">
        <v>341</v>
      </c>
      <c r="S10" s="1170" t="s">
        <v>342</v>
      </c>
      <c r="T10" s="1170" t="s">
        <v>343</v>
      </c>
      <c r="U10" s="1170" t="s">
        <v>344</v>
      </c>
      <c r="V10" s="1170" t="s">
        <v>345</v>
      </c>
      <c r="W10" s="1170" t="s">
        <v>346</v>
      </c>
      <c r="X10" s="1170" t="s">
        <v>347</v>
      </c>
      <c r="Y10" s="1170" t="s">
        <v>348</v>
      </c>
      <c r="Z10" s="1170" t="s">
        <v>349</v>
      </c>
      <c r="AA10" s="1170" t="s">
        <v>350</v>
      </c>
      <c r="AB10" s="1170" t="s">
        <v>351</v>
      </c>
      <c r="AC10" s="1170" t="s">
        <v>323</v>
      </c>
      <c r="AD10" s="1170" t="s">
        <v>323</v>
      </c>
      <c r="AE10" s="1170" t="s">
        <v>352</v>
      </c>
      <c r="AF10" s="1170" t="s">
        <v>353</v>
      </c>
      <c r="AG10" s="1170" t="s">
        <v>354</v>
      </c>
      <c r="AH10" s="1170" t="s">
        <v>355</v>
      </c>
      <c r="AI10" s="1170" t="s">
        <v>356</v>
      </c>
      <c r="AJ10" s="1170" t="s">
        <v>357</v>
      </c>
      <c r="AK10" s="1170" t="s">
        <v>358</v>
      </c>
      <c r="AL10" s="1170" t="s">
        <v>359</v>
      </c>
      <c r="AM10" s="1170" t="s">
        <v>360</v>
      </c>
      <c r="AN10" s="1170" t="s">
        <v>361</v>
      </c>
      <c r="AO10" s="1278" t="s">
        <v>362</v>
      </c>
      <c r="AP10" s="1278" t="s">
        <v>363</v>
      </c>
      <c r="AQ10" s="1278" t="s">
        <v>364</v>
      </c>
      <c r="AR10" s="1278" t="s">
        <v>365</v>
      </c>
      <c r="AS10" s="1278" t="s">
        <v>366</v>
      </c>
      <c r="AT10" s="1278" t="s">
        <v>367</v>
      </c>
      <c r="AU10" s="1278" t="s">
        <v>368</v>
      </c>
      <c r="AV10" s="1278" t="s">
        <v>369</v>
      </c>
      <c r="AW10" s="1278" t="s">
        <v>370</v>
      </c>
      <c r="AX10" s="1278" t="s">
        <v>371</v>
      </c>
      <c r="AY10" s="1278" t="s">
        <v>372</v>
      </c>
      <c r="AZ10" s="1278" t="s">
        <v>373</v>
      </c>
      <c r="BA10" s="1278" t="s">
        <v>374</v>
      </c>
      <c r="BB10" s="1278" t="s">
        <v>375</v>
      </c>
      <c r="BC10" s="1278" t="s">
        <v>376</v>
      </c>
      <c r="BD10" s="1170" t="s">
        <v>377</v>
      </c>
      <c r="BF10" s="1279" t="s">
        <v>378</v>
      </c>
      <c r="BG10" s="1279" t="s">
        <v>379</v>
      </c>
      <c r="BH10" s="1279" t="s">
        <v>380</v>
      </c>
      <c r="BI10" s="1279" t="s">
        <v>381</v>
      </c>
      <c r="BJ10" s="1279" t="s">
        <v>382</v>
      </c>
      <c r="BK10" s="1279" t="s">
        <v>383</v>
      </c>
      <c r="BL10" s="1279" t="s">
        <v>384</v>
      </c>
      <c r="BM10" s="1279" t="s">
        <v>385</v>
      </c>
      <c r="BN10" s="1279" t="s">
        <v>386</v>
      </c>
      <c r="BO10" s="1279" t="s">
        <v>387</v>
      </c>
      <c r="BP10" s="1280" t="s">
        <v>326</v>
      </c>
      <c r="BQ10" s="1279" t="s">
        <v>326</v>
      </c>
      <c r="BR10" s="1281" t="s">
        <v>325</v>
      </c>
      <c r="BS10" s="1279" t="s">
        <v>326</v>
      </c>
    </row>
    <row r="11" spans="1:71" s="376" customFormat="1">
      <c r="A11" s="366"/>
      <c r="B11" s="386" t="s">
        <v>219</v>
      </c>
      <c r="C11" s="387"/>
      <c r="D11" s="387"/>
      <c r="E11" s="387"/>
      <c r="F11" s="387"/>
      <c r="G11" s="387"/>
      <c r="H11" s="387"/>
      <c r="I11" s="387"/>
      <c r="J11" s="387"/>
      <c r="K11" s="387"/>
      <c r="L11" s="387"/>
      <c r="M11" s="387"/>
      <c r="N11" s="387"/>
      <c r="O11" s="387"/>
      <c r="P11" s="387"/>
      <c r="Q11" s="387"/>
      <c r="R11" s="387"/>
      <c r="S11" s="387"/>
      <c r="T11" s="387"/>
      <c r="U11" s="387"/>
      <c r="V11" s="387"/>
      <c r="W11" s="387"/>
      <c r="X11" s="387"/>
      <c r="Y11" s="387"/>
      <c r="Z11" s="387"/>
      <c r="AA11" s="387"/>
      <c r="AB11" s="387"/>
      <c r="AC11" s="387"/>
      <c r="AD11" s="387"/>
      <c r="AE11" s="387"/>
      <c r="AF11" s="387"/>
      <c r="AG11" s="387"/>
      <c r="AH11" s="387"/>
      <c r="AI11" s="387"/>
      <c r="AJ11" s="387"/>
      <c r="AK11" s="387"/>
      <c r="AL11" s="387"/>
      <c r="AM11" s="387"/>
      <c r="AN11" s="387"/>
      <c r="AO11" s="388"/>
      <c r="AP11" s="388"/>
      <c r="AQ11" s="388"/>
      <c r="AR11" s="388"/>
      <c r="AS11" s="388"/>
      <c r="AT11" s="388"/>
      <c r="AU11" s="388"/>
      <c r="AV11" s="388"/>
      <c r="AW11" s="388"/>
      <c r="AX11" s="388"/>
      <c r="AY11" s="389" t="str">
        <f t="shared" ref="AY11:BC22" si="0">IF(AT11="","",AT11)</f>
        <v/>
      </c>
      <c r="AZ11" s="389" t="str">
        <f t="shared" si="0"/>
        <v/>
      </c>
      <c r="BA11" s="389" t="str">
        <f t="shared" si="0"/>
        <v/>
      </c>
      <c r="BB11" s="389" t="str">
        <f t="shared" si="0"/>
        <v/>
      </c>
      <c r="BC11" s="389" t="str">
        <f t="shared" si="0"/>
        <v/>
      </c>
      <c r="BD11" s="387"/>
      <c r="BF11" s="390"/>
      <c r="BG11" s="391" t="str">
        <f t="shared" ref="BG11:BG22" si="1">IF(BF11="","",BF11)</f>
        <v/>
      </c>
      <c r="BH11" s="390"/>
      <c r="BI11" s="390"/>
      <c r="BJ11" s="390"/>
      <c r="BK11" s="390"/>
      <c r="BL11" s="390"/>
      <c r="BM11" s="390"/>
      <c r="BN11" s="390"/>
      <c r="BO11" s="390"/>
      <c r="BP11" s="390"/>
      <c r="BQ11" s="390"/>
      <c r="BR11" s="390"/>
      <c r="BS11" s="390"/>
    </row>
    <row r="12" spans="1:71" s="376" customFormat="1">
      <c r="A12" s="366"/>
      <c r="B12" s="392" t="e">
        <f>Technologies!#REF!</f>
        <v>#REF!</v>
      </c>
      <c r="C12" s="392" t="e">
        <f>Technologies!#REF!</f>
        <v>#REF!</v>
      </c>
      <c r="D12" s="392" t="e">
        <f>Technologies!#REF!</f>
        <v>#REF!</v>
      </c>
      <c r="E12" s="393" t="s">
        <v>329</v>
      </c>
      <c r="F12" s="393" t="s">
        <v>418</v>
      </c>
      <c r="G12" s="393" t="s">
        <v>447</v>
      </c>
      <c r="H12" s="393">
        <v>2010</v>
      </c>
      <c r="I12" s="393">
        <v>30</v>
      </c>
      <c r="J12" s="393">
        <v>1</v>
      </c>
      <c r="K12" s="393">
        <v>0.15</v>
      </c>
      <c r="L12" s="394" t="str">
        <f>IFERROR(IF(_xlfn.XLOOKUP(D12,tbl_tech[TECHNOLOGY - Other],tbl_tech[NCAP_COST])=0,"",_xlfn.XLOOKUP(D12,tbl_tech[TECHNOLOGY - Other],tbl_tech[NCAP_COST])),"")</f>
        <v/>
      </c>
      <c r="M12" s="394" t="str">
        <f>IFERROR(IF(_xlfn.XLOOKUP(D12,tbl_tech[TECHNOLOGY - Other],tbl_tech[NCAP_FOM])=0,"",_xlfn.XLOOKUP(D12,tbl_tech[TECHNOLOGY - Other],tbl_tech[NCAP_FOM])),"")</f>
        <v/>
      </c>
      <c r="N12" s="395">
        <f>N15-N14-N13</f>
        <v>4.5254730802180259</v>
      </c>
      <c r="O12" s="395">
        <f>O15-O14-O13</f>
        <v>13.03074087597199</v>
      </c>
      <c r="P12" s="395">
        <f>P15-P14-P13</f>
        <v>4.8681656857494495</v>
      </c>
      <c r="Q12" s="395">
        <f>Q15-Q14-Q13</f>
        <v>10.955653333547957</v>
      </c>
      <c r="R12" s="395">
        <f>R15-R14-R13</f>
        <v>1.1591277716958897</v>
      </c>
      <c r="S12" s="395">
        <f>S15-S13-S14</f>
        <v>6.8078358563637567</v>
      </c>
      <c r="T12" s="395">
        <f>T15-T13-T14</f>
        <v>17.821874507370492</v>
      </c>
      <c r="U12" s="395">
        <f>U15-U13-U14</f>
        <v>6.9765782610043265</v>
      </c>
      <c r="V12" s="395">
        <f>V15-V13-V14</f>
        <v>15.306988767702826</v>
      </c>
      <c r="W12" s="395">
        <f>W15-W13-W14</f>
        <v>1.6851451566446176</v>
      </c>
      <c r="X12" s="395">
        <f>X15-X14-X13</f>
        <v>0</v>
      </c>
      <c r="Y12" s="395">
        <f>Y15-Y14-Y13</f>
        <v>0</v>
      </c>
      <c r="Z12" s="395">
        <f>Z15-Z14-Z13</f>
        <v>0</v>
      </c>
      <c r="AA12" s="395">
        <f>AA15-AA14-AA13</f>
        <v>0</v>
      </c>
      <c r="AB12" s="395">
        <f>AB15-AB14-AB13</f>
        <v>0</v>
      </c>
      <c r="AC12" s="393">
        <v>1</v>
      </c>
      <c r="AD12" s="392"/>
      <c r="AE12" s="395">
        <f t="shared" ref="AE12:AN14" si="2">IF(BF12="","",$BP12/BF12)</f>
        <v>1</v>
      </c>
      <c r="AF12" s="395">
        <f t="shared" si="2"/>
        <v>1</v>
      </c>
      <c r="AG12" s="395">
        <f t="shared" si="2"/>
        <v>1.0944772290625775</v>
      </c>
      <c r="AH12" s="395">
        <f t="shared" si="2"/>
        <v>1.1900788518673768</v>
      </c>
      <c r="AI12" s="395">
        <f t="shared" si="2"/>
        <v>1.3017773885594424</v>
      </c>
      <c r="AJ12" s="395">
        <f t="shared" si="2"/>
        <v>1.411134759640805</v>
      </c>
      <c r="AK12" s="395">
        <f t="shared" si="2"/>
        <v>1.5095043177058032</v>
      </c>
      <c r="AL12" s="395">
        <f t="shared" si="2"/>
        <v>1.5083435777071164</v>
      </c>
      <c r="AM12" s="395">
        <f t="shared" si="2"/>
        <v>1.5592970348747495</v>
      </c>
      <c r="AN12" s="395">
        <f t="shared" si="2"/>
        <v>1.6061409674388625</v>
      </c>
      <c r="AO12" s="396"/>
      <c r="AP12" s="396"/>
      <c r="AQ12" s="396"/>
      <c r="AR12" s="396"/>
      <c r="AS12" s="396"/>
      <c r="AT12" s="396"/>
      <c r="AU12" s="396"/>
      <c r="AV12" s="396"/>
      <c r="AW12" s="396"/>
      <c r="AX12" s="396"/>
      <c r="AY12" s="395" t="str">
        <f t="shared" si="0"/>
        <v/>
      </c>
      <c r="AZ12" s="395" t="str">
        <f t="shared" si="0"/>
        <v/>
      </c>
      <c r="BA12" s="395" t="str">
        <f t="shared" si="0"/>
        <v/>
      </c>
      <c r="BB12" s="395" t="str">
        <f t="shared" si="0"/>
        <v/>
      </c>
      <c r="BC12" s="395" t="str">
        <f t="shared" si="0"/>
        <v/>
      </c>
      <c r="BD12" s="393"/>
      <c r="BF12" s="390">
        <v>1</v>
      </c>
      <c r="BG12" s="391">
        <f t="shared" si="1"/>
        <v>1</v>
      </c>
      <c r="BH12" s="397">
        <f>'Demand (old)'!G$137</f>
        <v>0.91367821407897398</v>
      </c>
      <c r="BI12" s="397">
        <f>'Demand (old)'!H$137</f>
        <v>0.84028045572852572</v>
      </c>
      <c r="BJ12" s="397">
        <f>'Demand (old)'!I$137</f>
        <v>0.76818049598065941</v>
      </c>
      <c r="BK12" s="397">
        <f>'Demand (old)'!J$137</f>
        <v>0.70864954120649915</v>
      </c>
      <c r="BL12" s="397">
        <f>'Demand (old)'!K$137</f>
        <v>0.66246912199617591</v>
      </c>
      <c r="BM12" s="397">
        <f>'Demand (old)'!L$137</f>
        <v>0.66297892256095492</v>
      </c>
      <c r="BN12" s="397">
        <f>'Demand (old)'!M$137</f>
        <v>0.64131462937100048</v>
      </c>
      <c r="BO12" s="397">
        <f>'Demand (old)'!N$137</f>
        <v>0.62261035629680173</v>
      </c>
      <c r="BP12" s="390">
        <v>1</v>
      </c>
      <c r="BQ12" s="398"/>
      <c r="BR12" s="390"/>
      <c r="BS12" s="390"/>
    </row>
    <row r="13" spans="1:71" s="376" customFormat="1">
      <c r="A13" s="366"/>
      <c r="B13" s="392" t="e">
        <f>Technologies!#REF!</f>
        <v>#REF!</v>
      </c>
      <c r="C13" s="392" t="e">
        <f>Technologies!#REF!</f>
        <v>#REF!</v>
      </c>
      <c r="D13" s="392" t="e">
        <f>Technologies!#REF!</f>
        <v>#REF!</v>
      </c>
      <c r="E13" s="393" t="s">
        <v>329</v>
      </c>
      <c r="F13" s="393" t="s">
        <v>394</v>
      </c>
      <c r="G13" s="393" t="s">
        <v>447</v>
      </c>
      <c r="H13" s="393">
        <v>2010</v>
      </c>
      <c r="I13" s="393">
        <v>30</v>
      </c>
      <c r="J13" s="393">
        <v>1</v>
      </c>
      <c r="K13" s="393">
        <v>0.15</v>
      </c>
      <c r="L13" s="394" t="str">
        <f>IFERROR(IF(_xlfn.XLOOKUP(D13,tbl_tech[TECHNOLOGY - Other],tbl_tech[NCAP_COST])=0,"",_xlfn.XLOOKUP(D13,tbl_tech[TECHNOLOGY - Other],tbl_tech[NCAP_COST])),"")</f>
        <v/>
      </c>
      <c r="M13" s="394" t="str">
        <f>IFERROR(IF(_xlfn.XLOOKUP(D13,tbl_tech[TECHNOLOGY - Other],tbl_tech[NCAP_FOM])=0,"",_xlfn.XLOOKUP(D13,tbl_tech[TECHNOLOGY - Other],tbl_tech[NCAP_FOM])),"")</f>
        <v/>
      </c>
      <c r="N13" s="395">
        <f>N$15/$AE$15*AO$20*'NYC 2010'!$CS$16*1.1</f>
        <v>0.60822290069853446</v>
      </c>
      <c r="O13" s="395">
        <f>O$15/$AE$15*AP$20*'NYC 2010'!$CS$16*1.1</f>
        <v>1.7513296120309283</v>
      </c>
      <c r="P13" s="395">
        <f>P$15/$AE$15*AQ$20*'NYC 2010'!$CS$16*1.1</f>
        <v>0.65428073529164599</v>
      </c>
      <c r="Q13" s="395">
        <f>Q$15/$AE$15*AR$20*'NYC 2010'!$CS$16*1.1</f>
        <v>1.472438158721094</v>
      </c>
      <c r="R13" s="395">
        <f>R$15/$AE$15*AS$20*'NYC 2010'!$CS$16*1.1</f>
        <v>0.15578659801620939</v>
      </c>
      <c r="S13" s="395">
        <f>S$15/$AE$15*AT$20*0.0315701442609241</f>
        <v>0.29556734166501641</v>
      </c>
      <c r="T13" s="395">
        <f>T$15/$AE$15*AU$20*0.0315664085765336</f>
        <v>0.77359488033630985</v>
      </c>
      <c r="U13" s="395">
        <f>U$15/$AE$15*AV$20*0.0318725099601594</f>
        <v>0.30582260870155975</v>
      </c>
      <c r="V13" s="395">
        <f>V$15/$AE$15*AW$20*0.0315575161180862</f>
        <v>0.66427902724981924</v>
      </c>
      <c r="W13" s="395">
        <f>W$15/$AE$15*AX$20*0.032258064516129</f>
        <v>7.4767532547372034E-2</v>
      </c>
      <c r="X13" s="395">
        <f>X$15/$AE$15*AY$20*'NYC 2010'!$CS$16*1.1</f>
        <v>0</v>
      </c>
      <c r="Y13" s="395">
        <f>Y$15/$AE$15*AZ$20*'NYC 2010'!$CS$16*1.1</f>
        <v>0</v>
      </c>
      <c r="Z13" s="395">
        <f>Z$15/$AE$15*BA$20*'NYC 2010'!$CS$16*1.1</f>
        <v>0</v>
      </c>
      <c r="AA13" s="395">
        <f>AA$15/$AE$15*BB$20*'NYC 2010'!$CS$16*1.1</f>
        <v>0</v>
      </c>
      <c r="AB13" s="395">
        <f>AB$15/$AE$15*BC$20*'NYC 2010'!$CS$16*1.1</f>
        <v>0</v>
      </c>
      <c r="AC13" s="393">
        <v>1</v>
      </c>
      <c r="AD13" s="392"/>
      <c r="AE13" s="395">
        <f t="shared" si="2"/>
        <v>1</v>
      </c>
      <c r="AF13" s="395">
        <f t="shared" si="2"/>
        <v>1</v>
      </c>
      <c r="AG13" s="395">
        <f t="shared" si="2"/>
        <v>1.0944772290625775</v>
      </c>
      <c r="AH13" s="395">
        <f t="shared" si="2"/>
        <v>1.1900788518673768</v>
      </c>
      <c r="AI13" s="395">
        <f t="shared" si="2"/>
        <v>1.3017773885594424</v>
      </c>
      <c r="AJ13" s="395">
        <f t="shared" si="2"/>
        <v>1.411134759640805</v>
      </c>
      <c r="AK13" s="395">
        <f t="shared" si="2"/>
        <v>1.5095043177058032</v>
      </c>
      <c r="AL13" s="395">
        <f t="shared" si="2"/>
        <v>1.5083435777071164</v>
      </c>
      <c r="AM13" s="395">
        <f t="shared" si="2"/>
        <v>1.5592970348747495</v>
      </c>
      <c r="AN13" s="395">
        <f t="shared" si="2"/>
        <v>1.6061409674388625</v>
      </c>
      <c r="AO13" s="396"/>
      <c r="AP13" s="396"/>
      <c r="AQ13" s="396"/>
      <c r="AR13" s="396"/>
      <c r="AS13" s="396"/>
      <c r="AT13" s="396"/>
      <c r="AU13" s="396"/>
      <c r="AV13" s="396"/>
      <c r="AW13" s="396"/>
      <c r="AX13" s="396"/>
      <c r="AY13" s="395" t="str">
        <f t="shared" si="0"/>
        <v/>
      </c>
      <c r="AZ13" s="395" t="str">
        <f t="shared" si="0"/>
        <v/>
      </c>
      <c r="BA13" s="395" t="str">
        <f t="shared" si="0"/>
        <v/>
      </c>
      <c r="BB13" s="395" t="str">
        <f t="shared" si="0"/>
        <v/>
      </c>
      <c r="BC13" s="395" t="str">
        <f t="shared" si="0"/>
        <v/>
      </c>
      <c r="BD13" s="393"/>
      <c r="BF13" s="390">
        <v>1</v>
      </c>
      <c r="BG13" s="391">
        <f t="shared" si="1"/>
        <v>1</v>
      </c>
      <c r="BH13" s="397">
        <f>'Demand (old)'!G$137</f>
        <v>0.91367821407897398</v>
      </c>
      <c r="BI13" s="397">
        <f>'Demand (old)'!H$137</f>
        <v>0.84028045572852572</v>
      </c>
      <c r="BJ13" s="397">
        <f>'Demand (old)'!I$137</f>
        <v>0.76818049598065941</v>
      </c>
      <c r="BK13" s="397">
        <f>'Demand (old)'!J$137</f>
        <v>0.70864954120649915</v>
      </c>
      <c r="BL13" s="397">
        <f>'Demand (old)'!K$137</f>
        <v>0.66246912199617591</v>
      </c>
      <c r="BM13" s="397">
        <f>'Demand (old)'!L$137</f>
        <v>0.66297892256095492</v>
      </c>
      <c r="BN13" s="397">
        <f>'Demand (old)'!M$137</f>
        <v>0.64131462937100048</v>
      </c>
      <c r="BO13" s="397">
        <f>'Demand (old)'!N$137</f>
        <v>0.62261035629680173</v>
      </c>
      <c r="BP13" s="390">
        <v>1</v>
      </c>
      <c r="BQ13" s="398"/>
      <c r="BR13" s="390"/>
      <c r="BS13" s="390"/>
    </row>
    <row r="14" spans="1:71" s="376" customFormat="1">
      <c r="A14" s="366"/>
      <c r="B14" s="392" t="e">
        <f>Technologies!#REF!</f>
        <v>#REF!</v>
      </c>
      <c r="C14" s="392" t="e">
        <f>Technologies!#REF!</f>
        <v>#REF!</v>
      </c>
      <c r="D14" s="392" t="e">
        <f>Technologies!#REF!</f>
        <v>#REF!</v>
      </c>
      <c r="E14" s="393" t="s">
        <v>329</v>
      </c>
      <c r="F14" s="393" t="s">
        <v>48</v>
      </c>
      <c r="G14" s="393" t="s">
        <v>447</v>
      </c>
      <c r="H14" s="393">
        <v>2010</v>
      </c>
      <c r="I14" s="393">
        <v>30</v>
      </c>
      <c r="J14" s="393">
        <v>1</v>
      </c>
      <c r="K14" s="393">
        <v>0.15</v>
      </c>
      <c r="L14" s="394" t="str">
        <f>IFERROR(IF(_xlfn.XLOOKUP(D14,tbl_tech[TECHNOLOGY - Other],tbl_tech[NCAP_COST])=0,"",_xlfn.XLOOKUP(D14,tbl_tech[TECHNOLOGY - Other],tbl_tech[NCAP_COST])),"")</f>
        <v/>
      </c>
      <c r="M14" s="394" t="str">
        <f>IFERROR(IF(_xlfn.XLOOKUP(D14,tbl_tech[TECHNOLOGY - Other],tbl_tech[NCAP_FOM])=0,"",_xlfn.XLOOKUP(D14,tbl_tech[TECHNOLOGY - Other],tbl_tech[NCAP_FOM])),"")</f>
        <v/>
      </c>
      <c r="N14" s="395">
        <f>N$15/$AE$15*AO$20*'NYC 2010'!$CS$18*1.1</f>
        <v>3.1754840618064839</v>
      </c>
      <c r="O14" s="395">
        <f>O$15/$AE$15*AP$20*'NYC 2010'!$CS$18*1.1</f>
        <v>9.1435545481547287</v>
      </c>
      <c r="P14" s="395">
        <f>P$15/$AE$15*AQ$20*'NYC 2010'!$CS$18*1.1</f>
        <v>3.4159484039148995</v>
      </c>
      <c r="Q14" s="395">
        <f>Q$15/$AE$15*AR$20*'NYC 2010'!$CS$18*1.1</f>
        <v>7.6874841437975254</v>
      </c>
      <c r="R14" s="395">
        <f>R$15/$AE$15*AS$20*'NYC 2010'!$CS$18*1.1</f>
        <v>0.81334960994624483</v>
      </c>
      <c r="S14" s="395">
        <f>S$15/$AE$15*AT$20*0.241271168722559</f>
        <v>2.2588391541816479</v>
      </c>
      <c r="T14" s="395">
        <f>T$15/$AE$15*AU$20*0.241215008933889</f>
        <v>5.9114325761548239</v>
      </c>
      <c r="U14" s="395">
        <f>U$15/$AE$15*AV$20*0.241035856573705</f>
        <v>2.3127834783055414</v>
      </c>
      <c r="V14" s="395">
        <f>V$15/$AE$15*AW$20*0.241262300644723</f>
        <v>5.0785203051034458</v>
      </c>
      <c r="W14" s="395">
        <f>W$15/$AE$15*AX$20*0.240694789081886</f>
        <v>0.55788081977654613</v>
      </c>
      <c r="X14" s="395">
        <f>X$15/$AE$15*AY$20*'NYC 2010'!$CS$18*1.1</f>
        <v>0</v>
      </c>
      <c r="Y14" s="395">
        <f>Y$15/$AE$15*AZ$20*'NYC 2010'!$CS$18*1.1</f>
        <v>0</v>
      </c>
      <c r="Z14" s="395">
        <f>Z$15/$AE$15*BA$20*'NYC 2010'!$CS$18*1.1</f>
        <v>0</v>
      </c>
      <c r="AA14" s="395">
        <f>AA$15/$AE$15*BB$20*'NYC 2010'!$CS$18*1.1</f>
        <v>0</v>
      </c>
      <c r="AB14" s="395">
        <f>AB$15/$AE$15*BC$20*'NYC 2010'!$CS$18*1.1</f>
        <v>0</v>
      </c>
      <c r="AC14" s="393">
        <v>1</v>
      </c>
      <c r="AD14" s="392"/>
      <c r="AE14" s="395">
        <f t="shared" si="2"/>
        <v>1</v>
      </c>
      <c r="AF14" s="395">
        <f t="shared" si="2"/>
        <v>1</v>
      </c>
      <c r="AG14" s="395">
        <f t="shared" si="2"/>
        <v>1.0944772290625775</v>
      </c>
      <c r="AH14" s="395">
        <f t="shared" si="2"/>
        <v>1.1900788518673768</v>
      </c>
      <c r="AI14" s="395">
        <f t="shared" si="2"/>
        <v>1.3017773885594424</v>
      </c>
      <c r="AJ14" s="395">
        <f t="shared" si="2"/>
        <v>1.411134759640805</v>
      </c>
      <c r="AK14" s="395">
        <f t="shared" si="2"/>
        <v>1.5095043177058032</v>
      </c>
      <c r="AL14" s="395">
        <f t="shared" si="2"/>
        <v>1.5083435777071164</v>
      </c>
      <c r="AM14" s="395">
        <f t="shared" si="2"/>
        <v>1.5592970348747495</v>
      </c>
      <c r="AN14" s="395">
        <f t="shared" si="2"/>
        <v>1.6061409674388625</v>
      </c>
      <c r="AO14" s="396"/>
      <c r="AP14" s="396"/>
      <c r="AQ14" s="396"/>
      <c r="AR14" s="396"/>
      <c r="AS14" s="396"/>
      <c r="AT14" s="396"/>
      <c r="AU14" s="396"/>
      <c r="AV14" s="396"/>
      <c r="AW14" s="396"/>
      <c r="AX14" s="396"/>
      <c r="AY14" s="395" t="str">
        <f t="shared" si="0"/>
        <v/>
      </c>
      <c r="AZ14" s="395" t="str">
        <f t="shared" si="0"/>
        <v/>
      </c>
      <c r="BA14" s="395" t="str">
        <f t="shared" si="0"/>
        <v/>
      </c>
      <c r="BB14" s="395" t="str">
        <f t="shared" si="0"/>
        <v/>
      </c>
      <c r="BC14" s="395" t="str">
        <f t="shared" si="0"/>
        <v/>
      </c>
      <c r="BD14" s="393"/>
      <c r="BF14" s="390">
        <v>1</v>
      </c>
      <c r="BG14" s="391">
        <f t="shared" si="1"/>
        <v>1</v>
      </c>
      <c r="BH14" s="397">
        <f>'Demand (old)'!G$137</f>
        <v>0.91367821407897398</v>
      </c>
      <c r="BI14" s="397">
        <f>'Demand (old)'!H$137</f>
        <v>0.84028045572852572</v>
      </c>
      <c r="BJ14" s="397">
        <f>'Demand (old)'!I$137</f>
        <v>0.76818049598065941</v>
      </c>
      <c r="BK14" s="397">
        <f>'Demand (old)'!J$137</f>
        <v>0.70864954120649915</v>
      </c>
      <c r="BL14" s="397">
        <f>'Demand (old)'!K$137</f>
        <v>0.66246912199617591</v>
      </c>
      <c r="BM14" s="397">
        <f>'Demand (old)'!L$137</f>
        <v>0.66297892256095492</v>
      </c>
      <c r="BN14" s="397">
        <f>'Demand (old)'!M$137</f>
        <v>0.64131462937100048</v>
      </c>
      <c r="BO14" s="397">
        <f>'Demand (old)'!N$137</f>
        <v>0.62261035629680173</v>
      </c>
      <c r="BP14" s="390">
        <v>1</v>
      </c>
      <c r="BQ14" s="398"/>
      <c r="BR14" s="390"/>
      <c r="BS14" s="390"/>
    </row>
    <row r="15" spans="1:71" s="376" customFormat="1">
      <c r="A15" s="366"/>
      <c r="B15" s="392" t="e">
        <f>Technologies!#REF!</f>
        <v>#REF!</v>
      </c>
      <c r="C15" s="392" t="e">
        <f>Technologies!#REF!</f>
        <v>#REF!</v>
      </c>
      <c r="D15" s="392" t="e">
        <f>Technologies!#REF!</f>
        <v>#REF!</v>
      </c>
      <c r="E15" s="393" t="s">
        <v>329</v>
      </c>
      <c r="F15" s="393" t="s">
        <v>395</v>
      </c>
      <c r="G15" s="393"/>
      <c r="H15" s="393">
        <v>2010</v>
      </c>
      <c r="I15" s="393">
        <v>50</v>
      </c>
      <c r="J15" s="393">
        <v>1</v>
      </c>
      <c r="K15" s="393"/>
      <c r="L15" s="394" t="str">
        <f>IFERROR(IF(_xlfn.XLOOKUP(D15,tbl_tech[TECHNOLOGY - Other],tbl_tech[NCAP_COST])=0,"",_xlfn.XLOOKUP(D15,tbl_tech[TECHNOLOGY - Other],tbl_tech[NCAP_COST])),"")</f>
        <v/>
      </c>
      <c r="M15" s="394" t="str">
        <f>IFERROR(IF(_xlfn.XLOOKUP(D15,tbl_tech[TECHNOLOGY - Other],tbl_tech[NCAP_FOM])=0,"",_xlfn.XLOOKUP(D15,tbl_tech[TECHNOLOGY - Other],tbl_tech[NCAP_FOM])),"")</f>
        <v/>
      </c>
      <c r="N15" s="395">
        <f>NYCIND_DMD!D53/$J$15</f>
        <v>8.3091800427230442</v>
      </c>
      <c r="O15" s="395">
        <f>NYCIND_DMD!D54/$J$15</f>
        <v>23.925625036157648</v>
      </c>
      <c r="P15" s="395">
        <f>NYCIND_DMD!D55/$J$15</f>
        <v>8.9383948249559957</v>
      </c>
      <c r="Q15" s="395">
        <f>NYCIND_DMD!D56/$J$15</f>
        <v>20.115575636066577</v>
      </c>
      <c r="R15" s="395">
        <f>NYCIND_DMD!D57/$J$15</f>
        <v>2.1282639796583438</v>
      </c>
      <c r="S15" s="395">
        <f>NYCIND_DMD!E53/$J$15</f>
        <v>9.362242352210421</v>
      </c>
      <c r="T15" s="395">
        <f>NYCIND_DMD!E54/$J$15</f>
        <v>24.506901963861626</v>
      </c>
      <c r="U15" s="395">
        <f>NYCIND_DMD!E55/$J$15</f>
        <v>9.5951843480114274</v>
      </c>
      <c r="V15" s="395">
        <f>NYCIND_DMD!E56/$J$15</f>
        <v>21.049788100056091</v>
      </c>
      <c r="W15" s="395">
        <f>NYCIND_DMD!E57/$J$15</f>
        <v>2.3177935089685358</v>
      </c>
      <c r="X15" s="396">
        <v>0</v>
      </c>
      <c r="Y15" s="396">
        <v>0</v>
      </c>
      <c r="Z15" s="396">
        <v>0</v>
      </c>
      <c r="AA15" s="396">
        <v>0</v>
      </c>
      <c r="AB15" s="396">
        <v>0</v>
      </c>
      <c r="AC15" s="393">
        <v>1</v>
      </c>
      <c r="AD15" s="393"/>
      <c r="AE15" s="393">
        <v>1</v>
      </c>
      <c r="AF15" s="393"/>
      <c r="AG15" s="393"/>
      <c r="AH15" s="393"/>
      <c r="AI15" s="393"/>
      <c r="AJ15" s="393"/>
      <c r="AK15" s="393"/>
      <c r="AL15" s="393"/>
      <c r="AM15" s="393"/>
      <c r="AN15" s="392">
        <f>AE15</f>
        <v>1</v>
      </c>
      <c r="AO15" s="396">
        <v>0</v>
      </c>
      <c r="AP15" s="396">
        <v>0</v>
      </c>
      <c r="AQ15" s="396">
        <v>0</v>
      </c>
      <c r="AR15" s="396">
        <v>0</v>
      </c>
      <c r="AS15" s="396">
        <v>0</v>
      </c>
      <c r="AT15" s="396">
        <v>0</v>
      </c>
      <c r="AU15" s="396">
        <v>0</v>
      </c>
      <c r="AV15" s="396">
        <v>0</v>
      </c>
      <c r="AW15" s="396">
        <v>0</v>
      </c>
      <c r="AX15" s="396">
        <v>0</v>
      </c>
      <c r="AY15" s="395">
        <f t="shared" si="0"/>
        <v>0</v>
      </c>
      <c r="AZ15" s="395">
        <f t="shared" si="0"/>
        <v>0</v>
      </c>
      <c r="BA15" s="395">
        <f t="shared" si="0"/>
        <v>0</v>
      </c>
      <c r="BB15" s="395">
        <f t="shared" si="0"/>
        <v>0</v>
      </c>
      <c r="BC15" s="395">
        <f t="shared" si="0"/>
        <v>0</v>
      </c>
      <c r="BD15" s="393"/>
      <c r="BF15" s="390"/>
      <c r="BG15" s="391" t="str">
        <f t="shared" si="1"/>
        <v/>
      </c>
      <c r="BH15" s="390"/>
      <c r="BI15" s="390"/>
      <c r="BJ15" s="390"/>
      <c r="BK15" s="390"/>
      <c r="BL15" s="390"/>
      <c r="BM15" s="390"/>
      <c r="BN15" s="390"/>
      <c r="BO15" s="390"/>
      <c r="BP15" s="390">
        <v>1</v>
      </c>
      <c r="BQ15" s="390"/>
      <c r="BR15" s="390"/>
      <c r="BS15" s="390"/>
    </row>
    <row r="16" spans="1:71" s="376" customFormat="1">
      <c r="A16" s="366"/>
      <c r="B16" s="393" t="s">
        <v>11</v>
      </c>
      <c r="C16" s="393"/>
      <c r="D16" s="393"/>
      <c r="E16" s="393"/>
      <c r="F16" s="393" t="s">
        <v>477</v>
      </c>
      <c r="G16" s="393"/>
      <c r="H16" s="393"/>
      <c r="I16" s="393"/>
      <c r="J16" s="393"/>
      <c r="K16" s="393"/>
      <c r="L16" s="394" t="str">
        <f>IFERROR(IF(_xlfn.XLOOKUP(D16,tbl_tech[TECHNOLOGY - Other],tbl_tech[NCAP_COST])=0,"",_xlfn.XLOOKUP(D16,tbl_tech[TECHNOLOGY - Other],tbl_tech[NCAP_COST])),"")</f>
        <v/>
      </c>
      <c r="M16" s="394" t="str">
        <f>IFERROR(IF(_xlfn.XLOOKUP(D16,tbl_tech[TECHNOLOGY - Other],tbl_tech[NCAP_FOM])=0,"",_xlfn.XLOOKUP(D16,tbl_tech[TECHNOLOGY - Other],tbl_tech[NCAP_FOM])),"")</f>
        <v/>
      </c>
      <c r="N16" s="393"/>
      <c r="O16" s="393"/>
      <c r="P16" s="393"/>
      <c r="Q16" s="393"/>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6">
        <v>0</v>
      </c>
      <c r="AP16" s="396">
        <v>0</v>
      </c>
      <c r="AQ16" s="396">
        <v>0</v>
      </c>
      <c r="AR16" s="396">
        <v>0</v>
      </c>
      <c r="AS16" s="396">
        <v>0</v>
      </c>
      <c r="AT16" s="396">
        <v>0</v>
      </c>
      <c r="AU16" s="396">
        <v>0</v>
      </c>
      <c r="AV16" s="396">
        <v>0</v>
      </c>
      <c r="AW16" s="396">
        <v>0</v>
      </c>
      <c r="AX16" s="396">
        <v>0</v>
      </c>
      <c r="AY16" s="395">
        <f t="shared" si="0"/>
        <v>0</v>
      </c>
      <c r="AZ16" s="395">
        <f t="shared" si="0"/>
        <v>0</v>
      </c>
      <c r="BA16" s="395">
        <f t="shared" si="0"/>
        <v>0</v>
      </c>
      <c r="BB16" s="395">
        <f t="shared" si="0"/>
        <v>0</v>
      </c>
      <c r="BC16" s="395">
        <f t="shared" si="0"/>
        <v>0</v>
      </c>
      <c r="BD16" s="393"/>
      <c r="BF16" s="390"/>
      <c r="BG16" s="391" t="str">
        <f t="shared" si="1"/>
        <v/>
      </c>
      <c r="BH16" s="390"/>
      <c r="BI16" s="390"/>
      <c r="BJ16" s="390"/>
      <c r="BK16" s="390"/>
      <c r="BL16" s="390"/>
      <c r="BM16" s="390"/>
      <c r="BN16" s="390"/>
      <c r="BO16" s="390"/>
      <c r="BP16" s="390"/>
      <c r="BQ16" s="390"/>
      <c r="BR16" s="390"/>
      <c r="BS16" s="390"/>
    </row>
    <row r="17" spans="1:71" s="376" customFormat="1">
      <c r="A17" s="366"/>
      <c r="B17" s="393" t="s">
        <v>11</v>
      </c>
      <c r="C17" s="393"/>
      <c r="D17" s="393"/>
      <c r="E17" s="393"/>
      <c r="F17" s="393" t="s">
        <v>419</v>
      </c>
      <c r="G17" s="393"/>
      <c r="H17" s="393"/>
      <c r="I17" s="393"/>
      <c r="J17" s="393"/>
      <c r="K17" s="393"/>
      <c r="L17" s="394" t="str">
        <f>IFERROR(IF(_xlfn.XLOOKUP(D17,tbl_tech[TECHNOLOGY - Other],tbl_tech[NCAP_COST])=0,"",_xlfn.XLOOKUP(D17,tbl_tech[TECHNOLOGY - Other],tbl_tech[NCAP_COST])),"")</f>
        <v/>
      </c>
      <c r="M17" s="394" t="str">
        <f>IFERROR(IF(_xlfn.XLOOKUP(D17,tbl_tech[TECHNOLOGY - Other],tbl_tech[NCAP_FOM])=0,"",_xlfn.XLOOKUP(D17,tbl_tech[TECHNOLOGY - Other],tbl_tech[NCAP_FOM])),"")</f>
        <v/>
      </c>
      <c r="N17" s="393"/>
      <c r="O17" s="393"/>
      <c r="P17" s="393"/>
      <c r="Q17" s="393"/>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6">
        <v>0</v>
      </c>
      <c r="AP17" s="396">
        <v>0</v>
      </c>
      <c r="AQ17" s="396">
        <v>0</v>
      </c>
      <c r="AR17" s="396">
        <v>0</v>
      </c>
      <c r="AS17" s="396">
        <v>0</v>
      </c>
      <c r="AT17" s="396">
        <v>0</v>
      </c>
      <c r="AU17" s="396">
        <v>0</v>
      </c>
      <c r="AV17" s="396">
        <v>0</v>
      </c>
      <c r="AW17" s="396">
        <v>0</v>
      </c>
      <c r="AX17" s="396">
        <v>0</v>
      </c>
      <c r="AY17" s="395">
        <f t="shared" si="0"/>
        <v>0</v>
      </c>
      <c r="AZ17" s="395">
        <f t="shared" si="0"/>
        <v>0</v>
      </c>
      <c r="BA17" s="395">
        <f t="shared" si="0"/>
        <v>0</v>
      </c>
      <c r="BB17" s="395">
        <f t="shared" si="0"/>
        <v>0</v>
      </c>
      <c r="BC17" s="395">
        <f t="shared" si="0"/>
        <v>0</v>
      </c>
      <c r="BD17" s="393"/>
      <c r="BF17" s="390"/>
      <c r="BG17" s="391" t="str">
        <f t="shared" si="1"/>
        <v/>
      </c>
      <c r="BH17" s="390"/>
      <c r="BI17" s="390"/>
      <c r="BJ17" s="390"/>
      <c r="BK17" s="390"/>
      <c r="BL17" s="390"/>
      <c r="BM17" s="390"/>
      <c r="BN17" s="390"/>
      <c r="BO17" s="390"/>
      <c r="BP17" s="390"/>
      <c r="BQ17" s="390"/>
      <c r="BR17" s="390"/>
      <c r="BS17" s="390"/>
    </row>
    <row r="18" spans="1:71" s="376" customFormat="1">
      <c r="A18" s="366"/>
      <c r="B18" s="393" t="s">
        <v>11</v>
      </c>
      <c r="C18" s="393"/>
      <c r="D18" s="393"/>
      <c r="E18" s="393"/>
      <c r="F18" s="393" t="s">
        <v>422</v>
      </c>
      <c r="G18" s="393"/>
      <c r="H18" s="393"/>
      <c r="I18" s="393"/>
      <c r="J18" s="393"/>
      <c r="K18" s="393"/>
      <c r="L18" s="394" t="str">
        <f>IFERROR(IF(_xlfn.XLOOKUP(D18,tbl_tech[TECHNOLOGY - Other],tbl_tech[NCAP_COST])=0,"",_xlfn.XLOOKUP(D18,tbl_tech[TECHNOLOGY - Other],tbl_tech[NCAP_COST])),"")</f>
        <v/>
      </c>
      <c r="M18" s="394" t="str">
        <f>IFERROR(IF(_xlfn.XLOOKUP(D18,tbl_tech[TECHNOLOGY - Other],tbl_tech[NCAP_FOM])=0,"",_xlfn.XLOOKUP(D18,tbl_tech[TECHNOLOGY - Other],tbl_tech[NCAP_FOM])),"")</f>
        <v/>
      </c>
      <c r="N18" s="393"/>
      <c r="O18" s="393"/>
      <c r="P18" s="393"/>
      <c r="Q18" s="393"/>
      <c r="R18" s="393"/>
      <c r="S18" s="393"/>
      <c r="T18" s="393"/>
      <c r="U18" s="393"/>
      <c r="V18" s="393"/>
      <c r="W18" s="393"/>
      <c r="X18" s="393"/>
      <c r="Y18" s="393"/>
      <c r="Z18" s="393"/>
      <c r="AA18" s="393"/>
      <c r="AB18" s="393"/>
      <c r="AC18" s="393"/>
      <c r="AD18" s="393"/>
      <c r="AE18" s="393"/>
      <c r="AF18" s="393"/>
      <c r="AG18" s="393"/>
      <c r="AH18" s="393"/>
      <c r="AI18" s="393"/>
      <c r="AJ18" s="393"/>
      <c r="AK18" s="393"/>
      <c r="AL18" s="393"/>
      <c r="AM18" s="393"/>
      <c r="AN18" s="393"/>
      <c r="AO18" s="396">
        <v>0</v>
      </c>
      <c r="AP18" s="396">
        <v>0</v>
      </c>
      <c r="AQ18" s="396">
        <v>0</v>
      </c>
      <c r="AR18" s="396">
        <v>0</v>
      </c>
      <c r="AS18" s="396">
        <v>0</v>
      </c>
      <c r="AT18" s="396">
        <v>0</v>
      </c>
      <c r="AU18" s="396">
        <v>0</v>
      </c>
      <c r="AV18" s="396">
        <v>0</v>
      </c>
      <c r="AW18" s="396">
        <v>0</v>
      </c>
      <c r="AX18" s="396">
        <v>0</v>
      </c>
      <c r="AY18" s="395">
        <f t="shared" si="0"/>
        <v>0</v>
      </c>
      <c r="AZ18" s="395">
        <f t="shared" si="0"/>
        <v>0</v>
      </c>
      <c r="BA18" s="395">
        <f t="shared" si="0"/>
        <v>0</v>
      </c>
      <c r="BB18" s="395">
        <f t="shared" si="0"/>
        <v>0</v>
      </c>
      <c r="BC18" s="395">
        <f t="shared" si="0"/>
        <v>0</v>
      </c>
      <c r="BD18" s="393"/>
      <c r="BF18" s="390"/>
      <c r="BG18" s="391" t="str">
        <f t="shared" si="1"/>
        <v/>
      </c>
      <c r="BH18" s="390"/>
      <c r="BI18" s="390"/>
      <c r="BJ18" s="390"/>
      <c r="BK18" s="390"/>
      <c r="BL18" s="390"/>
      <c r="BM18" s="390"/>
      <c r="BN18" s="390"/>
      <c r="BO18" s="390"/>
      <c r="BP18" s="390"/>
      <c r="BQ18" s="390"/>
      <c r="BR18" s="390"/>
      <c r="BS18" s="390"/>
    </row>
    <row r="19" spans="1:71" s="376" customFormat="1">
      <c r="A19" s="366"/>
      <c r="B19" s="393" t="s">
        <v>11</v>
      </c>
      <c r="C19" s="393"/>
      <c r="D19" s="393"/>
      <c r="E19" s="393"/>
      <c r="F19" s="393" t="s">
        <v>436</v>
      </c>
      <c r="G19" s="393"/>
      <c r="H19" s="393"/>
      <c r="I19" s="393"/>
      <c r="J19" s="393"/>
      <c r="K19" s="393"/>
      <c r="L19" s="394" t="str">
        <f>IFERROR(IF(_xlfn.XLOOKUP(D19,tbl_tech[TECHNOLOGY - Other],tbl_tech[NCAP_COST])=0,"",_xlfn.XLOOKUP(D19,tbl_tech[TECHNOLOGY - Other],tbl_tech[NCAP_COST])),"")</f>
        <v/>
      </c>
      <c r="M19" s="394" t="str">
        <f>IFERROR(IF(_xlfn.XLOOKUP(D19,tbl_tech[TECHNOLOGY - Other],tbl_tech[NCAP_FOM])=0,"",_xlfn.XLOOKUP(D19,tbl_tech[TECHNOLOGY - Other],tbl_tech[NCAP_FOM])),"")</f>
        <v/>
      </c>
      <c r="N19" s="393"/>
      <c r="O19" s="393"/>
      <c r="P19" s="393"/>
      <c r="Q19" s="393"/>
      <c r="R19" s="393"/>
      <c r="S19" s="393"/>
      <c r="T19" s="393"/>
      <c r="U19" s="393"/>
      <c r="V19" s="393"/>
      <c r="W19" s="393"/>
      <c r="X19" s="393"/>
      <c r="Y19" s="393"/>
      <c r="Z19" s="393"/>
      <c r="AA19" s="393"/>
      <c r="AB19" s="393"/>
      <c r="AC19" s="393"/>
      <c r="AD19" s="393"/>
      <c r="AE19" s="393"/>
      <c r="AF19" s="393"/>
      <c r="AG19" s="393"/>
      <c r="AH19" s="393"/>
      <c r="AI19" s="393"/>
      <c r="AJ19" s="393"/>
      <c r="AK19" s="393"/>
      <c r="AL19" s="393"/>
      <c r="AM19" s="393"/>
      <c r="AN19" s="393"/>
      <c r="AO19" s="396">
        <v>0</v>
      </c>
      <c r="AP19" s="396">
        <v>0</v>
      </c>
      <c r="AQ19" s="396">
        <v>0</v>
      </c>
      <c r="AR19" s="396">
        <v>0</v>
      </c>
      <c r="AS19" s="396">
        <v>0</v>
      </c>
      <c r="AT19" s="396">
        <v>0</v>
      </c>
      <c r="AU19" s="396">
        <v>0</v>
      </c>
      <c r="AV19" s="396">
        <v>0</v>
      </c>
      <c r="AW19" s="396">
        <v>0</v>
      </c>
      <c r="AX19" s="396">
        <v>0</v>
      </c>
      <c r="AY19" s="395">
        <f t="shared" si="0"/>
        <v>0</v>
      </c>
      <c r="AZ19" s="395">
        <f t="shared" si="0"/>
        <v>0</v>
      </c>
      <c r="BA19" s="395">
        <f t="shared" si="0"/>
        <v>0</v>
      </c>
      <c r="BB19" s="395">
        <f t="shared" si="0"/>
        <v>0</v>
      </c>
      <c r="BC19" s="395">
        <f t="shared" si="0"/>
        <v>0</v>
      </c>
      <c r="BD19" s="393"/>
      <c r="BF19" s="390"/>
      <c r="BG19" s="391" t="str">
        <f t="shared" si="1"/>
        <v/>
      </c>
      <c r="BH19" s="390"/>
      <c r="BI19" s="390"/>
      <c r="BJ19" s="390"/>
      <c r="BK19" s="390"/>
      <c r="BL19" s="390"/>
      <c r="BM19" s="390"/>
      <c r="BN19" s="390"/>
      <c r="BO19" s="390"/>
      <c r="BP19" s="390"/>
      <c r="BQ19" s="390"/>
      <c r="BR19" s="390"/>
      <c r="BS19" s="390"/>
    </row>
    <row r="20" spans="1:71" s="376" customFormat="1">
      <c r="A20" s="366"/>
      <c r="B20" s="393" t="s">
        <v>11</v>
      </c>
      <c r="C20" s="393"/>
      <c r="D20" s="393"/>
      <c r="E20" s="393"/>
      <c r="F20" s="393" t="s">
        <v>447</v>
      </c>
      <c r="G20" s="393"/>
      <c r="H20" s="393"/>
      <c r="I20" s="393"/>
      <c r="J20" s="393"/>
      <c r="K20" s="393"/>
      <c r="L20" s="394" t="str">
        <f>IFERROR(IF(_xlfn.XLOOKUP(D20,tbl_tech[TECHNOLOGY - Other],tbl_tech[NCAP_COST])=0,"",_xlfn.XLOOKUP(D20,tbl_tech[TECHNOLOGY - Other],tbl_tech[NCAP_COST])),"")</f>
        <v/>
      </c>
      <c r="M20" s="394" t="str">
        <f>IFERROR(IF(_xlfn.XLOOKUP(D20,tbl_tech[TECHNOLOGY - Other],tbl_tech[NCAP_FOM])=0,"",_xlfn.XLOOKUP(D20,tbl_tech[TECHNOLOGY - Other],tbl_tech[NCAP_FOM])),"")</f>
        <v/>
      </c>
      <c r="N20" s="393"/>
      <c r="O20" s="393"/>
      <c r="P20" s="393"/>
      <c r="Q20" s="393"/>
      <c r="R20" s="393"/>
      <c r="S20" s="393"/>
      <c r="T20" s="393"/>
      <c r="U20" s="393"/>
      <c r="V20" s="393"/>
      <c r="W20" s="393"/>
      <c r="X20" s="393"/>
      <c r="Y20" s="393"/>
      <c r="Z20" s="393"/>
      <c r="AA20" s="393"/>
      <c r="AB20" s="393"/>
      <c r="AC20" s="393"/>
      <c r="AD20" s="393"/>
      <c r="AE20" s="393"/>
      <c r="AF20" s="393"/>
      <c r="AG20" s="393"/>
      <c r="AH20" s="393"/>
      <c r="AI20" s="393"/>
      <c r="AJ20" s="393"/>
      <c r="AK20" s="393"/>
      <c r="AL20" s="393"/>
      <c r="AM20" s="393"/>
      <c r="AN20" s="393"/>
      <c r="AO20" s="395">
        <f>1-AO19</f>
        <v>1</v>
      </c>
      <c r="AP20" s="395">
        <f t="shared" ref="AP20:AX20" si="3">1-AP19</f>
        <v>1</v>
      </c>
      <c r="AQ20" s="395">
        <f t="shared" si="3"/>
        <v>1</v>
      </c>
      <c r="AR20" s="395">
        <f t="shared" si="3"/>
        <v>1</v>
      </c>
      <c r="AS20" s="395">
        <f t="shared" si="3"/>
        <v>1</v>
      </c>
      <c r="AT20" s="395">
        <f t="shared" si="3"/>
        <v>1</v>
      </c>
      <c r="AU20" s="395">
        <f t="shared" si="3"/>
        <v>1</v>
      </c>
      <c r="AV20" s="395">
        <f t="shared" si="3"/>
        <v>1</v>
      </c>
      <c r="AW20" s="395">
        <f t="shared" si="3"/>
        <v>1</v>
      </c>
      <c r="AX20" s="395">
        <f t="shared" si="3"/>
        <v>1</v>
      </c>
      <c r="AY20" s="395">
        <f t="shared" si="0"/>
        <v>1</v>
      </c>
      <c r="AZ20" s="395">
        <f t="shared" si="0"/>
        <v>1</v>
      </c>
      <c r="BA20" s="395">
        <f t="shared" si="0"/>
        <v>1</v>
      </c>
      <c r="BB20" s="395">
        <f t="shared" si="0"/>
        <v>1</v>
      </c>
      <c r="BC20" s="395">
        <f t="shared" si="0"/>
        <v>1</v>
      </c>
      <c r="BD20" s="393"/>
      <c r="BF20" s="390"/>
      <c r="BG20" s="391" t="str">
        <f t="shared" si="1"/>
        <v/>
      </c>
      <c r="BH20" s="390"/>
      <c r="BI20" s="390"/>
      <c r="BJ20" s="390"/>
      <c r="BK20" s="390"/>
      <c r="BL20" s="390"/>
      <c r="BM20" s="390"/>
      <c r="BN20" s="390"/>
      <c r="BO20" s="390"/>
      <c r="BP20" s="390"/>
      <c r="BQ20" s="390"/>
      <c r="BR20" s="390"/>
      <c r="BS20" s="390"/>
    </row>
    <row r="21" spans="1:71" s="376" customFormat="1">
      <c r="A21" s="366"/>
      <c r="B21" s="393" t="s">
        <v>11</v>
      </c>
      <c r="C21" s="393"/>
      <c r="D21" s="393"/>
      <c r="E21" s="393"/>
      <c r="F21" s="393" t="s">
        <v>460</v>
      </c>
      <c r="G21" s="393"/>
      <c r="H21" s="393"/>
      <c r="I21" s="393"/>
      <c r="J21" s="393"/>
      <c r="K21" s="393"/>
      <c r="L21" s="394" t="str">
        <f>IFERROR(IF(_xlfn.XLOOKUP(D21,tbl_tech[TECHNOLOGY - Other],tbl_tech[NCAP_COST])=0,"",_xlfn.XLOOKUP(D21,tbl_tech[TECHNOLOGY - Other],tbl_tech[NCAP_COST])),"")</f>
        <v/>
      </c>
      <c r="M21" s="394" t="str">
        <f>IFERROR(IF(_xlfn.XLOOKUP(D21,tbl_tech[TECHNOLOGY - Other],tbl_tech[NCAP_FOM])=0,"",_xlfn.XLOOKUP(D21,tbl_tech[TECHNOLOGY - Other],tbl_tech[NCAP_FOM])),"")</f>
        <v/>
      </c>
      <c r="N21" s="393"/>
      <c r="O21" s="393"/>
      <c r="P21" s="393"/>
      <c r="Q21" s="393"/>
      <c r="R21" s="393"/>
      <c r="S21" s="393"/>
      <c r="T21" s="393"/>
      <c r="U21" s="393"/>
      <c r="V21" s="393"/>
      <c r="W21" s="393"/>
      <c r="X21" s="393"/>
      <c r="Y21" s="393"/>
      <c r="Z21" s="393"/>
      <c r="AA21" s="393"/>
      <c r="AB21" s="393"/>
      <c r="AC21" s="393"/>
      <c r="AD21" s="393"/>
      <c r="AE21" s="393"/>
      <c r="AF21" s="393"/>
      <c r="AG21" s="393"/>
      <c r="AH21" s="393"/>
      <c r="AI21" s="393"/>
      <c r="AJ21" s="393"/>
      <c r="AK21" s="393"/>
      <c r="AL21" s="393"/>
      <c r="AM21" s="393"/>
      <c r="AN21" s="393"/>
      <c r="AO21" s="396">
        <v>0</v>
      </c>
      <c r="AP21" s="396">
        <v>0</v>
      </c>
      <c r="AQ21" s="396">
        <v>0</v>
      </c>
      <c r="AR21" s="396">
        <v>0</v>
      </c>
      <c r="AS21" s="396">
        <v>0</v>
      </c>
      <c r="AT21" s="396">
        <v>0</v>
      </c>
      <c r="AU21" s="396">
        <v>0</v>
      </c>
      <c r="AV21" s="396">
        <v>0</v>
      </c>
      <c r="AW21" s="396">
        <v>0</v>
      </c>
      <c r="AX21" s="396">
        <v>0</v>
      </c>
      <c r="AY21" s="395">
        <f t="shared" si="0"/>
        <v>0</v>
      </c>
      <c r="AZ21" s="395">
        <f t="shared" si="0"/>
        <v>0</v>
      </c>
      <c r="BA21" s="395">
        <f t="shared" si="0"/>
        <v>0</v>
      </c>
      <c r="BB21" s="395">
        <f t="shared" si="0"/>
        <v>0</v>
      </c>
      <c r="BC21" s="395">
        <f t="shared" si="0"/>
        <v>0</v>
      </c>
      <c r="BD21" s="393"/>
      <c r="BF21" s="390"/>
      <c r="BG21" s="391" t="str">
        <f t="shared" si="1"/>
        <v/>
      </c>
      <c r="BH21" s="390"/>
      <c r="BI21" s="390"/>
      <c r="BJ21" s="390"/>
      <c r="BK21" s="390"/>
      <c r="BL21" s="390"/>
      <c r="BM21" s="390"/>
      <c r="BN21" s="390"/>
      <c r="BO21" s="390"/>
      <c r="BP21" s="390"/>
      <c r="BQ21" s="390"/>
      <c r="BR21" s="390"/>
      <c r="BS21" s="390"/>
    </row>
    <row r="22" spans="1:71" s="376" customFormat="1" ht="15" thickBot="1">
      <c r="A22" s="366"/>
      <c r="B22" s="399" t="s">
        <v>11</v>
      </c>
      <c r="C22" s="399"/>
      <c r="D22" s="399"/>
      <c r="E22" s="399"/>
      <c r="F22" s="399"/>
      <c r="G22" s="399" t="s">
        <v>295</v>
      </c>
      <c r="H22" s="399"/>
      <c r="I22" s="399"/>
      <c r="J22" s="399"/>
      <c r="K22" s="399"/>
      <c r="L22" s="400" t="str">
        <f>IFERROR(IF(_xlfn.XLOOKUP(D22,tbl_tech[TECHNOLOGY - Other],tbl_tech[NCAP_COST])=0,"",_xlfn.XLOOKUP(D22,tbl_tech[TECHNOLOGY - Other],tbl_tech[NCAP_COST])),"")</f>
        <v/>
      </c>
      <c r="M22" s="400" t="str">
        <f>IFERROR(IF(_xlfn.XLOOKUP(D22,tbl_tech[TECHNOLOGY - Other],tbl_tech[NCAP_FOM])=0,"",_xlfn.XLOOKUP(D22,tbl_tech[TECHNOLOGY - Other],tbl_tech[NCAP_FOM])),"")</f>
        <v/>
      </c>
      <c r="N22" s="401"/>
      <c r="O22" s="401"/>
      <c r="P22" s="401"/>
      <c r="Q22" s="401"/>
      <c r="R22" s="401"/>
      <c r="S22" s="402"/>
      <c r="T22" s="402"/>
      <c r="U22" s="402"/>
      <c r="V22" s="402"/>
      <c r="W22" s="399"/>
      <c r="X22" s="402"/>
      <c r="Y22" s="402"/>
      <c r="Z22" s="402"/>
      <c r="AA22" s="402"/>
      <c r="AB22" s="399"/>
      <c r="AC22" s="402"/>
      <c r="AD22" s="399"/>
      <c r="AE22" s="399"/>
      <c r="AF22" s="399"/>
      <c r="AG22" s="399"/>
      <c r="AH22" s="399"/>
      <c r="AI22" s="399"/>
      <c r="AJ22" s="399"/>
      <c r="AK22" s="399"/>
      <c r="AL22" s="399"/>
      <c r="AM22" s="399"/>
      <c r="AN22" s="399"/>
      <c r="AO22" s="403"/>
      <c r="AP22" s="403"/>
      <c r="AQ22" s="403"/>
      <c r="AR22" s="403"/>
      <c r="AS22" s="403"/>
      <c r="AT22" s="403"/>
      <c r="AU22" s="403"/>
      <c r="AV22" s="403"/>
      <c r="AW22" s="403"/>
      <c r="AX22" s="403"/>
      <c r="AY22" s="404" t="str">
        <f t="shared" si="0"/>
        <v/>
      </c>
      <c r="AZ22" s="404" t="str">
        <f t="shared" si="0"/>
        <v/>
      </c>
      <c r="BA22" s="404" t="str">
        <f t="shared" si="0"/>
        <v/>
      </c>
      <c r="BB22" s="404" t="str">
        <f t="shared" si="0"/>
        <v/>
      </c>
      <c r="BC22" s="404" t="str">
        <f t="shared" si="0"/>
        <v/>
      </c>
      <c r="BD22" s="399"/>
      <c r="BF22" s="405"/>
      <c r="BG22" s="406" t="str">
        <f t="shared" si="1"/>
        <v/>
      </c>
      <c r="BH22" s="405"/>
      <c r="BI22" s="405"/>
      <c r="BJ22" s="405"/>
      <c r="BK22" s="405"/>
      <c r="BL22" s="405"/>
      <c r="BM22" s="405"/>
      <c r="BN22" s="405"/>
      <c r="BO22" s="405"/>
      <c r="BP22" s="405"/>
      <c r="BQ22" s="407"/>
      <c r="BR22" s="408"/>
      <c r="BS22" s="408"/>
    </row>
    <row r="23" spans="1:71">
      <c r="B23" s="372" t="s">
        <v>711</v>
      </c>
    </row>
    <row r="24" spans="1:71">
      <c r="B24" s="385" t="s">
        <v>710</v>
      </c>
      <c r="C24" s="423" t="s">
        <v>712</v>
      </c>
    </row>
    <row r="26" spans="1:71">
      <c r="B26" s="376"/>
      <c r="C26" s="376"/>
      <c r="D26" s="377"/>
      <c r="E26" s="376"/>
      <c r="F26" s="376"/>
      <c r="G26" s="378" t="s">
        <v>318</v>
      </c>
      <c r="H26" s="409"/>
      <c r="I26" s="409"/>
      <c r="J26" s="409"/>
      <c r="K26" s="409"/>
      <c r="L26" s="409"/>
      <c r="M26" s="409"/>
      <c r="N26" s="409"/>
    </row>
    <row r="27" spans="1:71" ht="15" thickBot="1">
      <c r="B27" s="1282" t="s">
        <v>1</v>
      </c>
      <c r="C27" s="1282" t="s">
        <v>81</v>
      </c>
      <c r="D27" s="1282" t="s">
        <v>82</v>
      </c>
      <c r="E27" s="1282" t="s">
        <v>235</v>
      </c>
      <c r="F27" s="1282" t="s">
        <v>319</v>
      </c>
      <c r="G27" s="1282" t="s">
        <v>320</v>
      </c>
      <c r="H27" s="1282" t="s">
        <v>321</v>
      </c>
      <c r="I27" s="1282" t="s">
        <v>330</v>
      </c>
      <c r="J27" s="1282" t="s">
        <v>478</v>
      </c>
      <c r="K27" s="1282" t="s">
        <v>324</v>
      </c>
      <c r="L27" s="1282" t="s">
        <v>323</v>
      </c>
      <c r="M27" s="1282" t="s">
        <v>479</v>
      </c>
      <c r="N27" s="1282" t="s">
        <v>480</v>
      </c>
    </row>
    <row r="28" spans="1:71">
      <c r="B28" s="410" t="e">
        <f>Technologies!#REF!</f>
        <v>#REF!</v>
      </c>
      <c r="C28" s="410" t="e">
        <f>Technologies!#REF!</f>
        <v>#REF!</v>
      </c>
      <c r="D28" s="410" t="e">
        <f>Technologies!#REF!</f>
        <v>#REF!</v>
      </c>
      <c r="E28" s="369" t="s">
        <v>329</v>
      </c>
      <c r="F28" s="369" t="s">
        <v>28</v>
      </c>
      <c r="G28" s="411" t="s">
        <v>418</v>
      </c>
      <c r="H28" s="412">
        <v>2010</v>
      </c>
      <c r="I28" s="412">
        <v>50</v>
      </c>
      <c r="J28" s="412"/>
      <c r="K28" s="412">
        <v>1</v>
      </c>
      <c r="L28" s="412">
        <v>1</v>
      </c>
      <c r="M28" s="412"/>
      <c r="N28" s="412"/>
    </row>
    <row r="29" spans="1:71">
      <c r="B29" s="410" t="str">
        <f>Technologies!B6</f>
        <v>R2,R3,R4,R5,R6</v>
      </c>
      <c r="C29" s="410" t="str">
        <f>Technologies!D6</f>
        <v>SEINDNGA</v>
      </c>
      <c r="D29" s="410" t="str">
        <f>Technologies!E6</f>
        <v>Emissions: NGA to IND</v>
      </c>
      <c r="E29" s="369" t="s">
        <v>329</v>
      </c>
      <c r="F29" s="369" t="s">
        <v>33</v>
      </c>
      <c r="G29" s="411" t="s">
        <v>48</v>
      </c>
      <c r="H29" s="412">
        <v>2010</v>
      </c>
      <c r="I29" s="412">
        <v>50</v>
      </c>
      <c r="J29" s="412"/>
      <c r="K29" s="412">
        <v>1</v>
      </c>
      <c r="L29" s="413"/>
      <c r="M29" s="369"/>
      <c r="N29" s="369"/>
    </row>
    <row r="30" spans="1:71">
      <c r="B30" s="410" t="e">
        <f>Technologies!#REF!</f>
        <v>#REF!</v>
      </c>
      <c r="C30" s="410" t="e">
        <f>Technologies!#REF!</f>
        <v>#REF!</v>
      </c>
      <c r="D30" s="410" t="e">
        <f>Technologies!#REF!</f>
        <v>#REF!</v>
      </c>
      <c r="E30" s="369" t="s">
        <v>329</v>
      </c>
      <c r="F30" s="369" t="s">
        <v>481</v>
      </c>
      <c r="G30" s="411" t="s">
        <v>394</v>
      </c>
      <c r="H30" s="412">
        <v>2010</v>
      </c>
      <c r="I30" s="412">
        <v>50</v>
      </c>
      <c r="J30" s="412"/>
      <c r="K30" s="412">
        <v>1</v>
      </c>
      <c r="L30" s="413"/>
      <c r="M30" s="369"/>
      <c r="N30" s="369"/>
    </row>
    <row r="31" spans="1:71">
      <c r="B31" s="410" t="str">
        <f>Technologies!B7</f>
        <v>R2,R3,R4,R5,R6</v>
      </c>
      <c r="C31" s="410" t="str">
        <f>Technologies!D7</f>
        <v>SEINDDSL</v>
      </c>
      <c r="D31" s="410" t="str">
        <f>Technologies!E7</f>
        <v>Emissions: DSL to IND</v>
      </c>
      <c r="E31" s="369" t="s">
        <v>329</v>
      </c>
      <c r="F31" s="369" t="s">
        <v>35</v>
      </c>
      <c r="G31" s="411" t="s">
        <v>50</v>
      </c>
      <c r="H31" s="412">
        <v>2010</v>
      </c>
      <c r="I31" s="412">
        <v>50</v>
      </c>
      <c r="J31" s="412"/>
      <c r="K31" s="412">
        <v>1</v>
      </c>
      <c r="L31" s="413"/>
      <c r="M31" s="369"/>
      <c r="N31" s="369"/>
    </row>
    <row r="32" spans="1:71">
      <c r="B32" s="369" t="s">
        <v>11</v>
      </c>
      <c r="C32" s="369" t="s">
        <v>487</v>
      </c>
      <c r="D32" s="369" t="s">
        <v>488</v>
      </c>
      <c r="E32" s="369" t="s">
        <v>329</v>
      </c>
      <c r="F32" s="369" t="s">
        <v>489</v>
      </c>
      <c r="G32" s="411" t="s">
        <v>447</v>
      </c>
      <c r="H32" s="412"/>
      <c r="I32" s="412"/>
      <c r="J32" s="412"/>
      <c r="K32" s="412">
        <v>1</v>
      </c>
      <c r="L32" s="412"/>
      <c r="M32" s="412">
        <v>9999</v>
      </c>
      <c r="N32" s="412"/>
    </row>
    <row r="33" spans="2:135">
      <c r="B33" s="369" t="s">
        <v>11</v>
      </c>
      <c r="C33" s="369" t="s">
        <v>114</v>
      </c>
      <c r="D33" s="369" t="s">
        <v>490</v>
      </c>
      <c r="E33" s="369" t="s">
        <v>329</v>
      </c>
      <c r="F33" s="369" t="s">
        <v>489</v>
      </c>
      <c r="G33" s="411" t="s">
        <v>295</v>
      </c>
      <c r="H33" s="412"/>
      <c r="I33" s="412"/>
      <c r="J33" s="412"/>
      <c r="K33" s="412">
        <v>1</v>
      </c>
      <c r="L33" s="412"/>
      <c r="M33" s="412">
        <v>9999</v>
      </c>
      <c r="N33" s="412"/>
    </row>
    <row r="34" spans="2:135">
      <c r="B34" s="369" t="s">
        <v>11</v>
      </c>
      <c r="C34" s="369" t="s">
        <v>491</v>
      </c>
      <c r="D34" s="369" t="s">
        <v>492</v>
      </c>
      <c r="E34" s="369" t="s">
        <v>329</v>
      </c>
      <c r="F34" s="369"/>
      <c r="G34" s="411" t="s">
        <v>28</v>
      </c>
      <c r="H34" s="412"/>
      <c r="I34" s="412"/>
      <c r="J34" s="412"/>
      <c r="K34" s="412"/>
      <c r="L34" s="412"/>
      <c r="M34" s="412"/>
      <c r="N34" s="412">
        <v>9000</v>
      </c>
    </row>
    <row r="35" spans="2:135">
      <c r="B35" s="369" t="s">
        <v>11</v>
      </c>
      <c r="C35" s="369" t="s">
        <v>493</v>
      </c>
      <c r="D35" s="369" t="s">
        <v>494</v>
      </c>
      <c r="E35" s="369" t="s">
        <v>329</v>
      </c>
      <c r="F35" s="369"/>
      <c r="G35" s="411" t="s">
        <v>48</v>
      </c>
      <c r="H35" s="412"/>
      <c r="I35" s="412"/>
      <c r="J35" s="412"/>
      <c r="K35" s="412"/>
      <c r="L35" s="412"/>
      <c r="M35" s="412"/>
      <c r="N35" s="412">
        <v>9000</v>
      </c>
    </row>
    <row r="36" spans="2:135">
      <c r="B36" s="420" t="s">
        <v>11</v>
      </c>
      <c r="C36" s="420" t="s">
        <v>495</v>
      </c>
      <c r="D36" s="420" t="s">
        <v>496</v>
      </c>
      <c r="E36" s="420" t="s">
        <v>329</v>
      </c>
      <c r="F36" s="420"/>
      <c r="G36" s="421" t="s">
        <v>394</v>
      </c>
      <c r="H36" s="422"/>
      <c r="I36" s="422"/>
      <c r="J36" s="422"/>
      <c r="K36" s="422"/>
      <c r="L36" s="422"/>
      <c r="M36" s="422"/>
      <c r="N36" s="422">
        <v>9000</v>
      </c>
    </row>
    <row r="37" spans="2:135">
      <c r="B37" s="372" t="s">
        <v>713</v>
      </c>
    </row>
    <row r="38" spans="2:135">
      <c r="B38" s="385" t="s">
        <v>710</v>
      </c>
      <c r="AZ38" s="824" t="s">
        <v>714</v>
      </c>
    </row>
    <row r="39" spans="2:135">
      <c r="AZ39" s="366" t="s">
        <v>715</v>
      </c>
    </row>
    <row r="40" spans="2:135">
      <c r="B40" s="376"/>
      <c r="C40" s="376"/>
      <c r="D40" s="377"/>
      <c r="E40" s="376"/>
      <c r="F40" s="376"/>
      <c r="G40" s="378" t="s">
        <v>318</v>
      </c>
      <c r="H40" s="414"/>
      <c r="I40" s="414"/>
      <c r="J40" s="376"/>
      <c r="K40" s="376"/>
      <c r="L40" s="376"/>
      <c r="M40" s="376"/>
      <c r="N40" s="376"/>
      <c r="O40" s="376"/>
      <c r="P40" s="376"/>
      <c r="Q40" s="376"/>
      <c r="R40" s="376"/>
      <c r="S40" s="376"/>
      <c r="T40" s="376"/>
      <c r="U40" s="376"/>
      <c r="V40" s="376"/>
      <c r="W40" s="376"/>
      <c r="X40" s="376"/>
      <c r="Y40" s="376"/>
      <c r="Z40" s="376"/>
      <c r="AA40" s="376"/>
      <c r="AB40" s="376"/>
      <c r="AC40" s="376"/>
      <c r="AD40" s="376"/>
      <c r="AE40" s="376"/>
      <c r="AF40" s="376"/>
      <c r="AG40" s="376"/>
      <c r="AH40" s="376"/>
      <c r="AI40" s="376"/>
      <c r="AJ40" s="376"/>
      <c r="AK40" s="376"/>
      <c r="AL40" s="376"/>
      <c r="AM40" s="376"/>
      <c r="AN40" s="376"/>
      <c r="AO40" s="376"/>
      <c r="AP40" s="376"/>
      <c r="AQ40" s="376"/>
      <c r="AR40" s="376"/>
      <c r="AS40" s="376"/>
      <c r="AT40" s="376"/>
      <c r="AU40" s="376"/>
      <c r="AV40" s="376"/>
      <c r="AW40" s="376"/>
      <c r="AX40" s="376"/>
      <c r="AY40" s="376"/>
      <c r="AZ40" s="376"/>
      <c r="BA40" s="376"/>
      <c r="BB40" s="376"/>
      <c r="BC40" s="376"/>
      <c r="BD40" s="376"/>
      <c r="BE40" s="376"/>
      <c r="BF40" s="376"/>
      <c r="BG40" s="376"/>
      <c r="BH40" s="376"/>
      <c r="BI40" s="376"/>
      <c r="BJ40" s="376"/>
      <c r="BK40" s="376"/>
      <c r="BL40" s="376"/>
      <c r="BM40" s="376"/>
      <c r="BN40" s="376"/>
      <c r="BO40" s="376"/>
      <c r="BP40" s="376"/>
      <c r="BQ40" s="376"/>
      <c r="BR40" s="376"/>
      <c r="BS40" s="376"/>
      <c r="BT40" s="376"/>
      <c r="BU40" s="376"/>
      <c r="BV40" s="376"/>
      <c r="BW40" s="376"/>
      <c r="BX40" s="376"/>
      <c r="BY40" s="376"/>
      <c r="BZ40" s="376"/>
      <c r="CA40" s="376"/>
      <c r="CB40" s="376"/>
      <c r="CC40" s="376"/>
      <c r="CD40" s="376"/>
      <c r="CE40" s="376"/>
      <c r="CF40" s="376"/>
      <c r="CG40" s="376"/>
      <c r="CH40" s="376"/>
      <c r="CI40" s="376"/>
      <c r="CJ40" s="376"/>
      <c r="CK40" s="376"/>
      <c r="CL40" s="376"/>
      <c r="CM40" s="376"/>
      <c r="CN40" s="376"/>
      <c r="CO40" s="376"/>
      <c r="CP40" s="376"/>
      <c r="CQ40" s="376"/>
      <c r="CR40" s="376"/>
      <c r="CS40" s="376"/>
      <c r="CT40" s="376"/>
      <c r="CU40" s="376"/>
      <c r="CV40" s="376"/>
      <c r="CW40" s="376"/>
      <c r="CX40" s="376"/>
      <c r="CY40" s="376"/>
      <c r="CZ40" s="376"/>
      <c r="DA40" s="376"/>
      <c r="DB40" s="376"/>
      <c r="DC40" s="376"/>
      <c r="DD40" s="376"/>
      <c r="DE40" s="376"/>
      <c r="DF40" s="376"/>
      <c r="DG40" s="376"/>
      <c r="DH40" s="376"/>
      <c r="DI40" s="376"/>
      <c r="DJ40" s="376"/>
      <c r="DK40" s="376"/>
      <c r="DL40" s="376"/>
      <c r="DM40" s="376"/>
      <c r="DN40" s="376"/>
      <c r="DO40" s="376"/>
      <c r="DP40" s="376"/>
      <c r="DQ40" s="376"/>
      <c r="DR40" s="376"/>
      <c r="DS40" s="376"/>
      <c r="DT40" s="376"/>
      <c r="DU40" s="376"/>
      <c r="DV40" s="376"/>
      <c r="DW40" s="376"/>
      <c r="DX40" s="376"/>
      <c r="DY40" s="376"/>
      <c r="DZ40" s="376"/>
      <c r="EA40" s="376"/>
      <c r="EB40" s="376"/>
      <c r="EC40" s="376"/>
      <c r="ED40" s="376"/>
      <c r="EE40" s="376"/>
    </row>
    <row r="41" spans="2:135" ht="15" thickBot="1">
      <c r="B41" s="1170" t="s">
        <v>1</v>
      </c>
      <c r="C41" s="1170" t="s">
        <v>81</v>
      </c>
      <c r="D41" s="1170" t="s">
        <v>82</v>
      </c>
      <c r="E41" s="1170" t="s">
        <v>235</v>
      </c>
      <c r="F41" s="1170" t="s">
        <v>498</v>
      </c>
      <c r="G41" s="1170" t="s">
        <v>499</v>
      </c>
      <c r="H41" s="1170" t="s">
        <v>500</v>
      </c>
      <c r="I41" s="1170" t="s">
        <v>501</v>
      </c>
      <c r="J41" s="1170" t="s">
        <v>502</v>
      </c>
      <c r="K41" s="1170" t="s">
        <v>503</v>
      </c>
      <c r="L41" s="1170" t="s">
        <v>504</v>
      </c>
      <c r="M41" s="1170" t="s">
        <v>505</v>
      </c>
      <c r="N41" s="1170" t="s">
        <v>506</v>
      </c>
      <c r="O41" s="1170" t="s">
        <v>507</v>
      </c>
      <c r="P41" s="1170" t="s">
        <v>508</v>
      </c>
      <c r="Q41" s="1170" t="s">
        <v>509</v>
      </c>
      <c r="R41" s="1170" t="s">
        <v>510</v>
      </c>
      <c r="S41" s="1170" t="s">
        <v>511</v>
      </c>
      <c r="T41" s="1170" t="s">
        <v>512</v>
      </c>
      <c r="U41" s="1170" t="s">
        <v>513</v>
      </c>
      <c r="V41" s="1170" t="s">
        <v>514</v>
      </c>
      <c r="W41" s="1170" t="s">
        <v>515</v>
      </c>
      <c r="X41" s="1170" t="s">
        <v>516</v>
      </c>
      <c r="Y41" s="1170" t="s">
        <v>517</v>
      </c>
      <c r="Z41" s="1170" t="s">
        <v>518</v>
      </c>
      <c r="AA41" s="1170" t="s">
        <v>519</v>
      </c>
      <c r="AB41" s="1170" t="s">
        <v>520</v>
      </c>
      <c r="AC41" s="1170" t="s">
        <v>521</v>
      </c>
      <c r="AD41" s="1170" t="s">
        <v>522</v>
      </c>
      <c r="AE41" s="1170" t="s">
        <v>523</v>
      </c>
      <c r="AF41" s="1170" t="s">
        <v>524</v>
      </c>
      <c r="AG41" s="1170" t="s">
        <v>525</v>
      </c>
      <c r="AH41" s="1170" t="s">
        <v>526</v>
      </c>
      <c r="AI41" s="1170" t="s">
        <v>527</v>
      </c>
      <c r="AJ41" s="1170" t="s">
        <v>528</v>
      </c>
      <c r="AK41" s="1170" t="s">
        <v>529</v>
      </c>
      <c r="AL41" s="1170" t="s">
        <v>530</v>
      </c>
      <c r="AM41" s="1170" t="s">
        <v>531</v>
      </c>
      <c r="AN41" s="1170" t="s">
        <v>532</v>
      </c>
      <c r="AO41" s="1170" t="s">
        <v>533</v>
      </c>
      <c r="AP41" s="1170" t="s">
        <v>534</v>
      </c>
      <c r="AQ41" s="1170" t="s">
        <v>535</v>
      </c>
      <c r="AR41" s="1170" t="s">
        <v>536</v>
      </c>
      <c r="AS41" s="1170" t="s">
        <v>537</v>
      </c>
      <c r="AT41" s="1170" t="s">
        <v>538</v>
      </c>
      <c r="AU41" s="1170" t="s">
        <v>539</v>
      </c>
      <c r="AV41" s="1170" t="s">
        <v>540</v>
      </c>
      <c r="AW41" s="1170" t="s">
        <v>541</v>
      </c>
      <c r="AX41" s="1170" t="s">
        <v>542</v>
      </c>
      <c r="AY41" s="1170" t="s">
        <v>543</v>
      </c>
      <c r="AZ41" s="1170" t="s">
        <v>544</v>
      </c>
      <c r="BA41" s="1170" t="s">
        <v>545</v>
      </c>
      <c r="BB41" s="1170" t="s">
        <v>546</v>
      </c>
      <c r="BC41" s="1170" t="s">
        <v>547</v>
      </c>
      <c r="BD41" s="1170" t="s">
        <v>548</v>
      </c>
      <c r="BE41" s="1170" t="s">
        <v>549</v>
      </c>
      <c r="BF41" s="1170" t="s">
        <v>550</v>
      </c>
      <c r="BG41" s="1170" t="s">
        <v>551</v>
      </c>
      <c r="BH41" s="1170" t="s">
        <v>552</v>
      </c>
      <c r="BI41" s="1170" t="s">
        <v>553</v>
      </c>
      <c r="BJ41" s="1170" t="s">
        <v>554</v>
      </c>
      <c r="BK41" s="1170" t="s">
        <v>555</v>
      </c>
      <c r="BL41" s="1170" t="s">
        <v>556</v>
      </c>
      <c r="BM41" s="1170" t="s">
        <v>557</v>
      </c>
      <c r="BN41" s="1170" t="s">
        <v>558</v>
      </c>
      <c r="BO41" s="1170" t="s">
        <v>559</v>
      </c>
      <c r="BP41" s="1170" t="s">
        <v>560</v>
      </c>
      <c r="BQ41" s="1170" t="s">
        <v>561</v>
      </c>
      <c r="BR41" s="1170" t="s">
        <v>562</v>
      </c>
      <c r="BS41" s="1170" t="s">
        <v>563</v>
      </c>
      <c r="BT41" s="1170" t="s">
        <v>564</v>
      </c>
      <c r="BU41" s="1170" t="s">
        <v>565</v>
      </c>
      <c r="BV41" s="1170" t="s">
        <v>566</v>
      </c>
      <c r="BW41" s="1170" t="s">
        <v>567</v>
      </c>
      <c r="BX41" s="1170" t="s">
        <v>568</v>
      </c>
      <c r="BY41" s="1170" t="s">
        <v>569</v>
      </c>
      <c r="BZ41" s="1170" t="s">
        <v>570</v>
      </c>
      <c r="CA41" s="1170" t="s">
        <v>571</v>
      </c>
      <c r="CB41" s="1170" t="s">
        <v>572</v>
      </c>
      <c r="CC41" s="1170" t="s">
        <v>573</v>
      </c>
      <c r="CD41" s="1170" t="s">
        <v>574</v>
      </c>
      <c r="CE41" s="1170" t="s">
        <v>575</v>
      </c>
      <c r="CF41" s="1170" t="s">
        <v>576</v>
      </c>
      <c r="CG41" s="1170" t="s">
        <v>577</v>
      </c>
      <c r="CH41" s="1170" t="s">
        <v>578</v>
      </c>
      <c r="CI41" s="1170" t="s">
        <v>579</v>
      </c>
      <c r="CJ41" s="1170" t="s">
        <v>580</v>
      </c>
      <c r="CK41" s="1170" t="s">
        <v>581</v>
      </c>
      <c r="CL41" s="1170" t="s">
        <v>582</v>
      </c>
      <c r="CM41" s="1170" t="s">
        <v>583</v>
      </c>
      <c r="CN41" s="1170" t="s">
        <v>584</v>
      </c>
      <c r="CO41" s="1170" t="s">
        <v>585</v>
      </c>
      <c r="CP41" s="1170" t="s">
        <v>586</v>
      </c>
      <c r="CQ41" s="1170" t="s">
        <v>587</v>
      </c>
      <c r="CR41" s="1170" t="s">
        <v>588</v>
      </c>
      <c r="CS41" s="1170" t="s">
        <v>589</v>
      </c>
      <c r="CT41" s="1170" t="s">
        <v>590</v>
      </c>
      <c r="CU41" s="1170" t="s">
        <v>591</v>
      </c>
      <c r="CV41" s="1170" t="s">
        <v>592</v>
      </c>
      <c r="CW41" s="1170" t="s">
        <v>593</v>
      </c>
      <c r="CX41" s="1170" t="s">
        <v>594</v>
      </c>
      <c r="CY41" s="1170" t="s">
        <v>595</v>
      </c>
      <c r="CZ41" s="1170" t="s">
        <v>596</v>
      </c>
      <c r="DA41" s="1170" t="s">
        <v>597</v>
      </c>
      <c r="DB41" s="1170" t="s">
        <v>598</v>
      </c>
      <c r="DC41" s="1170" t="s">
        <v>599</v>
      </c>
      <c r="DD41" s="1170" t="s">
        <v>600</v>
      </c>
      <c r="DE41" s="1170" t="s">
        <v>601</v>
      </c>
      <c r="DF41" s="1170" t="s">
        <v>602</v>
      </c>
      <c r="DG41" s="1170" t="s">
        <v>603</v>
      </c>
      <c r="DH41" s="1170" t="s">
        <v>604</v>
      </c>
      <c r="DI41" s="1170" t="s">
        <v>605</v>
      </c>
      <c r="DJ41" s="1170" t="s">
        <v>606</v>
      </c>
      <c r="DK41" s="1170" t="s">
        <v>607</v>
      </c>
      <c r="DL41" s="1170" t="s">
        <v>608</v>
      </c>
      <c r="DM41" s="1170" t="s">
        <v>609</v>
      </c>
      <c r="DN41" s="1170" t="s">
        <v>610</v>
      </c>
      <c r="DO41" s="1170" t="s">
        <v>611</v>
      </c>
      <c r="DP41" s="1170" t="s">
        <v>612</v>
      </c>
      <c r="DQ41" s="1170" t="s">
        <v>613</v>
      </c>
      <c r="DR41" s="1170" t="s">
        <v>614</v>
      </c>
      <c r="DS41" s="1170" t="s">
        <v>615</v>
      </c>
      <c r="DT41" s="1170" t="s">
        <v>616</v>
      </c>
      <c r="DU41" s="1170" t="s">
        <v>617</v>
      </c>
      <c r="DV41" s="1170" t="s">
        <v>618</v>
      </c>
      <c r="DW41" s="1170" t="s">
        <v>619</v>
      </c>
      <c r="DX41" s="1170" t="s">
        <v>620</v>
      </c>
      <c r="DY41" s="1170" t="s">
        <v>621</v>
      </c>
      <c r="DZ41" s="1170" t="s">
        <v>622</v>
      </c>
      <c r="EA41" s="1170" t="s">
        <v>623</v>
      </c>
      <c r="EB41" s="1170" t="s">
        <v>624</v>
      </c>
      <c r="EC41" s="1170" t="s">
        <v>625</v>
      </c>
      <c r="ED41" s="1170" t="s">
        <v>626</v>
      </c>
      <c r="EE41" s="1170" t="s">
        <v>627</v>
      </c>
    </row>
    <row r="42" spans="2:135">
      <c r="B42" s="393" t="s">
        <v>11</v>
      </c>
      <c r="C42" s="393" t="s">
        <v>448</v>
      </c>
      <c r="D42" s="393" t="s">
        <v>449</v>
      </c>
      <c r="E42" s="393" t="s">
        <v>329</v>
      </c>
      <c r="F42" s="393" t="s">
        <v>394</v>
      </c>
      <c r="G42" s="393" t="s">
        <v>447</v>
      </c>
      <c r="H42" s="393"/>
      <c r="I42" s="393"/>
      <c r="J42" s="415">
        <v>8.3099999999999993E-2</v>
      </c>
      <c r="K42" s="415">
        <f>Emissions!AC$42</f>
        <v>2.8400000000000001E-3</v>
      </c>
      <c r="L42" s="415">
        <f>Emissions!AD$42</f>
        <v>2.8400000000000002E-4</v>
      </c>
      <c r="M42" s="415">
        <f>Emissions!AE$42</f>
        <v>2.5494307400379505E-2</v>
      </c>
      <c r="N42" s="415">
        <f>Emissions!AF$42</f>
        <v>6.8834629981024678E-3</v>
      </c>
      <c r="O42" s="415">
        <f>J42*1000</f>
        <v>83.1</v>
      </c>
      <c r="P42" s="415">
        <f>Emissions!F$42</f>
        <v>0.83858254269449717</v>
      </c>
      <c r="Q42" s="415">
        <f>Emissions!G$42</f>
        <v>0.83858254269449717</v>
      </c>
      <c r="R42" s="415">
        <f>Emissions!H$42</f>
        <v>0.83858254269449717</v>
      </c>
      <c r="S42" s="415">
        <f t="shared" ref="S42" si="4">IF(R42="","",R42)</f>
        <v>0.83858254269449717</v>
      </c>
      <c r="T42" s="415">
        <f>Emissions!J$42</f>
        <v>0.23453782493904479</v>
      </c>
      <c r="U42" s="415">
        <f>Emissions!K$42</f>
        <v>0.23453782493904479</v>
      </c>
      <c r="V42" s="415">
        <f>Emissions!L$42</f>
        <v>0.23453782493904479</v>
      </c>
      <c r="W42" s="415">
        <f t="shared" ref="W42:W43" si="5">IF(V42="","",V42)</f>
        <v>0.23453782493904479</v>
      </c>
      <c r="X42" s="415">
        <f>Emissions!N$42</f>
        <v>8.4981024667931684E-2</v>
      </c>
      <c r="Y42" s="415">
        <f>Emissions!O$42</f>
        <v>8.4981024667931684E-2</v>
      </c>
      <c r="Z42" s="415">
        <f>Emissions!P$42</f>
        <v>8.4981024667931684E-2</v>
      </c>
      <c r="AA42" s="415">
        <f t="shared" ref="AA42:AA43" si="6">IF(Z42="","",Z42)</f>
        <v>8.4981024667931684E-2</v>
      </c>
      <c r="AB42" s="415">
        <f>Emissions!R$42</f>
        <v>7.6482922201138531E-2</v>
      </c>
      <c r="AC42" s="415">
        <f>Emissions!S$42</f>
        <v>7.6482922201138531E-2</v>
      </c>
      <c r="AD42" s="415">
        <f>Emissions!T$42</f>
        <v>7.6482922201138531E-2</v>
      </c>
      <c r="AE42" s="415">
        <f t="shared" ref="AE42:AE43" si="7">IF(AD42="","",AD42)</f>
        <v>7.6482922201138531E-2</v>
      </c>
      <c r="AF42" s="415">
        <f>Emissions!V$42</f>
        <v>9.3519924098671728E-2</v>
      </c>
      <c r="AG42" s="415">
        <f>Emissions!W$42</f>
        <v>9.3519924098671728E-2</v>
      </c>
      <c r="AH42" s="415">
        <f>Emissions!X$42</f>
        <v>9.3519924098671728E-2</v>
      </c>
      <c r="AI42" s="415">
        <f>IF(AH42="","",AH42)</f>
        <v>9.3519924098671728E-2</v>
      </c>
      <c r="AJ42" s="415">
        <f>Emissions!Z$42</f>
        <v>0.34250094876660336</v>
      </c>
      <c r="AK42" s="415">
        <f>Emissions!AA$42</f>
        <v>0.34250094876660336</v>
      </c>
      <c r="AL42" s="415">
        <f>Emissions!AB$42</f>
        <v>0.34250094876660336</v>
      </c>
      <c r="AM42" s="415">
        <f t="shared" ref="AM42:AM43" si="8">IF(AL42="","",AL42)</f>
        <v>0.34250094876660336</v>
      </c>
      <c r="AN42" s="415">
        <f t="shared" ref="AN42:AP43" si="9">P42</f>
        <v>0.83858254269449717</v>
      </c>
      <c r="AO42" s="415">
        <f t="shared" si="9"/>
        <v>0.83858254269449717</v>
      </c>
      <c r="AP42" s="415">
        <f t="shared" si="9"/>
        <v>0.83858254269449717</v>
      </c>
      <c r="AQ42" s="415">
        <f t="shared" ref="AQ42:AQ43" si="10">IF(AP42="","",AP42)</f>
        <v>0.83858254269449717</v>
      </c>
      <c r="AR42" s="415">
        <f>T42</f>
        <v>0.23453782493904479</v>
      </c>
      <c r="AS42" s="415">
        <f t="shared" ref="AS42:AT43" si="11">U42</f>
        <v>0.23453782493904479</v>
      </c>
      <c r="AT42" s="415">
        <f t="shared" si="11"/>
        <v>0.23453782493904479</v>
      </c>
      <c r="AU42" s="415">
        <f t="shared" ref="AU42:AU43" si="12">IF(AT42="","",AT42)</f>
        <v>0.23453782493904479</v>
      </c>
      <c r="AV42" s="415">
        <f t="shared" ref="AV42:AX43" si="13">X42</f>
        <v>8.4981024667931684E-2</v>
      </c>
      <c r="AW42" s="415">
        <f t="shared" si="13"/>
        <v>8.4981024667931684E-2</v>
      </c>
      <c r="AX42" s="415">
        <f t="shared" si="13"/>
        <v>8.4981024667931684E-2</v>
      </c>
      <c r="AY42" s="415">
        <f t="shared" ref="AY42:AY43" si="14">IF(AX42="","",AX42)</f>
        <v>8.4981024667931684E-2</v>
      </c>
      <c r="AZ42" s="393"/>
      <c r="BA42" s="393"/>
      <c r="BB42" s="393"/>
      <c r="BC42" s="415" t="s">
        <v>628</v>
      </c>
      <c r="BD42" s="393"/>
      <c r="BE42" s="393"/>
      <c r="BF42" s="393"/>
      <c r="BG42" s="415" t="s">
        <v>628</v>
      </c>
      <c r="BH42" s="393"/>
      <c r="BI42" s="393"/>
      <c r="BJ42" s="393"/>
      <c r="BK42" s="415" t="s">
        <v>628</v>
      </c>
      <c r="BL42" s="393"/>
      <c r="BM42" s="393"/>
      <c r="BN42" s="393"/>
      <c r="BO42" s="415" t="s">
        <v>628</v>
      </c>
      <c r="BP42" s="393"/>
      <c r="BQ42" s="393"/>
      <c r="BR42" s="393"/>
      <c r="BS42" s="415" t="s">
        <v>628</v>
      </c>
      <c r="BT42" s="393"/>
      <c r="BU42" s="393"/>
      <c r="BV42" s="393"/>
      <c r="BW42" s="415" t="s">
        <v>628</v>
      </c>
      <c r="BX42" s="393"/>
      <c r="BY42" s="393"/>
      <c r="BZ42" s="393"/>
      <c r="CA42" s="415" t="s">
        <v>628</v>
      </c>
      <c r="CB42" s="393"/>
      <c r="CC42" s="393"/>
      <c r="CD42" s="393"/>
      <c r="CE42" s="415" t="s">
        <v>628</v>
      </c>
      <c r="CF42" s="393"/>
      <c r="CG42" s="393"/>
      <c r="CH42" s="393"/>
      <c r="CI42" s="415" t="s">
        <v>628</v>
      </c>
      <c r="CJ42" s="393"/>
      <c r="CK42" s="393"/>
      <c r="CL42" s="393"/>
      <c r="CM42" s="415" t="s">
        <v>628</v>
      </c>
      <c r="CN42" s="393"/>
      <c r="CO42" s="393"/>
      <c r="CP42" s="393"/>
      <c r="CQ42" s="415" t="s">
        <v>628</v>
      </c>
      <c r="CR42" s="393"/>
      <c r="CS42" s="393"/>
      <c r="CT42" s="393"/>
      <c r="CU42" s="415" t="s">
        <v>628</v>
      </c>
      <c r="CV42" s="393"/>
      <c r="CW42" s="393"/>
      <c r="CX42" s="393"/>
      <c r="CY42" s="415" t="s">
        <v>628</v>
      </c>
      <c r="CZ42" s="393"/>
      <c r="DA42" s="393"/>
      <c r="DB42" s="393"/>
      <c r="DC42" s="415" t="s">
        <v>628</v>
      </c>
      <c r="DD42" s="393"/>
      <c r="DE42" s="393"/>
      <c r="DF42" s="393"/>
      <c r="DG42" s="415" t="s">
        <v>628</v>
      </c>
      <c r="DH42" s="393"/>
      <c r="DI42" s="393"/>
      <c r="DJ42" s="393"/>
      <c r="DK42" s="415" t="s">
        <v>628</v>
      </c>
      <c r="DL42" s="393"/>
      <c r="DM42" s="393"/>
      <c r="DN42" s="393"/>
      <c r="DO42" s="415" t="s">
        <v>628</v>
      </c>
      <c r="DP42" s="393"/>
      <c r="DQ42" s="393"/>
      <c r="DR42" s="393"/>
      <c r="DS42" s="415" t="s">
        <v>628</v>
      </c>
      <c r="DT42" s="415">
        <f t="shared" ref="DT42:DV43" si="15">P42</f>
        <v>0.83858254269449717</v>
      </c>
      <c r="DU42" s="415">
        <f t="shared" si="15"/>
        <v>0.83858254269449717</v>
      </c>
      <c r="DV42" s="415">
        <f t="shared" si="15"/>
        <v>0.83858254269449717</v>
      </c>
      <c r="DW42" s="415">
        <f t="shared" ref="DW42:DW43" si="16">IF(DV42="","",DV42)</f>
        <v>0.83858254269449717</v>
      </c>
      <c r="DX42" s="393"/>
      <c r="DY42" s="393"/>
      <c r="DZ42" s="393"/>
      <c r="EA42" s="415" t="s">
        <v>628</v>
      </c>
      <c r="EB42" s="393"/>
      <c r="EC42" s="393"/>
      <c r="ED42" s="393"/>
      <c r="EE42" s="415" t="s">
        <v>628</v>
      </c>
    </row>
    <row r="43" spans="2:135">
      <c r="B43" s="393" t="s">
        <v>11</v>
      </c>
      <c r="C43" s="393" t="s">
        <v>452</v>
      </c>
      <c r="D43" s="1168" t="s">
        <v>453</v>
      </c>
      <c r="E43" s="393" t="s">
        <v>329</v>
      </c>
      <c r="F43" s="393" t="s">
        <v>48</v>
      </c>
      <c r="G43" s="393" t="s">
        <v>447</v>
      </c>
      <c r="H43" s="393"/>
      <c r="I43" s="393"/>
      <c r="J43" s="415">
        <v>5.6000000000000001E-2</v>
      </c>
      <c r="K43" s="415">
        <f>Emissions!AC$39</f>
        <v>8.5303541040031208E-4</v>
      </c>
      <c r="L43" s="415">
        <f>Emissions!AD$39</f>
        <v>8.5303541040031208E-4</v>
      </c>
      <c r="M43" s="415">
        <f>Emissions!AE$39</f>
        <v>3.6351066671358023E-3</v>
      </c>
      <c r="N43" s="415">
        <f>Emissions!AF$39</f>
        <v>7.6337240009851845E-4</v>
      </c>
      <c r="O43" s="415">
        <f t="shared" ref="O43" si="17">J43*1000</f>
        <v>56</v>
      </c>
      <c r="P43" s="415">
        <f>Emissions!F$39</f>
        <v>4.1627634298412763E-2</v>
      </c>
      <c r="Q43" s="415">
        <f>Emissions!G$39</f>
        <v>4.1627635764714704E-2</v>
      </c>
      <c r="R43" s="415">
        <f>Emissions!H$39</f>
        <v>4.1627637231016645E-2</v>
      </c>
      <c r="S43" s="415">
        <f>IF(R43="","",R43)</f>
        <v>4.1627637231016645E-2</v>
      </c>
      <c r="T43" s="415">
        <f>Emissions!J$39</f>
        <v>4.1773357389214304E-2</v>
      </c>
      <c r="U43" s="415">
        <f>Emissions!K$39</f>
        <v>4.177620474963209E-2</v>
      </c>
      <c r="V43" s="415">
        <f>Emissions!L$39</f>
        <v>4.1779052110049883E-2</v>
      </c>
      <c r="W43" s="415">
        <f t="shared" si="5"/>
        <v>4.1779052110049883E-2</v>
      </c>
      <c r="X43" s="415">
        <f>Emissions!N$39</f>
        <v>4.1759981594954657E-2</v>
      </c>
      <c r="Y43" s="415">
        <f>Emissions!O$39</f>
        <v>4.1758167633396508E-2</v>
      </c>
      <c r="Z43" s="415">
        <f>Emissions!P$39</f>
        <v>4.1756353671838366E-2</v>
      </c>
      <c r="AA43" s="415">
        <f t="shared" si="6"/>
        <v>4.1756353671838366E-2</v>
      </c>
      <c r="AB43" s="415">
        <f>Emissions!R$39</f>
        <v>4.1772151909247462E-2</v>
      </c>
      <c r="AC43" s="415">
        <f>Emissions!S$39</f>
        <v>4.1770304121347149E-2</v>
      </c>
      <c r="AD43" s="415">
        <f>Emissions!T$39</f>
        <v>4.1768456333446828E-2</v>
      </c>
      <c r="AE43" s="415">
        <f t="shared" si="7"/>
        <v>4.1768456333446828E-2</v>
      </c>
      <c r="AF43" s="415">
        <f>Emissions!V$39</f>
        <v>4.177271937941044E-2</v>
      </c>
      <c r="AG43" s="415">
        <f>Emissions!W$39</f>
        <v>4.1772803814676511E-2</v>
      </c>
      <c r="AH43" s="415">
        <f>Emissions!X$39</f>
        <v>4.1772888249942582E-2</v>
      </c>
      <c r="AI43" s="415">
        <f>IF(AH43="","",AH43)</f>
        <v>4.1772888249942582E-2</v>
      </c>
      <c r="AJ43" s="415">
        <f>Emissions!Z$39</f>
        <v>4.1782823362860308E-2</v>
      </c>
      <c r="AK43" s="415">
        <f>Emissions!AA$39</f>
        <v>4.178283966414291E-2</v>
      </c>
      <c r="AL43" s="415">
        <f>Emissions!AB$39</f>
        <v>4.1782855965425504E-2</v>
      </c>
      <c r="AM43" s="415">
        <f t="shared" si="8"/>
        <v>4.1782855965425504E-2</v>
      </c>
      <c r="AN43" s="415">
        <f t="shared" si="9"/>
        <v>4.1627634298412763E-2</v>
      </c>
      <c r="AO43" s="415">
        <f t="shared" si="9"/>
        <v>4.1627635764714704E-2</v>
      </c>
      <c r="AP43" s="415">
        <f t="shared" si="9"/>
        <v>4.1627637231016645E-2</v>
      </c>
      <c r="AQ43" s="415">
        <f t="shared" si="10"/>
        <v>4.1627637231016645E-2</v>
      </c>
      <c r="AR43" s="415">
        <f>T43</f>
        <v>4.1773357389214304E-2</v>
      </c>
      <c r="AS43" s="415">
        <f t="shared" si="11"/>
        <v>4.177620474963209E-2</v>
      </c>
      <c r="AT43" s="415">
        <f t="shared" si="11"/>
        <v>4.1779052110049883E-2</v>
      </c>
      <c r="AU43" s="415">
        <f t="shared" si="12"/>
        <v>4.1779052110049883E-2</v>
      </c>
      <c r="AV43" s="415">
        <f t="shared" si="13"/>
        <v>4.1759981594954657E-2</v>
      </c>
      <c r="AW43" s="415">
        <f t="shared" si="13"/>
        <v>4.1758167633396508E-2</v>
      </c>
      <c r="AX43" s="415">
        <f t="shared" si="13"/>
        <v>4.1756353671838366E-2</v>
      </c>
      <c r="AY43" s="415">
        <f t="shared" si="14"/>
        <v>4.1756353671838366E-2</v>
      </c>
      <c r="AZ43" s="393"/>
      <c r="BA43" s="393"/>
      <c r="BB43" s="393"/>
      <c r="BC43" s="415" t="s">
        <v>628</v>
      </c>
      <c r="BD43" s="393"/>
      <c r="BE43" s="393"/>
      <c r="BF43" s="393"/>
      <c r="BG43" s="415" t="s">
        <v>628</v>
      </c>
      <c r="BH43" s="393"/>
      <c r="BI43" s="393"/>
      <c r="BJ43" s="393"/>
      <c r="BK43" s="415" t="s">
        <v>628</v>
      </c>
      <c r="BL43" s="393"/>
      <c r="BM43" s="393"/>
      <c r="BN43" s="393"/>
      <c r="BO43" s="415" t="s">
        <v>628</v>
      </c>
      <c r="BP43" s="393"/>
      <c r="BQ43" s="393"/>
      <c r="BR43" s="393"/>
      <c r="BS43" s="415" t="s">
        <v>628</v>
      </c>
      <c r="BT43" s="393"/>
      <c r="BU43" s="393"/>
      <c r="BV43" s="393"/>
      <c r="BW43" s="415" t="s">
        <v>628</v>
      </c>
      <c r="BX43" s="393"/>
      <c r="BY43" s="393"/>
      <c r="BZ43" s="393"/>
      <c r="CA43" s="415" t="s">
        <v>628</v>
      </c>
      <c r="CB43" s="393"/>
      <c r="CC43" s="393"/>
      <c r="CD43" s="393"/>
      <c r="CE43" s="415" t="s">
        <v>628</v>
      </c>
      <c r="CF43" s="393"/>
      <c r="CG43" s="393"/>
      <c r="CH43" s="393"/>
      <c r="CI43" s="415" t="s">
        <v>628</v>
      </c>
      <c r="CJ43" s="393"/>
      <c r="CK43" s="393"/>
      <c r="CL43" s="393"/>
      <c r="CM43" s="415" t="s">
        <v>628</v>
      </c>
      <c r="CN43" s="393"/>
      <c r="CO43" s="393"/>
      <c r="CP43" s="393"/>
      <c r="CQ43" s="415" t="s">
        <v>628</v>
      </c>
      <c r="CR43" s="393"/>
      <c r="CS43" s="393"/>
      <c r="CT43" s="393"/>
      <c r="CU43" s="415" t="s">
        <v>628</v>
      </c>
      <c r="CV43" s="393"/>
      <c r="CW43" s="393"/>
      <c r="CX43" s="393"/>
      <c r="CY43" s="415" t="s">
        <v>628</v>
      </c>
      <c r="CZ43" s="393"/>
      <c r="DA43" s="393"/>
      <c r="DB43" s="393"/>
      <c r="DC43" s="415" t="s">
        <v>628</v>
      </c>
      <c r="DD43" s="393"/>
      <c r="DE43" s="393"/>
      <c r="DF43" s="393"/>
      <c r="DG43" s="415" t="s">
        <v>628</v>
      </c>
      <c r="DH43" s="393"/>
      <c r="DI43" s="393"/>
      <c r="DJ43" s="393"/>
      <c r="DK43" s="415" t="s">
        <v>628</v>
      </c>
      <c r="DL43" s="393"/>
      <c r="DM43" s="393"/>
      <c r="DN43" s="393"/>
      <c r="DO43" s="415" t="s">
        <v>628</v>
      </c>
      <c r="DP43" s="393"/>
      <c r="DQ43" s="393"/>
      <c r="DR43" s="393"/>
      <c r="DS43" s="415" t="s">
        <v>628</v>
      </c>
      <c r="DT43" s="415">
        <f t="shared" si="15"/>
        <v>4.1627634298412763E-2</v>
      </c>
      <c r="DU43" s="415">
        <f t="shared" si="15"/>
        <v>4.1627635764714704E-2</v>
      </c>
      <c r="DV43" s="415">
        <f t="shared" si="15"/>
        <v>4.1627637231016645E-2</v>
      </c>
      <c r="DW43" s="415">
        <f t="shared" si="16"/>
        <v>4.1627637231016645E-2</v>
      </c>
      <c r="DX43" s="393"/>
      <c r="DY43" s="393"/>
      <c r="DZ43" s="393"/>
      <c r="EA43" s="415" t="s">
        <v>628</v>
      </c>
      <c r="EB43" s="393"/>
      <c r="EC43" s="393"/>
      <c r="ED43" s="393"/>
      <c r="EE43" s="415" t="s">
        <v>628</v>
      </c>
    </row>
    <row r="44" spans="2:135">
      <c r="B44" s="392" t="str">
        <f>Technologies!B6</f>
        <v>R2,R3,R4,R5,R6</v>
      </c>
      <c r="C44" s="392" t="str">
        <f>Technologies!D6</f>
        <v>SEINDNGA</v>
      </c>
      <c r="D44" s="416" t="str">
        <f>Technologies!E6</f>
        <v>Emissions: NGA to IND</v>
      </c>
      <c r="E44" s="393" t="s">
        <v>329</v>
      </c>
      <c r="F44" s="393" t="s">
        <v>33</v>
      </c>
      <c r="G44" s="393" t="s">
        <v>48</v>
      </c>
      <c r="H44" s="393">
        <v>2010</v>
      </c>
      <c r="I44" s="393">
        <v>50</v>
      </c>
      <c r="J44" s="393">
        <v>5.6000000000000001E-2</v>
      </c>
      <c r="K44" s="393">
        <v>8.5303541040031208E-4</v>
      </c>
      <c r="L44" s="393">
        <v>8.5303541040031208E-4</v>
      </c>
      <c r="M44" s="393">
        <v>1.8956356736242881E-4</v>
      </c>
      <c r="N44" s="393">
        <v>3.1593927893738138E-4</v>
      </c>
      <c r="O44" s="393">
        <v>56</v>
      </c>
      <c r="P44" s="393">
        <v>5.8533343793407397E-2</v>
      </c>
      <c r="Q44" s="393">
        <v>5.8533343793407397E-2</v>
      </c>
      <c r="R44" s="393">
        <v>5.8533343793407397E-2</v>
      </c>
      <c r="S44" s="393">
        <v>5.8533343793407397E-2</v>
      </c>
      <c r="T44" s="393">
        <v>2.5069701152660712E-4</v>
      </c>
      <c r="U44" s="393">
        <v>2.5069701152660712E-4</v>
      </c>
      <c r="V44" s="393">
        <v>2.5069701152660712E-4</v>
      </c>
      <c r="W44" s="393">
        <v>2.5069701152660712E-4</v>
      </c>
      <c r="X44" s="393">
        <v>3.1593927893738142E-3</v>
      </c>
      <c r="Y44" s="393">
        <v>3.1593927893738142E-3</v>
      </c>
      <c r="Z44" s="393">
        <v>3.1593927893738142E-3</v>
      </c>
      <c r="AA44" s="393">
        <v>3.1593927893738142E-3</v>
      </c>
      <c r="AB44" s="393">
        <v>3.1593927893738142E-3</v>
      </c>
      <c r="AC44" s="393">
        <v>3.1593927893738142E-3</v>
      </c>
      <c r="AD44" s="393">
        <v>3.1593927893738142E-3</v>
      </c>
      <c r="AE44" s="393">
        <v>3.1593927893738142E-3</v>
      </c>
      <c r="AF44" s="393">
        <v>2.2144902684850289E-3</v>
      </c>
      <c r="AG44" s="393">
        <v>2.2144902684850289E-3</v>
      </c>
      <c r="AH44" s="393">
        <v>2.2144902684850289E-3</v>
      </c>
      <c r="AI44" s="393">
        <v>2.2144902684850289E-3</v>
      </c>
      <c r="AJ44" s="393">
        <v>3.3169829222011393E-2</v>
      </c>
      <c r="AK44" s="393">
        <v>3.3169829222011393E-2</v>
      </c>
      <c r="AL44" s="393">
        <v>3.3169829222011393E-2</v>
      </c>
      <c r="AM44" s="393">
        <v>3.3169829222011393E-2</v>
      </c>
      <c r="AN44" s="393">
        <v>5.8533343793407397E-2</v>
      </c>
      <c r="AO44" s="393">
        <v>5.8533343793407397E-2</v>
      </c>
      <c r="AP44" s="393">
        <v>5.8533343793407397E-2</v>
      </c>
      <c r="AQ44" s="393">
        <v>5.8533343793407397E-2</v>
      </c>
      <c r="AR44" s="393">
        <v>2.5069701152660712E-4</v>
      </c>
      <c r="AS44" s="393">
        <v>2.5069701152660712E-4</v>
      </c>
      <c r="AT44" s="393">
        <v>2.5069701152660712E-4</v>
      </c>
      <c r="AU44" s="393">
        <v>2.5069701152660712E-4</v>
      </c>
      <c r="AV44" s="393">
        <v>3.1593927893738142E-3</v>
      </c>
      <c r="AW44" s="393">
        <v>3.1593927893738142E-3</v>
      </c>
      <c r="AX44" s="393">
        <v>3.1593927893738142E-3</v>
      </c>
      <c r="AY44" s="393">
        <v>3.1593927893738142E-3</v>
      </c>
      <c r="AZ44" s="393"/>
      <c r="BA44" s="393"/>
      <c r="BB44" s="393"/>
      <c r="BC44" s="393" t="s">
        <v>628</v>
      </c>
      <c r="BD44" s="393"/>
      <c r="BE44" s="393"/>
      <c r="BF44" s="393"/>
      <c r="BG44" s="393" t="s">
        <v>628</v>
      </c>
      <c r="BH44" s="393"/>
      <c r="BI44" s="393"/>
      <c r="BJ44" s="393"/>
      <c r="BK44" s="393" t="s">
        <v>628</v>
      </c>
      <c r="BL44" s="393"/>
      <c r="BM44" s="393"/>
      <c r="BN44" s="393"/>
      <c r="BO44" s="393" t="s">
        <v>628</v>
      </c>
      <c r="BP44" s="393"/>
      <c r="BQ44" s="393"/>
      <c r="BR44" s="393"/>
      <c r="BS44" s="393" t="s">
        <v>628</v>
      </c>
      <c r="BT44" s="393"/>
      <c r="BU44" s="393"/>
      <c r="BV44" s="393"/>
      <c r="BW44" s="393" t="s">
        <v>628</v>
      </c>
      <c r="BX44" s="393"/>
      <c r="BY44" s="393"/>
      <c r="BZ44" s="393"/>
      <c r="CA44" s="393" t="s">
        <v>628</v>
      </c>
      <c r="CB44" s="393"/>
      <c r="CC44" s="393"/>
      <c r="CD44" s="393"/>
      <c r="CE44" s="393" t="s">
        <v>628</v>
      </c>
      <c r="CF44" s="393"/>
      <c r="CG44" s="393"/>
      <c r="CH44" s="393"/>
      <c r="CI44" s="393" t="s">
        <v>628</v>
      </c>
      <c r="CJ44" s="393"/>
      <c r="CK44" s="393"/>
      <c r="CL44" s="393"/>
      <c r="CM44" s="393" t="s">
        <v>628</v>
      </c>
      <c r="CN44" s="393"/>
      <c r="CO44" s="393"/>
      <c r="CP44" s="393"/>
      <c r="CQ44" s="393" t="s">
        <v>628</v>
      </c>
      <c r="CR44" s="393"/>
      <c r="CS44" s="393"/>
      <c r="CT44" s="393"/>
      <c r="CU44" s="393" t="s">
        <v>628</v>
      </c>
      <c r="CV44" s="393"/>
      <c r="CW44" s="393"/>
      <c r="CX44" s="393"/>
      <c r="CY44" s="393" t="s">
        <v>628</v>
      </c>
      <c r="CZ44" s="393"/>
      <c r="DA44" s="393"/>
      <c r="DB44" s="393"/>
      <c r="DC44" s="393" t="s">
        <v>628</v>
      </c>
      <c r="DD44" s="393"/>
      <c r="DE44" s="393"/>
      <c r="DF44" s="393"/>
      <c r="DG44" s="393" t="s">
        <v>628</v>
      </c>
      <c r="DH44" s="393"/>
      <c r="DI44" s="393"/>
      <c r="DJ44" s="393"/>
      <c r="DK44" s="393" t="s">
        <v>628</v>
      </c>
      <c r="DL44" s="393"/>
      <c r="DM44" s="393"/>
      <c r="DN44" s="393"/>
      <c r="DO44" s="393" t="s">
        <v>628</v>
      </c>
      <c r="DP44" s="393"/>
      <c r="DQ44" s="393"/>
      <c r="DR44" s="393"/>
      <c r="DS44" s="393" t="s">
        <v>628</v>
      </c>
      <c r="DT44" s="393"/>
      <c r="DU44" s="393"/>
      <c r="DV44" s="393"/>
      <c r="DW44" s="393" t="s">
        <v>628</v>
      </c>
      <c r="DX44" s="393"/>
      <c r="DY44" s="393"/>
      <c r="DZ44" s="393"/>
      <c r="EA44" s="393" t="s">
        <v>628</v>
      </c>
      <c r="EB44" s="393"/>
      <c r="EC44" s="393"/>
      <c r="ED44" s="393"/>
      <c r="EE44" s="393" t="s">
        <v>628</v>
      </c>
    </row>
    <row r="45" spans="2:135">
      <c r="B45" s="417" t="e">
        <f>Technologies!#REF!</f>
        <v>#REF!</v>
      </c>
      <c r="C45" s="417" t="e">
        <f>Technologies!#REF!</f>
        <v>#REF!</v>
      </c>
      <c r="D45" s="418" t="e">
        <f>Technologies!#REF!</f>
        <v>#REF!</v>
      </c>
      <c r="E45" s="419" t="s">
        <v>329</v>
      </c>
      <c r="F45" s="419" t="s">
        <v>481</v>
      </c>
      <c r="G45" s="419" t="s">
        <v>394</v>
      </c>
      <c r="H45" s="419">
        <v>2010</v>
      </c>
      <c r="I45" s="419">
        <v>50</v>
      </c>
      <c r="J45" s="419">
        <v>8.3099999999999993E-2</v>
      </c>
      <c r="K45" s="419">
        <v>2.8400000000000001E-3</v>
      </c>
      <c r="L45" s="419">
        <v>2.8400000000000002E-4</v>
      </c>
      <c r="M45" s="419">
        <v>2.5494307400379501E-2</v>
      </c>
      <c r="N45" s="419">
        <v>6.8834629981024678E-3</v>
      </c>
      <c r="O45" s="419">
        <v>83.1</v>
      </c>
      <c r="P45" s="419">
        <v>0.83858254269449717</v>
      </c>
      <c r="Q45" s="419">
        <v>0.83858254269449717</v>
      </c>
      <c r="R45" s="419">
        <v>0.83858254269449717</v>
      </c>
      <c r="S45" s="419">
        <v>0.83858254269449717</v>
      </c>
      <c r="T45" s="419">
        <v>0.23453782493904479</v>
      </c>
      <c r="U45" s="419">
        <v>0.23453782493904479</v>
      </c>
      <c r="V45" s="419">
        <v>0.23453782493904479</v>
      </c>
      <c r="W45" s="419">
        <v>0.23453782493904479</v>
      </c>
      <c r="X45" s="419">
        <v>8.4981024667931684E-2</v>
      </c>
      <c r="Y45" s="419">
        <v>8.4981024667931684E-2</v>
      </c>
      <c r="Z45" s="419">
        <v>8.4981024667931684E-2</v>
      </c>
      <c r="AA45" s="419">
        <v>8.4981024667931684E-2</v>
      </c>
      <c r="AB45" s="419">
        <v>7.6482922201138531E-2</v>
      </c>
      <c r="AC45" s="419">
        <v>7.6482922201138531E-2</v>
      </c>
      <c r="AD45" s="419">
        <v>7.6482922201138531E-2</v>
      </c>
      <c r="AE45" s="419">
        <v>7.6482922201138531E-2</v>
      </c>
      <c r="AF45" s="419">
        <v>9.3519924098671728E-2</v>
      </c>
      <c r="AG45" s="419">
        <v>9.3519924098671728E-2</v>
      </c>
      <c r="AH45" s="419">
        <v>9.3519924098671728E-2</v>
      </c>
      <c r="AI45" s="419">
        <v>9.3519924098671728E-2</v>
      </c>
      <c r="AJ45" s="419">
        <v>0.34250094876660342</v>
      </c>
      <c r="AK45" s="419">
        <v>0.34250094876660342</v>
      </c>
      <c r="AL45" s="419">
        <v>0.34250094876660342</v>
      </c>
      <c r="AM45" s="419">
        <v>0.34250094876660342</v>
      </c>
      <c r="AN45" s="419">
        <v>0.83858254269449717</v>
      </c>
      <c r="AO45" s="419">
        <v>0.83858254269449717</v>
      </c>
      <c r="AP45" s="419">
        <v>0.83858254269449717</v>
      </c>
      <c r="AQ45" s="419">
        <v>0.83858254269449717</v>
      </c>
      <c r="AR45" s="419">
        <v>0.23453782493904479</v>
      </c>
      <c r="AS45" s="419">
        <v>0.23453782493904479</v>
      </c>
      <c r="AT45" s="419">
        <v>0.23453782493904479</v>
      </c>
      <c r="AU45" s="419">
        <v>0.23453782493904479</v>
      </c>
      <c r="AV45" s="419">
        <v>8.4981024667931684E-2</v>
      </c>
      <c r="AW45" s="419">
        <v>8.4981024667931684E-2</v>
      </c>
      <c r="AX45" s="419">
        <v>8.4981024667931684E-2</v>
      </c>
      <c r="AY45" s="419">
        <v>8.4981024667931684E-2</v>
      </c>
      <c r="AZ45" s="419"/>
      <c r="BA45" s="419"/>
      <c r="BB45" s="419"/>
      <c r="BC45" s="419" t="s">
        <v>628</v>
      </c>
      <c r="BD45" s="419"/>
      <c r="BE45" s="419"/>
      <c r="BF45" s="419"/>
      <c r="BG45" s="419" t="s">
        <v>628</v>
      </c>
      <c r="BH45" s="419"/>
      <c r="BI45" s="419"/>
      <c r="BJ45" s="419"/>
      <c r="BK45" s="419" t="s">
        <v>628</v>
      </c>
      <c r="BL45" s="419"/>
      <c r="BM45" s="419"/>
      <c r="BN45" s="419"/>
      <c r="BO45" s="419" t="s">
        <v>628</v>
      </c>
      <c r="BP45" s="419"/>
      <c r="BQ45" s="419"/>
      <c r="BR45" s="419"/>
      <c r="BS45" s="419" t="s">
        <v>628</v>
      </c>
      <c r="BT45" s="419"/>
      <c r="BU45" s="419"/>
      <c r="BV45" s="419"/>
      <c r="BW45" s="419" t="s">
        <v>628</v>
      </c>
      <c r="BX45" s="419"/>
      <c r="BY45" s="419"/>
      <c r="BZ45" s="419"/>
      <c r="CA45" s="419" t="s">
        <v>628</v>
      </c>
      <c r="CB45" s="419"/>
      <c r="CC45" s="419"/>
      <c r="CD45" s="419"/>
      <c r="CE45" s="419" t="s">
        <v>628</v>
      </c>
      <c r="CF45" s="419"/>
      <c r="CG45" s="419"/>
      <c r="CH45" s="419"/>
      <c r="CI45" s="419" t="s">
        <v>628</v>
      </c>
      <c r="CJ45" s="419"/>
      <c r="CK45" s="419"/>
      <c r="CL45" s="419"/>
      <c r="CM45" s="419" t="s">
        <v>628</v>
      </c>
      <c r="CN45" s="419"/>
      <c r="CO45" s="419"/>
      <c r="CP45" s="419"/>
      <c r="CQ45" s="419" t="s">
        <v>628</v>
      </c>
      <c r="CR45" s="419"/>
      <c r="CS45" s="419"/>
      <c r="CT45" s="419"/>
      <c r="CU45" s="419" t="s">
        <v>628</v>
      </c>
      <c r="CV45" s="419"/>
      <c r="CW45" s="419"/>
      <c r="CX45" s="419"/>
      <c r="CY45" s="419" t="s">
        <v>628</v>
      </c>
      <c r="CZ45" s="419"/>
      <c r="DA45" s="419"/>
      <c r="DB45" s="419"/>
      <c r="DC45" s="419" t="s">
        <v>628</v>
      </c>
      <c r="DD45" s="419"/>
      <c r="DE45" s="419"/>
      <c r="DF45" s="419"/>
      <c r="DG45" s="419" t="s">
        <v>628</v>
      </c>
      <c r="DH45" s="419"/>
      <c r="DI45" s="419"/>
      <c r="DJ45" s="419"/>
      <c r="DK45" s="419" t="s">
        <v>628</v>
      </c>
      <c r="DL45" s="419"/>
      <c r="DM45" s="419"/>
      <c r="DN45" s="419"/>
      <c r="DO45" s="419" t="s">
        <v>628</v>
      </c>
      <c r="DP45" s="419"/>
      <c r="DQ45" s="419"/>
      <c r="DR45" s="419"/>
      <c r="DS45" s="419" t="s">
        <v>628</v>
      </c>
      <c r="DT45" s="419"/>
      <c r="DU45" s="419"/>
      <c r="DV45" s="419"/>
      <c r="DW45" s="419" t="s">
        <v>628</v>
      </c>
      <c r="DX45" s="419"/>
      <c r="DY45" s="419"/>
      <c r="DZ45" s="419"/>
      <c r="EA45" s="419" t="s">
        <v>628</v>
      </c>
      <c r="EB45" s="419"/>
      <c r="EC45" s="419"/>
      <c r="ED45" s="419"/>
      <c r="EE45" s="419" t="s">
        <v>628</v>
      </c>
    </row>
    <row r="46" spans="2:135">
      <c r="B46" s="372" t="s">
        <v>716</v>
      </c>
    </row>
    <row r="47" spans="2:135">
      <c r="B47" s="385" t="s">
        <v>710</v>
      </c>
      <c r="C47" s="423" t="s">
        <v>717</v>
      </c>
    </row>
  </sheetData>
  <dataValidations count="14">
    <dataValidation allowBlank="1" showInputMessage="1" showErrorMessage="1" promptTitle="Size of tables is flexible" prompt="~FI_T tables are built using the row column headers before &amp; below the ~ tag to identify the TechName, TechDesc, Comm-IN, Comm-OUT, and the relevant years of data (Year). Then data column headers are used to provide the data describing the processes." sqref="G3 G9 G26 G40" xr:uid="{2F025620-E240-405F-A1C6-F5B8FBF24270}"/>
    <dataValidation allowBlank="1" showInputMessage="1" showErrorMessage="1" prompt="Process Names" sqref="C4 C10 C27 C41" xr:uid="{CBB62B33-A836-4B98-BA1D-7CAFE9221810}"/>
    <dataValidation allowBlank="1" showInputMessage="1" showErrorMessage="1" prompt="Process Descriptions" sqref="D4 D10 D27 D41" xr:uid="{6B06E3A1-7F76-408E-9613-5A4C0E9A2DB9}"/>
    <dataValidation allowBlank="1" showInputMessage="1" showErrorMessage="1" prompt="Commodity Inputs" sqref="F4 F10 F27 F41" xr:uid="{FB503A8E-85A1-4C64-9AE5-419B2C72EF8B}"/>
    <dataValidation allowBlank="1" showInputMessage="1" showErrorMessage="1" prompt="Commodity Outputs" sqref="G4 G10 G27 G41" xr:uid="{983EAFA0-4A8C-46B8-8392-DAA6DE24FE2E}"/>
    <dataValidation allowBlank="1" showInputMessage="1" showErrorMessage="1" prompt="Region names" sqref="B4 B10 B27 B41" xr:uid="{FD0956A7-D2C9-453B-B793-73211C446352}"/>
    <dataValidation allowBlank="1" showInputMessage="1" showErrorMessage="1" prompt="technical lifetime_x000a__x000a_by default, technical lifetime is also used as the economic lifetime, unless ELIFE is defined" sqref="I10" xr:uid="{CD15CD21-DFCC-4548-9BEC-49987ECF836A}"/>
    <dataValidation allowBlank="1" showInputMessage="1" showErrorMessage="1" prompt="efficiency" sqref="K4 K27" xr:uid="{B6EA3E93-4987-40A9-ADE4-F736E94B9BDA}"/>
    <dataValidation allowBlank="1" showInputMessage="1" showErrorMessage="1" promptTitle="investment cost" sqref="L10" xr:uid="{D2066E1A-8280-49BC-80E0-7C5C189B09FC}"/>
    <dataValidation allowBlank="1" showInputMessage="1" showErrorMessage="1" promptTitle="fixed o&amp;m cost" sqref="M10" xr:uid="{B13CCD58-D233-4C10-90E4-72151D535431}"/>
    <dataValidation allowBlank="1" showInputMessage="1" showErrorMessage="1" prompt="maximum share - only applicable if multiple commodities come from the same process?" sqref="J27" xr:uid="{233F655A-BED4-435A-BA73-010830FE2008}"/>
    <dataValidation allowBlank="1" showInputMessage="1" showErrorMessage="1" prompt="annual cost per unit of energy" sqref="N27" xr:uid="{D7020853-2AE5-41F3-90B0-B51036E94C54}"/>
    <dataValidation allowBlank="1" showInputMessage="1" showErrorMessage="1" prompt="capacity to activity factor (PRC_CAPACT equivalent to CAP2ACT)_x000a__x000a_capacity unit per activity unit" sqref="I4 J10" xr:uid="{2EC501B5-C97F-4E04-90B6-C0234D958456}"/>
    <dataValidation allowBlank="1" showInputMessage="1" showErrorMessage="1" prompt="availabiliy/utilization factor" sqref="J4" xr:uid="{BC1168FF-8B44-4CED-84F0-6434B9845039}"/>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495CF-4739-41BB-AFC4-63AF8A598527}">
  <sheetPr>
    <tabColor rgb="FF6CC9D6"/>
  </sheetPr>
  <dimension ref="B1:R54"/>
  <sheetViews>
    <sheetView showGridLines="0" topLeftCell="A7" workbookViewId="0">
      <selection activeCell="D34" sqref="D34"/>
    </sheetView>
  </sheetViews>
  <sheetFormatPr defaultRowHeight="13.9"/>
  <cols>
    <col min="1" max="1" width="3.625" customWidth="1"/>
    <col min="2" max="2" width="22.375" customWidth="1"/>
    <col min="3" max="4" width="16.5" bestFit="1" customWidth="1"/>
    <col min="5" max="5" width="8.75" bestFit="1" customWidth="1"/>
    <col min="6" max="6" width="16.5" bestFit="1" customWidth="1"/>
    <col min="7" max="7" width="13.5" bestFit="1" customWidth="1"/>
    <col min="8" max="8" width="11.375" bestFit="1" customWidth="1"/>
    <col min="9" max="9" width="14.625" bestFit="1" customWidth="1"/>
    <col min="10" max="10" width="16.25" bestFit="1" customWidth="1"/>
    <col min="11" max="11" width="17.875" bestFit="1" customWidth="1"/>
  </cols>
  <sheetData>
    <row r="1" spans="2:18">
      <c r="D1" s="1248"/>
      <c r="E1" s="1248"/>
    </row>
    <row r="2" spans="2:18">
      <c r="D2" s="1248"/>
      <c r="E2" s="1248"/>
      <c r="F2" s="1248"/>
      <c r="G2" s="1248"/>
      <c r="H2" s="1248"/>
    </row>
    <row r="3" spans="2:18">
      <c r="B3" s="1163" t="s">
        <v>718</v>
      </c>
      <c r="D3" s="1248"/>
      <c r="E3" s="1248"/>
      <c r="M3" s="1163" t="s">
        <v>719</v>
      </c>
    </row>
    <row r="4" spans="2:18">
      <c r="B4" s="1163" t="s">
        <v>720</v>
      </c>
      <c r="M4" s="1163" t="s">
        <v>721</v>
      </c>
    </row>
    <row r="5" spans="2:18">
      <c r="B5" s="827" t="s">
        <v>722</v>
      </c>
      <c r="C5" s="827" t="s">
        <v>723</v>
      </c>
      <c r="D5" s="828" t="s">
        <v>260</v>
      </c>
      <c r="E5" s="828" t="s">
        <v>264</v>
      </c>
      <c r="F5" s="828" t="s">
        <v>262</v>
      </c>
      <c r="G5" s="828" t="s">
        <v>269</v>
      </c>
      <c r="H5" s="828" t="s">
        <v>266</v>
      </c>
      <c r="I5" s="828" t="s">
        <v>275</v>
      </c>
      <c r="J5" s="828" t="s">
        <v>280</v>
      </c>
      <c r="K5" s="828" t="s">
        <v>286</v>
      </c>
      <c r="M5" s="1237" t="s">
        <v>722</v>
      </c>
      <c r="N5" s="1237" t="s">
        <v>13</v>
      </c>
      <c r="O5" s="1237" t="s">
        <v>18</v>
      </c>
      <c r="P5" s="1237" t="s">
        <v>16</v>
      </c>
      <c r="Q5" s="1237" t="s">
        <v>20</v>
      </c>
      <c r="R5" s="1237" t="s">
        <v>295</v>
      </c>
    </row>
    <row r="6" spans="2:18">
      <c r="B6" s="829" t="s">
        <v>32</v>
      </c>
      <c r="C6" s="829">
        <v>2010</v>
      </c>
      <c r="D6" s="832" cm="1">
        <f t="array" aca="1" ref="D6" ca="1">_xlfn.XLOOKUP(DemandPJ_historic[[#This Row],[Fuel]],FUEL_PCT_DETAIL[Fuel],_xlfn.XLOOKUP(DemandPJ_historic[[#Headers],[Space Heating]],FUEL_PCT_DETAIL[#Headers],FUEL_PCT_DETAIL[])) *
SUMIFS(FuelBySector[Ind_Consumed (PJ)],FuelBySector[Fuel Match],DemandPJ_historic[[#This Row],[Fuel]],FuelBySector[Year Match],DemandPJ_historic[[#This Row],[Year]])</f>
        <v>1.3618234015738966</v>
      </c>
      <c r="E6" s="832" cm="1">
        <f t="array" aca="1" ref="E6" ca="1">_xlfn.XLOOKUP(DemandPJ_historic[[#This Row],[Fuel]],FUEL_PCT_DETAIL[Fuel],_xlfn.XLOOKUP(DemandPJ_historic[[#Headers],[DHW]],FUEL_PCT_DETAIL[#Headers],FUEL_PCT_DETAIL[])) *
SUMIFS(FuelBySector[Ind_Consumed (PJ)],FuelBySector[Fuel Match],DemandPJ_historic[[#This Row],[Fuel]],FuelBySector[Year Match],DemandPJ_historic[[#This Row],[Year]])</f>
        <v>0.59920102920187346</v>
      </c>
      <c r="F6" s="832" cm="1">
        <f t="array" aca="1" ref="F6" ca="1">_xlfn.XLOOKUP(DemandPJ_historic[[#This Row],[Fuel]],FUEL_PCT_DETAIL[Fuel],_xlfn.XLOOKUP(DemandPJ_historic[[#Headers],[Space Cooling]],FUEL_PCT_DETAIL[#Headers],FUEL_PCT_DETAIL[])) *
SUMIFS(FuelBySector[Ind_Consumed (PJ)],FuelBySector[Fuel Match],DemandPJ_historic[[#This Row],[Fuel]],FuelBySector[Year Match],DemandPJ_historic[[#This Row],[Year]])</f>
        <v>4.1278244393090384</v>
      </c>
      <c r="G6" s="832" cm="1">
        <f t="array" aca="1" ref="G6" ca="1">_xlfn.XLOOKUP(DemandPJ_historic[[#This Row],[Fuel]],FUEL_PCT_DETAIL[Fuel],_xlfn.XLOOKUP(DemandPJ_historic[[#Headers],[Ventilation]],FUEL_PCT_DETAIL[#Headers],FUEL_PCT_DETAIL[])) *
SUMIFS(FuelBySector[Ind_Consumed (PJ)],FuelBySector[Fuel Match],DemandPJ_historic[[#This Row],[Fuel]],FuelBySector[Year Match],DemandPJ_historic[[#This Row],[Year]])</f>
        <v>2.7340275689041817</v>
      </c>
      <c r="H6" s="832" cm="1">
        <f t="array" aca="1" ref="H6" ca="1">_xlfn.XLOOKUP(DemandPJ_historic[[#This Row],[Fuel]],FUEL_PCT_DETAIL[Fuel],_xlfn.XLOOKUP(DemandPJ_historic[[#Headers],[Lighting]],FUEL_PCT_DETAIL[#Headers],FUEL_PCT_DETAIL[])) *
SUMIFS(FuelBySector[Ind_Consumed (PJ)],FuelBySector[Fuel Match],DemandPJ_historic[[#This Row],[Fuel]],FuelBySector[Year Match],DemandPJ_historic[[#This Row],[Year]])</f>
        <v>12.885766129640716</v>
      </c>
      <c r="I6" s="832" cm="1">
        <f t="array" aca="1" ref="I6" ca="1">_xlfn.XLOOKUP(DemandPJ_historic[[#This Row],[Fuel]],FUEL_PCT_DETAIL[Fuel],_xlfn.XLOOKUP(DemandPJ_historic[[#Headers],[Conveyance]],FUEL_PCT_DETAIL[#Headers],FUEL_PCT_DETAIL[])) *
SUMIFS(FuelBySector[Ind_Consumed (PJ)],FuelBySector[Fuel Match],DemandPJ_historic[[#This Row],[Fuel]],FuelBySector[Year Match],DemandPJ_historic[[#This Row],[Year]])</f>
        <v>1.9439479088621201</v>
      </c>
      <c r="J6" s="832" cm="1">
        <f t="array" aca="1" ref="J6" ca="1">_xlfn.XLOOKUP(DemandPJ_historic[[#This Row],[Fuel]],FUEL_PCT_DETAIL[Fuel],_xlfn.XLOOKUP(DemandPJ_historic[[#Headers],[Process Loads]],FUEL_PCT_DETAIL[#Headers],FUEL_PCT_DETAIL[])) *
SUMIFS(FuelBySector[Ind_Consumed (PJ)],FuelBySector[Fuel Match],DemandPJ_historic[[#This Row],[Fuel]],FuelBySector[Year Match],DemandPJ_historic[[#This Row],[Year]])</f>
        <v>4.2665898545096885</v>
      </c>
      <c r="K6" s="832" cm="1">
        <f t="array" aca="1" ref="K6" ca="1">_xlfn.XLOOKUP(DemandPJ_historic[[#This Row],[Fuel]],FUEL_PCT_DETAIL[Fuel],_xlfn.XLOOKUP(DemandPJ_historic[[#Headers],[Plug Loads/Misc]],FUEL_PCT_DETAIL[#Headers],FUEL_PCT_DETAIL[])) *
SUMIFS(FuelBySector[Ind_Consumed (PJ)],FuelBySector[Fuel Match],DemandPJ_historic[[#This Row],[Fuel]],FuelBySector[Year Match],DemandPJ_historic[[#This Row],[Year]])</f>
        <v>4.0242873763583464</v>
      </c>
      <c r="M6" s="1238" t="s">
        <v>32</v>
      </c>
      <c r="N6" s="1239">
        <f ca="1">DemandPJ_historic[[#This Row],[Space Heating]]/SUM(D$6:D$9)</f>
        <v>4.5266562745337871E-2</v>
      </c>
      <c r="O6" s="1239">
        <f ca="1">DemandPJ_historic[[#This Row],[DHW]]/SUM(E$6:E$9)</f>
        <v>0.21268895440005731</v>
      </c>
      <c r="P6" s="1239">
        <f ca="1">DemandPJ_historic[[#This Row],[Space Cooling]]/SUM(F$6:F$9)</f>
        <v>1</v>
      </c>
      <c r="Q6" s="1239">
        <f ca="1">DemandPJ_historic[[#This Row],[Lighting]]/SUM(H$6:H$9)</f>
        <v>1</v>
      </c>
      <c r="R6" s="1239">
        <f ca="1">SUM(G6,I6,J6,K6)/SUM(G$6:G$9,I$6:I$9,J$6:J$9,K$6:K$9)</f>
        <v>0.96693530710646003</v>
      </c>
    </row>
    <row r="7" spans="2:18">
      <c r="B7" s="829" t="s">
        <v>651</v>
      </c>
      <c r="C7" s="829">
        <v>2010</v>
      </c>
      <c r="D7" s="832" cm="1">
        <f t="array" aca="1" ref="D7" ca="1">_xlfn.XLOOKUP(DemandPJ_historic[[#This Row],[Fuel]],FUEL_PCT_DETAIL[Fuel],_xlfn.XLOOKUP(DemandPJ_historic[[#Headers],[Space Heating]],FUEL_PCT_DETAIL[#Headers],FUEL_PCT_DETAIL[])) *
SUMIFS(FuelBySector[Ind_Consumed (PJ)],FuelBySector[Fuel Match],DemandPJ_historic[[#This Row],[Fuel]],FuelBySector[Year Match],DemandPJ_historic[[#This Row],[Year]])</f>
        <v>21.733199542980273</v>
      </c>
      <c r="E7" s="832" cm="1">
        <f t="array" aca="1" ref="E7" ca="1">_xlfn.XLOOKUP(DemandPJ_historic[[#This Row],[Fuel]],FUEL_PCT_DETAIL[Fuel],_xlfn.XLOOKUP(DemandPJ_historic[[#Headers],[DHW]],FUEL_PCT_DETAIL[#Headers],FUEL_PCT_DETAIL[])) *
SUMIFS(FuelBySector[Ind_Consumed (PJ)],FuelBySector[Fuel Match],DemandPJ_historic[[#This Row],[Fuel]],FuelBySector[Year Match],DemandPJ_historic[[#This Row],[Year]])</f>
        <v>0.72005593357954278</v>
      </c>
      <c r="F7" s="832" cm="1">
        <f t="array" aca="1" ref="F7" ca="1">_xlfn.XLOOKUP(DemandPJ_historic[[#This Row],[Fuel]],FUEL_PCT_DETAIL[Fuel],_xlfn.XLOOKUP(DemandPJ_historic[[#Headers],[Space Cooling]],FUEL_PCT_DETAIL[#Headers],FUEL_PCT_DETAIL[])) *
SUMIFS(FuelBySector[Ind_Consumed (PJ)],FuelBySector[Fuel Match],DemandPJ_historic[[#This Row],[Fuel]],FuelBySector[Year Match],DemandPJ_historic[[#This Row],[Year]])</f>
        <v>0</v>
      </c>
      <c r="G7" s="832" cm="1">
        <f t="array" aca="1" ref="G7" ca="1">_xlfn.XLOOKUP(DemandPJ_historic[[#This Row],[Fuel]],FUEL_PCT_DETAIL[Fuel],_xlfn.XLOOKUP(DemandPJ_historic[[#Headers],[Ventilation]],FUEL_PCT_DETAIL[#Headers],FUEL_PCT_DETAIL[])) *
SUMIFS(FuelBySector[Ind_Consumed (PJ)],FuelBySector[Fuel Match],DemandPJ_historic[[#This Row],[Fuel]],FuelBySector[Year Match],DemandPJ_historic[[#This Row],[Year]])</f>
        <v>0</v>
      </c>
      <c r="H7" s="832" cm="1">
        <f t="array" aca="1" ref="H7" ca="1">_xlfn.XLOOKUP(DemandPJ_historic[[#This Row],[Fuel]],FUEL_PCT_DETAIL[Fuel],_xlfn.XLOOKUP(DemandPJ_historic[[#Headers],[Lighting]],FUEL_PCT_DETAIL[#Headers],FUEL_PCT_DETAIL[])) *
SUMIFS(FuelBySector[Ind_Consumed (PJ)],FuelBySector[Fuel Match],DemandPJ_historic[[#This Row],[Fuel]],FuelBySector[Year Match],DemandPJ_historic[[#This Row],[Year]])</f>
        <v>0</v>
      </c>
      <c r="I7" s="832" cm="1">
        <f t="array" aca="1" ref="I7" ca="1">_xlfn.XLOOKUP(DemandPJ_historic[[#This Row],[Fuel]],FUEL_PCT_DETAIL[Fuel],_xlfn.XLOOKUP(DemandPJ_historic[[#Headers],[Conveyance]],FUEL_PCT_DETAIL[#Headers],FUEL_PCT_DETAIL[])) *
SUMIFS(FuelBySector[Ind_Consumed (PJ)],FuelBySector[Fuel Match],DemandPJ_historic[[#This Row],[Fuel]],FuelBySector[Year Match],DemandPJ_historic[[#This Row],[Year]])</f>
        <v>0</v>
      </c>
      <c r="J7" s="832" cm="1">
        <f t="array" aca="1" ref="J7" ca="1">_xlfn.XLOOKUP(DemandPJ_historic[[#This Row],[Fuel]],FUEL_PCT_DETAIL[Fuel],_xlfn.XLOOKUP(DemandPJ_historic[[#Headers],[Process Loads]],FUEL_PCT_DETAIL[#Headers],FUEL_PCT_DETAIL[])) *
SUMIFS(FuelBySector[Ind_Consumed (PJ)],FuelBySector[Fuel Match],DemandPJ_historic[[#This Row],[Fuel]],FuelBySector[Year Match],DemandPJ_historic[[#This Row],[Year]])</f>
        <v>0.26665529238173269</v>
      </c>
      <c r="K7" s="832" cm="1">
        <f t="array" aca="1" ref="K7" ca="1">_xlfn.XLOOKUP(DemandPJ_historic[[#This Row],[Fuel]],FUEL_PCT_DETAIL[Fuel],_xlfn.XLOOKUP(DemandPJ_historic[[#Headers],[Plug Loads/Misc]],FUEL_PCT_DETAIL[#Headers],FUEL_PCT_DETAIL[])) *
SUMIFS(FuelBySector[Ind_Consumed (PJ)],FuelBySector[Fuel Match],DemandPJ_historic[[#This Row],[Fuel]],FuelBySector[Year Match],DemandPJ_historic[[#This Row],[Year]])</f>
        <v>7.5883413805128447E-2</v>
      </c>
      <c r="M7" s="1238" t="s">
        <v>651</v>
      </c>
      <c r="N7" s="1239">
        <f ca="1">DemandPJ_historic[[#This Row],[Space Heating]]/SUM(D$6:D$9)</f>
        <v>0.72240441721905713</v>
      </c>
      <c r="O7" s="1239">
        <f ca="1">DemandPJ_historic[[#This Row],[DHW]]/SUM(E$6:E$9)</f>
        <v>0.25558691684255075</v>
      </c>
      <c r="P7" s="1239">
        <f ca="1">DemandPJ_historic[[#This Row],[Space Cooling]]/SUM(F$6:F$9)</f>
        <v>0</v>
      </c>
      <c r="Q7" s="1239">
        <f ca="1">DemandPJ_historic[[#This Row],[Lighting]]/SUM(H$6:H$9)</f>
        <v>0</v>
      </c>
      <c r="R7" s="1239">
        <f t="shared" ref="R7:R9" ca="1" si="0">SUM(G7,I7,J7,K7)/SUM(G$6:G$9,I$6:I$9,J$6:J$9,K$6:K$9)</f>
        <v>2.5539095593408109E-2</v>
      </c>
    </row>
    <row r="8" spans="2:18">
      <c r="B8" s="829" t="s">
        <v>652</v>
      </c>
      <c r="C8" s="829">
        <v>2010</v>
      </c>
      <c r="D8" s="832" cm="1">
        <f t="array" aca="1" ref="D8" ca="1">_xlfn.XLOOKUP(DemandPJ_historic[[#This Row],[Fuel]],FUEL_PCT_DETAIL[Fuel],_xlfn.XLOOKUP(DemandPJ_historic[[#Headers],[Space Heating]],FUEL_PCT_DETAIL[#Headers],FUEL_PCT_DETAIL[])) *
SUMIFS(FuelBySector[Ind_Consumed (PJ)],FuelBySector[Fuel Match],DemandPJ_historic[[#This Row],[Fuel]],FuelBySector[Year Match],DemandPJ_historic[[#This Row],[Year]])</f>
        <v>3.1074194112381677</v>
      </c>
      <c r="E8" s="832" cm="1">
        <f t="array" aca="1" ref="E8" ca="1">_xlfn.XLOOKUP(DemandPJ_historic[[#This Row],[Fuel]],FUEL_PCT_DETAIL[Fuel],_xlfn.XLOOKUP(DemandPJ_historic[[#Headers],[DHW]],FUEL_PCT_DETAIL[#Headers],FUEL_PCT_DETAIL[])) *
SUMIFS(FuelBySector[Ind_Consumed (PJ)],FuelBySector[Fuel Match],DemandPJ_historic[[#This Row],[Fuel]],FuelBySector[Year Match],DemandPJ_historic[[#This Row],[Year]])</f>
        <v>0.3269854451255334</v>
      </c>
      <c r="F8" s="832" cm="1">
        <f t="array" aca="1" ref="F8" ca="1">_xlfn.XLOOKUP(DemandPJ_historic[[#This Row],[Fuel]],FUEL_PCT_DETAIL[Fuel],_xlfn.XLOOKUP(DemandPJ_historic[[#Headers],[Space Cooling]],FUEL_PCT_DETAIL[#Headers],FUEL_PCT_DETAIL[])) *
SUMIFS(FuelBySector[Ind_Consumed (PJ)],FuelBySector[Fuel Match],DemandPJ_historic[[#This Row],[Fuel]],FuelBySector[Year Match],DemandPJ_historic[[#This Row],[Year]])</f>
        <v>0</v>
      </c>
      <c r="G8" s="832" cm="1">
        <f t="array" aca="1" ref="G8" ca="1">_xlfn.XLOOKUP(DemandPJ_historic[[#This Row],[Fuel]],FUEL_PCT_DETAIL[Fuel],_xlfn.XLOOKUP(DemandPJ_historic[[#Headers],[Ventilation]],FUEL_PCT_DETAIL[#Headers],FUEL_PCT_DETAIL[])) *
SUMIFS(FuelBySector[Ind_Consumed (PJ)],FuelBySector[Fuel Match],DemandPJ_historic[[#This Row],[Fuel]],FuelBySector[Year Match],DemandPJ_historic[[#This Row],[Year]])</f>
        <v>0</v>
      </c>
      <c r="H8" s="832" cm="1">
        <f t="array" aca="1" ref="H8" ca="1">_xlfn.XLOOKUP(DemandPJ_historic[[#This Row],[Fuel]],FUEL_PCT_DETAIL[Fuel],_xlfn.XLOOKUP(DemandPJ_historic[[#Headers],[Lighting]],FUEL_PCT_DETAIL[#Headers],FUEL_PCT_DETAIL[])) *
SUMIFS(FuelBySector[Ind_Consumed (PJ)],FuelBySector[Fuel Match],DemandPJ_historic[[#This Row],[Fuel]],FuelBySector[Year Match],DemandPJ_historic[[#This Row],[Year]])</f>
        <v>0</v>
      </c>
      <c r="I8" s="832" cm="1">
        <f t="array" aca="1" ref="I8" ca="1">_xlfn.XLOOKUP(DemandPJ_historic[[#This Row],[Fuel]],FUEL_PCT_DETAIL[Fuel],_xlfn.XLOOKUP(DemandPJ_historic[[#Headers],[Conveyance]],FUEL_PCT_DETAIL[#Headers],FUEL_PCT_DETAIL[])) *
SUMIFS(FuelBySector[Ind_Consumed (PJ)],FuelBySector[Fuel Match],DemandPJ_historic[[#This Row],[Fuel]],FuelBySector[Year Match],DemandPJ_historic[[#This Row],[Year]])</f>
        <v>0</v>
      </c>
      <c r="J8" s="832" cm="1">
        <f t="array" aca="1" ref="J8" ca="1">_xlfn.XLOOKUP(DemandPJ_historic[[#This Row],[Fuel]],FUEL_PCT_DETAIL[Fuel],_xlfn.XLOOKUP(DemandPJ_historic[[#Headers],[Process Loads]],FUEL_PCT_DETAIL[#Headers],FUEL_PCT_DETAIL[])) *
SUMIFS(FuelBySector[Ind_Consumed (PJ)],FuelBySector[Fuel Match],DemandPJ_historic[[#This Row],[Fuel]],FuelBySector[Year Match],DemandPJ_historic[[#This Row],[Year]])</f>
        <v>0.10091460772690138</v>
      </c>
      <c r="K8" s="832" cm="1">
        <f t="array" aca="1" ref="K8" ca="1">_xlfn.XLOOKUP(DemandPJ_historic[[#This Row],[Fuel]],FUEL_PCT_DETAIL[Fuel],_xlfn.XLOOKUP(DemandPJ_historic[[#Headers],[Plug Loads/Misc]],FUEL_PCT_DETAIL[#Headers],FUEL_PCT_DETAIL[])) *
SUMIFS(FuelBySector[Ind_Consumed (PJ)],FuelBySector[Fuel Match],DemandPJ_historic[[#This Row],[Fuel]],FuelBySector[Year Match],DemandPJ_historic[[#This Row],[Year]])</f>
        <v>0</v>
      </c>
      <c r="M8" s="1238" t="s">
        <v>652</v>
      </c>
      <c r="N8" s="1239">
        <f ca="1">DemandPJ_historic[[#This Row],[Space Heating]]/SUM(D$6:D$9)</f>
        <v>0.10328960098080722</v>
      </c>
      <c r="O8" s="1239">
        <f ca="1">DemandPJ_historic[[#This Row],[DHW]]/SUM(E$6:E$9)</f>
        <v>0.11606487478905281</v>
      </c>
      <c r="P8" s="1239">
        <f ca="1">DemandPJ_historic[[#This Row],[Space Cooling]]/SUM(F$6:F$9)</f>
        <v>0</v>
      </c>
      <c r="Q8" s="1239">
        <f ca="1">DemandPJ_historic[[#This Row],[Lighting]]/SUM(H$6:H$9)</f>
        <v>0</v>
      </c>
      <c r="R8" s="1239">
        <f t="shared" ca="1" si="0"/>
        <v>7.5240192333261994E-3</v>
      </c>
    </row>
    <row r="9" spans="2:18">
      <c r="B9" s="829" t="s">
        <v>638</v>
      </c>
      <c r="C9" s="829">
        <v>2010</v>
      </c>
      <c r="D9" s="832" cm="1">
        <f t="array" aca="1" ref="D9" ca="1">_xlfn.XLOOKUP(DemandPJ_historic[[#This Row],[Fuel]],FUEL_PCT_DETAIL[Fuel],_xlfn.XLOOKUP(DemandPJ_historic[[#Headers],[Space Heating]],FUEL_PCT_DETAIL[#Headers],FUEL_PCT_DETAIL[])) *
SUMIFS(FuelBySector[Ind_Consumed (PJ)],FuelBySector[Fuel Match],DemandPJ_historic[[#This Row],[Fuel]],FuelBySector[Year Match],DemandPJ_historic[[#This Row],[Year]])</f>
        <v>3.8820906633213017</v>
      </c>
      <c r="E9" s="832" cm="1">
        <f t="array" aca="1" ref="E9" ca="1">_xlfn.XLOOKUP(DemandPJ_historic[[#This Row],[Fuel]],FUEL_PCT_DETAIL[Fuel],_xlfn.XLOOKUP(DemandPJ_historic[[#Headers],[DHW]],FUEL_PCT_DETAIL[#Headers],FUEL_PCT_DETAIL[])) *
SUMIFS(FuelBySector[Ind_Consumed (PJ)],FuelBySector[Fuel Match],DemandPJ_historic[[#This Row],[Fuel]],FuelBySector[Year Match],DemandPJ_historic[[#This Row],[Year]])</f>
        <v>1.1710220376871845</v>
      </c>
      <c r="F9" s="832" cm="1">
        <f t="array" aca="1" ref="F9" ca="1">_xlfn.XLOOKUP(DemandPJ_historic[[#This Row],[Fuel]],FUEL_PCT_DETAIL[Fuel],_xlfn.XLOOKUP(DemandPJ_historic[[#Headers],[Space Cooling]],FUEL_PCT_DETAIL[#Headers],FUEL_PCT_DETAIL[])) *
SUMIFS(FuelBySector[Ind_Consumed (PJ)],FuelBySector[Fuel Match],DemandPJ_historic[[#This Row],[Fuel]],FuelBySector[Year Match],DemandPJ_historic[[#This Row],[Year]])</f>
        <v>0</v>
      </c>
      <c r="G9" s="832" cm="1">
        <f t="array" aca="1" ref="G9" ca="1">_xlfn.XLOOKUP(DemandPJ_historic[[#This Row],[Fuel]],FUEL_PCT_DETAIL[Fuel],_xlfn.XLOOKUP(DemandPJ_historic[[#Headers],[Ventilation]],FUEL_PCT_DETAIL[#Headers],FUEL_PCT_DETAIL[])) *
SUMIFS(FuelBySector[Ind_Consumed (PJ)],FuelBySector[Fuel Match],DemandPJ_historic[[#This Row],[Fuel]],FuelBySector[Year Match],DemandPJ_historic[[#This Row],[Year]])</f>
        <v>0</v>
      </c>
      <c r="H9" s="832" cm="1">
        <f t="array" aca="1" ref="H9" ca="1">_xlfn.XLOOKUP(DemandPJ_historic[[#This Row],[Fuel]],FUEL_PCT_DETAIL[Fuel],_xlfn.XLOOKUP(DemandPJ_historic[[#Headers],[Lighting]],FUEL_PCT_DETAIL[#Headers],FUEL_PCT_DETAIL[])) *
SUMIFS(FuelBySector[Ind_Consumed (PJ)],FuelBySector[Fuel Match],DemandPJ_historic[[#This Row],[Fuel]],FuelBySector[Year Match],DemandPJ_historic[[#This Row],[Year]])</f>
        <v>0</v>
      </c>
      <c r="I9" s="832" cm="1">
        <f t="array" aca="1" ref="I9" ca="1">_xlfn.XLOOKUP(DemandPJ_historic[[#This Row],[Fuel]],FUEL_PCT_DETAIL[Fuel],_xlfn.XLOOKUP(DemandPJ_historic[[#Headers],[Conveyance]],FUEL_PCT_DETAIL[#Headers],FUEL_PCT_DETAIL[])) *
SUMIFS(FuelBySector[Ind_Consumed (PJ)],FuelBySector[Fuel Match],DemandPJ_historic[[#This Row],[Fuel]],FuelBySector[Year Match],DemandPJ_historic[[#This Row],[Year]])</f>
        <v>0</v>
      </c>
      <c r="J9" s="832" cm="1">
        <f t="array" aca="1" ref="J9" ca="1">_xlfn.XLOOKUP(DemandPJ_historic[[#This Row],[Fuel]],FUEL_PCT_DETAIL[Fuel],_xlfn.XLOOKUP(DemandPJ_historic[[#Headers],[Process Loads]],FUEL_PCT_DETAIL[#Headers],FUEL_PCT_DETAIL[])) *
SUMIFS(FuelBySector[Ind_Consumed (PJ)],FuelBySector[Fuel Match],DemandPJ_historic[[#This Row],[Fuel]],FuelBySector[Year Match],DemandPJ_historic[[#This Row],[Year]])</f>
        <v>0</v>
      </c>
      <c r="K9" s="832" cm="1">
        <f t="array" aca="1" ref="K9" ca="1">_xlfn.XLOOKUP(DemandPJ_historic[[#This Row],[Fuel]],FUEL_PCT_DETAIL[Fuel],_xlfn.XLOOKUP(DemandPJ_historic[[#Headers],[Plug Loads/Misc]],FUEL_PCT_DETAIL[#Headers],FUEL_PCT_DETAIL[])) *
SUMIFS(FuelBySector[Ind_Consumed (PJ)],FuelBySector[Fuel Match],DemandPJ_historic[[#This Row],[Fuel]],FuelBySector[Year Match],DemandPJ_historic[[#This Row],[Year]])</f>
        <v>2.1165548322701881E-5</v>
      </c>
      <c r="M9" s="1238" t="s">
        <v>638</v>
      </c>
      <c r="N9" s="1239">
        <f ca="1">DemandPJ_historic[[#This Row],[Space Heating]]/SUM(D$6:D$9)</f>
        <v>0.12903941905479763</v>
      </c>
      <c r="O9" s="1239">
        <f ca="1">DemandPJ_historic[[#This Row],[DHW]]/SUM(E$6:E$9)</f>
        <v>0.41565925396833925</v>
      </c>
      <c r="P9" s="1239">
        <f ca="1">DemandPJ_historic[[#This Row],[Space Cooling]]/SUM(F$6:F$9)</f>
        <v>0</v>
      </c>
      <c r="Q9" s="1239">
        <f ca="1">DemandPJ_historic[[#This Row],[Lighting]]/SUM(H$6:H$9)</f>
        <v>0</v>
      </c>
      <c r="R9" s="1239">
        <f t="shared" ca="1" si="0"/>
        <v>1.5780668056984565E-6</v>
      </c>
    </row>
    <row r="10" spans="2:18">
      <c r="B10" s="829" t="s">
        <v>32</v>
      </c>
      <c r="C10" s="829">
        <v>2015</v>
      </c>
      <c r="D10" s="832" cm="1">
        <f t="array" aca="1" ref="D10" ca="1">_xlfn.XLOOKUP(DemandPJ_historic[[#This Row],[Fuel]],FUEL_PCT_DETAIL[Fuel],_xlfn.XLOOKUP(DemandPJ_historic[[#Headers],[Space Heating]],FUEL_PCT_DETAIL[#Headers],FUEL_PCT_DETAIL[])) *
SUMIFS(FuelBySector[Ind_Consumed (PJ)],FuelBySector[Fuel Match],DemandPJ_historic[[#This Row],[Fuel]],FuelBySector[Year Match],DemandPJ_historic[[#This Row],[Year]])</f>
        <v>1.3851145978978965</v>
      </c>
      <c r="E10" s="832" cm="1">
        <f t="array" aca="1" ref="E10" ca="1">_xlfn.XLOOKUP(DemandPJ_historic[[#This Row],[Fuel]],FUEL_PCT_DETAIL[Fuel],_xlfn.XLOOKUP(DemandPJ_historic[[#Headers],[DHW]],FUEL_PCT_DETAIL[#Headers],FUEL_PCT_DETAIL[])) *
SUMIFS(FuelBySector[Ind_Consumed (PJ)],FuelBySector[Fuel Match],DemandPJ_historic[[#This Row],[Fuel]],FuelBySector[Year Match],DemandPJ_historic[[#This Row],[Year]])</f>
        <v>0.60944913390660549</v>
      </c>
      <c r="F10" s="832" cm="1">
        <f t="array" aca="1" ref="F10" ca="1">_xlfn.XLOOKUP(DemandPJ_historic[[#This Row],[Fuel]],FUEL_PCT_DETAIL[Fuel],_xlfn.XLOOKUP(DemandPJ_historic[[#Headers],[Space Cooling]],FUEL_PCT_DETAIL[#Headers],FUEL_PCT_DETAIL[])) *
SUMIFS(FuelBySector[Ind_Consumed (PJ)],FuelBySector[Fuel Match],DemandPJ_historic[[#This Row],[Fuel]],FuelBySector[Year Match],DemandPJ_historic[[#This Row],[Year]])</f>
        <v>4.1984224105994699</v>
      </c>
      <c r="G10" s="832" cm="1">
        <f t="array" aca="1" ref="G10" ca="1">_xlfn.XLOOKUP(DemandPJ_historic[[#This Row],[Fuel]],FUEL_PCT_DETAIL[Fuel],_xlfn.XLOOKUP(DemandPJ_historic[[#Headers],[Ventilation]],FUEL_PCT_DETAIL[#Headers],FUEL_PCT_DETAIL[])) *
SUMIFS(FuelBySector[Ind_Consumed (PJ)],FuelBySector[Fuel Match],DemandPJ_historic[[#This Row],[Fuel]],FuelBySector[Year Match],DemandPJ_historic[[#This Row],[Year]])</f>
        <v>2.7807875032605605</v>
      </c>
      <c r="H10" s="832" cm="1">
        <f t="array" aca="1" ref="H10" ca="1">_xlfn.XLOOKUP(DemandPJ_historic[[#This Row],[Fuel]],FUEL_PCT_DETAIL[Fuel],_xlfn.XLOOKUP(DemandPJ_historic[[#Headers],[Lighting]],FUEL_PCT_DETAIL[#Headers],FUEL_PCT_DETAIL[])) *
SUMIFS(FuelBySector[Ind_Consumed (PJ)],FuelBySector[Fuel Match],DemandPJ_historic[[#This Row],[Fuel]],FuelBySector[Year Match],DemandPJ_historic[[#This Row],[Year]])</f>
        <v>13.106150731905407</v>
      </c>
      <c r="I10" s="832" cm="1">
        <f t="array" aca="1" ref="I10" ca="1">_xlfn.XLOOKUP(DemandPJ_historic[[#This Row],[Fuel]],FUEL_PCT_DETAIL[Fuel],_xlfn.XLOOKUP(DemandPJ_historic[[#Headers],[Conveyance]],FUEL_PCT_DETAIL[#Headers],FUEL_PCT_DETAIL[])) *
SUMIFS(FuelBySector[Ind_Consumed (PJ)],FuelBySector[Fuel Match],DemandPJ_historic[[#This Row],[Fuel]],FuelBySector[Year Match],DemandPJ_historic[[#This Row],[Year]])</f>
        <v>1.9771951510057115</v>
      </c>
      <c r="J10" s="832" cm="1">
        <f t="array" aca="1" ref="J10" ca="1">_xlfn.XLOOKUP(DemandPJ_historic[[#This Row],[Fuel]],FUEL_PCT_DETAIL[Fuel],_xlfn.XLOOKUP(DemandPJ_historic[[#Headers],[Process Loads]],FUEL_PCT_DETAIL[#Headers],FUEL_PCT_DETAIL[])) *
SUMIFS(FuelBySector[Ind_Consumed (PJ)],FuelBySector[Fuel Match],DemandPJ_historic[[#This Row],[Fuel]],FuelBySector[Year Match],DemandPJ_historic[[#This Row],[Year]])</f>
        <v>4.3395611236335139</v>
      </c>
      <c r="K10" s="832" cm="1">
        <f t="array" aca="1" ref="K10" ca="1">_xlfn.XLOOKUP(DemandPJ_historic[[#This Row],[Fuel]],FUEL_PCT_DETAIL[Fuel],_xlfn.XLOOKUP(DemandPJ_historic[[#Headers],[Plug Loads/Misc]],FUEL_PCT_DETAIL[#Headers],FUEL_PCT_DETAIL[])) *
SUMIFS(FuelBySector[Ind_Consumed (PJ)],FuelBySector[Fuel Match],DemandPJ_historic[[#This Row],[Fuel]],FuelBySector[Year Match],DemandPJ_historic[[#This Row],[Year]])</f>
        <v>4.0931145585308881</v>
      </c>
    </row>
    <row r="11" spans="2:18">
      <c r="B11" s="829" t="s">
        <v>651</v>
      </c>
      <c r="C11" s="829">
        <v>2015</v>
      </c>
      <c r="D11" s="832" cm="1">
        <f t="array" aca="1" ref="D11" ca="1">_xlfn.XLOOKUP(DemandPJ_historic[[#This Row],[Fuel]],FUEL_PCT_DETAIL[Fuel],_xlfn.XLOOKUP(DemandPJ_historic[[#Headers],[Space Heating]],FUEL_PCT_DETAIL[#Headers],FUEL_PCT_DETAIL[])) *
SUMIFS(FuelBySector[Ind_Consumed (PJ)],FuelBySector[Fuel Match],DemandPJ_historic[[#This Row],[Fuel]],FuelBySector[Year Match],DemandPJ_historic[[#This Row],[Year]])</f>
        <v>25.682026350456681</v>
      </c>
      <c r="E11" s="832" cm="1">
        <f t="array" aca="1" ref="E11" ca="1">_xlfn.XLOOKUP(DemandPJ_historic[[#This Row],[Fuel]],FUEL_PCT_DETAIL[Fuel],_xlfn.XLOOKUP(DemandPJ_historic[[#Headers],[DHW]],FUEL_PCT_DETAIL[#Headers],FUEL_PCT_DETAIL[])) *
SUMIFS(FuelBySector[Ind_Consumed (PJ)],FuelBySector[Fuel Match],DemandPJ_historic[[#This Row],[Fuel]],FuelBySector[Year Match],DemandPJ_historic[[#This Row],[Year]])</f>
        <v>0.85088693100254997</v>
      </c>
      <c r="F11" s="832" cm="1">
        <f t="array" aca="1" ref="F11" ca="1">_xlfn.XLOOKUP(DemandPJ_historic[[#This Row],[Fuel]],FUEL_PCT_DETAIL[Fuel],_xlfn.XLOOKUP(DemandPJ_historic[[#Headers],[Space Cooling]],FUEL_PCT_DETAIL[#Headers],FUEL_PCT_DETAIL[])) *
SUMIFS(FuelBySector[Ind_Consumed (PJ)],FuelBySector[Fuel Match],DemandPJ_historic[[#This Row],[Fuel]],FuelBySector[Year Match],DemandPJ_historic[[#This Row],[Year]])</f>
        <v>0</v>
      </c>
      <c r="G11" s="832" cm="1">
        <f t="array" aca="1" ref="G11" ca="1">_xlfn.XLOOKUP(DemandPJ_historic[[#This Row],[Fuel]],FUEL_PCT_DETAIL[Fuel],_xlfn.XLOOKUP(DemandPJ_historic[[#Headers],[Ventilation]],FUEL_PCT_DETAIL[#Headers],FUEL_PCT_DETAIL[])) *
SUMIFS(FuelBySector[Ind_Consumed (PJ)],FuelBySector[Fuel Match],DemandPJ_historic[[#This Row],[Fuel]],FuelBySector[Year Match],DemandPJ_historic[[#This Row],[Year]])</f>
        <v>0</v>
      </c>
      <c r="H11" s="832" cm="1">
        <f t="array" aca="1" ref="H11" ca="1">_xlfn.XLOOKUP(DemandPJ_historic[[#This Row],[Fuel]],FUEL_PCT_DETAIL[Fuel],_xlfn.XLOOKUP(DemandPJ_historic[[#Headers],[Lighting]],FUEL_PCT_DETAIL[#Headers],FUEL_PCT_DETAIL[])) *
SUMIFS(FuelBySector[Ind_Consumed (PJ)],FuelBySector[Fuel Match],DemandPJ_historic[[#This Row],[Fuel]],FuelBySector[Year Match],DemandPJ_historic[[#This Row],[Year]])</f>
        <v>0</v>
      </c>
      <c r="I11" s="832" cm="1">
        <f t="array" aca="1" ref="I11" ca="1">_xlfn.XLOOKUP(DemandPJ_historic[[#This Row],[Fuel]],FUEL_PCT_DETAIL[Fuel],_xlfn.XLOOKUP(DemandPJ_historic[[#Headers],[Conveyance]],FUEL_PCT_DETAIL[#Headers],FUEL_PCT_DETAIL[])) *
SUMIFS(FuelBySector[Ind_Consumed (PJ)],FuelBySector[Fuel Match],DemandPJ_historic[[#This Row],[Fuel]],FuelBySector[Year Match],DemandPJ_historic[[#This Row],[Year]])</f>
        <v>0</v>
      </c>
      <c r="J11" s="832" cm="1">
        <f t="array" aca="1" ref="J11" ca="1">_xlfn.XLOOKUP(DemandPJ_historic[[#This Row],[Fuel]],FUEL_PCT_DETAIL[Fuel],_xlfn.XLOOKUP(DemandPJ_historic[[#Headers],[Process Loads]],FUEL_PCT_DETAIL[#Headers],FUEL_PCT_DETAIL[])) *
SUMIFS(FuelBySector[Ind_Consumed (PJ)],FuelBySector[Fuel Match],DemandPJ_historic[[#This Row],[Fuel]],FuelBySector[Year Match],DemandPJ_historic[[#This Row],[Year]])</f>
        <v>0.3151053866639873</v>
      </c>
      <c r="K11" s="832" cm="1">
        <f t="array" aca="1" ref="K11" ca="1">_xlfn.XLOOKUP(DemandPJ_historic[[#This Row],[Fuel]],FUEL_PCT_DETAIL[Fuel],_xlfn.XLOOKUP(DemandPJ_historic[[#Headers],[Plug Loads/Misc]],FUEL_PCT_DETAIL[#Headers],FUEL_PCT_DETAIL[])) *
SUMIFS(FuelBySector[Ind_Consumed (PJ)],FuelBySector[Fuel Match],DemandPJ_historic[[#This Row],[Fuel]],FuelBySector[Year Match],DemandPJ_historic[[#This Row],[Year]])</f>
        <v>8.9671096473937451E-2</v>
      </c>
      <c r="M11" s="1163" t="s">
        <v>724</v>
      </c>
    </row>
    <row r="12" spans="2:18">
      <c r="B12" s="829" t="s">
        <v>652</v>
      </c>
      <c r="C12" s="829">
        <v>2015</v>
      </c>
      <c r="D12" s="832" cm="1">
        <f t="array" aca="1" ref="D12" ca="1">_xlfn.XLOOKUP(DemandPJ_historic[[#This Row],[Fuel]],FUEL_PCT_DETAIL[Fuel],_xlfn.XLOOKUP(DemandPJ_historic[[#Headers],[Space Heating]],FUEL_PCT_DETAIL[#Headers],FUEL_PCT_DETAIL[])) *
SUMIFS(FuelBySector[Ind_Consumed (PJ)],FuelBySector[Fuel Match],DemandPJ_historic[[#This Row],[Fuel]],FuelBySector[Year Match],DemandPJ_historic[[#This Row],[Year]])</f>
        <v>3.3363041646672444</v>
      </c>
      <c r="E12" s="832" cm="1">
        <f t="array" aca="1" ref="E12" ca="1">_xlfn.XLOOKUP(DemandPJ_historic[[#This Row],[Fuel]],FUEL_PCT_DETAIL[Fuel],_xlfn.XLOOKUP(DemandPJ_historic[[#Headers],[DHW]],FUEL_PCT_DETAIL[#Headers],FUEL_PCT_DETAIL[])) *
SUMIFS(FuelBySector[Ind_Consumed (PJ)],FuelBySector[Fuel Match],DemandPJ_historic[[#This Row],[Fuel]],FuelBySector[Year Match],DemandPJ_historic[[#This Row],[Year]])</f>
        <v>0.35107037640702832</v>
      </c>
      <c r="F12" s="832" cm="1">
        <f t="array" aca="1" ref="F12" ca="1">_xlfn.XLOOKUP(DemandPJ_historic[[#This Row],[Fuel]],FUEL_PCT_DETAIL[Fuel],_xlfn.XLOOKUP(DemandPJ_historic[[#Headers],[Space Cooling]],FUEL_PCT_DETAIL[#Headers],FUEL_PCT_DETAIL[])) *
SUMIFS(FuelBySector[Ind_Consumed (PJ)],FuelBySector[Fuel Match],DemandPJ_historic[[#This Row],[Fuel]],FuelBySector[Year Match],DemandPJ_historic[[#This Row],[Year]])</f>
        <v>0</v>
      </c>
      <c r="G12" s="832" cm="1">
        <f t="array" aca="1" ref="G12" ca="1">_xlfn.XLOOKUP(DemandPJ_historic[[#This Row],[Fuel]],FUEL_PCT_DETAIL[Fuel],_xlfn.XLOOKUP(DemandPJ_historic[[#Headers],[Ventilation]],FUEL_PCT_DETAIL[#Headers],FUEL_PCT_DETAIL[])) *
SUMIFS(FuelBySector[Ind_Consumed (PJ)],FuelBySector[Fuel Match],DemandPJ_historic[[#This Row],[Fuel]],FuelBySector[Year Match],DemandPJ_historic[[#This Row],[Year]])</f>
        <v>0</v>
      </c>
      <c r="H12" s="832" cm="1">
        <f t="array" aca="1" ref="H12" ca="1">_xlfn.XLOOKUP(DemandPJ_historic[[#This Row],[Fuel]],FUEL_PCT_DETAIL[Fuel],_xlfn.XLOOKUP(DemandPJ_historic[[#Headers],[Lighting]],FUEL_PCT_DETAIL[#Headers],FUEL_PCT_DETAIL[])) *
SUMIFS(FuelBySector[Ind_Consumed (PJ)],FuelBySector[Fuel Match],DemandPJ_historic[[#This Row],[Fuel]],FuelBySector[Year Match],DemandPJ_historic[[#This Row],[Year]])</f>
        <v>0</v>
      </c>
      <c r="I12" s="832" cm="1">
        <f t="array" aca="1" ref="I12" ca="1">_xlfn.XLOOKUP(DemandPJ_historic[[#This Row],[Fuel]],FUEL_PCT_DETAIL[Fuel],_xlfn.XLOOKUP(DemandPJ_historic[[#Headers],[Conveyance]],FUEL_PCT_DETAIL[#Headers],FUEL_PCT_DETAIL[])) *
SUMIFS(FuelBySector[Ind_Consumed (PJ)],FuelBySector[Fuel Match],DemandPJ_historic[[#This Row],[Fuel]],FuelBySector[Year Match],DemandPJ_historic[[#This Row],[Year]])</f>
        <v>0</v>
      </c>
      <c r="J12" s="832" cm="1">
        <f t="array" aca="1" ref="J12" ca="1">_xlfn.XLOOKUP(DemandPJ_historic[[#This Row],[Fuel]],FUEL_PCT_DETAIL[Fuel],_xlfn.XLOOKUP(DemandPJ_historic[[#Headers],[Process Loads]],FUEL_PCT_DETAIL[#Headers],FUEL_PCT_DETAIL[])) *
SUMIFS(FuelBySector[Ind_Consumed (PJ)],FuelBySector[Fuel Match],DemandPJ_historic[[#This Row],[Fuel]],FuelBySector[Year Match],DemandPJ_historic[[#This Row],[Year]])</f>
        <v>0.10834772571008355</v>
      </c>
      <c r="K12" s="832" cm="1">
        <f t="array" aca="1" ref="K12" ca="1">_xlfn.XLOOKUP(DemandPJ_historic[[#This Row],[Fuel]],FUEL_PCT_DETAIL[Fuel],_xlfn.XLOOKUP(DemandPJ_historic[[#Headers],[Plug Loads/Misc]],FUEL_PCT_DETAIL[#Headers],FUEL_PCT_DETAIL[])) *
SUMIFS(FuelBySector[Ind_Consumed (PJ)],FuelBySector[Fuel Match],DemandPJ_historic[[#This Row],[Fuel]],FuelBySector[Year Match],DemandPJ_historic[[#This Row],[Year]])</f>
        <v>0</v>
      </c>
      <c r="M12" s="1163" t="s">
        <v>721</v>
      </c>
    </row>
    <row r="13" spans="2:18">
      <c r="B13" s="829" t="s">
        <v>638</v>
      </c>
      <c r="C13" s="829">
        <v>2015</v>
      </c>
      <c r="D13" s="832" cm="1">
        <f t="array" aca="1" ref="D13" ca="1">_xlfn.XLOOKUP(DemandPJ_historic[[#This Row],[Fuel]],FUEL_PCT_DETAIL[Fuel],_xlfn.XLOOKUP(DemandPJ_historic[[#Headers],[Space Heating]],FUEL_PCT_DETAIL[#Headers],FUEL_PCT_DETAIL[])) *
SUMIFS(FuelBySector[Ind_Consumed (PJ)],FuelBySector[Fuel Match],DemandPJ_historic[[#This Row],[Fuel]],FuelBySector[Year Match],DemandPJ_historic[[#This Row],[Year]])</f>
        <v>3.4038947789289185</v>
      </c>
      <c r="E13" s="832" cm="1">
        <f t="array" aca="1" ref="E13" ca="1">_xlfn.XLOOKUP(DemandPJ_historic[[#This Row],[Fuel]],FUEL_PCT_DETAIL[Fuel],_xlfn.XLOOKUP(DemandPJ_historic[[#Headers],[DHW]],FUEL_PCT_DETAIL[#Headers],FUEL_PCT_DETAIL[])) *
SUMIFS(FuelBySector[Ind_Consumed (PJ)],FuelBySector[Fuel Match],DemandPJ_historic[[#This Row],[Fuel]],FuelBySector[Year Match],DemandPJ_historic[[#This Row],[Year]])</f>
        <v>1.0267755562112193</v>
      </c>
      <c r="F13" s="832" cm="1">
        <f t="array" aca="1" ref="F13" ca="1">_xlfn.XLOOKUP(DemandPJ_historic[[#This Row],[Fuel]],FUEL_PCT_DETAIL[Fuel],_xlfn.XLOOKUP(DemandPJ_historic[[#Headers],[Space Cooling]],FUEL_PCT_DETAIL[#Headers],FUEL_PCT_DETAIL[])) *
SUMIFS(FuelBySector[Ind_Consumed (PJ)],FuelBySector[Fuel Match],DemandPJ_historic[[#This Row],[Fuel]],FuelBySector[Year Match],DemandPJ_historic[[#This Row],[Year]])</f>
        <v>0</v>
      </c>
      <c r="G13" s="832" cm="1">
        <f t="array" aca="1" ref="G13" ca="1">_xlfn.XLOOKUP(DemandPJ_historic[[#This Row],[Fuel]],FUEL_PCT_DETAIL[Fuel],_xlfn.XLOOKUP(DemandPJ_historic[[#Headers],[Ventilation]],FUEL_PCT_DETAIL[#Headers],FUEL_PCT_DETAIL[])) *
SUMIFS(FuelBySector[Ind_Consumed (PJ)],FuelBySector[Fuel Match],DemandPJ_historic[[#This Row],[Fuel]],FuelBySector[Year Match],DemandPJ_historic[[#This Row],[Year]])</f>
        <v>0</v>
      </c>
      <c r="H13" s="832" cm="1">
        <f t="array" aca="1" ref="H13" ca="1">_xlfn.XLOOKUP(DemandPJ_historic[[#This Row],[Fuel]],FUEL_PCT_DETAIL[Fuel],_xlfn.XLOOKUP(DemandPJ_historic[[#Headers],[Lighting]],FUEL_PCT_DETAIL[#Headers],FUEL_PCT_DETAIL[])) *
SUMIFS(FuelBySector[Ind_Consumed (PJ)],FuelBySector[Fuel Match],DemandPJ_historic[[#This Row],[Fuel]],FuelBySector[Year Match],DemandPJ_historic[[#This Row],[Year]])</f>
        <v>0</v>
      </c>
      <c r="I13" s="832" cm="1">
        <f t="array" aca="1" ref="I13" ca="1">_xlfn.XLOOKUP(DemandPJ_historic[[#This Row],[Fuel]],FUEL_PCT_DETAIL[Fuel],_xlfn.XLOOKUP(DemandPJ_historic[[#Headers],[Conveyance]],FUEL_PCT_DETAIL[#Headers],FUEL_PCT_DETAIL[])) *
SUMIFS(FuelBySector[Ind_Consumed (PJ)],FuelBySector[Fuel Match],DemandPJ_historic[[#This Row],[Fuel]],FuelBySector[Year Match],DemandPJ_historic[[#This Row],[Year]])</f>
        <v>0</v>
      </c>
      <c r="J13" s="832" cm="1">
        <f t="array" aca="1" ref="J13" ca="1">_xlfn.XLOOKUP(DemandPJ_historic[[#This Row],[Fuel]],FUEL_PCT_DETAIL[Fuel],_xlfn.XLOOKUP(DemandPJ_historic[[#Headers],[Process Loads]],FUEL_PCT_DETAIL[#Headers],FUEL_PCT_DETAIL[])) *
SUMIFS(FuelBySector[Ind_Consumed (PJ)],FuelBySector[Fuel Match],DemandPJ_historic[[#This Row],[Fuel]],FuelBySector[Year Match],DemandPJ_historic[[#This Row],[Year]])</f>
        <v>0</v>
      </c>
      <c r="K13" s="832" cm="1">
        <f t="array" aca="1" ref="K13" ca="1">_xlfn.XLOOKUP(DemandPJ_historic[[#This Row],[Fuel]],FUEL_PCT_DETAIL[Fuel],_xlfn.XLOOKUP(DemandPJ_historic[[#Headers],[Plug Loads/Misc]],FUEL_PCT_DETAIL[#Headers],FUEL_PCT_DETAIL[])) *
SUMIFS(FuelBySector[Ind_Consumed (PJ)],FuelBySector[Fuel Match],DemandPJ_historic[[#This Row],[Fuel]],FuelBySector[Year Match],DemandPJ_historic[[#This Row],[Year]])</f>
        <v>1.8558376317562531E-5</v>
      </c>
      <c r="M13" s="1237" t="s">
        <v>722</v>
      </c>
      <c r="N13" s="1237" t="s">
        <v>13</v>
      </c>
      <c r="O13" s="1237" t="s">
        <v>18</v>
      </c>
      <c r="P13" s="1237" t="s">
        <v>16</v>
      </c>
      <c r="Q13" s="1237" t="s">
        <v>20</v>
      </c>
      <c r="R13" s="1237" t="s">
        <v>295</v>
      </c>
    </row>
    <row r="14" spans="2:18">
      <c r="B14" s="829" t="s">
        <v>32</v>
      </c>
      <c r="C14" s="829">
        <v>2020</v>
      </c>
      <c r="D14" s="832" cm="1">
        <f t="array" aca="1" ref="D14" ca="1">_xlfn.XLOOKUP(DemandPJ_historic[[#This Row],[Fuel]],FUEL_PCT_DETAIL[Fuel],_xlfn.XLOOKUP(DemandPJ_historic[[#Headers],[Space Heating]],FUEL_PCT_DETAIL[#Headers],FUEL_PCT_DETAIL[])) *
SUMIFS(FuelBySector[Ind_Consumed (PJ)],FuelBySector[Fuel Match],DemandPJ_historic[[#This Row],[Fuel]],FuelBySector[Year Match],DemandPJ_historic[[#This Row],[Year]])</f>
        <v>1.1292432523516558</v>
      </c>
      <c r="E14" s="832" cm="1">
        <f t="array" aca="1" ref="E14" ca="1">_xlfn.XLOOKUP(DemandPJ_historic[[#This Row],[Fuel]],FUEL_PCT_DETAIL[Fuel],_xlfn.XLOOKUP(DemandPJ_historic[[#Headers],[DHW]],FUEL_PCT_DETAIL[#Headers],FUEL_PCT_DETAIL[])) *
SUMIFS(FuelBySector[Ind_Consumed (PJ)],FuelBySector[Fuel Match],DemandPJ_historic[[#This Row],[Fuel]],FuelBySector[Year Match],DemandPJ_historic[[#This Row],[Year]])</f>
        <v>0.49686598001353721</v>
      </c>
      <c r="F14" s="832" cm="1">
        <f t="array" aca="1" ref="F14" ca="1">_xlfn.XLOOKUP(DemandPJ_historic[[#This Row],[Fuel]],FUEL_PCT_DETAIL[Fuel],_xlfn.XLOOKUP(DemandPJ_historic[[#Headers],[Space Cooling]],FUEL_PCT_DETAIL[#Headers],FUEL_PCT_DETAIL[])) *
SUMIFS(FuelBySector[Ind_Consumed (PJ)],FuelBySector[Fuel Match],DemandPJ_historic[[#This Row],[Fuel]],FuelBySector[Year Match],DemandPJ_historic[[#This Row],[Year]])</f>
        <v>3.4228504882459614</v>
      </c>
      <c r="G14" s="832" cm="1">
        <f t="array" aca="1" ref="G14" ca="1">_xlfn.XLOOKUP(DemandPJ_historic[[#This Row],[Fuel]],FUEL_PCT_DETAIL[Fuel],_xlfn.XLOOKUP(DemandPJ_historic[[#Headers],[Ventilation]],FUEL_PCT_DETAIL[#Headers],FUEL_PCT_DETAIL[])) *
SUMIFS(FuelBySector[Ind_Consumed (PJ)],FuelBySector[Fuel Match],DemandPJ_historic[[#This Row],[Fuel]],FuelBySector[Year Match],DemandPJ_historic[[#This Row],[Year]])</f>
        <v>2.2670943826932897</v>
      </c>
      <c r="H14" s="832" cm="1">
        <f t="array" aca="1" ref="H14" ca="1">_xlfn.XLOOKUP(DemandPJ_historic[[#This Row],[Fuel]],FUEL_PCT_DETAIL[Fuel],_xlfn.XLOOKUP(DemandPJ_historic[[#Headers],[Lighting]],FUEL_PCT_DETAIL[#Headers],FUEL_PCT_DETAIL[])) *
SUMIFS(FuelBySector[Ind_Consumed (PJ)],FuelBySector[Fuel Match],DemandPJ_historic[[#This Row],[Fuel]],FuelBySector[Year Match],DemandPJ_historic[[#This Row],[Year]])</f>
        <v>10.685059778280436</v>
      </c>
      <c r="I14" s="832" cm="1">
        <f t="array" aca="1" ref="I14" ca="1">_xlfn.XLOOKUP(DemandPJ_historic[[#This Row],[Fuel]],FUEL_PCT_DETAIL[Fuel],_xlfn.XLOOKUP(DemandPJ_historic[[#Headers],[Conveyance]],FUEL_PCT_DETAIL[#Headers],FUEL_PCT_DETAIL[])) *
SUMIFS(FuelBySector[Ind_Consumed (PJ)],FuelBySector[Fuel Match],DemandPJ_historic[[#This Row],[Fuel]],FuelBySector[Year Match],DemandPJ_historic[[#This Row],[Year]])</f>
        <v>1.6119491385363325</v>
      </c>
      <c r="J14" s="832" cm="1">
        <f t="array" aca="1" ref="J14" ca="1">_xlfn.XLOOKUP(DemandPJ_historic[[#This Row],[Fuel]],FUEL_PCT_DETAIL[Fuel],_xlfn.XLOOKUP(DemandPJ_historic[[#Headers],[Process Loads]],FUEL_PCT_DETAIL[#Headers],FUEL_PCT_DETAIL[])) *
SUMIFS(FuelBySector[Ind_Consumed (PJ)],FuelBySector[Fuel Match],DemandPJ_historic[[#This Row],[Fuel]],FuelBySector[Year Match],DemandPJ_historic[[#This Row],[Year]])</f>
        <v>3.5379167358915873</v>
      </c>
      <c r="K14" s="832" cm="1">
        <f t="array" aca="1" ref="K14" ca="1">_xlfn.XLOOKUP(DemandPJ_historic[[#This Row],[Fuel]],FUEL_PCT_DETAIL[Fuel],_xlfn.XLOOKUP(DemandPJ_historic[[#Headers],[Plug Loads/Misc]],FUEL_PCT_DETAIL[#Headers],FUEL_PCT_DETAIL[])) *
SUMIFS(FuelBySector[Ind_Consumed (PJ)],FuelBySector[Fuel Match],DemandPJ_historic[[#This Row],[Fuel]],FuelBySector[Year Match],DemandPJ_historic[[#This Row],[Year]])</f>
        <v>3.3369960892319255</v>
      </c>
      <c r="M14" s="1238" t="s">
        <v>32</v>
      </c>
      <c r="N14" s="1239">
        <f t="shared" ref="N14:P17" ca="1" si="1">D10/SUM(D$10:D$13)</f>
        <v>4.0970824747666154E-2</v>
      </c>
      <c r="O14" s="1239">
        <f t="shared" ca="1" si="1"/>
        <v>0.21473222451468993</v>
      </c>
      <c r="P14" s="1239">
        <f t="shared" ca="1" si="1"/>
        <v>1</v>
      </c>
      <c r="Q14" s="1239">
        <f ca="1">H10/SUM(H$10:H$13)</f>
        <v>1</v>
      </c>
      <c r="R14" s="1239">
        <f ca="1">SUM(G14,I14,J14,K14)/SUM(G$10:G$13,I$10:I$13,J$10:J$13,K$10:K$13)</f>
        <v>0.78474258820677867</v>
      </c>
    </row>
    <row r="15" spans="2:18">
      <c r="B15" s="829" t="s">
        <v>651</v>
      </c>
      <c r="C15" s="829">
        <v>2020</v>
      </c>
      <c r="D15" s="832" cm="1">
        <f t="array" aca="1" ref="D15" ca="1">_xlfn.XLOOKUP(DemandPJ_historic[[#This Row],[Fuel]],FUEL_PCT_DETAIL[Fuel],_xlfn.XLOOKUP(DemandPJ_historic[[#Headers],[Space Heating]],FUEL_PCT_DETAIL[#Headers],FUEL_PCT_DETAIL[])) *
SUMIFS(FuelBySector[Ind_Consumed (PJ)],FuelBySector[Fuel Match],DemandPJ_historic[[#This Row],[Fuel]],FuelBySector[Year Match],DemandPJ_historic[[#This Row],[Year]])</f>
        <v>26.503528308665338</v>
      </c>
      <c r="E15" s="832" cm="1">
        <f t="array" aca="1" ref="E15" ca="1">_xlfn.XLOOKUP(DemandPJ_historic[[#This Row],[Fuel]],FUEL_PCT_DETAIL[Fuel],_xlfn.XLOOKUP(DemandPJ_historic[[#Headers],[DHW]],FUEL_PCT_DETAIL[#Headers],FUEL_PCT_DETAIL[])) *
SUMIFS(FuelBySector[Ind_Consumed (PJ)],FuelBySector[Fuel Match],DemandPJ_historic[[#This Row],[Fuel]],FuelBySector[Year Match],DemandPJ_historic[[#This Row],[Year]])</f>
        <v>0.87810461509391136</v>
      </c>
      <c r="F15" s="832" cm="1">
        <f t="array" aca="1" ref="F15" ca="1">_xlfn.XLOOKUP(DemandPJ_historic[[#This Row],[Fuel]],FUEL_PCT_DETAIL[Fuel],_xlfn.XLOOKUP(DemandPJ_historic[[#Headers],[Space Cooling]],FUEL_PCT_DETAIL[#Headers],FUEL_PCT_DETAIL[])) *
SUMIFS(FuelBySector[Ind_Consumed (PJ)],FuelBySector[Fuel Match],DemandPJ_historic[[#This Row],[Fuel]],FuelBySector[Year Match],DemandPJ_historic[[#This Row],[Year]])</f>
        <v>0</v>
      </c>
      <c r="G15" s="832" cm="1">
        <f t="array" aca="1" ref="G15" ca="1">_xlfn.XLOOKUP(DemandPJ_historic[[#This Row],[Fuel]],FUEL_PCT_DETAIL[Fuel],_xlfn.XLOOKUP(DemandPJ_historic[[#Headers],[Ventilation]],FUEL_PCT_DETAIL[#Headers],FUEL_PCT_DETAIL[])) *
SUMIFS(FuelBySector[Ind_Consumed (PJ)],FuelBySector[Fuel Match],DemandPJ_historic[[#This Row],[Fuel]],FuelBySector[Year Match],DemandPJ_historic[[#This Row],[Year]])</f>
        <v>0</v>
      </c>
      <c r="H15" s="832" cm="1">
        <f t="array" aca="1" ref="H15" ca="1">_xlfn.XLOOKUP(DemandPJ_historic[[#This Row],[Fuel]],FUEL_PCT_DETAIL[Fuel],_xlfn.XLOOKUP(DemandPJ_historic[[#Headers],[Lighting]],FUEL_PCT_DETAIL[#Headers],FUEL_PCT_DETAIL[])) *
SUMIFS(FuelBySector[Ind_Consumed (PJ)],FuelBySector[Fuel Match],DemandPJ_historic[[#This Row],[Fuel]],FuelBySector[Year Match],DemandPJ_historic[[#This Row],[Year]])</f>
        <v>0</v>
      </c>
      <c r="I15" s="832" cm="1">
        <f t="array" aca="1" ref="I15" ca="1">_xlfn.XLOOKUP(DemandPJ_historic[[#This Row],[Fuel]],FUEL_PCT_DETAIL[Fuel],_xlfn.XLOOKUP(DemandPJ_historic[[#Headers],[Conveyance]],FUEL_PCT_DETAIL[#Headers],FUEL_PCT_DETAIL[])) *
SUMIFS(FuelBySector[Ind_Consumed (PJ)],FuelBySector[Fuel Match],DemandPJ_historic[[#This Row],[Fuel]],FuelBySector[Year Match],DemandPJ_historic[[#This Row],[Year]])</f>
        <v>0</v>
      </c>
      <c r="J15" s="832" cm="1">
        <f t="array" aca="1" ref="J15" ca="1">_xlfn.XLOOKUP(DemandPJ_historic[[#This Row],[Fuel]],FUEL_PCT_DETAIL[Fuel],_xlfn.XLOOKUP(DemandPJ_historic[[#Headers],[Process Loads]],FUEL_PCT_DETAIL[#Headers],FUEL_PCT_DETAIL[])) *
SUMIFS(FuelBySector[Ind_Consumed (PJ)],FuelBySector[Fuel Match],DemandPJ_historic[[#This Row],[Fuel]],FuelBySector[Year Match],DemandPJ_historic[[#This Row],[Year]])</f>
        <v>0.32518479740261685</v>
      </c>
      <c r="K15" s="832" cm="1">
        <f t="array" aca="1" ref="K15" ca="1">_xlfn.XLOOKUP(DemandPJ_historic[[#This Row],[Fuel]],FUEL_PCT_DETAIL[Fuel],_xlfn.XLOOKUP(DemandPJ_historic[[#Headers],[Plug Loads/Misc]],FUEL_PCT_DETAIL[#Headers],FUEL_PCT_DETAIL[])) *
SUMIFS(FuelBySector[Ind_Consumed (PJ)],FuelBySector[Fuel Match],DemandPJ_historic[[#This Row],[Fuel]],FuelBySector[Year Match],DemandPJ_historic[[#This Row],[Year]])</f>
        <v>9.2539444179170108E-2</v>
      </c>
      <c r="M15" s="1238" t="s">
        <v>651</v>
      </c>
      <c r="N15" s="1239">
        <f t="shared" ca="1" si="1"/>
        <v>0.75965830001819723</v>
      </c>
      <c r="O15" s="1239">
        <f t="shared" ca="1" si="1"/>
        <v>0.29979998877585523</v>
      </c>
      <c r="P15" s="1239">
        <f t="shared" ca="1" si="1"/>
        <v>0</v>
      </c>
      <c r="Q15" s="1239">
        <f t="shared" ref="Q15:Q17" ca="1" si="2">H11/SUM(H$10:H$13)</f>
        <v>0</v>
      </c>
      <c r="R15" s="1239">
        <f ca="1">SUM(G15,I15,J15,K15)/SUM(G$10:G$13,I$10:I$13,J$10:J$13,K$10:K$13)</f>
        <v>3.0482363135756099E-2</v>
      </c>
    </row>
    <row r="16" spans="2:18">
      <c r="B16" s="829" t="s">
        <v>652</v>
      </c>
      <c r="C16" s="829">
        <v>2020</v>
      </c>
      <c r="D16" s="832" cm="1">
        <f t="array" aca="1" ref="D16" ca="1">_xlfn.XLOOKUP(DemandPJ_historic[[#This Row],[Fuel]],FUEL_PCT_DETAIL[Fuel],_xlfn.XLOOKUP(DemandPJ_historic[[#Headers],[Space Heating]],FUEL_PCT_DETAIL[#Headers],FUEL_PCT_DETAIL[])) *
SUMIFS(FuelBySector[Ind_Consumed (PJ)],FuelBySector[Fuel Match],DemandPJ_historic[[#This Row],[Fuel]],FuelBySector[Year Match],DemandPJ_historic[[#This Row],[Year]])</f>
        <v>1.9585917271225686</v>
      </c>
      <c r="E16" s="832" cm="1">
        <f t="array" aca="1" ref="E16" ca="1">_xlfn.XLOOKUP(DemandPJ_historic[[#This Row],[Fuel]],FUEL_PCT_DETAIL[Fuel],_xlfn.XLOOKUP(DemandPJ_historic[[#Headers],[DHW]],FUEL_PCT_DETAIL[#Headers],FUEL_PCT_DETAIL[])) *
SUMIFS(FuelBySector[Ind_Consumed (PJ)],FuelBySector[Fuel Match],DemandPJ_historic[[#This Row],[Fuel]],FuelBySector[Year Match],DemandPJ_historic[[#This Row],[Year]])</f>
        <v>0.20609737629758104</v>
      </c>
      <c r="F16" s="832" cm="1">
        <f t="array" aca="1" ref="F16" ca="1">_xlfn.XLOOKUP(DemandPJ_historic[[#This Row],[Fuel]],FUEL_PCT_DETAIL[Fuel],_xlfn.XLOOKUP(DemandPJ_historic[[#Headers],[Space Cooling]],FUEL_PCT_DETAIL[#Headers],FUEL_PCT_DETAIL[])) *
SUMIFS(FuelBySector[Ind_Consumed (PJ)],FuelBySector[Fuel Match],DemandPJ_historic[[#This Row],[Fuel]],FuelBySector[Year Match],DemandPJ_historic[[#This Row],[Year]])</f>
        <v>0</v>
      </c>
      <c r="G16" s="832" cm="1">
        <f t="array" aca="1" ref="G16" ca="1">_xlfn.XLOOKUP(DemandPJ_historic[[#This Row],[Fuel]],FUEL_PCT_DETAIL[Fuel],_xlfn.XLOOKUP(DemandPJ_historic[[#Headers],[Ventilation]],FUEL_PCT_DETAIL[#Headers],FUEL_PCT_DETAIL[])) *
SUMIFS(FuelBySector[Ind_Consumed (PJ)],FuelBySector[Fuel Match],DemandPJ_historic[[#This Row],[Fuel]],FuelBySector[Year Match],DemandPJ_historic[[#This Row],[Year]])</f>
        <v>0</v>
      </c>
      <c r="H16" s="832" cm="1">
        <f t="array" aca="1" ref="H16" ca="1">_xlfn.XLOOKUP(DemandPJ_historic[[#This Row],[Fuel]],FUEL_PCT_DETAIL[Fuel],_xlfn.XLOOKUP(DemandPJ_historic[[#Headers],[Lighting]],FUEL_PCT_DETAIL[#Headers],FUEL_PCT_DETAIL[])) *
SUMIFS(FuelBySector[Ind_Consumed (PJ)],FuelBySector[Fuel Match],DemandPJ_historic[[#This Row],[Fuel]],FuelBySector[Year Match],DemandPJ_historic[[#This Row],[Year]])</f>
        <v>0</v>
      </c>
      <c r="I16" s="832" cm="1">
        <f t="array" aca="1" ref="I16" ca="1">_xlfn.XLOOKUP(DemandPJ_historic[[#This Row],[Fuel]],FUEL_PCT_DETAIL[Fuel],_xlfn.XLOOKUP(DemandPJ_historic[[#Headers],[Conveyance]],FUEL_PCT_DETAIL[#Headers],FUEL_PCT_DETAIL[])) *
SUMIFS(FuelBySector[Ind_Consumed (PJ)],FuelBySector[Fuel Match],DemandPJ_historic[[#This Row],[Fuel]],FuelBySector[Year Match],DemandPJ_historic[[#This Row],[Year]])</f>
        <v>0</v>
      </c>
      <c r="J16" s="832" cm="1">
        <f t="array" aca="1" ref="J16" ca="1">_xlfn.XLOOKUP(DemandPJ_historic[[#This Row],[Fuel]],FUEL_PCT_DETAIL[Fuel],_xlfn.XLOOKUP(DemandPJ_historic[[#Headers],[Process Loads]],FUEL_PCT_DETAIL[#Headers],FUEL_PCT_DETAIL[])) *
SUMIFS(FuelBySector[Ind_Consumed (PJ)],FuelBySector[Fuel Match],DemandPJ_historic[[#This Row],[Fuel]],FuelBySector[Year Match],DemandPJ_historic[[#This Row],[Year]])</f>
        <v>6.3605998960073878E-2</v>
      </c>
      <c r="K16" s="832" cm="1">
        <f t="array" aca="1" ref="K16" ca="1">_xlfn.XLOOKUP(DemandPJ_historic[[#This Row],[Fuel]],FUEL_PCT_DETAIL[Fuel],_xlfn.XLOOKUP(DemandPJ_historic[[#Headers],[Plug Loads/Misc]],FUEL_PCT_DETAIL[#Headers],FUEL_PCT_DETAIL[])) *
SUMIFS(FuelBySector[Ind_Consumed (PJ)],FuelBySector[Fuel Match],DemandPJ_historic[[#This Row],[Fuel]],FuelBySector[Year Match],DemandPJ_historic[[#This Row],[Year]])</f>
        <v>0</v>
      </c>
      <c r="M16" s="1238" t="s">
        <v>652</v>
      </c>
      <c r="N16" s="1239">
        <f t="shared" ca="1" si="1"/>
        <v>9.8685793538627151E-2</v>
      </c>
      <c r="O16" s="1239">
        <f t="shared" ca="1" si="1"/>
        <v>0.12369551237830323</v>
      </c>
      <c r="P16" s="1239">
        <f t="shared" ca="1" si="1"/>
        <v>0</v>
      </c>
      <c r="Q16" s="1239">
        <f t="shared" ca="1" si="2"/>
        <v>0</v>
      </c>
      <c r="R16" s="1243">
        <f ca="1">SUM(G110,I110,J110,K110)/SUM(G$10:G$13,I$10:I$13,J$10:J$13,K$10:K$13)</f>
        <v>0</v>
      </c>
    </row>
    <row r="17" spans="2:18">
      <c r="B17" s="829" t="s">
        <v>638</v>
      </c>
      <c r="C17" s="829">
        <v>2020</v>
      </c>
      <c r="D17" s="832" cm="1">
        <f t="array" aca="1" ref="D17" ca="1">_xlfn.XLOOKUP(DemandPJ_historic[[#This Row],[Fuel]],FUEL_PCT_DETAIL[Fuel],_xlfn.XLOOKUP(DemandPJ_historic[[#Headers],[Space Heating]],FUEL_PCT_DETAIL[#Headers],FUEL_PCT_DETAIL[])) *
SUMIFS(FuelBySector[Ind_Consumed (PJ)],FuelBySector[Fuel Match],DemandPJ_historic[[#This Row],[Fuel]],FuelBySector[Year Match],DemandPJ_historic[[#This Row],[Year]])</f>
        <v>2.5193760207137421</v>
      </c>
      <c r="E17" s="832" cm="1">
        <f t="array" aca="1" ref="E17" ca="1">_xlfn.XLOOKUP(DemandPJ_historic[[#This Row],[Fuel]],FUEL_PCT_DETAIL[Fuel],_xlfn.XLOOKUP(DemandPJ_historic[[#Headers],[DHW]],FUEL_PCT_DETAIL[#Headers],FUEL_PCT_DETAIL[])) *
SUMIFS(FuelBySector[Ind_Consumed (PJ)],FuelBySector[Fuel Match],DemandPJ_historic[[#This Row],[Fuel]],FuelBySector[Year Match],DemandPJ_historic[[#This Row],[Year]])</f>
        <v>0.75996289044737841</v>
      </c>
      <c r="F17" s="832" cm="1">
        <f t="array" aca="1" ref="F17" ca="1">_xlfn.XLOOKUP(DemandPJ_historic[[#This Row],[Fuel]],FUEL_PCT_DETAIL[Fuel],_xlfn.XLOOKUP(DemandPJ_historic[[#Headers],[Space Cooling]],FUEL_PCT_DETAIL[#Headers],FUEL_PCT_DETAIL[])) *
SUMIFS(FuelBySector[Ind_Consumed (PJ)],FuelBySector[Fuel Match],DemandPJ_historic[[#This Row],[Fuel]],FuelBySector[Year Match],DemandPJ_historic[[#This Row],[Year]])</f>
        <v>0</v>
      </c>
      <c r="G17" s="832" cm="1">
        <f t="array" aca="1" ref="G17" ca="1">_xlfn.XLOOKUP(DemandPJ_historic[[#This Row],[Fuel]],FUEL_PCT_DETAIL[Fuel],_xlfn.XLOOKUP(DemandPJ_historic[[#Headers],[Ventilation]],FUEL_PCT_DETAIL[#Headers],FUEL_PCT_DETAIL[])) *
SUMIFS(FuelBySector[Ind_Consumed (PJ)],FuelBySector[Fuel Match],DemandPJ_historic[[#This Row],[Fuel]],FuelBySector[Year Match],DemandPJ_historic[[#This Row],[Year]])</f>
        <v>0</v>
      </c>
      <c r="H17" s="832" cm="1">
        <f t="array" aca="1" ref="H17" ca="1">_xlfn.XLOOKUP(DemandPJ_historic[[#This Row],[Fuel]],FUEL_PCT_DETAIL[Fuel],_xlfn.XLOOKUP(DemandPJ_historic[[#Headers],[Lighting]],FUEL_PCT_DETAIL[#Headers],FUEL_PCT_DETAIL[])) *
SUMIFS(FuelBySector[Ind_Consumed (PJ)],FuelBySector[Fuel Match],DemandPJ_historic[[#This Row],[Fuel]],FuelBySector[Year Match],DemandPJ_historic[[#This Row],[Year]])</f>
        <v>0</v>
      </c>
      <c r="I17" s="832" cm="1">
        <f t="array" aca="1" ref="I17" ca="1">_xlfn.XLOOKUP(DemandPJ_historic[[#This Row],[Fuel]],FUEL_PCT_DETAIL[Fuel],_xlfn.XLOOKUP(DemandPJ_historic[[#Headers],[Conveyance]],FUEL_PCT_DETAIL[#Headers],FUEL_PCT_DETAIL[])) *
SUMIFS(FuelBySector[Ind_Consumed (PJ)],FuelBySector[Fuel Match],DemandPJ_historic[[#This Row],[Fuel]],FuelBySector[Year Match],DemandPJ_historic[[#This Row],[Year]])</f>
        <v>0</v>
      </c>
      <c r="J17" s="832" cm="1">
        <f t="array" aca="1" ref="J17" ca="1">_xlfn.XLOOKUP(DemandPJ_historic[[#This Row],[Fuel]],FUEL_PCT_DETAIL[Fuel],_xlfn.XLOOKUP(DemandPJ_historic[[#Headers],[Process Loads]],FUEL_PCT_DETAIL[#Headers],FUEL_PCT_DETAIL[])) *
SUMIFS(FuelBySector[Ind_Consumed (PJ)],FuelBySector[Fuel Match],DemandPJ_historic[[#This Row],[Fuel]],FuelBySector[Year Match],DemandPJ_historic[[#This Row],[Year]])</f>
        <v>0</v>
      </c>
      <c r="K17" s="832" cm="1">
        <f t="array" aca="1" ref="K17" ca="1">_xlfn.XLOOKUP(DemandPJ_historic[[#This Row],[Fuel]],FUEL_PCT_DETAIL[Fuel],_xlfn.XLOOKUP(DemandPJ_historic[[#Headers],[Plug Loads/Misc]],FUEL_PCT_DETAIL[#Headers],FUEL_PCT_DETAIL[])) *
SUMIFS(FuelBySector[Ind_Consumed (PJ)],FuelBySector[Fuel Match],DemandPJ_historic[[#This Row],[Fuel]],FuelBySector[Year Match],DemandPJ_historic[[#This Row],[Year]])</f>
        <v>1.3735891181854071E-5</v>
      </c>
      <c r="M17" s="1238" t="s">
        <v>638</v>
      </c>
      <c r="N17" s="1239">
        <f t="shared" ca="1" si="1"/>
        <v>0.10068508169550952</v>
      </c>
      <c r="O17" s="1239">
        <f t="shared" ca="1" si="1"/>
        <v>0.3617722743311515</v>
      </c>
      <c r="P17" s="1239">
        <f t="shared" ca="1" si="1"/>
        <v>0</v>
      </c>
      <c r="Q17" s="1239">
        <f t="shared" ca="1" si="2"/>
        <v>0</v>
      </c>
      <c r="R17" s="1239">
        <f ca="1">SUM(G17,I17,J17,K17)/SUM(G$10:G$13,I$10:I$13,J$10:J$13,K$10:K$13)</f>
        <v>1.0023416917653972E-6</v>
      </c>
    </row>
    <row r="18" spans="2:18">
      <c r="B18" s="829" t="s">
        <v>32</v>
      </c>
      <c r="C18" s="829">
        <v>2023</v>
      </c>
      <c r="D18" s="832" cm="1">
        <f t="array" aca="1" ref="D18" ca="1">_xlfn.XLOOKUP(DemandPJ_historic[[#This Row],[Fuel]],FUEL_PCT_DETAIL[Fuel],_xlfn.XLOOKUP(DemandPJ_historic[[#Headers],[Space Heating]],FUEL_PCT_DETAIL[#Headers],FUEL_PCT_DETAIL[])) *
SUMIFS(FuelBySector[Ind_Consumed (PJ)],FuelBySector[Fuel Match],DemandPJ_historic[[#This Row],[Fuel]],FuelBySector[Year Match],DemandPJ_historic[[#This Row],[Year]])</f>
        <v>1.2244021027159742</v>
      </c>
      <c r="E18" s="832" cm="1">
        <f t="array" aca="1" ref="E18" ca="1">_xlfn.XLOOKUP(DemandPJ_historic[[#This Row],[Fuel]],FUEL_PCT_DETAIL[Fuel],_xlfn.XLOOKUP(DemandPJ_historic[[#Headers],[DHW]],FUEL_PCT_DETAIL[#Headers],FUEL_PCT_DETAIL[])) *
SUMIFS(FuelBySector[Ind_Consumed (PJ)],FuelBySector[Fuel Match],DemandPJ_historic[[#This Row],[Fuel]],FuelBySector[Year Match],DemandPJ_historic[[#This Row],[Year]])</f>
        <v>0.53873578560658841</v>
      </c>
      <c r="F18" s="832" cm="1">
        <f t="array" aca="1" ref="F18" ca="1">_xlfn.XLOOKUP(DemandPJ_historic[[#This Row],[Fuel]],FUEL_PCT_DETAIL[Fuel],_xlfn.XLOOKUP(DemandPJ_historic[[#Headers],[Space Cooling]],FUEL_PCT_DETAIL[#Headers],FUEL_PCT_DETAIL[])) *
SUMIFS(FuelBySector[Ind_Consumed (PJ)],FuelBySector[Fuel Match],DemandPJ_historic[[#This Row],[Fuel]],FuelBySector[Year Match],DemandPJ_historic[[#This Row],[Year]])</f>
        <v>3.7112865862719002</v>
      </c>
      <c r="G18" s="832" cm="1">
        <f t="array" aca="1" ref="G18" ca="1">_xlfn.XLOOKUP(DemandPJ_historic[[#This Row],[Fuel]],FUEL_PCT_DETAIL[Fuel],_xlfn.XLOOKUP(DemandPJ_historic[[#Headers],[Ventilation]],FUEL_PCT_DETAIL[#Headers],FUEL_PCT_DETAIL[])) *
SUMIFS(FuelBySector[Ind_Consumed (PJ)],FuelBySector[Fuel Match],DemandPJ_historic[[#This Row],[Fuel]],FuelBySector[Year Match],DemandPJ_historic[[#This Row],[Year]])</f>
        <v>2.4581374504072033</v>
      </c>
      <c r="H18" s="832" cm="1">
        <f t="array" aca="1" ref="H18" ca="1">_xlfn.XLOOKUP(DemandPJ_historic[[#This Row],[Fuel]],FUEL_PCT_DETAIL[Fuel],_xlfn.XLOOKUP(DemandPJ_historic[[#Headers],[Lighting]],FUEL_PCT_DETAIL[#Headers],FUEL_PCT_DETAIL[])) *
SUMIFS(FuelBySector[Ind_Consumed (PJ)],FuelBySector[Fuel Match],DemandPJ_historic[[#This Row],[Fuel]],FuelBySector[Year Match],DemandPJ_historic[[#This Row],[Year]])</f>
        <v>11.585466313770233</v>
      </c>
      <c r="I18" s="832" cm="1">
        <f t="array" aca="1" ref="I18" ca="1">_xlfn.XLOOKUP(DemandPJ_historic[[#This Row],[Fuel]],FUEL_PCT_DETAIL[Fuel],_xlfn.XLOOKUP(DemandPJ_historic[[#Headers],[Conveyance]],FUEL_PCT_DETAIL[#Headers],FUEL_PCT_DETAIL[])) *
SUMIFS(FuelBySector[Ind_Consumed (PJ)],FuelBySector[Fuel Match],DemandPJ_historic[[#This Row],[Fuel]],FuelBySector[Year Match],DemandPJ_historic[[#This Row],[Year]])</f>
        <v>1.7477845544659232</v>
      </c>
      <c r="J18" s="832" cm="1">
        <f t="array" aca="1" ref="J18" ca="1">_xlfn.XLOOKUP(DemandPJ_historic[[#This Row],[Fuel]],FUEL_PCT_DETAIL[Fuel],_xlfn.XLOOKUP(DemandPJ_historic[[#Headers],[Process Loads]],FUEL_PCT_DETAIL[#Headers],FUEL_PCT_DETAIL[])) *
SUMIFS(FuelBySector[Ind_Consumed (PJ)],FuelBySector[Fuel Match],DemandPJ_historic[[#This Row],[Fuel]],FuelBySector[Year Match],DemandPJ_historic[[#This Row],[Year]])</f>
        <v>3.8360492140543041</v>
      </c>
      <c r="K18" s="832" cm="1">
        <f t="array" aca="1" ref="K18" ca="1">_xlfn.XLOOKUP(DemandPJ_historic[[#This Row],[Fuel]],FUEL_PCT_DETAIL[Fuel],_xlfn.XLOOKUP(DemandPJ_historic[[#Headers],[Plug Loads/Misc]],FUEL_PCT_DETAIL[#Headers],FUEL_PCT_DETAIL[])) *
SUMIFS(FuelBySector[Ind_Consumed (PJ)],FuelBySector[Fuel Match],DemandPJ_historic[[#This Row],[Fuel]],FuelBySector[Year Match],DemandPJ_historic[[#This Row],[Year]])</f>
        <v>3.6181974254898552</v>
      </c>
    </row>
    <row r="19" spans="2:18">
      <c r="B19" s="829" t="s">
        <v>651</v>
      </c>
      <c r="C19" s="829">
        <v>2023</v>
      </c>
      <c r="D19" s="832" cm="1">
        <f t="array" aca="1" ref="D19" ca="1">_xlfn.XLOOKUP(DemandPJ_historic[[#This Row],[Fuel]],FUEL_PCT_DETAIL[Fuel],_xlfn.XLOOKUP(DemandPJ_historic[[#Headers],[Space Heating]],FUEL_PCT_DETAIL[#Headers],FUEL_PCT_DETAIL[])) *
SUMIFS(FuelBySector[Ind_Consumed (PJ)],FuelBySector[Fuel Match],DemandPJ_historic[[#This Row],[Fuel]],FuelBySector[Year Match],DemandPJ_historic[[#This Row],[Year]])</f>
        <v>14.773046052825503</v>
      </c>
      <c r="E19" s="832" cm="1">
        <f t="array" aca="1" ref="E19" ca="1">_xlfn.XLOOKUP(DemandPJ_historic[[#This Row],[Fuel]],FUEL_PCT_DETAIL[Fuel],_xlfn.XLOOKUP(DemandPJ_historic[[#Headers],[DHW]],FUEL_PCT_DETAIL[#Headers],FUEL_PCT_DETAIL[])) *
SUMIFS(FuelBySector[Ind_Consumed (PJ)],FuelBySector[Fuel Match],DemandPJ_historic[[#This Row],[Fuel]],FuelBySector[Year Match],DemandPJ_historic[[#This Row],[Year]])</f>
        <v>0.48945482906665194</v>
      </c>
      <c r="F19" s="832" cm="1">
        <f t="array" aca="1" ref="F19" ca="1">_xlfn.XLOOKUP(DemandPJ_historic[[#This Row],[Fuel]],FUEL_PCT_DETAIL[Fuel],_xlfn.XLOOKUP(DemandPJ_historic[[#Headers],[Space Cooling]],FUEL_PCT_DETAIL[#Headers],FUEL_PCT_DETAIL[])) *
SUMIFS(FuelBySector[Ind_Consumed (PJ)],FuelBySector[Fuel Match],DemandPJ_historic[[#This Row],[Fuel]],FuelBySector[Year Match],DemandPJ_historic[[#This Row],[Year]])</f>
        <v>0</v>
      </c>
      <c r="G19" s="832" cm="1">
        <f t="array" aca="1" ref="G19" ca="1">_xlfn.XLOOKUP(DemandPJ_historic[[#This Row],[Fuel]],FUEL_PCT_DETAIL[Fuel],_xlfn.XLOOKUP(DemandPJ_historic[[#Headers],[Ventilation]],FUEL_PCT_DETAIL[#Headers],FUEL_PCT_DETAIL[])) *
SUMIFS(FuelBySector[Ind_Consumed (PJ)],FuelBySector[Fuel Match],DemandPJ_historic[[#This Row],[Fuel]],FuelBySector[Year Match],DemandPJ_historic[[#This Row],[Year]])</f>
        <v>0</v>
      </c>
      <c r="H19" s="832" cm="1">
        <f t="array" aca="1" ref="H19" ca="1">_xlfn.XLOOKUP(DemandPJ_historic[[#This Row],[Fuel]],FUEL_PCT_DETAIL[Fuel],_xlfn.XLOOKUP(DemandPJ_historic[[#Headers],[Lighting]],FUEL_PCT_DETAIL[#Headers],FUEL_PCT_DETAIL[])) *
SUMIFS(FuelBySector[Ind_Consumed (PJ)],FuelBySector[Fuel Match],DemandPJ_historic[[#This Row],[Fuel]],FuelBySector[Year Match],DemandPJ_historic[[#This Row],[Year]])</f>
        <v>0</v>
      </c>
      <c r="I19" s="832" cm="1">
        <f t="array" aca="1" ref="I19" ca="1">_xlfn.XLOOKUP(DemandPJ_historic[[#This Row],[Fuel]],FUEL_PCT_DETAIL[Fuel],_xlfn.XLOOKUP(DemandPJ_historic[[#Headers],[Conveyance]],FUEL_PCT_DETAIL[#Headers],FUEL_PCT_DETAIL[])) *
SUMIFS(FuelBySector[Ind_Consumed (PJ)],FuelBySector[Fuel Match],DemandPJ_historic[[#This Row],[Fuel]],FuelBySector[Year Match],DemandPJ_historic[[#This Row],[Year]])</f>
        <v>0</v>
      </c>
      <c r="J19" s="832" cm="1">
        <f t="array" aca="1" ref="J19" ca="1">_xlfn.XLOOKUP(DemandPJ_historic[[#This Row],[Fuel]],FUEL_PCT_DETAIL[Fuel],_xlfn.XLOOKUP(DemandPJ_historic[[#Headers],[Process Loads]],FUEL_PCT_DETAIL[#Headers],FUEL_PCT_DETAIL[])) *
SUMIFS(FuelBySector[Ind_Consumed (PJ)],FuelBySector[Fuel Match],DemandPJ_historic[[#This Row],[Fuel]],FuelBySector[Year Match],DemandPJ_historic[[#This Row],[Year]])</f>
        <v>0.1812577529964918</v>
      </c>
      <c r="K19" s="832" cm="1">
        <f t="array" aca="1" ref="K19" ca="1">_xlfn.XLOOKUP(DemandPJ_historic[[#This Row],[Fuel]],FUEL_PCT_DETAIL[Fuel],_xlfn.XLOOKUP(DemandPJ_historic[[#Headers],[Plug Loads/Misc]],FUEL_PCT_DETAIL[#Headers],FUEL_PCT_DETAIL[])) *
SUMIFS(FuelBySector[Ind_Consumed (PJ)],FuelBySector[Fuel Match],DemandPJ_historic[[#This Row],[Fuel]],FuelBySector[Year Match],DemandPJ_historic[[#This Row],[Year]])</f>
        <v>5.1581414166459658E-2</v>
      </c>
      <c r="M19" s="1163" t="s">
        <v>725</v>
      </c>
    </row>
    <row r="20" spans="2:18">
      <c r="B20" s="829" t="s">
        <v>652</v>
      </c>
      <c r="C20" s="829">
        <v>2023</v>
      </c>
      <c r="D20" s="832" cm="1">
        <f t="array" aca="1" ref="D20" ca="1">_xlfn.XLOOKUP(DemandPJ_historic[[#This Row],[Fuel]],FUEL_PCT_DETAIL[Fuel],_xlfn.XLOOKUP(DemandPJ_historic[[#Headers],[Space Heating]],FUEL_PCT_DETAIL[#Headers],FUEL_PCT_DETAIL[])) *
SUMIFS(FuelBySector[Ind_Consumed (PJ)],FuelBySector[Fuel Match],DemandPJ_historic[[#This Row],[Fuel]],FuelBySector[Year Match],DemandPJ_historic[[#This Row],[Year]])</f>
        <v>1.7808277606600089</v>
      </c>
      <c r="E20" s="832" cm="1">
        <f t="array" aca="1" ref="E20" ca="1">_xlfn.XLOOKUP(DemandPJ_historic[[#This Row],[Fuel]],FUEL_PCT_DETAIL[Fuel],_xlfn.XLOOKUP(DemandPJ_historic[[#Headers],[DHW]],FUEL_PCT_DETAIL[#Headers],FUEL_PCT_DETAIL[])) *
SUMIFS(FuelBySector[Ind_Consumed (PJ)],FuelBySector[Fuel Match],DemandPJ_historic[[#This Row],[Fuel]],FuelBySector[Year Match],DemandPJ_historic[[#This Row],[Year]])</f>
        <v>0.1873917488915014</v>
      </c>
      <c r="F20" s="832" cm="1">
        <f t="array" aca="1" ref="F20" ca="1">_xlfn.XLOOKUP(DemandPJ_historic[[#This Row],[Fuel]],FUEL_PCT_DETAIL[Fuel],_xlfn.XLOOKUP(DemandPJ_historic[[#Headers],[Space Cooling]],FUEL_PCT_DETAIL[#Headers],FUEL_PCT_DETAIL[])) *
SUMIFS(FuelBySector[Ind_Consumed (PJ)],FuelBySector[Fuel Match],DemandPJ_historic[[#This Row],[Fuel]],FuelBySector[Year Match],DemandPJ_historic[[#This Row],[Year]])</f>
        <v>0</v>
      </c>
      <c r="G20" s="832" cm="1">
        <f t="array" aca="1" ref="G20" ca="1">_xlfn.XLOOKUP(DemandPJ_historic[[#This Row],[Fuel]],FUEL_PCT_DETAIL[Fuel],_xlfn.XLOOKUP(DemandPJ_historic[[#Headers],[Ventilation]],FUEL_PCT_DETAIL[#Headers],FUEL_PCT_DETAIL[])) *
SUMIFS(FuelBySector[Ind_Consumed (PJ)],FuelBySector[Fuel Match],DemandPJ_historic[[#This Row],[Fuel]],FuelBySector[Year Match],DemandPJ_historic[[#This Row],[Year]])</f>
        <v>0</v>
      </c>
      <c r="H20" s="832" cm="1">
        <f t="array" aca="1" ref="H20" ca="1">_xlfn.XLOOKUP(DemandPJ_historic[[#This Row],[Fuel]],FUEL_PCT_DETAIL[Fuel],_xlfn.XLOOKUP(DemandPJ_historic[[#Headers],[Lighting]],FUEL_PCT_DETAIL[#Headers],FUEL_PCT_DETAIL[])) *
SUMIFS(FuelBySector[Ind_Consumed (PJ)],FuelBySector[Fuel Match],DemandPJ_historic[[#This Row],[Fuel]],FuelBySector[Year Match],DemandPJ_historic[[#This Row],[Year]])</f>
        <v>0</v>
      </c>
      <c r="I20" s="832" cm="1">
        <f t="array" aca="1" ref="I20" ca="1">_xlfn.XLOOKUP(DemandPJ_historic[[#This Row],[Fuel]],FUEL_PCT_DETAIL[Fuel],_xlfn.XLOOKUP(DemandPJ_historic[[#Headers],[Conveyance]],FUEL_PCT_DETAIL[#Headers],FUEL_PCT_DETAIL[])) *
SUMIFS(FuelBySector[Ind_Consumed (PJ)],FuelBySector[Fuel Match],DemandPJ_historic[[#This Row],[Fuel]],FuelBySector[Year Match],DemandPJ_historic[[#This Row],[Year]])</f>
        <v>0</v>
      </c>
      <c r="J20" s="832" cm="1">
        <f t="array" aca="1" ref="J20" ca="1">_xlfn.XLOOKUP(DemandPJ_historic[[#This Row],[Fuel]],FUEL_PCT_DETAIL[Fuel],_xlfn.XLOOKUP(DemandPJ_historic[[#Headers],[Process Loads]],FUEL_PCT_DETAIL[#Headers],FUEL_PCT_DETAIL[])) *
SUMIFS(FuelBySector[Ind_Consumed (PJ)],FuelBySector[Fuel Match],DemandPJ_historic[[#This Row],[Fuel]],FuelBySector[Year Match],DemandPJ_historic[[#This Row],[Year]])</f>
        <v>5.7833047655634608E-2</v>
      </c>
      <c r="K20" s="832" cm="1">
        <f t="array" aca="1" ref="K20" ca="1">_xlfn.XLOOKUP(DemandPJ_historic[[#This Row],[Fuel]],FUEL_PCT_DETAIL[Fuel],_xlfn.XLOOKUP(DemandPJ_historic[[#Headers],[Plug Loads/Misc]],FUEL_PCT_DETAIL[#Headers],FUEL_PCT_DETAIL[])) *
SUMIFS(FuelBySector[Ind_Consumed (PJ)],FuelBySector[Fuel Match],DemandPJ_historic[[#This Row],[Fuel]],FuelBySector[Year Match],DemandPJ_historic[[#This Row],[Year]])</f>
        <v>0</v>
      </c>
      <c r="M20" s="1163" t="s">
        <v>721</v>
      </c>
    </row>
    <row r="21" spans="2:18">
      <c r="B21" s="829" t="s">
        <v>638</v>
      </c>
      <c r="C21" s="829">
        <v>2023</v>
      </c>
      <c r="D21" s="832" cm="1">
        <f t="array" aca="1" ref="D21" ca="1">_xlfn.XLOOKUP(DemandPJ_historic[[#This Row],[Fuel]],FUEL_PCT_DETAIL[Fuel],_xlfn.XLOOKUP(DemandPJ_historic[[#Headers],[Space Heating]],FUEL_PCT_DETAIL[#Headers],FUEL_PCT_DETAIL[])) *
SUMIFS(FuelBySector[Ind_Consumed (PJ)],FuelBySector[Fuel Match],DemandPJ_historic[[#This Row],[Fuel]],FuelBySector[Year Match],DemandPJ_historic[[#This Row],[Year]])</f>
        <v>2.4280968176066375</v>
      </c>
      <c r="E21" s="832" cm="1">
        <f t="array" aca="1" ref="E21" ca="1">_xlfn.XLOOKUP(DemandPJ_historic[[#This Row],[Fuel]],FUEL_PCT_DETAIL[Fuel],_xlfn.XLOOKUP(DemandPJ_historic[[#Headers],[DHW]],FUEL_PCT_DETAIL[#Headers],FUEL_PCT_DETAIL[])) *
SUMIFS(FuelBySector[Ind_Consumed (PJ)],FuelBySector[Fuel Match],DemandPJ_historic[[#This Row],[Fuel]],FuelBySector[Year Match],DemandPJ_historic[[#This Row],[Year]])</f>
        <v>0.7324287683232199</v>
      </c>
      <c r="F21" s="832" cm="1">
        <f t="array" aca="1" ref="F21" ca="1">_xlfn.XLOOKUP(DemandPJ_historic[[#This Row],[Fuel]],FUEL_PCT_DETAIL[Fuel],_xlfn.XLOOKUP(DemandPJ_historic[[#Headers],[Space Cooling]],FUEL_PCT_DETAIL[#Headers],FUEL_PCT_DETAIL[])) *
SUMIFS(FuelBySector[Ind_Consumed (PJ)],FuelBySector[Fuel Match],DemandPJ_historic[[#This Row],[Fuel]],FuelBySector[Year Match],DemandPJ_historic[[#This Row],[Year]])</f>
        <v>0</v>
      </c>
      <c r="G21" s="832" cm="1">
        <f t="array" aca="1" ref="G21" ca="1">_xlfn.XLOOKUP(DemandPJ_historic[[#This Row],[Fuel]],FUEL_PCT_DETAIL[Fuel],_xlfn.XLOOKUP(DemandPJ_historic[[#Headers],[Ventilation]],FUEL_PCT_DETAIL[#Headers],FUEL_PCT_DETAIL[])) *
SUMIFS(FuelBySector[Ind_Consumed (PJ)],FuelBySector[Fuel Match],DemandPJ_historic[[#This Row],[Fuel]],FuelBySector[Year Match],DemandPJ_historic[[#This Row],[Year]])</f>
        <v>0</v>
      </c>
      <c r="H21" s="832" cm="1">
        <f t="array" aca="1" ref="H21" ca="1">_xlfn.XLOOKUP(DemandPJ_historic[[#This Row],[Fuel]],FUEL_PCT_DETAIL[Fuel],_xlfn.XLOOKUP(DemandPJ_historic[[#Headers],[Lighting]],FUEL_PCT_DETAIL[#Headers],FUEL_PCT_DETAIL[])) *
SUMIFS(FuelBySector[Ind_Consumed (PJ)],FuelBySector[Fuel Match],DemandPJ_historic[[#This Row],[Fuel]],FuelBySector[Year Match],DemandPJ_historic[[#This Row],[Year]])</f>
        <v>0</v>
      </c>
      <c r="I21" s="832" cm="1">
        <f t="array" aca="1" ref="I21" ca="1">_xlfn.XLOOKUP(DemandPJ_historic[[#This Row],[Fuel]],FUEL_PCT_DETAIL[Fuel],_xlfn.XLOOKUP(DemandPJ_historic[[#Headers],[Conveyance]],FUEL_PCT_DETAIL[#Headers],FUEL_PCT_DETAIL[])) *
SUMIFS(FuelBySector[Ind_Consumed (PJ)],FuelBySector[Fuel Match],DemandPJ_historic[[#This Row],[Fuel]],FuelBySector[Year Match],DemandPJ_historic[[#This Row],[Year]])</f>
        <v>0</v>
      </c>
      <c r="J21" s="832" cm="1">
        <f t="array" aca="1" ref="J21" ca="1">_xlfn.XLOOKUP(DemandPJ_historic[[#This Row],[Fuel]],FUEL_PCT_DETAIL[Fuel],_xlfn.XLOOKUP(DemandPJ_historic[[#Headers],[Process Loads]],FUEL_PCT_DETAIL[#Headers],FUEL_PCT_DETAIL[])) *
SUMIFS(FuelBySector[Ind_Consumed (PJ)],FuelBySector[Fuel Match],DemandPJ_historic[[#This Row],[Fuel]],FuelBySector[Year Match],DemandPJ_historic[[#This Row],[Year]])</f>
        <v>0</v>
      </c>
      <c r="K21" s="832" cm="1">
        <f t="array" aca="1" ref="K21" ca="1">_xlfn.XLOOKUP(DemandPJ_historic[[#This Row],[Fuel]],FUEL_PCT_DETAIL[Fuel],_xlfn.XLOOKUP(DemandPJ_historic[[#Headers],[Plug Loads/Misc]],FUEL_PCT_DETAIL[#Headers],FUEL_PCT_DETAIL[])) *
SUMIFS(FuelBySector[Ind_Consumed (PJ)],FuelBySector[Fuel Match],DemandPJ_historic[[#This Row],[Fuel]],FuelBySector[Year Match],DemandPJ_historic[[#This Row],[Year]])</f>
        <v>1.3238227795866003E-5</v>
      </c>
      <c r="M21" s="1237" t="s">
        <v>722</v>
      </c>
      <c r="N21" s="1237" t="s">
        <v>13</v>
      </c>
      <c r="O21" s="1237" t="s">
        <v>18</v>
      </c>
      <c r="P21" s="1237" t="s">
        <v>16</v>
      </c>
      <c r="Q21" s="1237" t="s">
        <v>20</v>
      </c>
      <c r="R21" s="1237" t="s">
        <v>295</v>
      </c>
    </row>
    <row r="22" spans="2:18">
      <c r="M22" s="1238" t="s">
        <v>32</v>
      </c>
      <c r="N22" s="1239">
        <f t="shared" ref="N22:P25" ca="1" si="3">D14/SUM(D$14:D$17)</f>
        <v>3.5167152069909217E-2</v>
      </c>
      <c r="O22" s="1239">
        <f t="shared" ca="1" si="3"/>
        <v>0.21224238779166615</v>
      </c>
      <c r="P22" s="1239">
        <f t="shared" ca="1" si="3"/>
        <v>1</v>
      </c>
      <c r="Q22" s="1239">
        <f ca="1">H14/SUM(H$14:H$17)</f>
        <v>1</v>
      </c>
      <c r="R22" s="1239">
        <f ca="1">SUM(G14,I14,J14,K14)/SUM(G$14:G$17,I$14:I$17,J$14:J$17,K$14:K$17)</f>
        <v>0.95715788963319171</v>
      </c>
    </row>
    <row r="23" spans="2:18">
      <c r="M23" s="1238" t="s">
        <v>651</v>
      </c>
      <c r="N23" s="1239">
        <f t="shared" ca="1" si="3"/>
        <v>0.82537895044222809</v>
      </c>
      <c r="O23" s="1239">
        <f t="shared" ca="1" si="3"/>
        <v>0.37509313926732507</v>
      </c>
      <c r="P23" s="1239">
        <f t="shared" ca="1" si="3"/>
        <v>0</v>
      </c>
      <c r="Q23" s="1239">
        <f ca="1">H15/SUM(H$14:H$17)</f>
        <v>0</v>
      </c>
      <c r="R23" s="1239">
        <f ca="1">SUM(G15,I15,J15,K15)/SUM(G$14:G$17,I$14:I$17,J$14:J$17,K$14:K$17)</f>
        <v>3.7179624004763399E-2</v>
      </c>
    </row>
    <row r="24" spans="2:18">
      <c r="B24" s="1163" t="s">
        <v>726</v>
      </c>
      <c r="M24" s="1238" t="s">
        <v>652</v>
      </c>
      <c r="N24" s="1239">
        <f t="shared" ca="1" si="3"/>
        <v>6.0994912271688559E-2</v>
      </c>
      <c r="O24" s="1239">
        <f t="shared" ca="1" si="3"/>
        <v>8.8037018074379664E-2</v>
      </c>
      <c r="P24" s="1239">
        <f t="shared" ca="1" si="3"/>
        <v>0</v>
      </c>
      <c r="Q24" s="1239">
        <f ca="1">H16/SUM(H$14:H$17)</f>
        <v>0</v>
      </c>
      <c r="R24" s="1239">
        <f ca="1">SUM(G16,I16,J16,K16)/SUM(G$14:G$17,I$14:I$17,J$14:J$17,K$14:K$17)</f>
        <v>5.6612637964892952E-3</v>
      </c>
    </row>
    <row r="25" spans="2:18">
      <c r="B25" s="1163" t="s">
        <v>720</v>
      </c>
      <c r="M25" s="1238" t="s">
        <v>638</v>
      </c>
      <c r="N25" s="1239">
        <f t="shared" ca="1" si="3"/>
        <v>7.8458985216174101E-2</v>
      </c>
      <c r="O25" s="1239">
        <f t="shared" ca="1" si="3"/>
        <v>0.32462745486662908</v>
      </c>
      <c r="P25" s="1239">
        <f t="shared" ca="1" si="3"/>
        <v>0</v>
      </c>
      <c r="Q25" s="1239">
        <f ca="1">H17/SUM(H$14:H$17)</f>
        <v>0</v>
      </c>
      <c r="R25" s="1239">
        <f ca="1">SUM(G17,I17,J17,K17)/SUM(G$14:G$17,I$14:I$17,J$14:J$17,K$14:K$17)</f>
        <v>1.2225655556350795E-6</v>
      </c>
    </row>
    <row r="26" spans="2:18">
      <c r="B26" s="827" t="s">
        <v>722</v>
      </c>
      <c r="C26" s="827" t="s">
        <v>723</v>
      </c>
      <c r="D26" s="828" t="s">
        <v>260</v>
      </c>
      <c r="E26" s="828" t="s">
        <v>264</v>
      </c>
      <c r="F26" s="828" t="s">
        <v>262</v>
      </c>
      <c r="G26" s="828" t="s">
        <v>269</v>
      </c>
      <c r="H26" s="828" t="s">
        <v>266</v>
      </c>
      <c r="I26" s="828" t="s">
        <v>275</v>
      </c>
      <c r="J26" s="828" t="s">
        <v>280</v>
      </c>
      <c r="K26" s="828" t="s">
        <v>286</v>
      </c>
    </row>
    <row r="27" spans="2:18">
      <c r="B27" s="829" t="s">
        <v>32</v>
      </c>
      <c r="C27" s="829" t="s">
        <v>727</v>
      </c>
      <c r="D27" s="1167" cm="1">
        <f t="array" aca="1" ref="D27" ca="1">(1+_xlfn.XLOOKUP(DemandPJ_projection[[#This Row],[Fuel]],Fuel_GrowthRate[Fuel],_xlfn.XLOOKUP(DemandPJ_projection[[#This Row],[Year]],Fuel_GrowthRate[#Headers],Fuel_GrowthRate[]))) *
_xlfn.XLOOKUP(1,(DemandPJ_projection[[#This Row],[Fuel]]=DemandPJ_historic[Fuel])*(2023=DemandPJ_historic[Year]),DemandPJ_historic[Space Heating])</f>
        <v>1.1976773336836888</v>
      </c>
      <c r="E27" s="1167" cm="1">
        <f t="array" aca="1" ref="E27" ca="1">(1+_xlfn.XLOOKUP(DemandPJ_projection[[#This Row],[Fuel]],Fuel_GrowthRate[Fuel],_xlfn.XLOOKUP(DemandPJ_projection[[#This Row],[Year]],Fuel_GrowthRate[#Headers],Fuel_GrowthRate[]))) *
_xlfn.XLOOKUP(1,(DemandPJ_projection[[#This Row],[Fuel]]=DemandPJ_historic[Fuel])*(2023=DemandPJ_historic[Year]),DemandPJ_historic[DHW])</f>
        <v>0.52697691210594177</v>
      </c>
      <c r="F27" s="1167" cm="1">
        <f t="array" aca="1" ref="F27" ca="1">(1+_xlfn.XLOOKUP(DemandPJ_projection[[#This Row],[Fuel]],Fuel_GrowthRate[Fuel],_xlfn.XLOOKUP(DemandPJ_projection[[#This Row],[Year]],Fuel_GrowthRate[#Headers],Fuel_GrowthRate[]))) *
_xlfn.XLOOKUP(1,(DemandPJ_projection[[#This Row],[Fuel]]=DemandPJ_historic[Fuel])*(2023=DemandPJ_historic[Year]),DemandPJ_historic[Space Cooling])</f>
        <v>3.63028110889586</v>
      </c>
      <c r="G27" s="1167" cm="1">
        <f t="array" aca="1" ref="G27" ca="1">(1+_xlfn.XLOOKUP(DemandPJ_projection[[#This Row],[Fuel]],Fuel_GrowthRate[Fuel],_xlfn.XLOOKUP(DemandPJ_projection[[#This Row],[Year]],Fuel_GrowthRate[#Headers],Fuel_GrowthRate[]))) *
_xlfn.XLOOKUP(1,(DemandPJ_projection[[#This Row],[Fuel]]=DemandPJ_historic[Fuel])*(2023=DemandPJ_historic[Year]),DemandPJ_historic[Ventilation])</f>
        <v>2.4044841975534044</v>
      </c>
      <c r="H27" s="1167" cm="1">
        <f t="array" aca="1" ref="H27" ca="1">(1+_xlfn.XLOOKUP(DemandPJ_projection[[#This Row],[Fuel]],Fuel_GrowthRate[Fuel],_xlfn.XLOOKUP(DemandPJ_projection[[#This Row],[Year]],Fuel_GrowthRate[#Headers],Fuel_GrowthRate[]))) *
_xlfn.XLOOKUP(1,(DemandPJ_projection[[#This Row],[Fuel]]=DemandPJ_historic[Fuel])*(2023=DemandPJ_historic[Year]),DemandPJ_historic[Lighting])</f>
        <v>11.332592759665717</v>
      </c>
      <c r="I27" s="1167" cm="1">
        <f t="array" aca="1" ref="I27" ca="1">(1+_xlfn.XLOOKUP(DemandPJ_projection[[#This Row],[Fuel]],Fuel_GrowthRate[Fuel],_xlfn.XLOOKUP(DemandPJ_projection[[#This Row],[Year]],Fuel_GrowthRate[#Headers],Fuel_GrowthRate[]))) *
_xlfn.XLOOKUP(1,(DemandPJ_projection[[#This Row],[Fuel]]=DemandPJ_historic[Fuel])*(2023=DemandPJ_historic[Year]),DemandPJ_historic[Conveyance])</f>
        <v>1.709636025945197</v>
      </c>
      <c r="J27" s="1167" cm="1">
        <f t="array" aca="1" ref="J27" ca="1">(1+_xlfn.XLOOKUP(DemandPJ_projection[[#This Row],[Fuel]],Fuel_GrowthRate[Fuel],_xlfn.XLOOKUP(DemandPJ_projection[[#This Row],[Year]],Fuel_GrowthRate[#Headers],Fuel_GrowthRate[]))) *
_xlfn.XLOOKUP(1,(DemandPJ_projection[[#This Row],[Fuel]]=DemandPJ_historic[Fuel])*(2023=DemandPJ_historic[Year]),DemandPJ_historic[Process Loads])</f>
        <v>3.7523205688529639</v>
      </c>
      <c r="K27" s="1167" cm="1">
        <f t="array" aca="1" ref="K27" ca="1">(1+_xlfn.XLOOKUP(DemandPJ_projection[[#This Row],[Fuel]],Fuel_GrowthRate[Fuel],_xlfn.XLOOKUP(DemandPJ_projection[[#This Row],[Year]],Fuel_GrowthRate[#Headers],Fuel_GrowthRate[]))) *
_xlfn.XLOOKUP(1,(DemandPJ_projection[[#This Row],[Fuel]]=DemandPJ_historic[Fuel])*(2023=DemandPJ_historic[Year]),DemandPJ_historic[Plug Loads/Misc])</f>
        <v>3.5392237857885389</v>
      </c>
      <c r="M27" s="1163" t="s">
        <v>728</v>
      </c>
    </row>
    <row r="28" spans="2:18">
      <c r="B28" s="829" t="s">
        <v>651</v>
      </c>
      <c r="C28" s="829" t="s">
        <v>727</v>
      </c>
      <c r="D28" s="1167" cm="1">
        <f t="array" aca="1" ref="D28" ca="1">(1+_xlfn.XLOOKUP(DemandPJ_projection[[#This Row],[Fuel]],Fuel_GrowthRate[Fuel],_xlfn.XLOOKUP(DemandPJ_projection[[#This Row],[Year]],Fuel_GrowthRate[#Headers],Fuel_GrowthRate[]))) *
_xlfn.XLOOKUP(1,(DemandPJ_projection[[#This Row],[Fuel]]=DemandPJ_historic[Fuel])*(2023=DemandPJ_historic[Year]),DemandPJ_historic[Space Heating])</f>
        <v>14.376115435886177</v>
      </c>
      <c r="E28" s="1167" cm="1">
        <f t="array" aca="1" ref="E28" ca="1">(1+_xlfn.XLOOKUP(DemandPJ_projection[[#This Row],[Fuel]],Fuel_GrowthRate[Fuel],_xlfn.XLOOKUP(DemandPJ_projection[[#This Row],[Year]],Fuel_GrowthRate[#Headers],Fuel_GrowthRate[]))) *
_xlfn.XLOOKUP(1,(DemandPJ_projection[[#This Row],[Fuel]]=DemandPJ_historic[Fuel])*(2023=DemandPJ_historic[Year]),DemandPJ_historic[DHW])</f>
        <v>0.47630387789716039</v>
      </c>
      <c r="F28" s="1167" cm="1">
        <f t="array" aca="1" ref="F28"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28" s="1167" cm="1">
        <f t="array" aca="1" ref="G28" ca="1">(1+_xlfn.XLOOKUP(DemandPJ_projection[[#This Row],[Fuel]],Fuel_GrowthRate[Fuel],_xlfn.XLOOKUP(DemandPJ_projection[[#This Row],[Year]],Fuel_GrowthRate[#Headers],Fuel_GrowthRate[]))) *
_xlfn.XLOOKUP(1,(DemandPJ_projection[[#This Row],[Fuel]]=DemandPJ_historic[Fuel])*(2023=DemandPJ_historic[Year]),DemandPJ_historic[Ventilation])</f>
        <v>0</v>
      </c>
      <c r="H28" s="1167" cm="1">
        <f t="array" aca="1" ref="H28" ca="1">(1+_xlfn.XLOOKUP(DemandPJ_projection[[#This Row],[Fuel]],Fuel_GrowthRate[Fuel],_xlfn.XLOOKUP(DemandPJ_projection[[#This Row],[Year]],Fuel_GrowthRate[#Headers],Fuel_GrowthRate[]))) *
_xlfn.XLOOKUP(1,(DemandPJ_projection[[#This Row],[Fuel]]=DemandPJ_historic[Fuel])*(2023=DemandPJ_historic[Year]),DemandPJ_historic[Lighting])</f>
        <v>0</v>
      </c>
      <c r="I28" s="1167" cm="1">
        <f t="array" aca="1" ref="I28" ca="1">(1+_xlfn.XLOOKUP(DemandPJ_projection[[#This Row],[Fuel]],Fuel_GrowthRate[Fuel],_xlfn.XLOOKUP(DemandPJ_projection[[#This Row],[Year]],Fuel_GrowthRate[#Headers],Fuel_GrowthRate[]))) *
_xlfn.XLOOKUP(1,(DemandPJ_projection[[#This Row],[Fuel]]=DemandPJ_historic[Fuel])*(2023=DemandPJ_historic[Year]),DemandPJ_historic[Conveyance])</f>
        <v>0</v>
      </c>
      <c r="J28" s="1167" cm="1">
        <f t="array" aca="1" ref="J28" ca="1">(1+_xlfn.XLOOKUP(DemandPJ_projection[[#This Row],[Fuel]],Fuel_GrowthRate[Fuel],_xlfn.XLOOKUP(DemandPJ_projection[[#This Row],[Year]],Fuel_GrowthRate[#Headers],Fuel_GrowthRate[]))) *
_xlfn.XLOOKUP(1,(DemandPJ_projection[[#This Row],[Fuel]]=DemandPJ_historic[Fuel])*(2023=DemandPJ_historic[Year]),DemandPJ_historic[Process Loads])</f>
        <v>0.17638761643395312</v>
      </c>
      <c r="K28" s="1167" cm="1">
        <f t="array" aca="1" ref="K28" ca="1">(1+_xlfn.XLOOKUP(DemandPJ_projection[[#This Row],[Fuel]],Fuel_GrowthRate[Fuel],_xlfn.XLOOKUP(DemandPJ_projection[[#This Row],[Year]],Fuel_GrowthRate[#Headers],Fuel_GrowthRate[]))) *
_xlfn.XLOOKUP(1,(DemandPJ_projection[[#This Row],[Fuel]]=DemandPJ_historic[Fuel])*(2023=DemandPJ_historic[Year]),DemandPJ_historic[Plug Loads/Misc])</f>
        <v>5.0195495346841562E-2</v>
      </c>
      <c r="M28" s="1163" t="s">
        <v>721</v>
      </c>
    </row>
    <row r="29" spans="2:18">
      <c r="B29" s="829" t="s">
        <v>652</v>
      </c>
      <c r="C29" s="829" t="s">
        <v>727</v>
      </c>
      <c r="D29" s="1167" cm="1">
        <f t="array" aca="1" ref="D29" ca="1">(1+_xlfn.XLOOKUP(DemandPJ_projection[[#This Row],[Fuel]],Fuel_GrowthRate[Fuel],_xlfn.XLOOKUP(DemandPJ_projection[[#This Row],[Year]],Fuel_GrowthRate[#Headers],Fuel_GrowthRate[]))) *
_xlfn.XLOOKUP(1,(DemandPJ_projection[[#This Row],[Fuel]]=DemandPJ_historic[Fuel])*(2023=DemandPJ_historic[Year]),DemandPJ_historic[Space Heating])</f>
        <v>1.6669560820953548</v>
      </c>
      <c r="E29" s="1167" cm="1">
        <f t="array" aca="1" ref="E29" ca="1">(1+_xlfn.XLOOKUP(DemandPJ_projection[[#This Row],[Fuel]],Fuel_GrowthRate[Fuel],_xlfn.XLOOKUP(DemandPJ_projection[[#This Row],[Year]],Fuel_GrowthRate[#Headers],Fuel_GrowthRate[]))) *
_xlfn.XLOOKUP(1,(DemandPJ_projection[[#This Row],[Fuel]]=DemandPJ_historic[Fuel])*(2023=DemandPJ_historic[Year]),DemandPJ_historic[DHW])</f>
        <v>0.17540933629280464</v>
      </c>
      <c r="F29" s="1167" cm="1">
        <f t="array" aca="1" ref="F29"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29" s="1167" cm="1">
        <f t="array" aca="1" ref="G29" ca="1">(1+_xlfn.XLOOKUP(DemandPJ_projection[[#This Row],[Fuel]],Fuel_GrowthRate[Fuel],_xlfn.XLOOKUP(DemandPJ_projection[[#This Row],[Year]],Fuel_GrowthRate[#Headers],Fuel_GrowthRate[]))) *
_xlfn.XLOOKUP(1,(DemandPJ_projection[[#This Row],[Fuel]]=DemandPJ_historic[Fuel])*(2023=DemandPJ_historic[Year]),DemandPJ_historic[Ventilation])</f>
        <v>0</v>
      </c>
      <c r="H29" s="1167" cm="1">
        <f t="array" aca="1" ref="H29" ca="1">(1+_xlfn.XLOOKUP(DemandPJ_projection[[#This Row],[Fuel]],Fuel_GrowthRate[Fuel],_xlfn.XLOOKUP(DemandPJ_projection[[#This Row],[Year]],Fuel_GrowthRate[#Headers],Fuel_GrowthRate[]))) *
_xlfn.XLOOKUP(1,(DemandPJ_projection[[#This Row],[Fuel]]=DemandPJ_historic[Fuel])*(2023=DemandPJ_historic[Year]),DemandPJ_historic[Lighting])</f>
        <v>0</v>
      </c>
      <c r="I29" s="1167" cm="1">
        <f t="array" aca="1" ref="I29" ca="1">(1+_xlfn.XLOOKUP(DemandPJ_projection[[#This Row],[Fuel]],Fuel_GrowthRate[Fuel],_xlfn.XLOOKUP(DemandPJ_projection[[#This Row],[Year]],Fuel_GrowthRate[#Headers],Fuel_GrowthRate[]))) *
_xlfn.XLOOKUP(1,(DemandPJ_projection[[#This Row],[Fuel]]=DemandPJ_historic[Fuel])*(2023=DemandPJ_historic[Year]),DemandPJ_historic[Conveyance])</f>
        <v>0</v>
      </c>
      <c r="J29" s="1167" cm="1">
        <f t="array" aca="1" ref="J29" ca="1">(1+_xlfn.XLOOKUP(DemandPJ_projection[[#This Row],[Fuel]],Fuel_GrowthRate[Fuel],_xlfn.XLOOKUP(DemandPJ_projection[[#This Row],[Year]],Fuel_GrowthRate[#Headers],Fuel_GrowthRate[]))) *
_xlfn.XLOOKUP(1,(DemandPJ_projection[[#This Row],[Fuel]]=DemandPJ_historic[Fuel])*(2023=DemandPJ_historic[Year]),DemandPJ_historic[Process Loads])</f>
        <v>5.4135022299933722E-2</v>
      </c>
      <c r="K29" s="1167" cm="1">
        <f t="array" aca="1" ref="K29" ca="1">(1+_xlfn.XLOOKUP(DemandPJ_projection[[#This Row],[Fuel]],Fuel_GrowthRate[Fuel],_xlfn.XLOOKUP(DemandPJ_projection[[#This Row],[Year]],Fuel_GrowthRate[#Headers],Fuel_GrowthRate[]))) *
_xlfn.XLOOKUP(1,(DemandPJ_projection[[#This Row],[Fuel]]=DemandPJ_historic[Fuel])*(2023=DemandPJ_historic[Year]),DemandPJ_historic[Plug Loads/Misc])</f>
        <v>0</v>
      </c>
      <c r="M29" s="1237" t="s">
        <v>722</v>
      </c>
      <c r="N29" s="1237" t="s">
        <v>13</v>
      </c>
      <c r="O29" s="1237" t="s">
        <v>18</v>
      </c>
      <c r="P29" s="1237" t="s">
        <v>16</v>
      </c>
      <c r="Q29" s="1237" t="s">
        <v>20</v>
      </c>
      <c r="R29" s="1237" t="s">
        <v>295</v>
      </c>
    </row>
    <row r="30" spans="2:18">
      <c r="B30" s="829" t="s">
        <v>638</v>
      </c>
      <c r="C30" s="829" t="s">
        <v>727</v>
      </c>
      <c r="D30" s="1167" cm="1">
        <f t="array" aca="1" ref="D30" ca="1">(1+_xlfn.XLOOKUP(DemandPJ_projection[[#This Row],[Fuel]],Fuel_GrowthRate[Fuel],_xlfn.XLOOKUP(DemandPJ_projection[[#This Row],[Year]],Fuel_GrowthRate[#Headers],Fuel_GrowthRate[]))) *
_xlfn.XLOOKUP(1,(DemandPJ_projection[[#This Row],[Fuel]]=DemandPJ_historic[Fuel])*(2023=DemandPJ_historic[Year]),DemandPJ_historic[Space Heating])</f>
        <v>2.1870110372534914</v>
      </c>
      <c r="E30" s="1167" cm="1">
        <f t="array" aca="1" ref="E30" ca="1">(1+_xlfn.XLOOKUP(DemandPJ_projection[[#This Row],[Fuel]],Fuel_GrowthRate[Fuel],_xlfn.XLOOKUP(DemandPJ_projection[[#This Row],[Year]],Fuel_GrowthRate[#Headers],Fuel_GrowthRate[]))) *
_xlfn.XLOOKUP(1,(DemandPJ_projection[[#This Row],[Fuel]]=DemandPJ_historic[Fuel])*(2023=DemandPJ_historic[Year]),DemandPJ_historic[DHW])</f>
        <v>0.65970590163854237</v>
      </c>
      <c r="F30" s="1167" cm="1">
        <f t="array" aca="1" ref="F30"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30" s="1167" cm="1">
        <f t="array" aca="1" ref="G30" ca="1">(1+_xlfn.XLOOKUP(DemandPJ_projection[[#This Row],[Fuel]],Fuel_GrowthRate[Fuel],_xlfn.XLOOKUP(DemandPJ_projection[[#This Row],[Year]],Fuel_GrowthRate[#Headers],Fuel_GrowthRate[]))) *
_xlfn.XLOOKUP(1,(DemandPJ_projection[[#This Row],[Fuel]]=DemandPJ_historic[Fuel])*(2023=DemandPJ_historic[Year]),DemandPJ_historic[Ventilation])</f>
        <v>0</v>
      </c>
      <c r="H30" s="1167" cm="1">
        <f t="array" aca="1" ref="H30" ca="1">(1+_xlfn.XLOOKUP(DemandPJ_projection[[#This Row],[Fuel]],Fuel_GrowthRate[Fuel],_xlfn.XLOOKUP(DemandPJ_projection[[#This Row],[Year]],Fuel_GrowthRate[#Headers],Fuel_GrowthRate[]))) *
_xlfn.XLOOKUP(1,(DemandPJ_projection[[#This Row],[Fuel]]=DemandPJ_historic[Fuel])*(2023=DemandPJ_historic[Year]),DemandPJ_historic[Lighting])</f>
        <v>0</v>
      </c>
      <c r="I30" s="1167" cm="1">
        <f t="array" aca="1" ref="I30" ca="1">(1+_xlfn.XLOOKUP(DemandPJ_projection[[#This Row],[Fuel]],Fuel_GrowthRate[Fuel],_xlfn.XLOOKUP(DemandPJ_projection[[#This Row],[Year]],Fuel_GrowthRate[#Headers],Fuel_GrowthRate[]))) *
_xlfn.XLOOKUP(1,(DemandPJ_projection[[#This Row],[Fuel]]=DemandPJ_historic[Fuel])*(2023=DemandPJ_historic[Year]),DemandPJ_historic[Conveyance])</f>
        <v>0</v>
      </c>
      <c r="J30" s="1167" cm="1">
        <f t="array" aca="1" ref="J30" ca="1">(1+_xlfn.XLOOKUP(DemandPJ_projection[[#This Row],[Fuel]],Fuel_GrowthRate[Fuel],_xlfn.XLOOKUP(DemandPJ_projection[[#This Row],[Year]],Fuel_GrowthRate[#Headers],Fuel_GrowthRate[]))) *
_xlfn.XLOOKUP(1,(DemandPJ_projection[[#This Row],[Fuel]]=DemandPJ_historic[Fuel])*(2023=DemandPJ_historic[Year]),DemandPJ_historic[Process Loads])</f>
        <v>0</v>
      </c>
      <c r="K30" s="1167" cm="1">
        <f t="array" aca="1" ref="K30" ca="1">(1+_xlfn.XLOOKUP(DemandPJ_projection[[#This Row],[Fuel]],Fuel_GrowthRate[Fuel],_xlfn.XLOOKUP(DemandPJ_projection[[#This Row],[Year]],Fuel_GrowthRate[#Headers],Fuel_GrowthRate[]))) *
_xlfn.XLOOKUP(1,(DemandPJ_projection[[#This Row],[Fuel]]=DemandPJ_historic[Fuel])*(2023=DemandPJ_historic[Year]),DemandPJ_historic[Plug Loads/Misc])</f>
        <v>1.1923803899950288E-5</v>
      </c>
      <c r="M30" s="1238" t="s">
        <v>32</v>
      </c>
      <c r="N30" s="1239">
        <f t="shared" ref="N30:P33" ca="1" si="4">D18/SUM(D$18:D$21)</f>
        <v>6.0594848904641653E-2</v>
      </c>
      <c r="O30" s="1239">
        <f t="shared" ca="1" si="4"/>
        <v>0.27655683111238677</v>
      </c>
      <c r="P30" s="1239">
        <f t="shared" ca="1" si="4"/>
        <v>1</v>
      </c>
      <c r="Q30" s="1239">
        <f ca="1">H18/SUM(H$18:H$21)</f>
        <v>1</v>
      </c>
      <c r="R30" s="1239">
        <f ca="1">SUM(G18,I18,J18,K18)/SUM(G$18:G$21,I$18:I$21,J$18:J$21,K$18:K$21)</f>
        <v>0.97567659594237077</v>
      </c>
    </row>
    <row r="31" spans="2:18">
      <c r="B31" s="829" t="s">
        <v>32</v>
      </c>
      <c r="C31" s="829" t="s">
        <v>729</v>
      </c>
      <c r="D31" s="1167" cm="1">
        <f t="array" aca="1" ref="D31" ca="1">(1+_xlfn.XLOOKUP(DemandPJ_projection[[#This Row],[Fuel]],Fuel_GrowthRate[Fuel],_xlfn.XLOOKUP(DemandPJ_projection[[#This Row],[Year]],Fuel_GrowthRate[#Headers],Fuel_GrowthRate[]))) *
_xlfn.XLOOKUP(1,(DemandPJ_projection[[#This Row],[Fuel]]=DemandPJ_historic[Fuel])*(2023=DemandPJ_historic[Year]),DemandPJ_historic[Space Heating])</f>
        <v>1.2171758976920517</v>
      </c>
      <c r="E31" s="1167" cm="1">
        <f t="array" aca="1" ref="E31" ca="1">(1+_xlfn.XLOOKUP(DemandPJ_projection[[#This Row],[Fuel]],Fuel_GrowthRate[Fuel],_xlfn.XLOOKUP(DemandPJ_projection[[#This Row],[Year]],Fuel_GrowthRate[#Headers],Fuel_GrowthRate[]))) *
_xlfn.XLOOKUP(1,(DemandPJ_projection[[#This Row],[Fuel]]=DemandPJ_historic[Fuel])*(2023=DemandPJ_historic[Year]),DemandPJ_historic[DHW])</f>
        <v>0.53555626212171237</v>
      </c>
      <c r="F31" s="1167" cm="1">
        <f t="array" aca="1" ref="F31" ca="1">(1+_xlfn.XLOOKUP(DemandPJ_projection[[#This Row],[Fuel]],Fuel_GrowthRate[Fuel],_xlfn.XLOOKUP(DemandPJ_projection[[#This Row],[Year]],Fuel_GrowthRate[#Headers],Fuel_GrowthRate[]))) *
_xlfn.XLOOKUP(1,(DemandPJ_projection[[#This Row],[Fuel]]=DemandPJ_historic[Fuel])*(2023=DemandPJ_historic[Year]),DemandPJ_historic[Space Cooling])</f>
        <v>3.6893832281222818</v>
      </c>
      <c r="G31" s="1167" cm="1">
        <f t="array" aca="1" ref="G31" ca="1">(1+_xlfn.XLOOKUP(DemandPJ_projection[[#This Row],[Fuel]],Fuel_GrowthRate[Fuel],_xlfn.XLOOKUP(DemandPJ_projection[[#This Row],[Year]],Fuel_GrowthRate[#Headers],Fuel_GrowthRate[]))) *
_xlfn.XLOOKUP(1,(DemandPJ_projection[[#This Row],[Fuel]]=DemandPJ_historic[Fuel])*(2023=DemandPJ_historic[Year]),DemandPJ_historic[Ventilation])</f>
        <v>2.4436299571954372</v>
      </c>
      <c r="H31" s="1167" cm="1">
        <f t="array" aca="1" ref="H31" ca="1">(1+_xlfn.XLOOKUP(DemandPJ_projection[[#This Row],[Fuel]],Fuel_GrowthRate[Fuel],_xlfn.XLOOKUP(DemandPJ_projection[[#This Row],[Year]],Fuel_GrowthRate[#Headers],Fuel_GrowthRate[]))) *
_xlfn.XLOOKUP(1,(DemandPJ_projection[[#This Row],[Fuel]]=DemandPJ_historic[Fuel])*(2023=DemandPJ_historic[Year]),DemandPJ_historic[Lighting])</f>
        <v>11.517090937171856</v>
      </c>
      <c r="I31" s="1167" cm="1">
        <f t="array" aca="1" ref="I31" ca="1">(1+_xlfn.XLOOKUP(DemandPJ_projection[[#This Row],[Fuel]],Fuel_GrowthRate[Fuel],_xlfn.XLOOKUP(DemandPJ_projection[[#This Row],[Year]],Fuel_GrowthRate[#Headers],Fuel_GrowthRate[]))) *
_xlfn.XLOOKUP(1,(DemandPJ_projection[[#This Row],[Fuel]]=DemandPJ_historic[Fuel])*(2023=DemandPJ_historic[Year]),DemandPJ_historic[Conveyance])</f>
        <v>1.7374694386226883</v>
      </c>
      <c r="J31" s="1167" cm="1">
        <f t="array" aca="1" ref="J31" ca="1">(1+_xlfn.XLOOKUP(DemandPJ_projection[[#This Row],[Fuel]],Fuel_GrowthRate[Fuel],_xlfn.XLOOKUP(DemandPJ_projection[[#This Row],[Year]],Fuel_GrowthRate[#Headers],Fuel_GrowthRate[]))) *
_xlfn.XLOOKUP(1,(DemandPJ_projection[[#This Row],[Fuel]]=DemandPJ_historic[Fuel])*(2023=DemandPJ_historic[Year]),DemandPJ_historic[Process Loads])</f>
        <v>3.8134095289042018</v>
      </c>
      <c r="K31" s="1167" cm="1">
        <f t="array" aca="1" ref="K31" ca="1">(1+_xlfn.XLOOKUP(DemandPJ_projection[[#This Row],[Fuel]],Fuel_GrowthRate[Fuel],_xlfn.XLOOKUP(DemandPJ_projection[[#This Row],[Year]],Fuel_GrowthRate[#Headers],Fuel_GrowthRate[]))) *
_xlfn.XLOOKUP(1,(DemandPJ_projection[[#This Row],[Fuel]]=DemandPJ_historic[Fuel])*(2023=DemandPJ_historic[Year]),DemandPJ_historic[Plug Loads/Misc])</f>
        <v>3.5968434631309036</v>
      </c>
      <c r="M31" s="1238" t="s">
        <v>651</v>
      </c>
      <c r="N31" s="1239">
        <f t="shared" ca="1" si="4"/>
        <v>0.73110826210327717</v>
      </c>
      <c r="O31" s="1239">
        <f t="shared" ca="1" si="4"/>
        <v>0.25125874336882514</v>
      </c>
      <c r="P31" s="1239">
        <f t="shared" ca="1" si="4"/>
        <v>0</v>
      </c>
      <c r="Q31" s="1239">
        <f ca="1">H19/SUM(H$18:H$21)</f>
        <v>0</v>
      </c>
      <c r="R31" s="1239">
        <f ca="1">SUM(G19,I19,J19,K19)/SUM(G$18:G$21,I$18:I$21,J$18:J$21,K$18:K$21)</f>
        <v>1.9483056630435053E-2</v>
      </c>
    </row>
    <row r="32" spans="2:18">
      <c r="B32" s="829" t="s">
        <v>651</v>
      </c>
      <c r="C32" s="829" t="s">
        <v>729</v>
      </c>
      <c r="D32" s="1167" cm="1">
        <f t="array" aca="1" ref="D32" ca="1">(1+_xlfn.XLOOKUP(DemandPJ_projection[[#This Row],[Fuel]],Fuel_GrowthRate[Fuel],_xlfn.XLOOKUP(DemandPJ_projection[[#This Row],[Year]],Fuel_GrowthRate[#Headers],Fuel_GrowthRate[]))) *
_xlfn.XLOOKUP(1,(DemandPJ_projection[[#This Row],[Fuel]]=DemandPJ_historic[Fuel])*(2023=DemandPJ_historic[Year]),DemandPJ_historic[Space Heating])</f>
        <v>13.803013704476641</v>
      </c>
      <c r="E32" s="1167" cm="1">
        <f t="array" aca="1" ref="E32" ca="1">(1+_xlfn.XLOOKUP(DemandPJ_projection[[#This Row],[Fuel]],Fuel_GrowthRate[Fuel],_xlfn.XLOOKUP(DemandPJ_projection[[#This Row],[Year]],Fuel_GrowthRate[#Headers],Fuel_GrowthRate[]))) *
_xlfn.XLOOKUP(1,(DemandPJ_projection[[#This Row],[Fuel]]=DemandPJ_historic[Fuel])*(2023=DemandPJ_historic[Year]),DemandPJ_historic[DHW])</f>
        <v>0.45731609372713761</v>
      </c>
      <c r="F32" s="1167" cm="1">
        <f t="array" aca="1" ref="F32"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32" s="1167" cm="1">
        <f t="array" aca="1" ref="G32" ca="1">(1+_xlfn.XLOOKUP(DemandPJ_projection[[#This Row],[Fuel]],Fuel_GrowthRate[Fuel],_xlfn.XLOOKUP(DemandPJ_projection[[#This Row],[Year]],Fuel_GrowthRate[#Headers],Fuel_GrowthRate[]))) *
_xlfn.XLOOKUP(1,(DemandPJ_projection[[#This Row],[Fuel]]=DemandPJ_historic[Fuel])*(2023=DemandPJ_historic[Year]),DemandPJ_historic[Ventilation])</f>
        <v>0</v>
      </c>
      <c r="H32" s="1167" cm="1">
        <f t="array" aca="1" ref="H32" ca="1">(1+_xlfn.XLOOKUP(DemandPJ_projection[[#This Row],[Fuel]],Fuel_GrowthRate[Fuel],_xlfn.XLOOKUP(DemandPJ_projection[[#This Row],[Year]],Fuel_GrowthRate[#Headers],Fuel_GrowthRate[]))) *
_xlfn.XLOOKUP(1,(DemandPJ_projection[[#This Row],[Fuel]]=DemandPJ_historic[Fuel])*(2023=DemandPJ_historic[Year]),DemandPJ_historic[Lighting])</f>
        <v>0</v>
      </c>
      <c r="I32" s="1167" cm="1">
        <f t="array" aca="1" ref="I32" ca="1">(1+_xlfn.XLOOKUP(DemandPJ_projection[[#This Row],[Fuel]],Fuel_GrowthRate[Fuel],_xlfn.XLOOKUP(DemandPJ_projection[[#This Row],[Year]],Fuel_GrowthRate[#Headers],Fuel_GrowthRate[]))) *
_xlfn.XLOOKUP(1,(DemandPJ_projection[[#This Row],[Fuel]]=DemandPJ_historic[Fuel])*(2023=DemandPJ_historic[Year]),DemandPJ_historic[Conveyance])</f>
        <v>0</v>
      </c>
      <c r="J32" s="1167" cm="1">
        <f t="array" aca="1" ref="J32" ca="1">(1+_xlfn.XLOOKUP(DemandPJ_projection[[#This Row],[Fuel]],Fuel_GrowthRate[Fuel],_xlfn.XLOOKUP(DemandPJ_projection[[#This Row],[Year]],Fuel_GrowthRate[#Headers],Fuel_GrowthRate[]))) *
_xlfn.XLOOKUP(1,(DemandPJ_projection[[#This Row],[Fuel]]=DemandPJ_historic[Fuel])*(2023=DemandPJ_historic[Year]),DemandPJ_historic[Process Loads])</f>
        <v>0.16935594999886314</v>
      </c>
      <c r="K32" s="1167" cm="1">
        <f t="array" aca="1" ref="K32" ca="1">(1+_xlfn.XLOOKUP(DemandPJ_projection[[#This Row],[Fuel]],Fuel_GrowthRate[Fuel],_xlfn.XLOOKUP(DemandPJ_projection[[#This Row],[Year]],Fuel_GrowthRate[#Headers],Fuel_GrowthRate[]))) *
_xlfn.XLOOKUP(1,(DemandPJ_projection[[#This Row],[Fuel]]=DemandPJ_historic[Fuel])*(2023=DemandPJ_historic[Year]),DemandPJ_historic[Plug Loads/Misc])</f>
        <v>4.8194459293637318E-2</v>
      </c>
      <c r="M32" s="1238" t="s">
        <v>652</v>
      </c>
      <c r="N32" s="1239">
        <f t="shared" ca="1" si="4"/>
        <v>8.813198608775695E-2</v>
      </c>
      <c r="O32" s="1239">
        <f t="shared" ca="1" si="4"/>
        <v>9.6196446634206956E-2</v>
      </c>
      <c r="P32" s="1239">
        <f t="shared" ca="1" si="4"/>
        <v>0</v>
      </c>
      <c r="Q32" s="1239">
        <f ca="1">H20/SUM(H$18:H$21)</f>
        <v>0</v>
      </c>
      <c r="R32" s="1239">
        <f ca="1">SUM(G20,I20,J20,K20)/SUM(G$18:G$21,I$18:I$21,J$18:J$21,K$18:K$21)</f>
        <v>4.8392397048767017E-3</v>
      </c>
    </row>
    <row r="33" spans="2:18">
      <c r="B33" s="829" t="s">
        <v>652</v>
      </c>
      <c r="C33" s="829" t="s">
        <v>729</v>
      </c>
      <c r="D33" s="1167" cm="1">
        <f t="array" aca="1" ref="D33" ca="1">(1+_xlfn.XLOOKUP(DemandPJ_projection[[#This Row],[Fuel]],Fuel_GrowthRate[Fuel],_xlfn.XLOOKUP(DemandPJ_projection[[#This Row],[Year]],Fuel_GrowthRate[#Headers],Fuel_GrowthRate[]))) *
_xlfn.XLOOKUP(1,(DemandPJ_projection[[#This Row],[Fuel]]=DemandPJ_historic[Fuel])*(2023=DemandPJ_historic[Year]),DemandPJ_historic[Space Heating])</f>
        <v>1.6415083453973973</v>
      </c>
      <c r="E33" s="1167" cm="1">
        <f t="array" aca="1" ref="E33" ca="1">(1+_xlfn.XLOOKUP(DemandPJ_projection[[#This Row],[Fuel]],Fuel_GrowthRate[Fuel],_xlfn.XLOOKUP(DemandPJ_projection[[#This Row],[Year]],Fuel_GrowthRate[#Headers],Fuel_GrowthRate[]))) *
_xlfn.XLOOKUP(1,(DemandPJ_projection[[#This Row],[Fuel]]=DemandPJ_historic[Fuel])*(2023=DemandPJ_historic[Year]),DemandPJ_historic[DHW])</f>
        <v>0.17273153892772239</v>
      </c>
      <c r="F33" s="1167" cm="1">
        <f t="array" aca="1" ref="F33"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33" s="1167" cm="1">
        <f t="array" aca="1" ref="G33" ca="1">(1+_xlfn.XLOOKUP(DemandPJ_projection[[#This Row],[Fuel]],Fuel_GrowthRate[Fuel],_xlfn.XLOOKUP(DemandPJ_projection[[#This Row],[Year]],Fuel_GrowthRate[#Headers],Fuel_GrowthRate[]))) *
_xlfn.XLOOKUP(1,(DemandPJ_projection[[#This Row],[Fuel]]=DemandPJ_historic[Fuel])*(2023=DemandPJ_historic[Year]),DemandPJ_historic[Ventilation])</f>
        <v>0</v>
      </c>
      <c r="H33" s="1167" cm="1">
        <f t="array" aca="1" ref="H33" ca="1">(1+_xlfn.XLOOKUP(DemandPJ_projection[[#This Row],[Fuel]],Fuel_GrowthRate[Fuel],_xlfn.XLOOKUP(DemandPJ_projection[[#This Row],[Year]],Fuel_GrowthRate[#Headers],Fuel_GrowthRate[]))) *
_xlfn.XLOOKUP(1,(DemandPJ_projection[[#This Row],[Fuel]]=DemandPJ_historic[Fuel])*(2023=DemandPJ_historic[Year]),DemandPJ_historic[Lighting])</f>
        <v>0</v>
      </c>
      <c r="I33" s="1167" cm="1">
        <f t="array" aca="1" ref="I33" ca="1">(1+_xlfn.XLOOKUP(DemandPJ_projection[[#This Row],[Fuel]],Fuel_GrowthRate[Fuel],_xlfn.XLOOKUP(DemandPJ_projection[[#This Row],[Year]],Fuel_GrowthRate[#Headers],Fuel_GrowthRate[]))) *
_xlfn.XLOOKUP(1,(DemandPJ_projection[[#This Row],[Fuel]]=DemandPJ_historic[Fuel])*(2023=DemandPJ_historic[Year]),DemandPJ_historic[Conveyance])</f>
        <v>0</v>
      </c>
      <c r="J33" s="1167" cm="1">
        <f t="array" aca="1" ref="J33" ca="1">(1+_xlfn.XLOOKUP(DemandPJ_projection[[#This Row],[Fuel]],Fuel_GrowthRate[Fuel],_xlfn.XLOOKUP(DemandPJ_projection[[#This Row],[Year]],Fuel_GrowthRate[#Headers],Fuel_GrowthRate[]))) *
_xlfn.XLOOKUP(1,(DemandPJ_projection[[#This Row],[Fuel]]=DemandPJ_historic[Fuel])*(2023=DemandPJ_historic[Year]),DemandPJ_historic[Process Loads])</f>
        <v>5.330859753180478E-2</v>
      </c>
      <c r="K33" s="1167" cm="1">
        <f t="array" aca="1" ref="K33" ca="1">(1+_xlfn.XLOOKUP(DemandPJ_projection[[#This Row],[Fuel]],Fuel_GrowthRate[Fuel],_xlfn.XLOOKUP(DemandPJ_projection[[#This Row],[Year]],Fuel_GrowthRate[#Headers],Fuel_GrowthRate[]))) *
_xlfn.XLOOKUP(1,(DemandPJ_projection[[#This Row],[Fuel]]=DemandPJ_historic[Fuel])*(2023=DemandPJ_historic[Year]),DemandPJ_historic[Plug Loads/Misc])</f>
        <v>0</v>
      </c>
      <c r="M33" s="1238" t="s">
        <v>638</v>
      </c>
      <c r="N33" s="1239">
        <f t="shared" ca="1" si="4"/>
        <v>0.12016490290432422</v>
      </c>
      <c r="O33" s="1239">
        <f t="shared" ca="1" si="4"/>
        <v>0.37598797888458113</v>
      </c>
      <c r="P33" s="1239">
        <f t="shared" ca="1" si="4"/>
        <v>0</v>
      </c>
      <c r="Q33" s="1239">
        <f ca="1">H21/SUM(H$18:H$21)</f>
        <v>0</v>
      </c>
      <c r="R33" s="1239">
        <f ca="1">SUM(G21,I21,J21,K21)/SUM(G$18:G$21,I$18:I$21,J$18:J$21,K$18:K$21)</f>
        <v>1.1077223174095609E-6</v>
      </c>
    </row>
    <row r="34" spans="2:18">
      <c r="B34" s="829" t="s">
        <v>638</v>
      </c>
      <c r="C34" s="829" t="s">
        <v>729</v>
      </c>
      <c r="D34" s="1167" cm="1">
        <f t="array" aca="1" ref="D34" ca="1">(1+_xlfn.XLOOKUP(DemandPJ_projection[[#This Row],[Fuel]],Fuel_GrowthRate[Fuel],_xlfn.XLOOKUP(DemandPJ_projection[[#This Row],[Year]],Fuel_GrowthRate[#Headers],Fuel_GrowthRate[]))) *
_xlfn.XLOOKUP(1,(DemandPJ_projection[[#This Row],[Fuel]]=DemandPJ_historic[Fuel])*(2023=DemandPJ_historic[Year]),DemandPJ_historic[Space Heating])</f>
        <v>1.9427260558159716</v>
      </c>
      <c r="E34" s="1167" cm="1">
        <f t="array" aca="1" ref="E34" ca="1">(1+_xlfn.XLOOKUP(DemandPJ_projection[[#This Row],[Fuel]],Fuel_GrowthRate[Fuel],_xlfn.XLOOKUP(DemandPJ_projection[[#This Row],[Year]],Fuel_GrowthRate[#Headers],Fuel_GrowthRate[]))) *
_xlfn.XLOOKUP(1,(DemandPJ_projection[[#This Row],[Fuel]]=DemandPJ_historic[Fuel])*(2023=DemandPJ_historic[Year]),DemandPJ_historic[DHW])</f>
        <v>0.58601800469112786</v>
      </c>
      <c r="F34" s="1167" cm="1">
        <f t="array" aca="1" ref="F34"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34" s="1167" cm="1">
        <f t="array" aca="1" ref="G34" ca="1">(1+_xlfn.XLOOKUP(DemandPJ_projection[[#This Row],[Fuel]],Fuel_GrowthRate[Fuel],_xlfn.XLOOKUP(DemandPJ_projection[[#This Row],[Year]],Fuel_GrowthRate[#Headers],Fuel_GrowthRate[]))) *
_xlfn.XLOOKUP(1,(DemandPJ_projection[[#This Row],[Fuel]]=DemandPJ_historic[Fuel])*(2023=DemandPJ_historic[Year]),DemandPJ_historic[Ventilation])</f>
        <v>0</v>
      </c>
      <c r="H34" s="1167" cm="1">
        <f t="array" aca="1" ref="H34" ca="1">(1+_xlfn.XLOOKUP(DemandPJ_projection[[#This Row],[Fuel]],Fuel_GrowthRate[Fuel],_xlfn.XLOOKUP(DemandPJ_projection[[#This Row],[Year]],Fuel_GrowthRate[#Headers],Fuel_GrowthRate[]))) *
_xlfn.XLOOKUP(1,(DemandPJ_projection[[#This Row],[Fuel]]=DemandPJ_historic[Fuel])*(2023=DemandPJ_historic[Year]),DemandPJ_historic[Lighting])</f>
        <v>0</v>
      </c>
      <c r="I34" s="1167" cm="1">
        <f t="array" aca="1" ref="I34" ca="1">(1+_xlfn.XLOOKUP(DemandPJ_projection[[#This Row],[Fuel]],Fuel_GrowthRate[Fuel],_xlfn.XLOOKUP(DemandPJ_projection[[#This Row],[Year]],Fuel_GrowthRate[#Headers],Fuel_GrowthRate[]))) *
_xlfn.XLOOKUP(1,(DemandPJ_projection[[#This Row],[Fuel]]=DemandPJ_historic[Fuel])*(2023=DemandPJ_historic[Year]),DemandPJ_historic[Conveyance])</f>
        <v>0</v>
      </c>
      <c r="J34" s="1167" cm="1">
        <f t="array" aca="1" ref="J34" ca="1">(1+_xlfn.XLOOKUP(DemandPJ_projection[[#This Row],[Fuel]],Fuel_GrowthRate[Fuel],_xlfn.XLOOKUP(DemandPJ_projection[[#This Row],[Year]],Fuel_GrowthRate[#Headers],Fuel_GrowthRate[]))) *
_xlfn.XLOOKUP(1,(DemandPJ_projection[[#This Row],[Fuel]]=DemandPJ_historic[Fuel])*(2023=DemandPJ_historic[Year]),DemandPJ_historic[Process Loads])</f>
        <v>0</v>
      </c>
      <c r="K34" s="1167" cm="1">
        <f t="array" aca="1" ref="K34" ca="1">(1+_xlfn.XLOOKUP(DemandPJ_projection[[#This Row],[Fuel]],Fuel_GrowthRate[Fuel],_xlfn.XLOOKUP(DemandPJ_projection[[#This Row],[Year]],Fuel_GrowthRate[#Headers],Fuel_GrowthRate[]))) *
_xlfn.XLOOKUP(1,(DemandPJ_projection[[#This Row],[Fuel]]=DemandPJ_historic[Fuel])*(2023=DemandPJ_historic[Year]),DemandPJ_historic[Plug Loads/Misc])</f>
        <v>1.0591937638304912E-5</v>
      </c>
    </row>
    <row r="35" spans="2:18">
      <c r="B35" s="829" t="s">
        <v>32</v>
      </c>
      <c r="C35" s="829" t="s">
        <v>730</v>
      </c>
      <c r="D35" s="1167" cm="1">
        <f t="array" aca="1" ref="D35" ca="1">(1+_xlfn.XLOOKUP(DemandPJ_projection[[#This Row],[Fuel]],Fuel_GrowthRate[Fuel],_xlfn.XLOOKUP(DemandPJ_projection[[#This Row],[Year]],Fuel_GrowthRate[#Headers],Fuel_GrowthRate[]))) *
_xlfn.XLOOKUP(1,(DemandPJ_projection[[#This Row],[Fuel]]=DemandPJ_historic[Fuel])*(2023=DemandPJ_historic[Year]),DemandPJ_historic[Space Heating])</f>
        <v>1.2413276433473723</v>
      </c>
      <c r="E35" s="1167" cm="1">
        <f t="array" aca="1" ref="E35" ca="1">(1+_xlfn.XLOOKUP(DemandPJ_projection[[#This Row],[Fuel]],Fuel_GrowthRate[Fuel],_xlfn.XLOOKUP(DemandPJ_projection[[#This Row],[Year]],Fuel_GrowthRate[#Headers],Fuel_GrowthRate[]))) *
_xlfn.XLOOKUP(1,(DemandPJ_projection[[#This Row],[Fuel]]=DemandPJ_historic[Fuel])*(2023=DemandPJ_historic[Year]),DemandPJ_historic[DHW])</f>
        <v>0.54618300773128592</v>
      </c>
      <c r="F35" s="1167" cm="1">
        <f t="array" aca="1" ref="F35" ca="1">(1+_xlfn.XLOOKUP(DemandPJ_projection[[#This Row],[Fuel]],Fuel_GrowthRate[Fuel],_xlfn.XLOOKUP(DemandPJ_projection[[#This Row],[Year]],Fuel_GrowthRate[#Headers],Fuel_GrowthRate[]))) *
_xlfn.XLOOKUP(1,(DemandPJ_projection[[#This Row],[Fuel]]=DemandPJ_historic[Fuel])*(2023=DemandPJ_historic[Year]),DemandPJ_historic[Space Cooling])</f>
        <v>3.7625896114556783</v>
      </c>
      <c r="G35" s="1167" cm="1">
        <f t="array" aca="1" ref="G35" ca="1">(1+_xlfn.XLOOKUP(DemandPJ_projection[[#This Row],[Fuel]],Fuel_GrowthRate[Fuel],_xlfn.XLOOKUP(DemandPJ_projection[[#This Row],[Year]],Fuel_GrowthRate[#Headers],Fuel_GrowthRate[]))) *
_xlfn.XLOOKUP(1,(DemandPJ_projection[[#This Row],[Fuel]]=DemandPJ_historic[Fuel])*(2023=DemandPJ_historic[Year]),DemandPJ_historic[Ventilation])</f>
        <v>2.4921175499203776</v>
      </c>
      <c r="H35" s="1167" cm="1">
        <f t="array" aca="1" ref="H35" ca="1">(1+_xlfn.XLOOKUP(DemandPJ_projection[[#This Row],[Fuel]],Fuel_GrowthRate[Fuel],_xlfn.XLOOKUP(DemandPJ_projection[[#This Row],[Year]],Fuel_GrowthRate[#Headers],Fuel_GrowthRate[]))) *
_xlfn.XLOOKUP(1,(DemandPJ_projection[[#This Row],[Fuel]]=DemandPJ_historic[Fuel])*(2023=DemandPJ_historic[Year]),DemandPJ_historic[Lighting])</f>
        <v>11.745618179233748</v>
      </c>
      <c r="I35" s="1167" cm="1">
        <f t="array" aca="1" ref="I35" ca="1">(1+_xlfn.XLOOKUP(DemandPJ_projection[[#This Row],[Fuel]],Fuel_GrowthRate[Fuel],_xlfn.XLOOKUP(DemandPJ_projection[[#This Row],[Year]],Fuel_GrowthRate[#Headers],Fuel_GrowthRate[]))) *
_xlfn.XLOOKUP(1,(DemandPJ_projection[[#This Row],[Fuel]]=DemandPJ_historic[Fuel])*(2023=DemandPJ_historic[Year]),DemandPJ_historic[Conveyance])</f>
        <v>1.7719450801836787</v>
      </c>
      <c r="J35" s="1167" cm="1">
        <f t="array" aca="1" ref="J35" ca="1">(1+_xlfn.XLOOKUP(DemandPJ_projection[[#This Row],[Fuel]],Fuel_GrowthRate[Fuel],_xlfn.XLOOKUP(DemandPJ_projection[[#This Row],[Year]],Fuel_GrowthRate[#Headers],Fuel_GrowthRate[]))) *
_xlfn.XLOOKUP(1,(DemandPJ_projection[[#This Row],[Fuel]]=DemandPJ_historic[Fuel])*(2023=DemandPJ_historic[Year]),DemandPJ_historic[Process Loads])</f>
        <v>3.8890768972741365</v>
      </c>
      <c r="K35" s="1167" cm="1">
        <f t="array" aca="1" ref="K35" ca="1">(1+_xlfn.XLOOKUP(DemandPJ_projection[[#This Row],[Fuel]],Fuel_GrowthRate[Fuel],_xlfn.XLOOKUP(DemandPJ_projection[[#This Row],[Year]],Fuel_GrowthRate[#Headers],Fuel_GrowthRate[]))) *
_xlfn.XLOOKUP(1,(DemandPJ_projection[[#This Row],[Fuel]]=DemandPJ_historic[Fuel])*(2023=DemandPJ_historic[Year]),DemandPJ_historic[Plug Loads/Misc])</f>
        <v>3.6682136312785469</v>
      </c>
    </row>
    <row r="36" spans="2:18">
      <c r="B36" s="829" t="s">
        <v>651</v>
      </c>
      <c r="C36" s="829" t="s">
        <v>730</v>
      </c>
      <c r="D36" s="1167" cm="1">
        <f t="array" aca="1" ref="D36" ca="1">(1+_xlfn.XLOOKUP(DemandPJ_projection[[#This Row],[Fuel]],Fuel_GrowthRate[Fuel],_xlfn.XLOOKUP(DemandPJ_projection[[#This Row],[Year]],Fuel_GrowthRate[#Headers],Fuel_GrowthRate[]))) *
_xlfn.XLOOKUP(1,(DemandPJ_projection[[#This Row],[Fuel]]=DemandPJ_historic[Fuel])*(2023=DemandPJ_historic[Year]),DemandPJ_historic[Space Heating])</f>
        <v>13.105313573606335</v>
      </c>
      <c r="E36" s="1167" cm="1">
        <f t="array" aca="1" ref="E36" ca="1">(1+_xlfn.XLOOKUP(DemandPJ_projection[[#This Row],[Fuel]],Fuel_GrowthRate[Fuel],_xlfn.XLOOKUP(DemandPJ_projection[[#This Row],[Year]],Fuel_GrowthRate[#Headers],Fuel_GrowthRate[]))) *
_xlfn.XLOOKUP(1,(DemandPJ_projection[[#This Row],[Fuel]]=DemandPJ_historic[Fuel])*(2023=DemandPJ_historic[Year]),DemandPJ_historic[DHW])</f>
        <v>0.43420016373722253</v>
      </c>
      <c r="F36" s="1167" cm="1">
        <f t="array" aca="1" ref="F36"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36" s="1167" cm="1">
        <f t="array" aca="1" ref="G36" ca="1">(1+_xlfn.XLOOKUP(DemandPJ_projection[[#This Row],[Fuel]],Fuel_GrowthRate[Fuel],_xlfn.XLOOKUP(DemandPJ_projection[[#This Row],[Year]],Fuel_GrowthRate[#Headers],Fuel_GrowthRate[]))) *
_xlfn.XLOOKUP(1,(DemandPJ_projection[[#This Row],[Fuel]]=DemandPJ_historic[Fuel])*(2023=DemandPJ_historic[Year]),DemandPJ_historic[Ventilation])</f>
        <v>0</v>
      </c>
      <c r="H36" s="1167" cm="1">
        <f t="array" aca="1" ref="H36" ca="1">(1+_xlfn.XLOOKUP(DemandPJ_projection[[#This Row],[Fuel]],Fuel_GrowthRate[Fuel],_xlfn.XLOOKUP(DemandPJ_projection[[#This Row],[Year]],Fuel_GrowthRate[#Headers],Fuel_GrowthRate[]))) *
_xlfn.XLOOKUP(1,(DemandPJ_projection[[#This Row],[Fuel]]=DemandPJ_historic[Fuel])*(2023=DemandPJ_historic[Year]),DemandPJ_historic[Lighting])</f>
        <v>0</v>
      </c>
      <c r="I36" s="1167" cm="1">
        <f t="array" aca="1" ref="I36" ca="1">(1+_xlfn.XLOOKUP(DemandPJ_projection[[#This Row],[Fuel]],Fuel_GrowthRate[Fuel],_xlfn.XLOOKUP(DemandPJ_projection[[#This Row],[Year]],Fuel_GrowthRate[#Headers],Fuel_GrowthRate[]))) *
_xlfn.XLOOKUP(1,(DemandPJ_projection[[#This Row],[Fuel]]=DemandPJ_historic[Fuel])*(2023=DemandPJ_historic[Year]),DemandPJ_historic[Conveyance])</f>
        <v>0</v>
      </c>
      <c r="J36" s="1167" cm="1">
        <f t="array" aca="1" ref="J36" ca="1">(1+_xlfn.XLOOKUP(DemandPJ_projection[[#This Row],[Fuel]],Fuel_GrowthRate[Fuel],_xlfn.XLOOKUP(DemandPJ_projection[[#This Row],[Year]],Fuel_GrowthRate[#Headers],Fuel_GrowthRate[]))) *
_xlfn.XLOOKUP(1,(DemandPJ_projection[[#This Row],[Fuel]]=DemandPJ_historic[Fuel])*(2023=DemandPJ_historic[Year]),DemandPJ_historic[Process Loads])</f>
        <v>0.16079552464482977</v>
      </c>
      <c r="K36" s="1167" cm="1">
        <f t="array" aca="1" ref="K36" ca="1">(1+_xlfn.XLOOKUP(DemandPJ_projection[[#This Row],[Fuel]],Fuel_GrowthRate[Fuel],_xlfn.XLOOKUP(DemandPJ_projection[[#This Row],[Year]],Fuel_GrowthRate[#Headers],Fuel_GrowthRate[]))) *
_xlfn.XLOOKUP(1,(DemandPJ_projection[[#This Row],[Fuel]]=DemandPJ_historic[Fuel])*(2023=DemandPJ_historic[Year]),DemandPJ_historic[Plug Loads/Misc])</f>
        <v>4.5758376762944121E-2</v>
      </c>
    </row>
    <row r="37" spans="2:18">
      <c r="B37" s="829" t="s">
        <v>652</v>
      </c>
      <c r="C37" s="829" t="s">
        <v>730</v>
      </c>
      <c r="D37" s="1167" cm="1">
        <f t="array" aca="1" ref="D37" ca="1">(1+_xlfn.XLOOKUP(DemandPJ_projection[[#This Row],[Fuel]],Fuel_GrowthRate[Fuel],_xlfn.XLOOKUP(DemandPJ_projection[[#This Row],[Year]],Fuel_GrowthRate[#Headers],Fuel_GrowthRate[]))) *
_xlfn.XLOOKUP(1,(DemandPJ_projection[[#This Row],[Fuel]]=DemandPJ_historic[Fuel])*(2023=DemandPJ_historic[Year]),DemandPJ_historic[Space Heating])</f>
        <v>1.6138267837464562</v>
      </c>
      <c r="E37" s="1167" cm="1">
        <f t="array" aca="1" ref="E37" ca="1">(1+_xlfn.XLOOKUP(DemandPJ_projection[[#This Row],[Fuel]],Fuel_GrowthRate[Fuel],_xlfn.XLOOKUP(DemandPJ_projection[[#This Row],[Year]],Fuel_GrowthRate[#Headers],Fuel_GrowthRate[]))) *
_xlfn.XLOOKUP(1,(DemandPJ_projection[[#This Row],[Fuel]]=DemandPJ_historic[Fuel])*(2023=DemandPJ_historic[Year]),DemandPJ_historic[DHW])</f>
        <v>0.16981868212909787</v>
      </c>
      <c r="F37" s="1167" cm="1">
        <f t="array" aca="1" ref="F37"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37" s="1167" cm="1">
        <f t="array" aca="1" ref="G37" ca="1">(1+_xlfn.XLOOKUP(DemandPJ_projection[[#This Row],[Fuel]],Fuel_GrowthRate[Fuel],_xlfn.XLOOKUP(DemandPJ_projection[[#This Row],[Year]],Fuel_GrowthRate[#Headers],Fuel_GrowthRate[]))) *
_xlfn.XLOOKUP(1,(DemandPJ_projection[[#This Row],[Fuel]]=DemandPJ_historic[Fuel])*(2023=DemandPJ_historic[Year]),DemandPJ_historic[Ventilation])</f>
        <v>0</v>
      </c>
      <c r="H37" s="1167" cm="1">
        <f t="array" aca="1" ref="H37" ca="1">(1+_xlfn.XLOOKUP(DemandPJ_projection[[#This Row],[Fuel]],Fuel_GrowthRate[Fuel],_xlfn.XLOOKUP(DemandPJ_projection[[#This Row],[Year]],Fuel_GrowthRate[#Headers],Fuel_GrowthRate[]))) *
_xlfn.XLOOKUP(1,(DemandPJ_projection[[#This Row],[Fuel]]=DemandPJ_historic[Fuel])*(2023=DemandPJ_historic[Year]),DemandPJ_historic[Lighting])</f>
        <v>0</v>
      </c>
      <c r="I37" s="1167" cm="1">
        <f t="array" aca="1" ref="I37" ca="1">(1+_xlfn.XLOOKUP(DemandPJ_projection[[#This Row],[Fuel]],Fuel_GrowthRate[Fuel],_xlfn.XLOOKUP(DemandPJ_projection[[#This Row],[Year]],Fuel_GrowthRate[#Headers],Fuel_GrowthRate[]))) *
_xlfn.XLOOKUP(1,(DemandPJ_projection[[#This Row],[Fuel]]=DemandPJ_historic[Fuel])*(2023=DemandPJ_historic[Year]),DemandPJ_historic[Conveyance])</f>
        <v>0</v>
      </c>
      <c r="J37" s="1167" cm="1">
        <f t="array" aca="1" ref="J37" ca="1">(1+_xlfn.XLOOKUP(DemandPJ_projection[[#This Row],[Fuel]],Fuel_GrowthRate[Fuel],_xlfn.XLOOKUP(DemandPJ_projection[[#This Row],[Year]],Fuel_GrowthRate[#Headers],Fuel_GrowthRate[]))) *
_xlfn.XLOOKUP(1,(DemandPJ_projection[[#This Row],[Fuel]]=DemandPJ_historic[Fuel])*(2023=DemandPJ_historic[Year]),DemandPJ_historic[Process Loads])</f>
        <v>5.2409628462753467E-2</v>
      </c>
      <c r="K37" s="1167" cm="1">
        <f t="array" aca="1" ref="K37" ca="1">(1+_xlfn.XLOOKUP(DemandPJ_projection[[#This Row],[Fuel]],Fuel_GrowthRate[Fuel],_xlfn.XLOOKUP(DemandPJ_projection[[#This Row],[Year]],Fuel_GrowthRate[#Headers],Fuel_GrowthRate[]))) *
_xlfn.XLOOKUP(1,(DemandPJ_projection[[#This Row],[Fuel]]=DemandPJ_historic[Fuel])*(2023=DemandPJ_historic[Year]),DemandPJ_historic[Plug Loads/Misc])</f>
        <v>0</v>
      </c>
    </row>
    <row r="38" spans="2:18">
      <c r="B38" s="829" t="s">
        <v>638</v>
      </c>
      <c r="C38" s="829" t="s">
        <v>730</v>
      </c>
      <c r="D38" s="1167" cm="1">
        <f t="array" aca="1" ref="D38" ca="1">(1+_xlfn.XLOOKUP(DemandPJ_projection[[#This Row],[Fuel]],Fuel_GrowthRate[Fuel],_xlfn.XLOOKUP(DemandPJ_projection[[#This Row],[Year]],Fuel_GrowthRate[#Headers],Fuel_GrowthRate[]))) *
_xlfn.XLOOKUP(1,(DemandPJ_projection[[#This Row],[Fuel]]=DemandPJ_historic[Fuel])*(2023=DemandPJ_historic[Year]),DemandPJ_historic[Space Heating])</f>
        <v>1.7629181987415408</v>
      </c>
      <c r="E38" s="1167" cm="1">
        <f t="array" aca="1" ref="E38" ca="1">(1+_xlfn.XLOOKUP(DemandPJ_projection[[#This Row],[Fuel]],Fuel_GrowthRate[Fuel],_xlfn.XLOOKUP(DemandPJ_projection[[#This Row],[Year]],Fuel_GrowthRate[#Headers],Fuel_GrowthRate[]))) *
_xlfn.XLOOKUP(1,(DemandPJ_projection[[#This Row],[Fuel]]=DemandPJ_historic[Fuel])*(2023=DemandPJ_historic[Year]),DemandPJ_historic[DHW])</f>
        <v>0.53177945607275956</v>
      </c>
      <c r="F38" s="1167" cm="1">
        <f t="array" aca="1" ref="F38"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38" s="1167" cm="1">
        <f t="array" aca="1" ref="G38" ca="1">(1+_xlfn.XLOOKUP(DemandPJ_projection[[#This Row],[Fuel]],Fuel_GrowthRate[Fuel],_xlfn.XLOOKUP(DemandPJ_projection[[#This Row],[Year]],Fuel_GrowthRate[#Headers],Fuel_GrowthRate[]))) *
_xlfn.XLOOKUP(1,(DemandPJ_projection[[#This Row],[Fuel]]=DemandPJ_historic[Fuel])*(2023=DemandPJ_historic[Year]),DemandPJ_historic[Ventilation])</f>
        <v>0</v>
      </c>
      <c r="H38" s="1167" cm="1">
        <f t="array" aca="1" ref="H38" ca="1">(1+_xlfn.XLOOKUP(DemandPJ_projection[[#This Row],[Fuel]],Fuel_GrowthRate[Fuel],_xlfn.XLOOKUP(DemandPJ_projection[[#This Row],[Year]],Fuel_GrowthRate[#Headers],Fuel_GrowthRate[]))) *
_xlfn.XLOOKUP(1,(DemandPJ_projection[[#This Row],[Fuel]]=DemandPJ_historic[Fuel])*(2023=DemandPJ_historic[Year]),DemandPJ_historic[Lighting])</f>
        <v>0</v>
      </c>
      <c r="I38" s="1167" cm="1">
        <f t="array" aca="1" ref="I38" ca="1">(1+_xlfn.XLOOKUP(DemandPJ_projection[[#This Row],[Fuel]],Fuel_GrowthRate[Fuel],_xlfn.XLOOKUP(DemandPJ_projection[[#This Row],[Year]],Fuel_GrowthRate[#Headers],Fuel_GrowthRate[]))) *
_xlfn.XLOOKUP(1,(DemandPJ_projection[[#This Row],[Fuel]]=DemandPJ_historic[Fuel])*(2023=DemandPJ_historic[Year]),DemandPJ_historic[Conveyance])</f>
        <v>0</v>
      </c>
      <c r="J38" s="1167" cm="1">
        <f t="array" aca="1" ref="J38" ca="1">(1+_xlfn.XLOOKUP(DemandPJ_projection[[#This Row],[Fuel]],Fuel_GrowthRate[Fuel],_xlfn.XLOOKUP(DemandPJ_projection[[#This Row],[Year]],Fuel_GrowthRate[#Headers],Fuel_GrowthRate[]))) *
_xlfn.XLOOKUP(1,(DemandPJ_projection[[#This Row],[Fuel]]=DemandPJ_historic[Fuel])*(2023=DemandPJ_historic[Year]),DemandPJ_historic[Process Loads])</f>
        <v>0</v>
      </c>
      <c r="K38" s="1167" cm="1">
        <f t="array" aca="1" ref="K38" ca="1">(1+_xlfn.XLOOKUP(DemandPJ_projection[[#This Row],[Fuel]],Fuel_GrowthRate[Fuel],_xlfn.XLOOKUP(DemandPJ_projection[[#This Row],[Year]],Fuel_GrowthRate[#Headers],Fuel_GrowthRate[]))) *
_xlfn.XLOOKUP(1,(DemandPJ_projection[[#This Row],[Fuel]]=DemandPJ_historic[Fuel])*(2023=DemandPJ_historic[Year]),DemandPJ_historic[Plug Loads/Misc])</f>
        <v>9.6116071365812968E-6</v>
      </c>
    </row>
    <row r="39" spans="2:18">
      <c r="B39" s="829" t="s">
        <v>32</v>
      </c>
      <c r="C39" s="829" t="s">
        <v>731</v>
      </c>
      <c r="D39" s="1167" cm="1">
        <f t="array" aca="1" ref="D39" ca="1">(1+_xlfn.XLOOKUP(DemandPJ_projection[[#This Row],[Fuel]],Fuel_GrowthRate[Fuel],_xlfn.XLOOKUP(DemandPJ_projection[[#This Row],[Year]],Fuel_GrowthRate[#Headers],Fuel_GrowthRate[]))) *
_xlfn.XLOOKUP(1,(DemandPJ_projection[[#This Row],[Fuel]]=DemandPJ_historic[Fuel])*(2023=DemandPJ_historic[Year]),DemandPJ_historic[Space Heating])</f>
        <v>1.2743002502905936</v>
      </c>
      <c r="E39" s="1167" cm="1">
        <f t="array" aca="1" ref="E39" ca="1">(1+_xlfn.XLOOKUP(DemandPJ_projection[[#This Row],[Fuel]],Fuel_GrowthRate[Fuel],_xlfn.XLOOKUP(DemandPJ_projection[[#This Row],[Year]],Fuel_GrowthRate[#Headers],Fuel_GrowthRate[]))) *
_xlfn.XLOOKUP(1,(DemandPJ_projection[[#This Row],[Fuel]]=DemandPJ_historic[Fuel])*(2023=DemandPJ_historic[Year]),DemandPJ_historic[DHW])</f>
        <v>0.56069092409769072</v>
      </c>
      <c r="F39" s="1167" cm="1">
        <f t="array" aca="1" ref="F39" ca="1">(1+_xlfn.XLOOKUP(DemandPJ_projection[[#This Row],[Fuel]],Fuel_GrowthRate[Fuel],_xlfn.XLOOKUP(DemandPJ_projection[[#This Row],[Year]],Fuel_GrowthRate[#Headers],Fuel_GrowthRate[]))) *
_xlfn.XLOOKUP(1,(DemandPJ_projection[[#This Row],[Fuel]]=DemandPJ_historic[Fuel])*(2023=DemandPJ_historic[Year]),DemandPJ_historic[Space Cooling])</f>
        <v>3.8625329173282741</v>
      </c>
      <c r="G39" s="1167" cm="1">
        <f t="array" aca="1" ref="G39" ca="1">(1+_xlfn.XLOOKUP(DemandPJ_projection[[#This Row],[Fuel]],Fuel_GrowthRate[Fuel],_xlfn.XLOOKUP(DemandPJ_projection[[#This Row],[Year]],Fuel_GrowthRate[#Headers],Fuel_GrowthRate[]))) *
_xlfn.XLOOKUP(1,(DemandPJ_projection[[#This Row],[Fuel]]=DemandPJ_historic[Fuel])*(2023=DemandPJ_historic[Year]),DemandPJ_historic[Ventilation])</f>
        <v>2.5583141039649195</v>
      </c>
      <c r="H39" s="1167" cm="1">
        <f t="array" aca="1" ref="H39" ca="1">(1+_xlfn.XLOOKUP(DemandPJ_projection[[#This Row],[Fuel]],Fuel_GrowthRate[Fuel],_xlfn.XLOOKUP(DemandPJ_projection[[#This Row],[Year]],Fuel_GrowthRate[#Headers],Fuel_GrowthRate[]))) *
_xlfn.XLOOKUP(1,(DemandPJ_projection[[#This Row],[Fuel]]=DemandPJ_historic[Fuel])*(2023=DemandPJ_historic[Year]),DemandPJ_historic[Lighting])</f>
        <v>12.057609661582982</v>
      </c>
      <c r="I39" s="1167" cm="1">
        <f t="array" aca="1" ref="I39" ca="1">(1+_xlfn.XLOOKUP(DemandPJ_projection[[#This Row],[Fuel]],Fuel_GrowthRate[Fuel],_xlfn.XLOOKUP(DemandPJ_projection[[#This Row],[Year]],Fuel_GrowthRate[#Headers],Fuel_GrowthRate[]))) *
_xlfn.XLOOKUP(1,(DemandPJ_projection[[#This Row],[Fuel]]=DemandPJ_historic[Fuel])*(2023=DemandPJ_historic[Year]),DemandPJ_historic[Conveyance])</f>
        <v>1.8190121450049535</v>
      </c>
      <c r="J39" s="1167" cm="1">
        <f t="array" aca="1" ref="J39" ca="1">(1+_xlfn.XLOOKUP(DemandPJ_projection[[#This Row],[Fuel]],Fuel_GrowthRate[Fuel],_xlfn.XLOOKUP(DemandPJ_projection[[#This Row],[Year]],Fuel_GrowthRate[#Headers],Fuel_GrowthRate[]))) *
_xlfn.XLOOKUP(1,(DemandPJ_projection[[#This Row],[Fuel]]=DemandPJ_historic[Fuel])*(2023=DemandPJ_historic[Year]),DemandPJ_historic[Process Loads])</f>
        <v>3.9923800055171692</v>
      </c>
      <c r="K39" s="1167" cm="1">
        <f t="array" aca="1" ref="K39" ca="1">(1+_xlfn.XLOOKUP(DemandPJ_projection[[#This Row],[Fuel]],Fuel_GrowthRate[Fuel],_xlfn.XLOOKUP(DemandPJ_projection[[#This Row],[Year]],Fuel_GrowthRate[#Headers],Fuel_GrowthRate[]))) *
_xlfn.XLOOKUP(1,(DemandPJ_projection[[#This Row],[Fuel]]=DemandPJ_historic[Fuel])*(2023=DemandPJ_historic[Year]),DemandPJ_historic[Plug Loads/Misc])</f>
        <v>3.765650087234492</v>
      </c>
    </row>
    <row r="40" spans="2:18">
      <c r="B40" s="829" t="s">
        <v>651</v>
      </c>
      <c r="C40" s="829" t="s">
        <v>731</v>
      </c>
      <c r="D40" s="1167" cm="1">
        <f t="array" aca="1" ref="D40" ca="1">(1+_xlfn.XLOOKUP(DemandPJ_projection[[#This Row],[Fuel]],Fuel_GrowthRate[Fuel],_xlfn.XLOOKUP(DemandPJ_projection[[#This Row],[Year]],Fuel_GrowthRate[#Headers],Fuel_GrowthRate[]))) *
_xlfn.XLOOKUP(1,(DemandPJ_projection[[#This Row],[Fuel]]=DemandPJ_historic[Fuel])*(2023=DemandPJ_historic[Year]),DemandPJ_historic[Space Heating])</f>
        <v>12.719342567917545</v>
      </c>
      <c r="E40" s="1167" cm="1">
        <f t="array" aca="1" ref="E40" ca="1">(1+_xlfn.XLOOKUP(DemandPJ_projection[[#This Row],[Fuel]],Fuel_GrowthRate[Fuel],_xlfn.XLOOKUP(DemandPJ_projection[[#This Row],[Year]],Fuel_GrowthRate[#Headers],Fuel_GrowthRate[]))) *
_xlfn.XLOOKUP(1,(DemandPJ_projection[[#This Row],[Fuel]]=DemandPJ_historic[Fuel])*(2023=DemandPJ_historic[Year]),DemandPJ_historic[DHW])</f>
        <v>0.42141232215475088</v>
      </c>
      <c r="F40" s="1167" cm="1">
        <f t="array" aca="1" ref="F40"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40" s="1167" cm="1">
        <f t="array" aca="1" ref="G40" ca="1">(1+_xlfn.XLOOKUP(DemandPJ_projection[[#This Row],[Fuel]],Fuel_GrowthRate[Fuel],_xlfn.XLOOKUP(DemandPJ_projection[[#This Row],[Year]],Fuel_GrowthRate[#Headers],Fuel_GrowthRate[]))) *
_xlfn.XLOOKUP(1,(DemandPJ_projection[[#This Row],[Fuel]]=DemandPJ_historic[Fuel])*(2023=DemandPJ_historic[Year]),DemandPJ_historic[Ventilation])</f>
        <v>0</v>
      </c>
      <c r="H40" s="1167" cm="1">
        <f t="array" aca="1" ref="H40" ca="1">(1+_xlfn.XLOOKUP(DemandPJ_projection[[#This Row],[Fuel]],Fuel_GrowthRate[Fuel],_xlfn.XLOOKUP(DemandPJ_projection[[#This Row],[Year]],Fuel_GrowthRate[#Headers],Fuel_GrowthRate[]))) *
_xlfn.XLOOKUP(1,(DemandPJ_projection[[#This Row],[Fuel]]=DemandPJ_historic[Fuel])*(2023=DemandPJ_historic[Year]),DemandPJ_historic[Lighting])</f>
        <v>0</v>
      </c>
      <c r="I40" s="1167" cm="1">
        <f t="array" aca="1" ref="I40" ca="1">(1+_xlfn.XLOOKUP(DemandPJ_projection[[#This Row],[Fuel]],Fuel_GrowthRate[Fuel],_xlfn.XLOOKUP(DemandPJ_projection[[#This Row],[Year]],Fuel_GrowthRate[#Headers],Fuel_GrowthRate[]))) *
_xlfn.XLOOKUP(1,(DemandPJ_projection[[#This Row],[Fuel]]=DemandPJ_historic[Fuel])*(2023=DemandPJ_historic[Year]),DemandPJ_historic[Conveyance])</f>
        <v>0</v>
      </c>
      <c r="J40" s="1167" cm="1">
        <f t="array" aca="1" ref="J40" ca="1">(1+_xlfn.XLOOKUP(DemandPJ_projection[[#This Row],[Fuel]],Fuel_GrowthRate[Fuel],_xlfn.XLOOKUP(DemandPJ_projection[[#This Row],[Year]],Fuel_GrowthRate[#Headers],Fuel_GrowthRate[]))) *
_xlfn.XLOOKUP(1,(DemandPJ_projection[[#This Row],[Fuel]]=DemandPJ_historic[Fuel])*(2023=DemandPJ_historic[Year]),DemandPJ_historic[Process Loads])</f>
        <v>0.15605985693197069</v>
      </c>
      <c r="K40" s="1167" cm="1">
        <f t="array" aca="1" ref="K40" ca="1">(1+_xlfn.XLOOKUP(DemandPJ_projection[[#This Row],[Fuel]],Fuel_GrowthRate[Fuel],_xlfn.XLOOKUP(DemandPJ_projection[[#This Row],[Year]],Fuel_GrowthRate[#Headers],Fuel_GrowthRate[]))) *
_xlfn.XLOOKUP(1,(DemandPJ_projection[[#This Row],[Fuel]]=DemandPJ_historic[Fuel])*(2023=DemandPJ_historic[Year]),DemandPJ_historic[Plug Loads/Misc])</f>
        <v>4.4410724408142817E-2</v>
      </c>
    </row>
    <row r="41" spans="2:18">
      <c r="B41" s="829" t="s">
        <v>652</v>
      </c>
      <c r="C41" s="829" t="s">
        <v>731</v>
      </c>
      <c r="D41" s="1167" cm="1">
        <f t="array" aca="1" ref="D41" ca="1">(1+_xlfn.XLOOKUP(DemandPJ_projection[[#This Row],[Fuel]],Fuel_GrowthRate[Fuel],_xlfn.XLOOKUP(DemandPJ_projection[[#This Row],[Year]],Fuel_GrowthRate[#Headers],Fuel_GrowthRate[]))) *
_xlfn.XLOOKUP(1,(DemandPJ_projection[[#This Row],[Fuel]]=DemandPJ_historic[Fuel])*(2023=DemandPJ_historic[Year]),DemandPJ_historic[Space Heating])</f>
        <v>1.6830034554897526</v>
      </c>
      <c r="E41" s="1167" cm="1">
        <f t="array" aca="1" ref="E41" ca="1">(1+_xlfn.XLOOKUP(DemandPJ_projection[[#This Row],[Fuel]],Fuel_GrowthRate[Fuel],_xlfn.XLOOKUP(DemandPJ_projection[[#This Row],[Year]],Fuel_GrowthRate[#Headers],Fuel_GrowthRate[]))) *
_xlfn.XLOOKUP(1,(DemandPJ_projection[[#This Row],[Fuel]]=DemandPJ_historic[Fuel])*(2023=DemandPJ_historic[Year]),DemandPJ_historic[DHW])</f>
        <v>0.17709795853461913</v>
      </c>
      <c r="F41" s="1167" cm="1">
        <f t="array" aca="1" ref="F41"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41" s="1167" cm="1">
        <f t="array" aca="1" ref="G41" ca="1">(1+_xlfn.XLOOKUP(DemandPJ_projection[[#This Row],[Fuel]],Fuel_GrowthRate[Fuel],_xlfn.XLOOKUP(DemandPJ_projection[[#This Row],[Year]],Fuel_GrowthRate[#Headers],Fuel_GrowthRate[]))) *
_xlfn.XLOOKUP(1,(DemandPJ_projection[[#This Row],[Fuel]]=DemandPJ_historic[Fuel])*(2023=DemandPJ_historic[Year]),DemandPJ_historic[Ventilation])</f>
        <v>0</v>
      </c>
      <c r="H41" s="1167" cm="1">
        <f t="array" aca="1" ref="H41" ca="1">(1+_xlfn.XLOOKUP(DemandPJ_projection[[#This Row],[Fuel]],Fuel_GrowthRate[Fuel],_xlfn.XLOOKUP(DemandPJ_projection[[#This Row],[Year]],Fuel_GrowthRate[#Headers],Fuel_GrowthRate[]))) *
_xlfn.XLOOKUP(1,(DemandPJ_projection[[#This Row],[Fuel]]=DemandPJ_historic[Fuel])*(2023=DemandPJ_historic[Year]),DemandPJ_historic[Lighting])</f>
        <v>0</v>
      </c>
      <c r="I41" s="1167" cm="1">
        <f t="array" aca="1" ref="I41" ca="1">(1+_xlfn.XLOOKUP(DemandPJ_projection[[#This Row],[Fuel]],Fuel_GrowthRate[Fuel],_xlfn.XLOOKUP(DemandPJ_projection[[#This Row],[Year]],Fuel_GrowthRate[#Headers],Fuel_GrowthRate[]))) *
_xlfn.XLOOKUP(1,(DemandPJ_projection[[#This Row],[Fuel]]=DemandPJ_historic[Fuel])*(2023=DemandPJ_historic[Year]),DemandPJ_historic[Conveyance])</f>
        <v>0</v>
      </c>
      <c r="J41" s="1167" cm="1">
        <f t="array" aca="1" ref="J41" ca="1">(1+_xlfn.XLOOKUP(DemandPJ_projection[[#This Row],[Fuel]],Fuel_GrowthRate[Fuel],_xlfn.XLOOKUP(DemandPJ_projection[[#This Row],[Year]],Fuel_GrowthRate[#Headers],Fuel_GrowthRate[]))) *
_xlfn.XLOOKUP(1,(DemandPJ_projection[[#This Row],[Fuel]]=DemandPJ_historic[Fuel])*(2023=DemandPJ_historic[Year]),DemandPJ_historic[Process Loads])</f>
        <v>5.4656166753523104E-2</v>
      </c>
      <c r="K41" s="1167" cm="1">
        <f t="array" aca="1" ref="K41" ca="1">(1+_xlfn.XLOOKUP(DemandPJ_projection[[#This Row],[Fuel]],Fuel_GrowthRate[Fuel],_xlfn.XLOOKUP(DemandPJ_projection[[#This Row],[Year]],Fuel_GrowthRate[#Headers],Fuel_GrowthRate[]))) *
_xlfn.XLOOKUP(1,(DemandPJ_projection[[#This Row],[Fuel]]=DemandPJ_historic[Fuel])*(2023=DemandPJ_historic[Year]),DemandPJ_historic[Plug Loads/Misc])</f>
        <v>0</v>
      </c>
    </row>
    <row r="42" spans="2:18">
      <c r="B42" s="829" t="s">
        <v>638</v>
      </c>
      <c r="C42" s="829" t="s">
        <v>731</v>
      </c>
      <c r="D42" s="1167" cm="1">
        <f t="array" aca="1" ref="D42" ca="1">(1+_xlfn.XLOOKUP(DemandPJ_projection[[#This Row],[Fuel]],Fuel_GrowthRate[Fuel],_xlfn.XLOOKUP(DemandPJ_projection[[#This Row],[Year]],Fuel_GrowthRate[#Headers],Fuel_GrowthRate[]))) *
_xlfn.XLOOKUP(1,(DemandPJ_projection[[#This Row],[Fuel]]=DemandPJ_historic[Fuel])*(2023=DemandPJ_historic[Year]),DemandPJ_historic[Space Heating])</f>
        <v>1.5578452160117084</v>
      </c>
      <c r="E42" s="1167" cm="1">
        <f t="array" aca="1" ref="E42" ca="1">(1+_xlfn.XLOOKUP(DemandPJ_projection[[#This Row],[Fuel]],Fuel_GrowthRate[Fuel],_xlfn.XLOOKUP(DemandPJ_projection[[#This Row],[Year]],Fuel_GrowthRate[#Headers],Fuel_GrowthRate[]))) *
_xlfn.XLOOKUP(1,(DemandPJ_projection[[#This Row],[Fuel]]=DemandPJ_historic[Fuel])*(2023=DemandPJ_historic[Year]),DemandPJ_historic[DHW])</f>
        <v>0.46991975135751152</v>
      </c>
      <c r="F42" s="1167" cm="1">
        <f t="array" aca="1" ref="F42"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42" s="1167" cm="1">
        <f t="array" aca="1" ref="G42" ca="1">(1+_xlfn.XLOOKUP(DemandPJ_projection[[#This Row],[Fuel]],Fuel_GrowthRate[Fuel],_xlfn.XLOOKUP(DemandPJ_projection[[#This Row],[Year]],Fuel_GrowthRate[#Headers],Fuel_GrowthRate[]))) *
_xlfn.XLOOKUP(1,(DemandPJ_projection[[#This Row],[Fuel]]=DemandPJ_historic[Fuel])*(2023=DemandPJ_historic[Year]),DemandPJ_historic[Ventilation])</f>
        <v>0</v>
      </c>
      <c r="H42" s="1167" cm="1">
        <f t="array" aca="1" ref="H42" ca="1">(1+_xlfn.XLOOKUP(DemandPJ_projection[[#This Row],[Fuel]],Fuel_GrowthRate[Fuel],_xlfn.XLOOKUP(DemandPJ_projection[[#This Row],[Year]],Fuel_GrowthRate[#Headers],Fuel_GrowthRate[]))) *
_xlfn.XLOOKUP(1,(DemandPJ_projection[[#This Row],[Fuel]]=DemandPJ_historic[Fuel])*(2023=DemandPJ_historic[Year]),DemandPJ_historic[Lighting])</f>
        <v>0</v>
      </c>
      <c r="I42" s="1167" cm="1">
        <f t="array" aca="1" ref="I42" ca="1">(1+_xlfn.XLOOKUP(DemandPJ_projection[[#This Row],[Fuel]],Fuel_GrowthRate[Fuel],_xlfn.XLOOKUP(DemandPJ_projection[[#This Row],[Year]],Fuel_GrowthRate[#Headers],Fuel_GrowthRate[]))) *
_xlfn.XLOOKUP(1,(DemandPJ_projection[[#This Row],[Fuel]]=DemandPJ_historic[Fuel])*(2023=DemandPJ_historic[Year]),DemandPJ_historic[Conveyance])</f>
        <v>0</v>
      </c>
      <c r="J42" s="1167" cm="1">
        <f t="array" aca="1" ref="J42" ca="1">(1+_xlfn.XLOOKUP(DemandPJ_projection[[#This Row],[Fuel]],Fuel_GrowthRate[Fuel],_xlfn.XLOOKUP(DemandPJ_projection[[#This Row],[Year]],Fuel_GrowthRate[#Headers],Fuel_GrowthRate[]))) *
_xlfn.XLOOKUP(1,(DemandPJ_projection[[#This Row],[Fuel]]=DemandPJ_historic[Fuel])*(2023=DemandPJ_historic[Year]),DemandPJ_historic[Process Loads])</f>
        <v>0</v>
      </c>
      <c r="K42" s="1167" cm="1">
        <f t="array" aca="1" ref="K42" ca="1">(1+_xlfn.XLOOKUP(DemandPJ_projection[[#This Row],[Fuel]],Fuel_GrowthRate[Fuel],_xlfn.XLOOKUP(DemandPJ_projection[[#This Row],[Year]],Fuel_GrowthRate[#Headers],Fuel_GrowthRate[]))) *
_xlfn.XLOOKUP(1,(DemandPJ_projection[[#This Row],[Fuel]]=DemandPJ_historic[Fuel])*(2023=DemandPJ_historic[Year]),DemandPJ_historic[Plug Loads/Misc])</f>
        <v>8.4935286314452516E-6</v>
      </c>
    </row>
    <row r="43" spans="2:18">
      <c r="B43" s="829" t="s">
        <v>32</v>
      </c>
      <c r="C43" s="829" t="s">
        <v>732</v>
      </c>
      <c r="D43" s="1167" cm="1">
        <f t="array" aca="1" ref="D43" ca="1">(1+_xlfn.XLOOKUP(DemandPJ_projection[[#This Row],[Fuel]],Fuel_GrowthRate[Fuel],_xlfn.XLOOKUP(DemandPJ_projection[[#This Row],[Year]],Fuel_GrowthRate[#Headers],Fuel_GrowthRate[]))) *
_xlfn.XLOOKUP(1,(DemandPJ_projection[[#This Row],[Fuel]]=DemandPJ_historic[Fuel])*(2023=DemandPJ_historic[Year]),DemandPJ_historic[Space Heating])</f>
        <v>1.3053488328598615</v>
      </c>
      <c r="E43" s="1167" cm="1">
        <f t="array" aca="1" ref="E43" ca="1">(1+_xlfn.XLOOKUP(DemandPJ_projection[[#This Row],[Fuel]],Fuel_GrowthRate[Fuel],_xlfn.XLOOKUP(DemandPJ_projection[[#This Row],[Year]],Fuel_GrowthRate[#Headers],Fuel_GrowthRate[]))) *
_xlfn.XLOOKUP(1,(DemandPJ_projection[[#This Row],[Fuel]]=DemandPJ_historic[Fuel])*(2023=DemandPJ_historic[Year]),DemandPJ_historic[DHW])</f>
        <v>0.57435227153030433</v>
      </c>
      <c r="F43" s="1167" cm="1">
        <f t="array" aca="1" ref="F43" ca="1">(1+_xlfn.XLOOKUP(DemandPJ_projection[[#This Row],[Fuel]],Fuel_GrowthRate[Fuel],_xlfn.XLOOKUP(DemandPJ_projection[[#This Row],[Year]],Fuel_GrowthRate[#Headers],Fuel_GrowthRate[]))) *
_xlfn.XLOOKUP(1,(DemandPJ_projection[[#This Row],[Fuel]]=DemandPJ_historic[Fuel])*(2023=DemandPJ_historic[Year]),DemandPJ_historic[Space Cooling])</f>
        <v>3.9566443107638745</v>
      </c>
      <c r="G43" s="1167" cm="1">
        <f t="array" aca="1" ref="G43" ca="1">(1+_xlfn.XLOOKUP(DemandPJ_projection[[#This Row],[Fuel]],Fuel_GrowthRate[Fuel],_xlfn.XLOOKUP(DemandPJ_projection[[#This Row],[Year]],Fuel_GrowthRate[#Headers],Fuel_GrowthRate[]))) *
_xlfn.XLOOKUP(1,(DemandPJ_projection[[#This Row],[Fuel]]=DemandPJ_historic[Fuel])*(2023=DemandPJ_historic[Year]),DemandPJ_historic[Ventilation])</f>
        <v>2.6206479430087111</v>
      </c>
      <c r="H43" s="1167" cm="1">
        <f t="array" aca="1" ref="H43" ca="1">(1+_xlfn.XLOOKUP(DemandPJ_projection[[#This Row],[Fuel]],Fuel_GrowthRate[Fuel],_xlfn.XLOOKUP(DemandPJ_projection[[#This Row],[Year]],Fuel_GrowthRate[#Headers],Fuel_GrowthRate[]))) *
_xlfn.XLOOKUP(1,(DemandPJ_projection[[#This Row],[Fuel]]=DemandPJ_historic[Fuel])*(2023=DemandPJ_historic[Year]),DemandPJ_historic[Lighting])</f>
        <v>12.351395752482899</v>
      </c>
      <c r="I43" s="1167" cm="1">
        <f t="array" aca="1" ref="I43" ca="1">(1+_xlfn.XLOOKUP(DemandPJ_projection[[#This Row],[Fuel]],Fuel_GrowthRate[Fuel],_xlfn.XLOOKUP(DemandPJ_projection[[#This Row],[Year]],Fuel_GrowthRate[#Headers],Fuel_GrowthRate[]))) *
_xlfn.XLOOKUP(1,(DemandPJ_projection[[#This Row],[Fuel]]=DemandPJ_historic[Fuel])*(2023=DemandPJ_historic[Year]),DemandPJ_historic[Conveyance])</f>
        <v>1.8633327427336348</v>
      </c>
      <c r="J43" s="1167" cm="1">
        <f t="array" aca="1" ref="J43" ca="1">(1+_xlfn.XLOOKUP(DemandPJ_projection[[#This Row],[Fuel]],Fuel_GrowthRate[Fuel],_xlfn.XLOOKUP(DemandPJ_projection[[#This Row],[Year]],Fuel_GrowthRate[#Headers],Fuel_GrowthRate[]))) *
_xlfn.XLOOKUP(1,(DemandPJ_projection[[#This Row],[Fuel]]=DemandPJ_historic[Fuel])*(2023=DemandPJ_historic[Year]),DemandPJ_historic[Process Loads])</f>
        <v>4.0896551494410023</v>
      </c>
      <c r="K43" s="1167" cm="1">
        <f t="array" aca="1" ref="K43" ca="1">(1+_xlfn.XLOOKUP(DemandPJ_projection[[#This Row],[Fuel]],Fuel_GrowthRate[Fuel],_xlfn.XLOOKUP(DemandPJ_projection[[#This Row],[Year]],Fuel_GrowthRate[#Headers],Fuel_GrowthRate[]))) *
_xlfn.XLOOKUP(1,(DemandPJ_projection[[#This Row],[Fuel]]=DemandPJ_historic[Fuel])*(2023=DemandPJ_historic[Year]),DemandPJ_historic[Plug Loads/Misc])</f>
        <v>3.8574009109778045</v>
      </c>
    </row>
    <row r="44" spans="2:18">
      <c r="B44" s="829" t="s">
        <v>651</v>
      </c>
      <c r="C44" s="829" t="s">
        <v>732</v>
      </c>
      <c r="D44" s="1167" cm="1">
        <f t="array" aca="1" ref="D44" ca="1">(1+_xlfn.XLOOKUP(DemandPJ_projection[[#This Row],[Fuel]],Fuel_GrowthRate[Fuel],_xlfn.XLOOKUP(DemandPJ_projection[[#This Row],[Year]],Fuel_GrowthRate[#Headers],Fuel_GrowthRate[]))) *
_xlfn.XLOOKUP(1,(DemandPJ_projection[[#This Row],[Fuel]]=DemandPJ_historic[Fuel])*(2023=DemandPJ_historic[Year]),DemandPJ_historic[Space Heating])</f>
        <v>12.48913726617603</v>
      </c>
      <c r="E44" s="1167" cm="1">
        <f t="array" aca="1" ref="E44" ca="1">(1+_xlfn.XLOOKUP(DemandPJ_projection[[#This Row],[Fuel]],Fuel_GrowthRate[Fuel],_xlfn.XLOOKUP(DemandPJ_projection[[#This Row],[Year]],Fuel_GrowthRate[#Headers],Fuel_GrowthRate[]))) *
_xlfn.XLOOKUP(1,(DemandPJ_projection[[#This Row],[Fuel]]=DemandPJ_historic[Fuel])*(2023=DemandPJ_historic[Year]),DemandPJ_historic[DHW])</f>
        <v>0.41378524942978773</v>
      </c>
      <c r="F44" s="1167" cm="1">
        <f t="array" aca="1" ref="F44"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44" s="1167" cm="1">
        <f t="array" aca="1" ref="G44" ca="1">(1+_xlfn.XLOOKUP(DemandPJ_projection[[#This Row],[Fuel]],Fuel_GrowthRate[Fuel],_xlfn.XLOOKUP(DemandPJ_projection[[#This Row],[Year]],Fuel_GrowthRate[#Headers],Fuel_GrowthRate[]))) *
_xlfn.XLOOKUP(1,(DemandPJ_projection[[#This Row],[Fuel]]=DemandPJ_historic[Fuel])*(2023=DemandPJ_historic[Year]),DemandPJ_historic[Ventilation])</f>
        <v>0</v>
      </c>
      <c r="H44" s="1167" cm="1">
        <f t="array" aca="1" ref="H44" ca="1">(1+_xlfn.XLOOKUP(DemandPJ_projection[[#This Row],[Fuel]],Fuel_GrowthRate[Fuel],_xlfn.XLOOKUP(DemandPJ_projection[[#This Row],[Year]],Fuel_GrowthRate[#Headers],Fuel_GrowthRate[]))) *
_xlfn.XLOOKUP(1,(DemandPJ_projection[[#This Row],[Fuel]]=DemandPJ_historic[Fuel])*(2023=DemandPJ_historic[Year]),DemandPJ_historic[Lighting])</f>
        <v>0</v>
      </c>
      <c r="I44" s="1167" cm="1">
        <f t="array" aca="1" ref="I44" ca="1">(1+_xlfn.XLOOKUP(DemandPJ_projection[[#This Row],[Fuel]],Fuel_GrowthRate[Fuel],_xlfn.XLOOKUP(DemandPJ_projection[[#This Row],[Year]],Fuel_GrowthRate[#Headers],Fuel_GrowthRate[]))) *
_xlfn.XLOOKUP(1,(DemandPJ_projection[[#This Row],[Fuel]]=DemandPJ_historic[Fuel])*(2023=DemandPJ_historic[Year]),DemandPJ_historic[Conveyance])</f>
        <v>0</v>
      </c>
      <c r="J44" s="1167" cm="1">
        <f t="array" aca="1" ref="J44" ca="1">(1+_xlfn.XLOOKUP(DemandPJ_projection[[#This Row],[Fuel]],Fuel_GrowthRate[Fuel],_xlfn.XLOOKUP(DemandPJ_projection[[#This Row],[Year]],Fuel_GrowthRate[#Headers],Fuel_GrowthRate[]))) *
_xlfn.XLOOKUP(1,(DemandPJ_projection[[#This Row],[Fuel]]=DemandPJ_historic[Fuel])*(2023=DemandPJ_historic[Year]),DemandPJ_historic[Process Loads])</f>
        <v>0.15323535509447958</v>
      </c>
      <c r="K44" s="1167" cm="1">
        <f t="array" aca="1" ref="K44" ca="1">(1+_xlfn.XLOOKUP(DemandPJ_projection[[#This Row],[Fuel]],Fuel_GrowthRate[Fuel],_xlfn.XLOOKUP(DemandPJ_projection[[#This Row],[Year]],Fuel_GrowthRate[#Headers],Fuel_GrowthRate[]))) *
_xlfn.XLOOKUP(1,(DemandPJ_projection[[#This Row],[Fuel]]=DemandPJ_historic[Fuel])*(2023=DemandPJ_historic[Year]),DemandPJ_historic[Plug Loads/Misc])</f>
        <v>4.3606941967474611E-2</v>
      </c>
    </row>
    <row r="45" spans="2:18">
      <c r="B45" s="829" t="s">
        <v>652</v>
      </c>
      <c r="C45" s="829" t="s">
        <v>732</v>
      </c>
      <c r="D45" s="1167" cm="1">
        <f t="array" aca="1" ref="D45" ca="1">(1+_xlfn.XLOOKUP(DemandPJ_projection[[#This Row],[Fuel]],Fuel_GrowthRate[Fuel],_xlfn.XLOOKUP(DemandPJ_projection[[#This Row],[Year]],Fuel_GrowthRate[#Headers],Fuel_GrowthRate[]))) *
_xlfn.XLOOKUP(1,(DemandPJ_projection[[#This Row],[Fuel]]=DemandPJ_historic[Fuel])*(2023=DemandPJ_historic[Year]),DemandPJ_historic[Space Heating])</f>
        <v>1.7479589774253683</v>
      </c>
      <c r="E45" s="1167" cm="1">
        <f t="array" aca="1" ref="E45" ca="1">(1+_xlfn.XLOOKUP(DemandPJ_projection[[#This Row],[Fuel]],Fuel_GrowthRate[Fuel],_xlfn.XLOOKUP(DemandPJ_projection[[#This Row],[Year]],Fuel_GrowthRate[#Headers],Fuel_GrowthRate[]))) *
_xlfn.XLOOKUP(1,(DemandPJ_projection[[#This Row],[Fuel]]=DemandPJ_historic[Fuel])*(2023=DemandPJ_historic[Year]),DemandPJ_historic[DHW])</f>
        <v>0.18393305462002835</v>
      </c>
      <c r="F45" s="1167" cm="1">
        <f t="array" aca="1" ref="F45"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45" s="1167" cm="1">
        <f t="array" aca="1" ref="G45" ca="1">(1+_xlfn.XLOOKUP(DemandPJ_projection[[#This Row],[Fuel]],Fuel_GrowthRate[Fuel],_xlfn.XLOOKUP(DemandPJ_projection[[#This Row],[Year]],Fuel_GrowthRate[#Headers],Fuel_GrowthRate[]))) *
_xlfn.XLOOKUP(1,(DemandPJ_projection[[#This Row],[Fuel]]=DemandPJ_historic[Fuel])*(2023=DemandPJ_historic[Year]),DemandPJ_historic[Ventilation])</f>
        <v>0</v>
      </c>
      <c r="H45" s="1167" cm="1">
        <f t="array" aca="1" ref="H45" ca="1">(1+_xlfn.XLOOKUP(DemandPJ_projection[[#This Row],[Fuel]],Fuel_GrowthRate[Fuel],_xlfn.XLOOKUP(DemandPJ_projection[[#This Row],[Year]],Fuel_GrowthRate[#Headers],Fuel_GrowthRate[]))) *
_xlfn.XLOOKUP(1,(DemandPJ_projection[[#This Row],[Fuel]]=DemandPJ_historic[Fuel])*(2023=DemandPJ_historic[Year]),DemandPJ_historic[Lighting])</f>
        <v>0</v>
      </c>
      <c r="I45" s="1167" cm="1">
        <f t="array" aca="1" ref="I45" ca="1">(1+_xlfn.XLOOKUP(DemandPJ_projection[[#This Row],[Fuel]],Fuel_GrowthRate[Fuel],_xlfn.XLOOKUP(DemandPJ_projection[[#This Row],[Year]],Fuel_GrowthRate[#Headers],Fuel_GrowthRate[]))) *
_xlfn.XLOOKUP(1,(DemandPJ_projection[[#This Row],[Fuel]]=DemandPJ_historic[Fuel])*(2023=DemandPJ_historic[Year]),DemandPJ_historic[Conveyance])</f>
        <v>0</v>
      </c>
      <c r="J45" s="1167" cm="1">
        <f t="array" aca="1" ref="J45" ca="1">(1+_xlfn.XLOOKUP(DemandPJ_projection[[#This Row],[Fuel]],Fuel_GrowthRate[Fuel],_xlfn.XLOOKUP(DemandPJ_projection[[#This Row],[Year]],Fuel_GrowthRate[#Headers],Fuel_GrowthRate[]))) *
_xlfn.XLOOKUP(1,(DemandPJ_projection[[#This Row],[Fuel]]=DemandPJ_historic[Fuel])*(2023=DemandPJ_historic[Year]),DemandPJ_historic[Process Loads])</f>
        <v>5.6765621625344521E-2</v>
      </c>
      <c r="K45" s="1167" cm="1">
        <f t="array" aca="1" ref="K45" ca="1">(1+_xlfn.XLOOKUP(DemandPJ_projection[[#This Row],[Fuel]],Fuel_GrowthRate[Fuel],_xlfn.XLOOKUP(DemandPJ_projection[[#This Row],[Year]],Fuel_GrowthRate[#Headers],Fuel_GrowthRate[]))) *
_xlfn.XLOOKUP(1,(DemandPJ_projection[[#This Row],[Fuel]]=DemandPJ_historic[Fuel])*(2023=DemandPJ_historic[Year]),DemandPJ_historic[Plug Loads/Misc])</f>
        <v>0</v>
      </c>
    </row>
    <row r="46" spans="2:18">
      <c r="B46" s="829" t="s">
        <v>638</v>
      </c>
      <c r="C46" s="829" t="s">
        <v>732</v>
      </c>
      <c r="D46" s="1167" cm="1">
        <f t="array" aca="1" ref="D46" ca="1">(1+_xlfn.XLOOKUP(DemandPJ_projection[[#This Row],[Fuel]],Fuel_GrowthRate[Fuel],_xlfn.XLOOKUP(DemandPJ_projection[[#This Row],[Year]],Fuel_GrowthRate[#Headers],Fuel_GrowthRate[]))) *
_xlfn.XLOOKUP(1,(DemandPJ_projection[[#This Row],[Fuel]]=DemandPJ_historic[Fuel])*(2023=DemandPJ_historic[Year]),DemandPJ_historic[Space Heating])</f>
        <v>1.3350310410217223</v>
      </c>
      <c r="E46" s="1167" cm="1">
        <f t="array" aca="1" ref="E46" ca="1">(1+_xlfn.XLOOKUP(DemandPJ_projection[[#This Row],[Fuel]],Fuel_GrowthRate[Fuel],_xlfn.XLOOKUP(DemandPJ_projection[[#This Row],[Year]],Fuel_GrowthRate[#Headers],Fuel_GrowthRate[]))) *
_xlfn.XLOOKUP(1,(DemandPJ_projection[[#This Row],[Fuel]]=DemandPJ_historic[Fuel])*(2023=DemandPJ_historic[Year]),DemandPJ_historic[DHW])</f>
        <v>0.40270846448892161</v>
      </c>
      <c r="F46" s="1167" cm="1">
        <f t="array" aca="1" ref="F46"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46" s="1167" cm="1">
        <f t="array" aca="1" ref="G46" ca="1">(1+_xlfn.XLOOKUP(DemandPJ_projection[[#This Row],[Fuel]],Fuel_GrowthRate[Fuel],_xlfn.XLOOKUP(DemandPJ_projection[[#This Row],[Year]],Fuel_GrowthRate[#Headers],Fuel_GrowthRate[]))) *
_xlfn.XLOOKUP(1,(DemandPJ_projection[[#This Row],[Fuel]]=DemandPJ_historic[Fuel])*(2023=DemandPJ_historic[Year]),DemandPJ_historic[Ventilation])</f>
        <v>0</v>
      </c>
      <c r="H46" s="1167" cm="1">
        <f t="array" aca="1" ref="H46" ca="1">(1+_xlfn.XLOOKUP(DemandPJ_projection[[#This Row],[Fuel]],Fuel_GrowthRate[Fuel],_xlfn.XLOOKUP(DemandPJ_projection[[#This Row],[Year]],Fuel_GrowthRate[#Headers],Fuel_GrowthRate[]))) *
_xlfn.XLOOKUP(1,(DemandPJ_projection[[#This Row],[Fuel]]=DemandPJ_historic[Fuel])*(2023=DemandPJ_historic[Year]),DemandPJ_historic[Lighting])</f>
        <v>0</v>
      </c>
      <c r="I46" s="1167" cm="1">
        <f t="array" aca="1" ref="I46" ca="1">(1+_xlfn.XLOOKUP(DemandPJ_projection[[#This Row],[Fuel]],Fuel_GrowthRate[Fuel],_xlfn.XLOOKUP(DemandPJ_projection[[#This Row],[Year]],Fuel_GrowthRate[#Headers],Fuel_GrowthRate[]))) *
_xlfn.XLOOKUP(1,(DemandPJ_projection[[#This Row],[Fuel]]=DemandPJ_historic[Fuel])*(2023=DemandPJ_historic[Year]),DemandPJ_historic[Conveyance])</f>
        <v>0</v>
      </c>
      <c r="J46" s="1167" cm="1">
        <f t="array" aca="1" ref="J46" ca="1">(1+_xlfn.XLOOKUP(DemandPJ_projection[[#This Row],[Fuel]],Fuel_GrowthRate[Fuel],_xlfn.XLOOKUP(DemandPJ_projection[[#This Row],[Year]],Fuel_GrowthRate[#Headers],Fuel_GrowthRate[]))) *
_xlfn.XLOOKUP(1,(DemandPJ_projection[[#This Row],[Fuel]]=DemandPJ_historic[Fuel])*(2023=DemandPJ_historic[Year]),DemandPJ_historic[Process Loads])</f>
        <v>0</v>
      </c>
      <c r="K46" s="1167" cm="1">
        <f t="array" aca="1" ref="K46" ca="1">(1+_xlfn.XLOOKUP(DemandPJ_projection[[#This Row],[Fuel]],Fuel_GrowthRate[Fuel],_xlfn.XLOOKUP(DemandPJ_projection[[#This Row],[Year]],Fuel_GrowthRate[#Headers],Fuel_GrowthRate[]))) *
_xlfn.XLOOKUP(1,(DemandPJ_projection[[#This Row],[Fuel]]=DemandPJ_historic[Fuel])*(2023=DemandPJ_historic[Year]),DemandPJ_historic[Plug Loads/Misc])</f>
        <v>7.2787233636829657E-6</v>
      </c>
    </row>
    <row r="47" spans="2:18">
      <c r="B47" s="829" t="s">
        <v>32</v>
      </c>
      <c r="C47" s="829" t="s">
        <v>733</v>
      </c>
      <c r="D47" s="1167" cm="1">
        <f t="array" aca="1" ref="D47" ca="1">(1+_xlfn.XLOOKUP(DemandPJ_projection[[#This Row],[Fuel]],Fuel_GrowthRate[Fuel],_xlfn.XLOOKUP(DemandPJ_projection[[#This Row],[Year]],Fuel_GrowthRate[#Headers],Fuel_GrowthRate[]))) *
_xlfn.XLOOKUP(1,(DemandPJ_projection[[#This Row],[Fuel]]=DemandPJ_historic[Fuel])*(2023=DemandPJ_historic[Year]),DemandPJ_historic[Space Heating])</f>
        <v>1.2171758976920517</v>
      </c>
      <c r="E47" s="1167" cm="1">
        <f t="array" aca="1" ref="E47" ca="1">(1+_xlfn.XLOOKUP(DemandPJ_projection[[#This Row],[Fuel]],Fuel_GrowthRate[Fuel],_xlfn.XLOOKUP(DemandPJ_projection[[#This Row],[Year]],Fuel_GrowthRate[#Headers],Fuel_GrowthRate[]))) *
_xlfn.XLOOKUP(1,(DemandPJ_projection[[#This Row],[Fuel]]=DemandPJ_historic[Fuel])*(2023=DemandPJ_historic[Year]),DemandPJ_historic[DHW])</f>
        <v>0.53555626212171237</v>
      </c>
      <c r="F47" s="1167" cm="1">
        <f t="array" aca="1" ref="F47" ca="1">(1+_xlfn.XLOOKUP(DemandPJ_projection[[#This Row],[Fuel]],Fuel_GrowthRate[Fuel],_xlfn.XLOOKUP(DemandPJ_projection[[#This Row],[Year]],Fuel_GrowthRate[#Headers],Fuel_GrowthRate[]))) *
_xlfn.XLOOKUP(1,(DemandPJ_projection[[#This Row],[Fuel]]=DemandPJ_historic[Fuel])*(2023=DemandPJ_historic[Year]),DemandPJ_historic[Space Cooling])</f>
        <v>3.6893832281222818</v>
      </c>
      <c r="G47" s="1167" cm="1">
        <f t="array" aca="1" ref="G47" ca="1">(1+_xlfn.XLOOKUP(DemandPJ_projection[[#This Row],[Fuel]],Fuel_GrowthRate[Fuel],_xlfn.XLOOKUP(DemandPJ_projection[[#This Row],[Year]],Fuel_GrowthRate[#Headers],Fuel_GrowthRate[]))) *
_xlfn.XLOOKUP(1,(DemandPJ_projection[[#This Row],[Fuel]]=DemandPJ_historic[Fuel])*(2023=DemandPJ_historic[Year]),DemandPJ_historic[Ventilation])</f>
        <v>2.4436299571954372</v>
      </c>
      <c r="H47" s="1167" cm="1">
        <f t="array" aca="1" ref="H47" ca="1">(1+_xlfn.XLOOKUP(DemandPJ_projection[[#This Row],[Fuel]],Fuel_GrowthRate[Fuel],_xlfn.XLOOKUP(DemandPJ_projection[[#This Row],[Year]],Fuel_GrowthRate[#Headers],Fuel_GrowthRate[]))) *
_xlfn.XLOOKUP(1,(DemandPJ_projection[[#This Row],[Fuel]]=DemandPJ_historic[Fuel])*(2023=DemandPJ_historic[Year]),DemandPJ_historic[Lighting])</f>
        <v>11.517090937171856</v>
      </c>
      <c r="I47" s="1167" cm="1">
        <f t="array" aca="1" ref="I47" ca="1">(1+_xlfn.XLOOKUP(DemandPJ_projection[[#This Row],[Fuel]],Fuel_GrowthRate[Fuel],_xlfn.XLOOKUP(DemandPJ_projection[[#This Row],[Year]],Fuel_GrowthRate[#Headers],Fuel_GrowthRate[]))) *
_xlfn.XLOOKUP(1,(DemandPJ_projection[[#This Row],[Fuel]]=DemandPJ_historic[Fuel])*(2023=DemandPJ_historic[Year]),DemandPJ_historic[Conveyance])</f>
        <v>1.7374694386226883</v>
      </c>
      <c r="J47" s="1167" cm="1">
        <f t="array" aca="1" ref="J47" ca="1">(1+_xlfn.XLOOKUP(DemandPJ_projection[[#This Row],[Fuel]],Fuel_GrowthRate[Fuel],_xlfn.XLOOKUP(DemandPJ_projection[[#This Row],[Year]],Fuel_GrowthRate[#Headers],Fuel_GrowthRate[]))) *
_xlfn.XLOOKUP(1,(DemandPJ_projection[[#This Row],[Fuel]]=DemandPJ_historic[Fuel])*(2023=DemandPJ_historic[Year]),DemandPJ_historic[Process Loads])</f>
        <v>3.8134095289042018</v>
      </c>
      <c r="K47" s="1167" cm="1">
        <f t="array" aca="1" ref="K47" ca="1">(1+_xlfn.XLOOKUP(DemandPJ_projection[[#This Row],[Fuel]],Fuel_GrowthRate[Fuel],_xlfn.XLOOKUP(DemandPJ_projection[[#This Row],[Year]],Fuel_GrowthRate[#Headers],Fuel_GrowthRate[]))) *
_xlfn.XLOOKUP(1,(DemandPJ_projection[[#This Row],[Fuel]]=DemandPJ_historic[Fuel])*(2023=DemandPJ_historic[Year]),DemandPJ_historic[Plug Loads/Misc])</f>
        <v>3.5968434631309036</v>
      </c>
    </row>
    <row r="48" spans="2:18">
      <c r="B48" s="829" t="s">
        <v>651</v>
      </c>
      <c r="C48" s="829" t="s">
        <v>733</v>
      </c>
      <c r="D48" s="1167" cm="1">
        <f t="array" aca="1" ref="D48" ca="1">(1+_xlfn.XLOOKUP(DemandPJ_projection[[#This Row],[Fuel]],Fuel_GrowthRate[Fuel],_xlfn.XLOOKUP(DemandPJ_projection[[#This Row],[Year]],Fuel_GrowthRate[#Headers],Fuel_GrowthRate[]))) *
_xlfn.XLOOKUP(1,(DemandPJ_projection[[#This Row],[Fuel]]=DemandPJ_historic[Fuel])*(2023=DemandPJ_historic[Year]),DemandPJ_historic[Space Heating])</f>
        <v>13.803013704476641</v>
      </c>
      <c r="E48" s="1167" cm="1">
        <f t="array" aca="1" ref="E48" ca="1">(1+_xlfn.XLOOKUP(DemandPJ_projection[[#This Row],[Fuel]],Fuel_GrowthRate[Fuel],_xlfn.XLOOKUP(DemandPJ_projection[[#This Row],[Year]],Fuel_GrowthRate[#Headers],Fuel_GrowthRate[]))) *
_xlfn.XLOOKUP(1,(DemandPJ_projection[[#This Row],[Fuel]]=DemandPJ_historic[Fuel])*(2023=DemandPJ_historic[Year]),DemandPJ_historic[DHW])</f>
        <v>0.45731609372713761</v>
      </c>
      <c r="F48" s="1167" cm="1">
        <f t="array" aca="1" ref="F48"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48" s="1167" cm="1">
        <f t="array" aca="1" ref="G48" ca="1">(1+_xlfn.XLOOKUP(DemandPJ_projection[[#This Row],[Fuel]],Fuel_GrowthRate[Fuel],_xlfn.XLOOKUP(DemandPJ_projection[[#This Row],[Year]],Fuel_GrowthRate[#Headers],Fuel_GrowthRate[]))) *
_xlfn.XLOOKUP(1,(DemandPJ_projection[[#This Row],[Fuel]]=DemandPJ_historic[Fuel])*(2023=DemandPJ_historic[Year]),DemandPJ_historic[Ventilation])</f>
        <v>0</v>
      </c>
      <c r="H48" s="1167" cm="1">
        <f t="array" aca="1" ref="H48" ca="1">(1+_xlfn.XLOOKUP(DemandPJ_projection[[#This Row],[Fuel]],Fuel_GrowthRate[Fuel],_xlfn.XLOOKUP(DemandPJ_projection[[#This Row],[Year]],Fuel_GrowthRate[#Headers],Fuel_GrowthRate[]))) *
_xlfn.XLOOKUP(1,(DemandPJ_projection[[#This Row],[Fuel]]=DemandPJ_historic[Fuel])*(2023=DemandPJ_historic[Year]),DemandPJ_historic[Lighting])</f>
        <v>0</v>
      </c>
      <c r="I48" s="1167" cm="1">
        <f t="array" aca="1" ref="I48" ca="1">(1+_xlfn.XLOOKUP(DemandPJ_projection[[#This Row],[Fuel]],Fuel_GrowthRate[Fuel],_xlfn.XLOOKUP(DemandPJ_projection[[#This Row],[Year]],Fuel_GrowthRate[#Headers],Fuel_GrowthRate[]))) *
_xlfn.XLOOKUP(1,(DemandPJ_projection[[#This Row],[Fuel]]=DemandPJ_historic[Fuel])*(2023=DemandPJ_historic[Year]),DemandPJ_historic[Conveyance])</f>
        <v>0</v>
      </c>
      <c r="J48" s="1167" cm="1">
        <f t="array" aca="1" ref="J48" ca="1">(1+_xlfn.XLOOKUP(DemandPJ_projection[[#This Row],[Fuel]],Fuel_GrowthRate[Fuel],_xlfn.XLOOKUP(DemandPJ_projection[[#This Row],[Year]],Fuel_GrowthRate[#Headers],Fuel_GrowthRate[]))) *
_xlfn.XLOOKUP(1,(DemandPJ_projection[[#This Row],[Fuel]]=DemandPJ_historic[Fuel])*(2023=DemandPJ_historic[Year]),DemandPJ_historic[Process Loads])</f>
        <v>0.16935594999886314</v>
      </c>
      <c r="K48" s="1167" cm="1">
        <f t="array" aca="1" ref="K48" ca="1">(1+_xlfn.XLOOKUP(DemandPJ_projection[[#This Row],[Fuel]],Fuel_GrowthRate[Fuel],_xlfn.XLOOKUP(DemandPJ_projection[[#This Row],[Year]],Fuel_GrowthRate[#Headers],Fuel_GrowthRate[]))) *
_xlfn.XLOOKUP(1,(DemandPJ_projection[[#This Row],[Fuel]]=DemandPJ_historic[Fuel])*(2023=DemandPJ_historic[Year]),DemandPJ_historic[Plug Loads/Misc])</f>
        <v>4.8194459293637318E-2</v>
      </c>
    </row>
    <row r="49" spans="2:11">
      <c r="B49" s="829" t="s">
        <v>652</v>
      </c>
      <c r="C49" s="829" t="s">
        <v>733</v>
      </c>
      <c r="D49" s="1167" cm="1">
        <f t="array" aca="1" ref="D49" ca="1">(1+_xlfn.XLOOKUP(DemandPJ_projection[[#This Row],[Fuel]],Fuel_GrowthRate[Fuel],_xlfn.XLOOKUP(DemandPJ_projection[[#This Row],[Year]],Fuel_GrowthRate[#Headers],Fuel_GrowthRate[]))) *
_xlfn.XLOOKUP(1,(DemandPJ_projection[[#This Row],[Fuel]]=DemandPJ_historic[Fuel])*(2023=DemandPJ_historic[Year]),DemandPJ_historic[Space Heating])</f>
        <v>1.6415083453973973</v>
      </c>
      <c r="E49" s="1167" cm="1">
        <f t="array" aca="1" ref="E49" ca="1">(1+_xlfn.XLOOKUP(DemandPJ_projection[[#This Row],[Fuel]],Fuel_GrowthRate[Fuel],_xlfn.XLOOKUP(DemandPJ_projection[[#This Row],[Year]],Fuel_GrowthRate[#Headers],Fuel_GrowthRate[]))) *
_xlfn.XLOOKUP(1,(DemandPJ_projection[[#This Row],[Fuel]]=DemandPJ_historic[Fuel])*(2023=DemandPJ_historic[Year]),DemandPJ_historic[DHW])</f>
        <v>0.17273153892772239</v>
      </c>
      <c r="F49" s="1167" cm="1">
        <f t="array" aca="1" ref="F49"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49" s="1167" cm="1">
        <f t="array" aca="1" ref="G49" ca="1">(1+_xlfn.XLOOKUP(DemandPJ_projection[[#This Row],[Fuel]],Fuel_GrowthRate[Fuel],_xlfn.XLOOKUP(DemandPJ_projection[[#This Row],[Year]],Fuel_GrowthRate[#Headers],Fuel_GrowthRate[]))) *
_xlfn.XLOOKUP(1,(DemandPJ_projection[[#This Row],[Fuel]]=DemandPJ_historic[Fuel])*(2023=DemandPJ_historic[Year]),DemandPJ_historic[Ventilation])</f>
        <v>0</v>
      </c>
      <c r="H49" s="1167" cm="1">
        <f t="array" aca="1" ref="H49" ca="1">(1+_xlfn.XLOOKUP(DemandPJ_projection[[#This Row],[Fuel]],Fuel_GrowthRate[Fuel],_xlfn.XLOOKUP(DemandPJ_projection[[#This Row],[Year]],Fuel_GrowthRate[#Headers],Fuel_GrowthRate[]))) *
_xlfn.XLOOKUP(1,(DemandPJ_projection[[#This Row],[Fuel]]=DemandPJ_historic[Fuel])*(2023=DemandPJ_historic[Year]),DemandPJ_historic[Lighting])</f>
        <v>0</v>
      </c>
      <c r="I49" s="1167" cm="1">
        <f t="array" aca="1" ref="I49" ca="1">(1+_xlfn.XLOOKUP(DemandPJ_projection[[#This Row],[Fuel]],Fuel_GrowthRate[Fuel],_xlfn.XLOOKUP(DemandPJ_projection[[#This Row],[Year]],Fuel_GrowthRate[#Headers],Fuel_GrowthRate[]))) *
_xlfn.XLOOKUP(1,(DemandPJ_projection[[#This Row],[Fuel]]=DemandPJ_historic[Fuel])*(2023=DemandPJ_historic[Year]),DemandPJ_historic[Conveyance])</f>
        <v>0</v>
      </c>
      <c r="J49" s="1167" cm="1">
        <f t="array" aca="1" ref="J49" ca="1">(1+_xlfn.XLOOKUP(DemandPJ_projection[[#This Row],[Fuel]],Fuel_GrowthRate[Fuel],_xlfn.XLOOKUP(DemandPJ_projection[[#This Row],[Year]],Fuel_GrowthRate[#Headers],Fuel_GrowthRate[]))) *
_xlfn.XLOOKUP(1,(DemandPJ_projection[[#This Row],[Fuel]]=DemandPJ_historic[Fuel])*(2023=DemandPJ_historic[Year]),DemandPJ_historic[Process Loads])</f>
        <v>5.330859753180478E-2</v>
      </c>
      <c r="K49" s="1167" cm="1">
        <f t="array" aca="1" ref="K49" ca="1">(1+_xlfn.XLOOKUP(DemandPJ_projection[[#This Row],[Fuel]],Fuel_GrowthRate[Fuel],_xlfn.XLOOKUP(DemandPJ_projection[[#This Row],[Year]],Fuel_GrowthRate[#Headers],Fuel_GrowthRate[]))) *
_xlfn.XLOOKUP(1,(DemandPJ_projection[[#This Row],[Fuel]]=DemandPJ_historic[Fuel])*(2023=DemandPJ_historic[Year]),DemandPJ_historic[Plug Loads/Misc])</f>
        <v>0</v>
      </c>
    </row>
    <row r="50" spans="2:11">
      <c r="B50" s="829" t="s">
        <v>638</v>
      </c>
      <c r="C50" s="829" t="s">
        <v>733</v>
      </c>
      <c r="D50" s="1167" cm="1">
        <f t="array" aca="1" ref="D50" ca="1">(1+_xlfn.XLOOKUP(DemandPJ_projection[[#This Row],[Fuel]],Fuel_GrowthRate[Fuel],_xlfn.XLOOKUP(DemandPJ_projection[[#This Row],[Year]],Fuel_GrowthRate[#Headers],Fuel_GrowthRate[]))) *
_xlfn.XLOOKUP(1,(DemandPJ_projection[[#This Row],[Fuel]]=DemandPJ_historic[Fuel])*(2023=DemandPJ_historic[Year]),DemandPJ_historic[Space Heating])</f>
        <v>1.9427260558159716</v>
      </c>
      <c r="E50" s="1167" cm="1">
        <f t="array" aca="1" ref="E50" ca="1">(1+_xlfn.XLOOKUP(DemandPJ_projection[[#This Row],[Fuel]],Fuel_GrowthRate[Fuel],_xlfn.XLOOKUP(DemandPJ_projection[[#This Row],[Year]],Fuel_GrowthRate[#Headers],Fuel_GrowthRate[]))) *
_xlfn.XLOOKUP(1,(DemandPJ_projection[[#This Row],[Fuel]]=DemandPJ_historic[Fuel])*(2023=DemandPJ_historic[Year]),DemandPJ_historic[DHW])</f>
        <v>0.58601800469112786</v>
      </c>
      <c r="F50" s="1167" cm="1">
        <f t="array" aca="1" ref="F50"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50" s="1167" cm="1">
        <f t="array" aca="1" ref="G50" ca="1">(1+_xlfn.XLOOKUP(DemandPJ_projection[[#This Row],[Fuel]],Fuel_GrowthRate[Fuel],_xlfn.XLOOKUP(DemandPJ_projection[[#This Row],[Year]],Fuel_GrowthRate[#Headers],Fuel_GrowthRate[]))) *
_xlfn.XLOOKUP(1,(DemandPJ_projection[[#This Row],[Fuel]]=DemandPJ_historic[Fuel])*(2023=DemandPJ_historic[Year]),DemandPJ_historic[Ventilation])</f>
        <v>0</v>
      </c>
      <c r="H50" s="1167" cm="1">
        <f t="array" aca="1" ref="H50" ca="1">(1+_xlfn.XLOOKUP(DemandPJ_projection[[#This Row],[Fuel]],Fuel_GrowthRate[Fuel],_xlfn.XLOOKUP(DemandPJ_projection[[#This Row],[Year]],Fuel_GrowthRate[#Headers],Fuel_GrowthRate[]))) *
_xlfn.XLOOKUP(1,(DemandPJ_projection[[#This Row],[Fuel]]=DemandPJ_historic[Fuel])*(2023=DemandPJ_historic[Year]),DemandPJ_historic[Lighting])</f>
        <v>0</v>
      </c>
      <c r="I50" s="1167" cm="1">
        <f t="array" aca="1" ref="I50" ca="1">(1+_xlfn.XLOOKUP(DemandPJ_projection[[#This Row],[Fuel]],Fuel_GrowthRate[Fuel],_xlfn.XLOOKUP(DemandPJ_projection[[#This Row],[Year]],Fuel_GrowthRate[#Headers],Fuel_GrowthRate[]))) *
_xlfn.XLOOKUP(1,(DemandPJ_projection[[#This Row],[Fuel]]=DemandPJ_historic[Fuel])*(2023=DemandPJ_historic[Year]),DemandPJ_historic[Conveyance])</f>
        <v>0</v>
      </c>
      <c r="J50" s="1167" cm="1">
        <f t="array" aca="1" ref="J50" ca="1">(1+_xlfn.XLOOKUP(DemandPJ_projection[[#This Row],[Fuel]],Fuel_GrowthRate[Fuel],_xlfn.XLOOKUP(DemandPJ_projection[[#This Row],[Year]],Fuel_GrowthRate[#Headers],Fuel_GrowthRate[]))) *
_xlfn.XLOOKUP(1,(DemandPJ_projection[[#This Row],[Fuel]]=DemandPJ_historic[Fuel])*(2023=DemandPJ_historic[Year]),DemandPJ_historic[Process Loads])</f>
        <v>0</v>
      </c>
      <c r="K50" s="1167" cm="1">
        <f t="array" aca="1" ref="K50" ca="1">(1+_xlfn.XLOOKUP(DemandPJ_projection[[#This Row],[Fuel]],Fuel_GrowthRate[Fuel],_xlfn.XLOOKUP(DemandPJ_projection[[#This Row],[Year]],Fuel_GrowthRate[#Headers],Fuel_GrowthRate[]))) *
_xlfn.XLOOKUP(1,(DemandPJ_projection[[#This Row],[Fuel]]=DemandPJ_historic[Fuel])*(2023=DemandPJ_historic[Year]),DemandPJ_historic[Plug Loads/Misc])</f>
        <v>1.0591937638304912E-5</v>
      </c>
    </row>
    <row r="51" spans="2:11">
      <c r="B51" s="829" t="s">
        <v>32</v>
      </c>
      <c r="C51" s="829" t="s">
        <v>734</v>
      </c>
      <c r="D51" s="1167" cm="1">
        <f t="array" aca="1" ref="D51" ca="1">(1+_xlfn.XLOOKUP(DemandPJ_projection[[#This Row],[Fuel]],Fuel_GrowthRate[Fuel],_xlfn.XLOOKUP(DemandPJ_projection[[#This Row],[Year]],Fuel_GrowthRate[#Headers],Fuel_GrowthRate[]))) *
_xlfn.XLOOKUP(1,(DemandPJ_projection[[#This Row],[Fuel]]=DemandPJ_historic[Fuel])*(2023=DemandPJ_historic[Year]),DemandPJ_historic[Space Heating])</f>
        <v>1.2171758976920517</v>
      </c>
      <c r="E51" s="1167" cm="1">
        <f t="array" aca="1" ref="E51" ca="1">(1+_xlfn.XLOOKUP(DemandPJ_projection[[#This Row],[Fuel]],Fuel_GrowthRate[Fuel],_xlfn.XLOOKUP(DemandPJ_projection[[#This Row],[Year]],Fuel_GrowthRate[#Headers],Fuel_GrowthRate[]))) *
_xlfn.XLOOKUP(1,(DemandPJ_projection[[#This Row],[Fuel]]=DemandPJ_historic[Fuel])*(2023=DemandPJ_historic[Year]),DemandPJ_historic[DHW])</f>
        <v>0.53555626212171237</v>
      </c>
      <c r="F51" s="1167" cm="1">
        <f t="array" aca="1" ref="F51" ca="1">(1+_xlfn.XLOOKUP(DemandPJ_projection[[#This Row],[Fuel]],Fuel_GrowthRate[Fuel],_xlfn.XLOOKUP(DemandPJ_projection[[#This Row],[Year]],Fuel_GrowthRate[#Headers],Fuel_GrowthRate[]))) *
_xlfn.XLOOKUP(1,(DemandPJ_projection[[#This Row],[Fuel]]=DemandPJ_historic[Fuel])*(2023=DemandPJ_historic[Year]),DemandPJ_historic[Space Cooling])</f>
        <v>3.6893832281222818</v>
      </c>
      <c r="G51" s="1167" cm="1">
        <f t="array" aca="1" ref="G51" ca="1">(1+_xlfn.XLOOKUP(DemandPJ_projection[[#This Row],[Fuel]],Fuel_GrowthRate[Fuel],_xlfn.XLOOKUP(DemandPJ_projection[[#This Row],[Year]],Fuel_GrowthRate[#Headers],Fuel_GrowthRate[]))) *
_xlfn.XLOOKUP(1,(DemandPJ_projection[[#This Row],[Fuel]]=DemandPJ_historic[Fuel])*(2023=DemandPJ_historic[Year]),DemandPJ_historic[Ventilation])</f>
        <v>2.4436299571954372</v>
      </c>
      <c r="H51" s="1167" cm="1">
        <f t="array" aca="1" ref="H51" ca="1">(1+_xlfn.XLOOKUP(DemandPJ_projection[[#This Row],[Fuel]],Fuel_GrowthRate[Fuel],_xlfn.XLOOKUP(DemandPJ_projection[[#This Row],[Year]],Fuel_GrowthRate[#Headers],Fuel_GrowthRate[]))) *
_xlfn.XLOOKUP(1,(DemandPJ_projection[[#This Row],[Fuel]]=DemandPJ_historic[Fuel])*(2023=DemandPJ_historic[Year]),DemandPJ_historic[Lighting])</f>
        <v>11.517090937171856</v>
      </c>
      <c r="I51" s="1167" cm="1">
        <f t="array" aca="1" ref="I51" ca="1">(1+_xlfn.XLOOKUP(DemandPJ_projection[[#This Row],[Fuel]],Fuel_GrowthRate[Fuel],_xlfn.XLOOKUP(DemandPJ_projection[[#This Row],[Year]],Fuel_GrowthRate[#Headers],Fuel_GrowthRate[]))) *
_xlfn.XLOOKUP(1,(DemandPJ_projection[[#This Row],[Fuel]]=DemandPJ_historic[Fuel])*(2023=DemandPJ_historic[Year]),DemandPJ_historic[Conveyance])</f>
        <v>1.7374694386226883</v>
      </c>
      <c r="J51" s="1167" cm="1">
        <f t="array" aca="1" ref="J51" ca="1">(1+_xlfn.XLOOKUP(DemandPJ_projection[[#This Row],[Fuel]],Fuel_GrowthRate[Fuel],_xlfn.XLOOKUP(DemandPJ_projection[[#This Row],[Year]],Fuel_GrowthRate[#Headers],Fuel_GrowthRate[]))) *
_xlfn.XLOOKUP(1,(DemandPJ_projection[[#This Row],[Fuel]]=DemandPJ_historic[Fuel])*(2023=DemandPJ_historic[Year]),DemandPJ_historic[Process Loads])</f>
        <v>3.8134095289042018</v>
      </c>
      <c r="K51" s="1167" cm="1">
        <f t="array" aca="1" ref="K51" ca="1">(1+_xlfn.XLOOKUP(DemandPJ_projection[[#This Row],[Fuel]],Fuel_GrowthRate[Fuel],_xlfn.XLOOKUP(DemandPJ_projection[[#This Row],[Year]],Fuel_GrowthRate[#Headers],Fuel_GrowthRate[]))) *
_xlfn.XLOOKUP(1,(DemandPJ_projection[[#This Row],[Fuel]]=DemandPJ_historic[Fuel])*(2023=DemandPJ_historic[Year]),DemandPJ_historic[Plug Loads/Misc])</f>
        <v>3.5968434631309036</v>
      </c>
    </row>
    <row r="52" spans="2:11">
      <c r="B52" s="829" t="s">
        <v>651</v>
      </c>
      <c r="C52" s="829" t="s">
        <v>734</v>
      </c>
      <c r="D52" s="1167" cm="1">
        <f t="array" aca="1" ref="D52" ca="1">(1+_xlfn.XLOOKUP(DemandPJ_projection[[#This Row],[Fuel]],Fuel_GrowthRate[Fuel],_xlfn.XLOOKUP(DemandPJ_projection[[#This Row],[Year]],Fuel_GrowthRate[#Headers],Fuel_GrowthRate[]))) *
_xlfn.XLOOKUP(1,(DemandPJ_projection[[#This Row],[Fuel]]=DemandPJ_historic[Fuel])*(2023=DemandPJ_historic[Year]),DemandPJ_historic[Space Heating])</f>
        <v>13.803013704476641</v>
      </c>
      <c r="E52" s="1167" cm="1">
        <f t="array" aca="1" ref="E52" ca="1">(1+_xlfn.XLOOKUP(DemandPJ_projection[[#This Row],[Fuel]],Fuel_GrowthRate[Fuel],_xlfn.XLOOKUP(DemandPJ_projection[[#This Row],[Year]],Fuel_GrowthRate[#Headers],Fuel_GrowthRate[]))) *
_xlfn.XLOOKUP(1,(DemandPJ_projection[[#This Row],[Fuel]]=DemandPJ_historic[Fuel])*(2023=DemandPJ_historic[Year]),DemandPJ_historic[DHW])</f>
        <v>0.45731609372713761</v>
      </c>
      <c r="F52" s="1167" cm="1">
        <f t="array" aca="1" ref="F52"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52" s="1167" cm="1">
        <f t="array" aca="1" ref="G52" ca="1">(1+_xlfn.XLOOKUP(DemandPJ_projection[[#This Row],[Fuel]],Fuel_GrowthRate[Fuel],_xlfn.XLOOKUP(DemandPJ_projection[[#This Row],[Year]],Fuel_GrowthRate[#Headers],Fuel_GrowthRate[]))) *
_xlfn.XLOOKUP(1,(DemandPJ_projection[[#This Row],[Fuel]]=DemandPJ_historic[Fuel])*(2023=DemandPJ_historic[Year]),DemandPJ_historic[Ventilation])</f>
        <v>0</v>
      </c>
      <c r="H52" s="1167" cm="1">
        <f t="array" aca="1" ref="H52" ca="1">(1+_xlfn.XLOOKUP(DemandPJ_projection[[#This Row],[Fuel]],Fuel_GrowthRate[Fuel],_xlfn.XLOOKUP(DemandPJ_projection[[#This Row],[Year]],Fuel_GrowthRate[#Headers],Fuel_GrowthRate[]))) *
_xlfn.XLOOKUP(1,(DemandPJ_projection[[#This Row],[Fuel]]=DemandPJ_historic[Fuel])*(2023=DemandPJ_historic[Year]),DemandPJ_historic[Lighting])</f>
        <v>0</v>
      </c>
      <c r="I52" s="1167" cm="1">
        <f t="array" aca="1" ref="I52" ca="1">(1+_xlfn.XLOOKUP(DemandPJ_projection[[#This Row],[Fuel]],Fuel_GrowthRate[Fuel],_xlfn.XLOOKUP(DemandPJ_projection[[#This Row],[Year]],Fuel_GrowthRate[#Headers],Fuel_GrowthRate[]))) *
_xlfn.XLOOKUP(1,(DemandPJ_projection[[#This Row],[Fuel]]=DemandPJ_historic[Fuel])*(2023=DemandPJ_historic[Year]),DemandPJ_historic[Conveyance])</f>
        <v>0</v>
      </c>
      <c r="J52" s="1167" cm="1">
        <f t="array" aca="1" ref="J52" ca="1">(1+_xlfn.XLOOKUP(DemandPJ_projection[[#This Row],[Fuel]],Fuel_GrowthRate[Fuel],_xlfn.XLOOKUP(DemandPJ_projection[[#This Row],[Year]],Fuel_GrowthRate[#Headers],Fuel_GrowthRate[]))) *
_xlfn.XLOOKUP(1,(DemandPJ_projection[[#This Row],[Fuel]]=DemandPJ_historic[Fuel])*(2023=DemandPJ_historic[Year]),DemandPJ_historic[Process Loads])</f>
        <v>0.16935594999886314</v>
      </c>
      <c r="K52" s="1167" cm="1">
        <f t="array" aca="1" ref="K52" ca="1">(1+_xlfn.XLOOKUP(DemandPJ_projection[[#This Row],[Fuel]],Fuel_GrowthRate[Fuel],_xlfn.XLOOKUP(DemandPJ_projection[[#This Row],[Year]],Fuel_GrowthRate[#Headers],Fuel_GrowthRate[]))) *
_xlfn.XLOOKUP(1,(DemandPJ_projection[[#This Row],[Fuel]]=DemandPJ_historic[Fuel])*(2023=DemandPJ_historic[Year]),DemandPJ_historic[Plug Loads/Misc])</f>
        <v>4.8194459293637318E-2</v>
      </c>
    </row>
    <row r="53" spans="2:11">
      <c r="B53" s="829" t="s">
        <v>652</v>
      </c>
      <c r="C53" s="829" t="s">
        <v>734</v>
      </c>
      <c r="D53" s="1167" cm="1">
        <f t="array" aca="1" ref="D53" ca="1">(1+_xlfn.XLOOKUP(DemandPJ_projection[[#This Row],[Fuel]],Fuel_GrowthRate[Fuel],_xlfn.XLOOKUP(DemandPJ_projection[[#This Row],[Year]],Fuel_GrowthRate[#Headers],Fuel_GrowthRate[]))) *
_xlfn.XLOOKUP(1,(DemandPJ_projection[[#This Row],[Fuel]]=DemandPJ_historic[Fuel])*(2023=DemandPJ_historic[Year]),DemandPJ_historic[Space Heating])</f>
        <v>1.6415083453973973</v>
      </c>
      <c r="E53" s="1167" cm="1">
        <f t="array" aca="1" ref="E53" ca="1">(1+_xlfn.XLOOKUP(DemandPJ_projection[[#This Row],[Fuel]],Fuel_GrowthRate[Fuel],_xlfn.XLOOKUP(DemandPJ_projection[[#This Row],[Year]],Fuel_GrowthRate[#Headers],Fuel_GrowthRate[]))) *
_xlfn.XLOOKUP(1,(DemandPJ_projection[[#This Row],[Fuel]]=DemandPJ_historic[Fuel])*(2023=DemandPJ_historic[Year]),DemandPJ_historic[DHW])</f>
        <v>0.17273153892772239</v>
      </c>
      <c r="F53" s="1167" cm="1">
        <f t="array" aca="1" ref="F53"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53" s="1167" cm="1">
        <f t="array" aca="1" ref="G53" ca="1">(1+_xlfn.XLOOKUP(DemandPJ_projection[[#This Row],[Fuel]],Fuel_GrowthRate[Fuel],_xlfn.XLOOKUP(DemandPJ_projection[[#This Row],[Year]],Fuel_GrowthRate[#Headers],Fuel_GrowthRate[]))) *
_xlfn.XLOOKUP(1,(DemandPJ_projection[[#This Row],[Fuel]]=DemandPJ_historic[Fuel])*(2023=DemandPJ_historic[Year]),DemandPJ_historic[Ventilation])</f>
        <v>0</v>
      </c>
      <c r="H53" s="1167" cm="1">
        <f t="array" aca="1" ref="H53" ca="1">(1+_xlfn.XLOOKUP(DemandPJ_projection[[#This Row],[Fuel]],Fuel_GrowthRate[Fuel],_xlfn.XLOOKUP(DemandPJ_projection[[#This Row],[Year]],Fuel_GrowthRate[#Headers],Fuel_GrowthRate[]))) *
_xlfn.XLOOKUP(1,(DemandPJ_projection[[#This Row],[Fuel]]=DemandPJ_historic[Fuel])*(2023=DemandPJ_historic[Year]),DemandPJ_historic[Lighting])</f>
        <v>0</v>
      </c>
      <c r="I53" s="1167" cm="1">
        <f t="array" aca="1" ref="I53" ca="1">(1+_xlfn.XLOOKUP(DemandPJ_projection[[#This Row],[Fuel]],Fuel_GrowthRate[Fuel],_xlfn.XLOOKUP(DemandPJ_projection[[#This Row],[Year]],Fuel_GrowthRate[#Headers],Fuel_GrowthRate[]))) *
_xlfn.XLOOKUP(1,(DemandPJ_projection[[#This Row],[Fuel]]=DemandPJ_historic[Fuel])*(2023=DemandPJ_historic[Year]),DemandPJ_historic[Conveyance])</f>
        <v>0</v>
      </c>
      <c r="J53" s="1167" cm="1">
        <f t="array" aca="1" ref="J53" ca="1">(1+_xlfn.XLOOKUP(DemandPJ_projection[[#This Row],[Fuel]],Fuel_GrowthRate[Fuel],_xlfn.XLOOKUP(DemandPJ_projection[[#This Row],[Year]],Fuel_GrowthRate[#Headers],Fuel_GrowthRate[]))) *
_xlfn.XLOOKUP(1,(DemandPJ_projection[[#This Row],[Fuel]]=DemandPJ_historic[Fuel])*(2023=DemandPJ_historic[Year]),DemandPJ_historic[Process Loads])</f>
        <v>5.330859753180478E-2</v>
      </c>
      <c r="K53" s="1167" cm="1">
        <f t="array" aca="1" ref="K53" ca="1">(1+_xlfn.XLOOKUP(DemandPJ_projection[[#This Row],[Fuel]],Fuel_GrowthRate[Fuel],_xlfn.XLOOKUP(DemandPJ_projection[[#This Row],[Year]],Fuel_GrowthRate[#Headers],Fuel_GrowthRate[]))) *
_xlfn.XLOOKUP(1,(DemandPJ_projection[[#This Row],[Fuel]]=DemandPJ_historic[Fuel])*(2023=DemandPJ_historic[Year]),DemandPJ_historic[Plug Loads/Misc])</f>
        <v>0</v>
      </c>
    </row>
    <row r="54" spans="2:11">
      <c r="B54" s="829" t="s">
        <v>638</v>
      </c>
      <c r="C54" s="829" t="s">
        <v>734</v>
      </c>
      <c r="D54" s="1167" cm="1">
        <f t="array" aca="1" ref="D54" ca="1">(1+_xlfn.XLOOKUP(DemandPJ_projection[[#This Row],[Fuel]],Fuel_GrowthRate[Fuel],_xlfn.XLOOKUP(DemandPJ_projection[[#This Row],[Year]],Fuel_GrowthRate[#Headers],Fuel_GrowthRate[]))) *
_xlfn.XLOOKUP(1,(DemandPJ_projection[[#This Row],[Fuel]]=DemandPJ_historic[Fuel])*(2023=DemandPJ_historic[Year]),DemandPJ_historic[Space Heating])</f>
        <v>1.9427260558159716</v>
      </c>
      <c r="E54" s="1167" cm="1">
        <f t="array" aca="1" ref="E54" ca="1">(1+_xlfn.XLOOKUP(DemandPJ_projection[[#This Row],[Fuel]],Fuel_GrowthRate[Fuel],_xlfn.XLOOKUP(DemandPJ_projection[[#This Row],[Year]],Fuel_GrowthRate[#Headers],Fuel_GrowthRate[]))) *
_xlfn.XLOOKUP(1,(DemandPJ_projection[[#This Row],[Fuel]]=DemandPJ_historic[Fuel])*(2023=DemandPJ_historic[Year]),DemandPJ_historic[DHW])</f>
        <v>0.58601800469112786</v>
      </c>
      <c r="F54" s="1167" cm="1">
        <f t="array" aca="1" ref="F54" ca="1">(1+_xlfn.XLOOKUP(DemandPJ_projection[[#This Row],[Fuel]],Fuel_GrowthRate[Fuel],_xlfn.XLOOKUP(DemandPJ_projection[[#This Row],[Year]],Fuel_GrowthRate[#Headers],Fuel_GrowthRate[]))) *
_xlfn.XLOOKUP(1,(DemandPJ_projection[[#This Row],[Fuel]]=DemandPJ_historic[Fuel])*(2023=DemandPJ_historic[Year]),DemandPJ_historic[Space Cooling])</f>
        <v>0</v>
      </c>
      <c r="G54" s="1167" cm="1">
        <f t="array" aca="1" ref="G54" ca="1">(1+_xlfn.XLOOKUP(DemandPJ_projection[[#This Row],[Fuel]],Fuel_GrowthRate[Fuel],_xlfn.XLOOKUP(DemandPJ_projection[[#This Row],[Year]],Fuel_GrowthRate[#Headers],Fuel_GrowthRate[]))) *
_xlfn.XLOOKUP(1,(DemandPJ_projection[[#This Row],[Fuel]]=DemandPJ_historic[Fuel])*(2023=DemandPJ_historic[Year]),DemandPJ_historic[Ventilation])</f>
        <v>0</v>
      </c>
      <c r="H54" s="1167" cm="1">
        <f t="array" aca="1" ref="H54" ca="1">(1+_xlfn.XLOOKUP(DemandPJ_projection[[#This Row],[Fuel]],Fuel_GrowthRate[Fuel],_xlfn.XLOOKUP(DemandPJ_projection[[#This Row],[Year]],Fuel_GrowthRate[#Headers],Fuel_GrowthRate[]))) *
_xlfn.XLOOKUP(1,(DemandPJ_projection[[#This Row],[Fuel]]=DemandPJ_historic[Fuel])*(2023=DemandPJ_historic[Year]),DemandPJ_historic[Lighting])</f>
        <v>0</v>
      </c>
      <c r="I54" s="1167" cm="1">
        <f t="array" aca="1" ref="I54" ca="1">(1+_xlfn.XLOOKUP(DemandPJ_projection[[#This Row],[Fuel]],Fuel_GrowthRate[Fuel],_xlfn.XLOOKUP(DemandPJ_projection[[#This Row],[Year]],Fuel_GrowthRate[#Headers],Fuel_GrowthRate[]))) *
_xlfn.XLOOKUP(1,(DemandPJ_projection[[#This Row],[Fuel]]=DemandPJ_historic[Fuel])*(2023=DemandPJ_historic[Year]),DemandPJ_historic[Conveyance])</f>
        <v>0</v>
      </c>
      <c r="J54" s="1167" cm="1">
        <f t="array" aca="1" ref="J54" ca="1">(1+_xlfn.XLOOKUP(DemandPJ_projection[[#This Row],[Fuel]],Fuel_GrowthRate[Fuel],_xlfn.XLOOKUP(DemandPJ_projection[[#This Row],[Year]],Fuel_GrowthRate[#Headers],Fuel_GrowthRate[]))) *
_xlfn.XLOOKUP(1,(DemandPJ_projection[[#This Row],[Fuel]]=DemandPJ_historic[Fuel])*(2023=DemandPJ_historic[Year]),DemandPJ_historic[Process Loads])</f>
        <v>0</v>
      </c>
      <c r="K54" s="1167" cm="1">
        <f t="array" aca="1" ref="K54" ca="1">(1+_xlfn.XLOOKUP(DemandPJ_projection[[#This Row],[Fuel]],Fuel_GrowthRate[Fuel],_xlfn.XLOOKUP(DemandPJ_projection[[#This Row],[Year]],Fuel_GrowthRate[#Headers],Fuel_GrowthRate[]))) *
_xlfn.XLOOKUP(1,(DemandPJ_projection[[#This Row],[Fuel]]=DemandPJ_historic[Fuel])*(2023=DemandPJ_historic[Year]),DemandPJ_historic[Plug Loads/Misc])</f>
        <v>1.0591937638304912E-5</v>
      </c>
    </row>
  </sheetData>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2C57D-39F1-4266-B801-069AA5E3DE75}">
  <sheetPr>
    <tabColor rgb="FF6CC9D6"/>
  </sheetPr>
  <dimension ref="B2:AA5"/>
  <sheetViews>
    <sheetView workbookViewId="0">
      <selection activeCell="G8" sqref="G8"/>
    </sheetView>
  </sheetViews>
  <sheetFormatPr defaultColWidth="9" defaultRowHeight="14.45"/>
  <cols>
    <col min="1" max="16" width="9" style="366"/>
    <col min="17" max="17" width="4.375" style="366" bestFit="1" customWidth="1"/>
    <col min="18" max="18" width="9.875" style="366" bestFit="1" customWidth="1"/>
    <col min="19" max="19" width="9.75" style="366" bestFit="1" customWidth="1"/>
    <col min="20" max="20" width="7" style="366" bestFit="1" customWidth="1"/>
    <col min="21" max="21" width="9.75" style="366" bestFit="1" customWidth="1"/>
    <col min="22" max="22" width="6.125" style="366" bestFit="1" customWidth="1"/>
    <col min="23" max="23" width="7" style="366" bestFit="1" customWidth="1"/>
    <col min="24" max="24" width="8.75" style="366" bestFit="1" customWidth="1"/>
    <col min="25" max="25" width="9.75" style="366" bestFit="1" customWidth="1"/>
    <col min="26" max="26" width="5.25" style="366" bestFit="1" customWidth="1"/>
    <col min="27" max="27" width="4" style="366" bestFit="1" customWidth="1"/>
    <col min="28" max="16384" width="9" style="366"/>
  </cols>
  <sheetData>
    <row r="2" spans="2:27">
      <c r="B2" s="1254" t="s">
        <v>735</v>
      </c>
      <c r="R2" s="1400" t="s">
        <v>1</v>
      </c>
      <c r="S2" s="1399" t="s">
        <v>736</v>
      </c>
      <c r="T2" s="1399"/>
      <c r="U2" s="1399" t="s">
        <v>737</v>
      </c>
      <c r="V2" s="1399"/>
      <c r="W2" s="366" t="s">
        <v>266</v>
      </c>
      <c r="X2" s="366" t="s">
        <v>738</v>
      </c>
      <c r="Y2" s="1399" t="s">
        <v>739</v>
      </c>
      <c r="Z2" s="1399"/>
      <c r="AA2" s="1399"/>
    </row>
    <row r="3" spans="2:27">
      <c r="R3" s="1400"/>
      <c r="S3" s="366" t="s">
        <v>740</v>
      </c>
      <c r="T3" s="366" t="s">
        <v>741</v>
      </c>
      <c r="U3" s="366" t="s">
        <v>740</v>
      </c>
      <c r="V3" s="366" t="s">
        <v>741</v>
      </c>
      <c r="W3" s="366" t="s">
        <v>742</v>
      </c>
      <c r="X3" s="366" t="s">
        <v>742</v>
      </c>
      <c r="Y3" s="366" t="s">
        <v>740</v>
      </c>
      <c r="Z3" s="366" t="s">
        <v>741</v>
      </c>
      <c r="AA3" s="366" t="s">
        <v>742</v>
      </c>
    </row>
    <row r="4" spans="2:27">
      <c r="Q4" s="1400" t="s">
        <v>743</v>
      </c>
      <c r="R4" s="366" t="s">
        <v>699</v>
      </c>
      <c r="S4" s="433">
        <f>0.3*285</f>
        <v>85.5</v>
      </c>
      <c r="T4" s="433">
        <f>0.7*285</f>
        <v>199.5</v>
      </c>
      <c r="U4" s="366">
        <v>0</v>
      </c>
      <c r="V4" s="366">
        <v>0</v>
      </c>
      <c r="W4" s="366">
        <v>19</v>
      </c>
      <c r="X4" s="366">
        <v>21</v>
      </c>
      <c r="Y4" s="366">
        <f>0.3*(196+15+11)</f>
        <v>66.599999999999994</v>
      </c>
      <c r="Z4" s="366">
        <f>0.7*(196+15+11)</f>
        <v>155.39999999999998</v>
      </c>
      <c r="AA4" s="366">
        <f>15+10+2+3+295</f>
        <v>325</v>
      </c>
    </row>
    <row r="5" spans="2:27">
      <c r="Q5" s="1400"/>
      <c r="R5" s="366" t="s">
        <v>144</v>
      </c>
      <c r="S5" s="433">
        <f>0.3*285</f>
        <v>85.5</v>
      </c>
      <c r="T5" s="433">
        <f>0.7*285</f>
        <v>199.5</v>
      </c>
      <c r="U5" s="366">
        <f>0.3*1585</f>
        <v>475.5</v>
      </c>
      <c r="V5" s="366">
        <f>0.7*1585</f>
        <v>1109.5</v>
      </c>
      <c r="W5" s="366">
        <v>19</v>
      </c>
      <c r="X5" s="366">
        <v>21</v>
      </c>
      <c r="Y5" s="366">
        <f>0.3*(196+15+11)</f>
        <v>66.599999999999994</v>
      </c>
      <c r="Z5" s="366">
        <f>0.7*(196+15+11)</f>
        <v>155.39999999999998</v>
      </c>
      <c r="AA5" s="366">
        <f>15+10+2+3+295</f>
        <v>325</v>
      </c>
    </row>
  </sheetData>
  <mergeCells count="5">
    <mergeCell ref="S2:T2"/>
    <mergeCell ref="Q4:Q5"/>
    <mergeCell ref="U2:V2"/>
    <mergeCell ref="Y2:AA2"/>
    <mergeCell ref="R2:R3"/>
  </mergeCells>
  <hyperlinks>
    <hyperlink ref="B2" r:id="rId1" display="https://www.energy.gov/sites/default/files/2021-12/2018_mecs_forest_products_energy_carbon_footprint_0.pdf" xr:uid="{1C7DDA2C-3572-428E-A639-F72B62B16A7A}"/>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6C0FE-99CF-41CF-903D-87ABEB5E9828}">
  <sheetPr>
    <tabColor theme="7"/>
  </sheetPr>
  <dimension ref="B2:S20"/>
  <sheetViews>
    <sheetView showGridLines="0" workbookViewId="0">
      <selection activeCell="M7" sqref="M7:M8"/>
    </sheetView>
  </sheetViews>
  <sheetFormatPr defaultRowHeight="13.9"/>
  <cols>
    <col min="1" max="1" width="3.625" customWidth="1"/>
    <col min="2" max="2" width="12.25" bestFit="1" customWidth="1"/>
    <col min="3" max="3" width="9.125" bestFit="1" customWidth="1"/>
    <col min="4" max="4" width="18.375" bestFit="1" customWidth="1"/>
    <col min="5" max="5" width="5.875" bestFit="1" customWidth="1"/>
    <col min="6" max="6" width="7.625" bestFit="1" customWidth="1"/>
    <col min="7" max="7" width="9.25" bestFit="1" customWidth="1"/>
    <col min="8" max="8" width="4.375" bestFit="1" customWidth="1"/>
    <col min="9" max="9" width="12" style="1181" bestFit="1" customWidth="1"/>
    <col min="10" max="10" width="12.375" bestFit="1" customWidth="1"/>
    <col min="11" max="11" width="11.875" bestFit="1" customWidth="1"/>
    <col min="12" max="13" width="13.375" bestFit="1" customWidth="1"/>
    <col min="14" max="14" width="12.25" bestFit="1" customWidth="1"/>
    <col min="15" max="15" width="11.125" bestFit="1" customWidth="1"/>
    <col min="16" max="16" width="11.875" bestFit="1" customWidth="1"/>
    <col min="17" max="17" width="12.25" bestFit="1" customWidth="1"/>
    <col min="18" max="18" width="10.875" bestFit="1" customWidth="1"/>
    <col min="19" max="19" width="11.125" bestFit="1" customWidth="1"/>
    <col min="20" max="25" width="17.875" bestFit="1" customWidth="1"/>
    <col min="26" max="29" width="16.75" bestFit="1" customWidth="1"/>
    <col min="30" max="33" width="15.625" bestFit="1" customWidth="1"/>
  </cols>
  <sheetData>
    <row r="2" spans="2:19" ht="14.45">
      <c r="B2" s="337" t="s">
        <v>744</v>
      </c>
      <c r="L2" s="149"/>
    </row>
    <row r="3" spans="2:19" ht="14.45">
      <c r="B3" s="337" t="s">
        <v>745</v>
      </c>
      <c r="I3" s="1188"/>
    </row>
    <row r="4" spans="2:19" ht="14.45">
      <c r="B4" s="134"/>
      <c r="C4" s="134"/>
      <c r="D4" s="134"/>
      <c r="E4" s="134"/>
      <c r="F4" s="134"/>
      <c r="G4" s="378" t="s">
        <v>232</v>
      </c>
      <c r="H4" s="134"/>
      <c r="I4" s="1182"/>
      <c r="J4" s="134"/>
      <c r="K4" s="134"/>
      <c r="L4" s="134"/>
      <c r="M4" s="134"/>
    </row>
    <row r="5" spans="2:19" ht="15" thickBot="1">
      <c r="B5" s="1170" t="s">
        <v>1</v>
      </c>
      <c r="C5" s="1170" t="s">
        <v>81</v>
      </c>
      <c r="D5" s="1170" t="s">
        <v>82</v>
      </c>
      <c r="E5" s="1170" t="s">
        <v>235</v>
      </c>
      <c r="F5" s="1170" t="s">
        <v>319</v>
      </c>
      <c r="G5" s="1170" t="s">
        <v>320</v>
      </c>
      <c r="H5" s="1170" t="s">
        <v>324</v>
      </c>
      <c r="I5" s="1170" t="s">
        <v>502</v>
      </c>
      <c r="J5" s="1170" t="s">
        <v>746</v>
      </c>
      <c r="K5" s="1170" t="s">
        <v>747</v>
      </c>
      <c r="L5" s="1170" t="s">
        <v>748</v>
      </c>
      <c r="M5" s="1170" t="s">
        <v>749</v>
      </c>
      <c r="N5" s="1170" t="s">
        <v>750</v>
      </c>
      <c r="O5" s="1170" t="s">
        <v>751</v>
      </c>
      <c r="P5" s="1170" t="s">
        <v>503</v>
      </c>
      <c r="Q5" s="1170" t="s">
        <v>504</v>
      </c>
      <c r="R5" s="1170" t="s">
        <v>505</v>
      </c>
      <c r="S5" s="1170" t="s">
        <v>506</v>
      </c>
    </row>
    <row r="6" spans="2:19" ht="14.45">
      <c r="B6" s="1175"/>
      <c r="C6" s="1186"/>
      <c r="D6" s="1186"/>
      <c r="E6" s="1186"/>
      <c r="F6" s="1186"/>
      <c r="G6" s="1186"/>
      <c r="H6" s="1186"/>
      <c r="I6" s="1187"/>
      <c r="J6" s="1186"/>
      <c r="K6" s="1186"/>
      <c r="L6" s="1186"/>
      <c r="M6" s="1186"/>
      <c r="N6" s="1186"/>
      <c r="O6" s="1186"/>
      <c r="P6" s="1186"/>
      <c r="Q6" s="1186"/>
      <c r="R6" s="1186"/>
      <c r="S6" s="1186"/>
    </row>
    <row r="7" spans="2:19" ht="14.45">
      <c r="B7" s="1168" t="s">
        <v>11</v>
      </c>
      <c r="C7" s="1174" t="s">
        <v>90</v>
      </c>
      <c r="D7" s="1174" t="s">
        <v>91</v>
      </c>
      <c r="E7" s="1174"/>
      <c r="F7" s="365" t="s">
        <v>33</v>
      </c>
      <c r="G7" s="1169" t="s">
        <v>48</v>
      </c>
      <c r="H7" s="1178">
        <v>2010</v>
      </c>
      <c r="I7" s="1195">
        <v>1</v>
      </c>
      <c r="J7" s="1193">
        <f>Emissions!E18</f>
        <v>5.8533343793407397E-2</v>
      </c>
      <c r="K7" s="1193">
        <f>Emissions!I18</f>
        <v>2.5069701152660712E-4</v>
      </c>
      <c r="L7" s="1193">
        <f>Emissions!M18</f>
        <v>3.1593927893738142E-3</v>
      </c>
      <c r="M7" s="1193">
        <f>Emissions!Q18</f>
        <v>3.1593927893738142E-3</v>
      </c>
      <c r="N7" s="1193">
        <f>Emissions!U18</f>
        <v>2.2144902684850289E-3</v>
      </c>
      <c r="O7" s="1193">
        <f>Emissions!Y18</f>
        <v>3.3169829222011393E-2</v>
      </c>
      <c r="P7" s="1193">
        <f>Emissions!AC18</f>
        <v>8.5303541040031208E-4</v>
      </c>
      <c r="Q7" s="1193">
        <f>Emissions!AD18</f>
        <v>8.5303541040031208E-4</v>
      </c>
      <c r="R7" s="1193">
        <f>Emissions!AE18</f>
        <v>1.8956356736242884E-4</v>
      </c>
      <c r="S7" s="1194">
        <f>Emissions!AF18</f>
        <v>3.1593927893738144E-4</v>
      </c>
    </row>
    <row r="8" spans="2:19" ht="14.45">
      <c r="B8" s="1168" t="s">
        <v>11</v>
      </c>
      <c r="C8" s="1174" t="s">
        <v>93</v>
      </c>
      <c r="D8" s="1174" t="s">
        <v>94</v>
      </c>
      <c r="E8" s="1174"/>
      <c r="F8" s="365" t="s">
        <v>35</v>
      </c>
      <c r="G8" s="1169" t="s">
        <v>50</v>
      </c>
      <c r="H8" s="1178">
        <v>2010</v>
      </c>
      <c r="I8" s="1195">
        <v>7.7180565000000007E-2</v>
      </c>
      <c r="J8" s="1193">
        <f>Emissions!E34</f>
        <v>0.83858254269449717</v>
      </c>
      <c r="K8" s="1193">
        <f>Emissions!I20</f>
        <v>0.23453782493904479</v>
      </c>
      <c r="L8" s="1193">
        <f>Emissions!M34</f>
        <v>8.4981024667931684E-2</v>
      </c>
      <c r="M8" s="1193">
        <f>Emissions!Q33</f>
        <v>7.6482922201138531E-2</v>
      </c>
      <c r="N8" s="1193">
        <f>Emissions!U33</f>
        <v>9.3519924098671714E-2</v>
      </c>
      <c r="O8" s="1193">
        <f>Emissions!Y34</f>
        <v>0.34250094876660336</v>
      </c>
      <c r="P8" s="1193">
        <f>Emissions!AC20</f>
        <v>2.8400000000000001E-3</v>
      </c>
      <c r="Q8" s="1193">
        <f>Emissions!AD20</f>
        <v>2.8400000000000002E-4</v>
      </c>
      <c r="R8" s="1193">
        <f>Emissions!AE33</f>
        <v>2.5494307400379508E-2</v>
      </c>
      <c r="S8" s="1194">
        <f>Emissions!AF33</f>
        <v>6.8834629981024678E-3</v>
      </c>
    </row>
    <row r="20" spans="5:5" ht="14.45">
      <c r="E20" s="149"/>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3A4A-4B8F-448E-936C-13989684BAC9}">
  <sheetPr>
    <tabColor theme="7"/>
  </sheetPr>
  <dimension ref="B3:I12"/>
  <sheetViews>
    <sheetView showGridLines="0" workbookViewId="0"/>
  </sheetViews>
  <sheetFormatPr defaultRowHeight="13.9"/>
  <cols>
    <col min="1" max="1" width="3.625" customWidth="1"/>
    <col min="2" max="2" width="12.25" bestFit="1" customWidth="1"/>
    <col min="3" max="3" width="9.375" bestFit="1" customWidth="1"/>
    <col min="4" max="4" width="39.25" bestFit="1" customWidth="1"/>
    <col min="5" max="5" width="5.875" bestFit="1" customWidth="1"/>
    <col min="6" max="6" width="7.625" bestFit="1" customWidth="1"/>
    <col min="7" max="7" width="9.25" bestFit="1" customWidth="1"/>
    <col min="8" max="8" width="3.5" bestFit="1" customWidth="1"/>
    <col min="9" max="9" width="8.75" bestFit="1" customWidth="1"/>
    <col min="10" max="10" width="12" bestFit="1" customWidth="1"/>
    <col min="11" max="11" width="12.375" bestFit="1" customWidth="1"/>
    <col min="12" max="13" width="13.375" bestFit="1" customWidth="1"/>
    <col min="14" max="14" width="12.25" bestFit="1" customWidth="1"/>
    <col min="15" max="15" width="11.125" bestFit="1" customWidth="1"/>
    <col min="16" max="16" width="11.875" bestFit="1" customWidth="1"/>
    <col min="17" max="17" width="12.25" bestFit="1" customWidth="1"/>
    <col min="18" max="18" width="10.875" bestFit="1" customWidth="1"/>
    <col min="19" max="19" width="11.125" bestFit="1" customWidth="1"/>
    <col min="20" max="20" width="11.875" bestFit="1" customWidth="1"/>
  </cols>
  <sheetData>
    <row r="3" spans="2:9" ht="14.45">
      <c r="B3" s="337" t="s">
        <v>752</v>
      </c>
      <c r="I3" s="1188"/>
    </row>
    <row r="4" spans="2:9" ht="14.45">
      <c r="B4" s="134"/>
      <c r="C4" s="134"/>
      <c r="D4" s="134"/>
      <c r="E4" s="134"/>
      <c r="F4" s="378"/>
      <c r="G4" s="378" t="s">
        <v>232</v>
      </c>
      <c r="I4" s="134"/>
    </row>
    <row r="5" spans="2:9" ht="15" thickBot="1">
      <c r="B5" s="1170" t="s">
        <v>1</v>
      </c>
      <c r="C5" s="1170" t="s">
        <v>81</v>
      </c>
      <c r="D5" s="1170" t="s">
        <v>82</v>
      </c>
      <c r="E5" s="1170" t="s">
        <v>235</v>
      </c>
      <c r="F5" s="1170" t="s">
        <v>319</v>
      </c>
      <c r="G5" s="1170" t="s">
        <v>320</v>
      </c>
      <c r="H5" s="1170" t="s">
        <v>324</v>
      </c>
      <c r="I5" s="1170" t="s">
        <v>479</v>
      </c>
    </row>
    <row r="6" spans="2:9" ht="14.45">
      <c r="B6" s="1175"/>
      <c r="C6" s="1186"/>
      <c r="D6" s="1186"/>
      <c r="E6" s="1186"/>
      <c r="F6" s="1186"/>
      <c r="G6" s="1186"/>
      <c r="H6" s="1186"/>
      <c r="I6" s="1186"/>
    </row>
    <row r="7" spans="2:9" ht="14.45">
      <c r="B7" s="1168" t="s">
        <v>11</v>
      </c>
      <c r="C7" s="1174" t="str">
        <f>F7&amp;G7</f>
        <v>ZZDMYISH</v>
      </c>
      <c r="D7" s="365" t="s">
        <v>107</v>
      </c>
      <c r="E7" s="1174" t="s">
        <v>15</v>
      </c>
      <c r="F7" s="1174" t="s">
        <v>489</v>
      </c>
      <c r="G7" s="365" t="s">
        <v>13</v>
      </c>
      <c r="H7" s="1169">
        <v>1</v>
      </c>
      <c r="I7" s="1178">
        <v>9999</v>
      </c>
    </row>
    <row r="8" spans="2:9" ht="14.45">
      <c r="B8" s="1168" t="s">
        <v>11</v>
      </c>
      <c r="C8" s="1174" t="str">
        <f t="shared" ref="C8:C10" si="0">F8&amp;G8</f>
        <v>ZZDMYISC</v>
      </c>
      <c r="D8" s="365" t="s">
        <v>109</v>
      </c>
      <c r="E8" s="1174" t="s">
        <v>15</v>
      </c>
      <c r="F8" s="1174" t="s">
        <v>489</v>
      </c>
      <c r="G8" s="365" t="s">
        <v>16</v>
      </c>
      <c r="H8" s="1169">
        <v>1</v>
      </c>
      <c r="I8" s="1178">
        <v>9999</v>
      </c>
    </row>
    <row r="9" spans="2:9" ht="14.45">
      <c r="B9" s="1168" t="s">
        <v>11</v>
      </c>
      <c r="C9" s="1174" t="str">
        <f t="shared" si="0"/>
        <v>ZZDMYIWH</v>
      </c>
      <c r="D9" s="365" t="s">
        <v>111</v>
      </c>
      <c r="E9" s="1174" t="s">
        <v>15</v>
      </c>
      <c r="F9" s="1174" t="s">
        <v>489</v>
      </c>
      <c r="G9" s="365" t="s">
        <v>18</v>
      </c>
      <c r="H9" s="1169">
        <v>1</v>
      </c>
      <c r="I9" s="1178">
        <v>9999</v>
      </c>
    </row>
    <row r="10" spans="2:9" ht="14.45">
      <c r="B10" s="1168" t="s">
        <v>11</v>
      </c>
      <c r="C10" s="1174" t="str">
        <f t="shared" si="0"/>
        <v>ZZDMYILT</v>
      </c>
      <c r="D10" s="365" t="s">
        <v>113</v>
      </c>
      <c r="E10" s="1174" t="s">
        <v>15</v>
      </c>
      <c r="F10" s="1174" t="s">
        <v>489</v>
      </c>
      <c r="G10" s="365" t="s">
        <v>20</v>
      </c>
      <c r="H10" s="1169">
        <v>1</v>
      </c>
      <c r="I10" s="1178">
        <v>9999</v>
      </c>
    </row>
    <row r="11" spans="2:9" ht="14.45">
      <c r="B11" s="1168" t="s">
        <v>11</v>
      </c>
      <c r="C11" s="365" t="s">
        <v>753</v>
      </c>
      <c r="D11" s="1168" t="s">
        <v>115</v>
      </c>
      <c r="E11" s="1174" t="s">
        <v>15</v>
      </c>
      <c r="F11" s="1174" t="s">
        <v>489</v>
      </c>
      <c r="G11" s="365" t="s">
        <v>22</v>
      </c>
      <c r="H11" s="1169">
        <v>1</v>
      </c>
      <c r="I11" s="1178">
        <v>9999</v>
      </c>
    </row>
    <row r="12" spans="2:9" ht="14.45">
      <c r="B12" s="1168" t="s">
        <v>11</v>
      </c>
      <c r="C12" s="365" t="s">
        <v>754</v>
      </c>
      <c r="D12" s="1168" t="s">
        <v>115</v>
      </c>
      <c r="E12" s="1174" t="s">
        <v>15</v>
      </c>
      <c r="F12" s="1174" t="s">
        <v>489</v>
      </c>
      <c r="G12" s="365" t="s">
        <v>24</v>
      </c>
      <c r="H12" s="1169">
        <v>1</v>
      </c>
      <c r="I12" s="1178">
        <v>9999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256A2-BEDF-409A-96D6-FF5CE21D2B94}">
  <dimension ref="A1:AE98"/>
  <sheetViews>
    <sheetView workbookViewId="0"/>
  </sheetViews>
  <sheetFormatPr defaultColWidth="9" defaultRowHeight="13.9" outlineLevelCol="1"/>
  <cols>
    <col min="1" max="1" width="60.875" customWidth="1"/>
    <col min="2" max="2" width="20.75" customWidth="1"/>
    <col min="3" max="3" width="11.5" customWidth="1"/>
    <col min="4" max="4" width="38" customWidth="1"/>
    <col min="5" max="5" width="15.5" customWidth="1"/>
    <col min="6" max="6" width="27.75" customWidth="1"/>
    <col min="7" max="7" width="19" customWidth="1"/>
    <col min="9" max="9" width="31" customWidth="1"/>
    <col min="10" max="10" width="24" customWidth="1"/>
    <col min="11" max="11" width="10.625" customWidth="1"/>
    <col min="13" max="13" width="40.25" bestFit="1" customWidth="1"/>
    <col min="14" max="14" width="16.375" bestFit="1" customWidth="1"/>
    <col min="15" max="15" width="15.25" bestFit="1" customWidth="1"/>
    <col min="16" max="16" width="40.25" bestFit="1" customWidth="1"/>
    <col min="18" max="18" width="12.75" hidden="1" customWidth="1" outlineLevel="1"/>
    <col min="19" max="19" width="13.375" hidden="1" customWidth="1" outlineLevel="1"/>
    <col min="20" max="20" width="0" hidden="1" customWidth="1" outlineLevel="1"/>
    <col min="21" max="21" width="13.75" hidden="1" customWidth="1" outlineLevel="1"/>
    <col min="22" max="22" width="10.5" hidden="1" customWidth="1" outlineLevel="1"/>
    <col min="23" max="23" width="0" hidden="1" customWidth="1" outlineLevel="1"/>
    <col min="24" max="24" width="12.75" hidden="1" customWidth="1" outlineLevel="1"/>
    <col min="25" max="25" width="13.375" hidden="1" customWidth="1" outlineLevel="1"/>
    <col min="26" max="26" width="73.5" hidden="1" customWidth="1" outlineLevel="1"/>
    <col min="27" max="30" width="0" hidden="1" customWidth="1" outlineLevel="1"/>
    <col min="31" max="31" width="9" collapsed="1"/>
  </cols>
  <sheetData>
    <row r="1" spans="1:30" ht="75" customHeight="1">
      <c r="A1" s="1283"/>
      <c r="B1" s="1283" t="s">
        <v>755</v>
      </c>
      <c r="C1" s="1283"/>
      <c r="D1" s="1284"/>
      <c r="E1" s="1284"/>
      <c r="F1" s="1284"/>
      <c r="G1" s="1284"/>
      <c r="H1" s="1284"/>
      <c r="I1" s="1284"/>
      <c r="J1" s="1284"/>
      <c r="K1" s="1284"/>
      <c r="L1" s="1284"/>
      <c r="M1" s="1284"/>
      <c r="N1" s="1284"/>
      <c r="O1" s="1284"/>
      <c r="P1" s="1284"/>
      <c r="Q1" s="1284"/>
      <c r="R1" s="1284"/>
      <c r="S1" s="1284"/>
      <c r="T1" s="1284"/>
      <c r="U1" s="1284"/>
      <c r="V1" s="1284"/>
      <c r="W1" s="1284"/>
      <c r="X1" s="1284"/>
      <c r="Y1" s="1284"/>
      <c r="Z1" s="148"/>
    </row>
    <row r="2" spans="1:30" ht="11.25" customHeight="1"/>
    <row r="3" spans="1:30" ht="30" customHeight="1">
      <c r="A3" s="1401" t="s">
        <v>756</v>
      </c>
      <c r="B3" s="1401"/>
      <c r="C3" s="1401"/>
      <c r="D3" s="1401"/>
      <c r="E3" s="1401"/>
      <c r="F3" s="1401"/>
      <c r="G3" s="1401"/>
      <c r="H3" s="1401"/>
    </row>
    <row r="4" spans="1:30" ht="11.25" customHeight="1"/>
    <row r="5" spans="1:30" ht="15" thickBot="1">
      <c r="A5" s="149" t="s">
        <v>757</v>
      </c>
      <c r="I5" s="149" t="s">
        <v>758</v>
      </c>
      <c r="M5" s="149" t="s">
        <v>759</v>
      </c>
      <c r="R5" s="149" t="s">
        <v>759</v>
      </c>
    </row>
    <row r="6" spans="1:30" s="157" customFormat="1" ht="14.45">
      <c r="A6" s="1261" t="s">
        <v>760</v>
      </c>
      <c r="B6" s="156" t="s">
        <v>761</v>
      </c>
      <c r="C6" s="156" t="s">
        <v>762</v>
      </c>
      <c r="D6" s="1263" t="s">
        <v>763</v>
      </c>
      <c r="E6" s="1262" t="s">
        <v>764</v>
      </c>
      <c r="F6" s="156" t="s">
        <v>765</v>
      </c>
      <c r="G6" s="1263" t="s">
        <v>766</v>
      </c>
      <c r="I6" s="347" t="s">
        <v>767</v>
      </c>
      <c r="J6" s="158" t="s">
        <v>768</v>
      </c>
      <c r="M6" s="307" t="s">
        <v>769</v>
      </c>
      <c r="N6"/>
      <c r="O6"/>
      <c r="P6"/>
      <c r="Q6"/>
      <c r="S6" s="1402" t="s">
        <v>332</v>
      </c>
      <c r="T6" s="1403"/>
      <c r="U6" s="1403"/>
      <c r="V6" s="1403"/>
      <c r="W6" s="1403"/>
      <c r="X6" s="1403"/>
      <c r="Y6" s="1402" t="s">
        <v>333</v>
      </c>
      <c r="Z6" s="1403"/>
      <c r="AA6" s="1403"/>
      <c r="AB6" s="1403"/>
      <c r="AC6" s="1403"/>
      <c r="AD6" s="1404"/>
    </row>
    <row r="7" spans="1:30" ht="27.6">
      <c r="A7" s="159" t="s">
        <v>770</v>
      </c>
      <c r="B7" s="160" t="s">
        <v>771</v>
      </c>
      <c r="C7" s="160" t="s">
        <v>772</v>
      </c>
      <c r="D7" s="161" t="s">
        <v>773</v>
      </c>
      <c r="E7" t="s">
        <v>774</v>
      </c>
      <c r="F7" s="160" t="s">
        <v>775</v>
      </c>
      <c r="G7" s="161">
        <v>79.2</v>
      </c>
      <c r="I7" s="162" t="s">
        <v>776</v>
      </c>
      <c r="J7" s="163">
        <v>69.803703703703718</v>
      </c>
      <c r="M7" s="338" t="s">
        <v>777</v>
      </c>
      <c r="N7" s="339" t="s">
        <v>332</v>
      </c>
      <c r="O7" s="340" t="s">
        <v>333</v>
      </c>
      <c r="P7" s="341" t="s">
        <v>778</v>
      </c>
      <c r="R7" s="306" t="s">
        <v>779</v>
      </c>
      <c r="S7" s="164" t="s">
        <v>774</v>
      </c>
      <c r="T7" s="1285" t="s">
        <v>780</v>
      </c>
      <c r="U7" s="165" t="s">
        <v>636</v>
      </c>
      <c r="V7" s="1285" t="s">
        <v>781</v>
      </c>
      <c r="W7" s="1286" t="s">
        <v>740</v>
      </c>
      <c r="X7" s="166" t="s">
        <v>782</v>
      </c>
      <c r="Y7" s="164" t="s">
        <v>774</v>
      </c>
      <c r="Z7" s="1285" t="s">
        <v>780</v>
      </c>
      <c r="AA7" s="1287" t="s">
        <v>636</v>
      </c>
      <c r="AB7" s="1285" t="s">
        <v>781</v>
      </c>
      <c r="AC7" s="1286" t="s">
        <v>740</v>
      </c>
      <c r="AD7" s="167" t="s">
        <v>782</v>
      </c>
    </row>
    <row r="8" spans="1:30" ht="14.45">
      <c r="A8" s="159" t="s">
        <v>783</v>
      </c>
      <c r="B8" s="160" t="s">
        <v>784</v>
      </c>
      <c r="C8" s="160" t="s">
        <v>642</v>
      </c>
      <c r="D8" s="161" t="s">
        <v>785</v>
      </c>
      <c r="E8" t="s">
        <v>774</v>
      </c>
      <c r="F8" s="160" t="s">
        <v>775</v>
      </c>
      <c r="G8" s="161">
        <v>68.8</v>
      </c>
      <c r="I8" s="168" t="s">
        <v>786</v>
      </c>
      <c r="J8" s="169">
        <v>56.06</v>
      </c>
      <c r="M8" s="342" t="s">
        <v>389</v>
      </c>
      <c r="N8" s="343">
        <v>19.887215999999999</v>
      </c>
      <c r="O8" s="343">
        <v>3.173022</v>
      </c>
      <c r="P8" s="342" t="s">
        <v>787</v>
      </c>
      <c r="R8" s="170" t="s">
        <v>788</v>
      </c>
      <c r="S8" s="171"/>
      <c r="T8" s="172"/>
      <c r="U8" s="173"/>
      <c r="V8" s="172"/>
      <c r="W8" s="172"/>
      <c r="X8" s="173"/>
      <c r="Y8" s="174"/>
      <c r="Z8" s="172"/>
      <c r="AA8" s="172"/>
      <c r="AB8" s="173"/>
      <c r="AC8" s="172"/>
      <c r="AD8" s="175"/>
    </row>
    <row r="9" spans="1:30">
      <c r="A9" s="159" t="s">
        <v>789</v>
      </c>
      <c r="B9" s="160" t="s">
        <v>790</v>
      </c>
      <c r="C9" s="160" t="s">
        <v>791</v>
      </c>
      <c r="D9" s="161" t="s">
        <v>792</v>
      </c>
      <c r="E9" t="s">
        <v>774</v>
      </c>
      <c r="F9" s="160" t="s">
        <v>793</v>
      </c>
      <c r="G9" s="161">
        <v>96.6</v>
      </c>
      <c r="I9" s="168" t="s">
        <v>793</v>
      </c>
      <c r="J9" s="169">
        <v>73.86666666666666</v>
      </c>
      <c r="M9" s="342" t="s">
        <v>393</v>
      </c>
      <c r="N9" s="344"/>
      <c r="O9" s="345"/>
      <c r="P9" s="336"/>
      <c r="R9" s="176" t="s">
        <v>794</v>
      </c>
      <c r="S9" s="177">
        <v>4.5443223247025193</v>
      </c>
      <c r="T9" s="178">
        <v>3.6066050196051669</v>
      </c>
      <c r="U9" s="179">
        <v>2.6098709722836961</v>
      </c>
      <c r="V9" s="178">
        <v>3.2623387153546202</v>
      </c>
      <c r="W9" s="180">
        <v>3.2623387153546202</v>
      </c>
      <c r="X9" s="179">
        <v>3.7869352705854347</v>
      </c>
      <c r="Y9" s="181">
        <v>1.6319100000000002</v>
      </c>
      <c r="Z9" s="182">
        <v>0.65031000000000005</v>
      </c>
      <c r="AA9" s="182">
        <v>0.67485000000000006</v>
      </c>
      <c r="AB9" s="183">
        <v>0.67485000000000006</v>
      </c>
      <c r="AC9" s="180">
        <v>0.58896000000000004</v>
      </c>
      <c r="AD9" s="184">
        <v>1.01841</v>
      </c>
    </row>
    <row r="10" spans="1:30">
      <c r="A10" s="159" t="s">
        <v>795</v>
      </c>
      <c r="B10" s="160" t="s">
        <v>796</v>
      </c>
      <c r="C10" s="160" t="s">
        <v>797</v>
      </c>
      <c r="D10" s="161" t="s">
        <v>798</v>
      </c>
      <c r="E10" t="s">
        <v>774</v>
      </c>
      <c r="F10" s="160" t="s">
        <v>799</v>
      </c>
      <c r="G10" s="161">
        <v>89.2</v>
      </c>
      <c r="I10" s="168" t="s">
        <v>800</v>
      </c>
      <c r="J10" s="169">
        <v>56.35</v>
      </c>
      <c r="M10" s="342" t="s">
        <v>397</v>
      </c>
      <c r="N10" s="343"/>
      <c r="O10" s="346"/>
      <c r="P10" s="336"/>
      <c r="R10" s="185" t="s">
        <v>801</v>
      </c>
      <c r="S10" s="186" t="s">
        <v>802</v>
      </c>
      <c r="T10" s="187" t="s">
        <v>802</v>
      </c>
      <c r="U10" s="188" t="s">
        <v>802</v>
      </c>
      <c r="V10" s="187" t="s">
        <v>802</v>
      </c>
      <c r="W10" s="178">
        <v>3.5885725868900824</v>
      </c>
      <c r="X10" s="188" t="s">
        <v>802</v>
      </c>
      <c r="Y10" s="186" t="s">
        <v>802</v>
      </c>
      <c r="Z10" s="187" t="s">
        <v>802</v>
      </c>
      <c r="AA10" s="187" t="s">
        <v>802</v>
      </c>
      <c r="AB10" s="188" t="s">
        <v>802</v>
      </c>
      <c r="AC10" s="178">
        <v>0.61840800000000007</v>
      </c>
      <c r="AD10" s="189" t="s">
        <v>802</v>
      </c>
    </row>
    <row r="11" spans="1:30">
      <c r="A11" s="159" t="s">
        <v>795</v>
      </c>
      <c r="B11" s="160" t="s">
        <v>796</v>
      </c>
      <c r="C11" s="160" t="s">
        <v>797</v>
      </c>
      <c r="D11" s="161" t="s">
        <v>803</v>
      </c>
      <c r="E11" t="s">
        <v>774</v>
      </c>
      <c r="F11" s="160" t="s">
        <v>799</v>
      </c>
      <c r="G11" s="161">
        <v>88.6</v>
      </c>
      <c r="I11" s="168" t="s">
        <v>804</v>
      </c>
      <c r="J11" s="169">
        <v>57.833333333333336</v>
      </c>
      <c r="M11" s="342" t="s">
        <v>400</v>
      </c>
      <c r="N11" s="343"/>
      <c r="O11" s="343"/>
      <c r="P11" s="336"/>
      <c r="R11" s="176" t="s">
        <v>805</v>
      </c>
      <c r="S11" s="186" t="s">
        <v>802</v>
      </c>
      <c r="T11" s="187" t="s">
        <v>802</v>
      </c>
      <c r="U11">
        <v>12.270000000000001</v>
      </c>
      <c r="V11" s="187" t="s">
        <v>802</v>
      </c>
      <c r="W11" s="187" t="s">
        <v>802</v>
      </c>
      <c r="X11" s="188" t="s">
        <v>802</v>
      </c>
      <c r="Y11" s="186" t="s">
        <v>802</v>
      </c>
      <c r="Z11" s="187" t="s">
        <v>802</v>
      </c>
      <c r="AA11" s="178">
        <v>1.2270000000000003</v>
      </c>
      <c r="AB11" s="188" t="s">
        <v>802</v>
      </c>
      <c r="AC11" s="187" t="s">
        <v>802</v>
      </c>
      <c r="AD11" s="189" t="s">
        <v>802</v>
      </c>
    </row>
    <row r="12" spans="1:30">
      <c r="A12" s="159" t="s">
        <v>806</v>
      </c>
      <c r="B12" s="160" t="s">
        <v>807</v>
      </c>
      <c r="C12" s="160" t="s">
        <v>642</v>
      </c>
      <c r="D12" s="161" t="s">
        <v>808</v>
      </c>
      <c r="E12" t="s">
        <v>774</v>
      </c>
      <c r="F12" s="160" t="s">
        <v>775</v>
      </c>
      <c r="G12" s="161">
        <v>83.8</v>
      </c>
      <c r="I12" s="168" t="s">
        <v>775</v>
      </c>
      <c r="J12" s="169">
        <v>75.419999999999987</v>
      </c>
      <c r="M12" s="342" t="s">
        <v>402</v>
      </c>
      <c r="N12" s="343"/>
      <c r="O12" s="343"/>
      <c r="P12" s="336"/>
      <c r="R12" s="176" t="s">
        <v>809</v>
      </c>
      <c r="S12" s="177">
        <v>34.957230000000003</v>
      </c>
      <c r="T12" s="178">
        <v>31.460280000000004</v>
      </c>
      <c r="U12" s="179">
        <v>2.238711615888505</v>
      </c>
      <c r="V12" s="187" t="s">
        <v>802</v>
      </c>
      <c r="W12" s="178">
        <v>34.9566901617196</v>
      </c>
      <c r="X12" s="188" t="s">
        <v>802</v>
      </c>
      <c r="Y12" s="177">
        <v>3.4957230000000004</v>
      </c>
      <c r="Z12" s="178">
        <v>3.1460280000000007</v>
      </c>
      <c r="AA12" s="178">
        <v>0.22387116158885051</v>
      </c>
      <c r="AB12" s="188" t="s">
        <v>802</v>
      </c>
      <c r="AC12" s="178">
        <v>3.4956690161719601</v>
      </c>
      <c r="AD12" s="189" t="s">
        <v>802</v>
      </c>
    </row>
    <row r="13" spans="1:30">
      <c r="A13" s="159" t="s">
        <v>810</v>
      </c>
      <c r="B13" s="160" t="s">
        <v>811</v>
      </c>
      <c r="C13" s="160" t="s">
        <v>642</v>
      </c>
      <c r="D13" s="161" t="s">
        <v>812</v>
      </c>
      <c r="E13" t="s">
        <v>776</v>
      </c>
      <c r="F13" s="160" t="s">
        <v>813</v>
      </c>
      <c r="G13" s="161">
        <v>78.400000000000006</v>
      </c>
      <c r="I13" s="168" t="s">
        <v>813</v>
      </c>
      <c r="J13" s="169">
        <v>85.6</v>
      </c>
      <c r="M13" s="342" t="s">
        <v>405</v>
      </c>
      <c r="N13" s="343"/>
      <c r="O13" s="345"/>
      <c r="P13" s="336"/>
      <c r="R13" s="190" t="s">
        <v>814</v>
      </c>
      <c r="S13" s="191">
        <v>4.2191896288145303</v>
      </c>
      <c r="T13" s="192">
        <v>3.8269293685392562</v>
      </c>
      <c r="U13" s="193">
        <v>3.8173620451179087</v>
      </c>
      <c r="V13" s="192">
        <v>4.2191896288145303</v>
      </c>
      <c r="W13" s="192">
        <v>3.6196500000000005</v>
      </c>
      <c r="X13" s="193">
        <v>4.0182758369662253</v>
      </c>
      <c r="Y13" s="191">
        <v>0.67507034061032489</v>
      </c>
      <c r="Z13" s="192">
        <v>0.61230869896628104</v>
      </c>
      <c r="AA13" s="192">
        <v>0.61077792721886537</v>
      </c>
      <c r="AB13" s="193">
        <v>0.67507034061032489</v>
      </c>
      <c r="AC13" s="192">
        <v>0.5791440000000001</v>
      </c>
      <c r="AD13" s="194">
        <v>0.64292413391459602</v>
      </c>
    </row>
    <row r="14" spans="1:30">
      <c r="A14" s="159" t="s">
        <v>810</v>
      </c>
      <c r="B14" s="160" t="s">
        <v>811</v>
      </c>
      <c r="C14" s="160" t="s">
        <v>642</v>
      </c>
      <c r="D14" s="161" t="s">
        <v>815</v>
      </c>
      <c r="E14" t="s">
        <v>776</v>
      </c>
      <c r="F14" s="160" t="s">
        <v>813</v>
      </c>
      <c r="G14" s="161">
        <v>78.400000000000006</v>
      </c>
      <c r="I14" s="162" t="s">
        <v>774</v>
      </c>
      <c r="J14" s="163">
        <v>80.685000000000002</v>
      </c>
      <c r="M14" s="342" t="s">
        <v>408</v>
      </c>
      <c r="N14" s="343"/>
      <c r="O14" s="336"/>
      <c r="P14" s="336"/>
      <c r="R14" s="170" t="s">
        <v>816</v>
      </c>
      <c r="S14" s="159"/>
      <c r="T14" s="160"/>
      <c r="U14" s="173"/>
      <c r="V14" s="172"/>
      <c r="W14" s="160"/>
      <c r="X14" s="173"/>
      <c r="Y14" s="159"/>
      <c r="Z14" s="160"/>
      <c r="AA14" s="160"/>
      <c r="AB14" s="173"/>
      <c r="AC14" s="160"/>
      <c r="AD14" s="175"/>
    </row>
    <row r="15" spans="1:30">
      <c r="A15" s="159" t="s">
        <v>817</v>
      </c>
      <c r="B15" s="160" t="s">
        <v>818</v>
      </c>
      <c r="C15" s="160" t="s">
        <v>819</v>
      </c>
      <c r="D15" s="161" t="s">
        <v>820</v>
      </c>
      <c r="E15" t="s">
        <v>776</v>
      </c>
      <c r="F15" s="160" t="s">
        <v>800</v>
      </c>
      <c r="G15" s="161">
        <v>67.2</v>
      </c>
      <c r="I15" s="168" t="s">
        <v>793</v>
      </c>
      <c r="J15" s="169">
        <v>82.212499999999991</v>
      </c>
      <c r="M15" s="342" t="s">
        <v>411</v>
      </c>
      <c r="N15" s="343"/>
      <c r="O15" s="336"/>
      <c r="P15" s="336"/>
      <c r="R15" s="176" t="s">
        <v>794</v>
      </c>
      <c r="S15" s="177">
        <v>4.5443223247025193</v>
      </c>
      <c r="T15" s="178">
        <v>3.6066050196051669</v>
      </c>
      <c r="U15" s="179">
        <v>2.6098709722836961</v>
      </c>
      <c r="V15" s="178">
        <v>4.5443223247025193</v>
      </c>
      <c r="W15" s="178">
        <v>3.2623387153546202</v>
      </c>
      <c r="X15" s="179">
        <v>3.7869352705854347</v>
      </c>
      <c r="Y15" s="177">
        <v>1.6319100000000002</v>
      </c>
      <c r="Z15" s="178">
        <v>0.65384858769104759</v>
      </c>
      <c r="AA15" s="178">
        <v>0.58846372892194299</v>
      </c>
      <c r="AB15" s="179">
        <v>0.58846372892194299</v>
      </c>
      <c r="AC15" s="178">
        <v>0.58846372892194299</v>
      </c>
      <c r="AD15" s="195">
        <v>0.65384858769104759</v>
      </c>
    </row>
    <row r="16" spans="1:30">
      <c r="A16" s="159" t="s">
        <v>821</v>
      </c>
      <c r="B16" s="160" t="s">
        <v>822</v>
      </c>
      <c r="C16" s="160" t="s">
        <v>823</v>
      </c>
      <c r="D16" s="161" t="s">
        <v>824</v>
      </c>
      <c r="E16" t="s">
        <v>774</v>
      </c>
      <c r="F16" s="160" t="s">
        <v>775</v>
      </c>
      <c r="G16" s="161">
        <v>79.7</v>
      </c>
      <c r="I16" s="168" t="s">
        <v>799</v>
      </c>
      <c r="J16" s="169">
        <v>82.958333333333343</v>
      </c>
      <c r="M16" s="342" t="s">
        <v>414</v>
      </c>
      <c r="N16" s="343"/>
      <c r="O16" s="336"/>
      <c r="P16" s="336"/>
      <c r="R16" s="185" t="s">
        <v>801</v>
      </c>
      <c r="S16" s="186" t="s">
        <v>802</v>
      </c>
      <c r="T16" s="187" t="s">
        <v>802</v>
      </c>
      <c r="U16" s="188" t="s">
        <v>802</v>
      </c>
      <c r="V16" s="187" t="s">
        <v>802</v>
      </c>
      <c r="W16" s="178">
        <v>3.5885725868900824</v>
      </c>
      <c r="X16" s="188" t="s">
        <v>802</v>
      </c>
      <c r="Y16" s="186" t="s">
        <v>802</v>
      </c>
      <c r="Z16" s="187" t="s">
        <v>802</v>
      </c>
      <c r="AA16" s="187" t="s">
        <v>802</v>
      </c>
      <c r="AB16" s="188" t="s">
        <v>802</v>
      </c>
      <c r="AC16" s="178">
        <v>0.6865410170756</v>
      </c>
      <c r="AD16" s="189" t="s">
        <v>802</v>
      </c>
    </row>
    <row r="17" spans="1:30" ht="14.45">
      <c r="A17" s="159" t="s">
        <v>825</v>
      </c>
      <c r="B17" s="160" t="s">
        <v>826</v>
      </c>
      <c r="C17" s="160" t="s">
        <v>791</v>
      </c>
      <c r="D17" s="161" t="s">
        <v>827</v>
      </c>
      <c r="E17" t="s">
        <v>774</v>
      </c>
      <c r="F17" s="160" t="s">
        <v>793</v>
      </c>
      <c r="G17" s="161">
        <v>82.8</v>
      </c>
      <c r="I17" s="168" t="s">
        <v>775</v>
      </c>
      <c r="J17" s="169">
        <v>78.299999999999983</v>
      </c>
      <c r="M17" s="342" t="s">
        <v>417</v>
      </c>
      <c r="N17" s="343">
        <v>177.58015334407696</v>
      </c>
      <c r="O17" s="336">
        <v>21.84703202325149</v>
      </c>
      <c r="P17" s="342" t="s">
        <v>787</v>
      </c>
      <c r="R17" s="176" t="s">
        <v>809</v>
      </c>
      <c r="S17" s="186" t="s">
        <v>802</v>
      </c>
      <c r="T17" s="178">
        <v>31.461021145547676</v>
      </c>
      <c r="U17" s="179">
        <v>2.238711615888505</v>
      </c>
      <c r="V17" s="187" t="s">
        <v>802</v>
      </c>
      <c r="W17" s="178">
        <v>34.9566901617196</v>
      </c>
      <c r="X17" s="188" t="s">
        <v>802</v>
      </c>
      <c r="Y17" s="186" t="s">
        <v>802</v>
      </c>
      <c r="Z17" s="178">
        <v>3.1461021145547678</v>
      </c>
      <c r="AA17" s="178">
        <v>0.22387116158885051</v>
      </c>
      <c r="AB17" s="188" t="s">
        <v>802</v>
      </c>
      <c r="AC17" s="178">
        <v>3.4956690161719601</v>
      </c>
      <c r="AD17" s="189" t="s">
        <v>802</v>
      </c>
    </row>
    <row r="18" spans="1:30" ht="14.45">
      <c r="A18" s="159" t="s">
        <v>828</v>
      </c>
      <c r="B18" s="160" t="s">
        <v>829</v>
      </c>
      <c r="C18" s="160" t="s">
        <v>830</v>
      </c>
      <c r="D18" s="161" t="s">
        <v>831</v>
      </c>
      <c r="E18" t="s">
        <v>832</v>
      </c>
      <c r="F18" s="160" t="s">
        <v>802</v>
      </c>
      <c r="G18" s="161">
        <v>88.6</v>
      </c>
      <c r="I18" s="162" t="s">
        <v>832</v>
      </c>
      <c r="J18" s="163">
        <v>80.949999999999989</v>
      </c>
      <c r="M18" s="342" t="s">
        <v>421</v>
      </c>
      <c r="N18" s="343">
        <v>25.663247334000005</v>
      </c>
      <c r="O18" s="336">
        <v>2.5663247334000006</v>
      </c>
      <c r="P18" s="342" t="s">
        <v>787</v>
      </c>
      <c r="R18" s="190" t="s">
        <v>814</v>
      </c>
      <c r="S18" s="191">
        <v>27.116535946559125</v>
      </c>
      <c r="T18" s="192">
        <v>24.595497457196576</v>
      </c>
      <c r="U18" s="193">
        <v>24.534008713553536</v>
      </c>
      <c r="V18" s="192">
        <v>27.116535946559125</v>
      </c>
      <c r="W18" s="192">
        <v>23.242745097050676</v>
      </c>
      <c r="X18" s="194">
        <v>25.825272330056393</v>
      </c>
      <c r="Y18" s="191">
        <v>2.7116535946559126</v>
      </c>
      <c r="Z18" s="192">
        <v>2.4595497457196576</v>
      </c>
      <c r="AA18" s="192">
        <v>2.4534008713553539</v>
      </c>
      <c r="AB18" s="193">
        <v>2.7116535946559126</v>
      </c>
      <c r="AC18" s="192">
        <v>2.3242745097050679</v>
      </c>
      <c r="AD18" s="194">
        <v>2.5825272330056395</v>
      </c>
    </row>
    <row r="19" spans="1:30" ht="14.45">
      <c r="A19" s="159" t="s">
        <v>833</v>
      </c>
      <c r="B19" s="160" t="s">
        <v>834</v>
      </c>
      <c r="C19" s="160" t="s">
        <v>835</v>
      </c>
      <c r="D19" s="161" t="s">
        <v>836</v>
      </c>
      <c r="E19" t="s">
        <v>774</v>
      </c>
      <c r="F19" s="160" t="s">
        <v>775</v>
      </c>
      <c r="G19" s="161">
        <v>80.900000000000006</v>
      </c>
      <c r="I19" s="168" t="s">
        <v>802</v>
      </c>
      <c r="J19" s="169">
        <v>80.949999999999989</v>
      </c>
      <c r="M19" s="342" t="s">
        <v>424</v>
      </c>
      <c r="N19" s="343">
        <v>22.077411000000001</v>
      </c>
      <c r="O19" s="336">
        <v>2.2077411000000002</v>
      </c>
      <c r="P19" s="342" t="s">
        <v>787</v>
      </c>
      <c r="R19" s="170" t="s">
        <v>837</v>
      </c>
      <c r="S19" s="159"/>
      <c r="T19" s="160"/>
      <c r="V19" s="172"/>
      <c r="W19" s="160"/>
      <c r="X19" s="175"/>
      <c r="Y19" s="159"/>
      <c r="Z19" s="160"/>
      <c r="AA19" s="160"/>
      <c r="AB19" s="173"/>
      <c r="AC19" s="160"/>
      <c r="AD19" s="175"/>
    </row>
    <row r="20" spans="1:30" ht="14.45">
      <c r="A20" s="159" t="s">
        <v>838</v>
      </c>
      <c r="B20" s="160" t="s">
        <v>839</v>
      </c>
      <c r="C20" s="160" t="s">
        <v>840</v>
      </c>
      <c r="D20" s="161" t="s">
        <v>841</v>
      </c>
      <c r="E20" t="s">
        <v>776</v>
      </c>
      <c r="F20" s="160" t="s">
        <v>793</v>
      </c>
      <c r="G20" s="161">
        <v>62.9</v>
      </c>
      <c r="I20" s="162" t="s">
        <v>842</v>
      </c>
      <c r="J20" s="163">
        <v>60.9</v>
      </c>
      <c r="M20" s="342" t="s">
        <v>426</v>
      </c>
      <c r="N20" s="343">
        <v>21.147835800000003</v>
      </c>
      <c r="O20" s="336">
        <v>2.1147835800000006</v>
      </c>
      <c r="P20" s="342" t="s">
        <v>787</v>
      </c>
      <c r="R20" s="176" t="s">
        <v>794</v>
      </c>
      <c r="S20" s="177">
        <v>4.7942600525611558</v>
      </c>
      <c r="T20" s="187" t="s">
        <v>802</v>
      </c>
      <c r="U20" s="179">
        <v>3.3784388255566586</v>
      </c>
      <c r="V20" s="187" t="s">
        <v>802</v>
      </c>
      <c r="W20" s="178">
        <v>3.4417673446991217</v>
      </c>
      <c r="X20" s="195">
        <v>3.9952167104676239</v>
      </c>
      <c r="Y20" s="177">
        <v>1.6319100000000002</v>
      </c>
      <c r="Z20" s="187" t="s">
        <v>802</v>
      </c>
      <c r="AA20" s="178">
        <v>0.58846372892194299</v>
      </c>
      <c r="AB20" s="188" t="s">
        <v>802</v>
      </c>
      <c r="AC20" s="178">
        <v>0.58846372892194299</v>
      </c>
      <c r="AD20" s="195">
        <v>0.65384858769104759</v>
      </c>
    </row>
    <row r="21" spans="1:30" ht="14.45">
      <c r="A21" s="159" t="s">
        <v>843</v>
      </c>
      <c r="B21" s="160" t="s">
        <v>844</v>
      </c>
      <c r="C21" s="160" t="s">
        <v>845</v>
      </c>
      <c r="D21" s="161" t="s">
        <v>846</v>
      </c>
      <c r="E21" t="s">
        <v>774</v>
      </c>
      <c r="F21" s="160" t="s">
        <v>799</v>
      </c>
      <c r="G21" s="161">
        <v>84.2</v>
      </c>
      <c r="I21" s="196" t="s">
        <v>802</v>
      </c>
      <c r="J21" s="163">
        <v>60.9</v>
      </c>
      <c r="M21" s="342" t="s">
        <v>428</v>
      </c>
      <c r="N21" s="343">
        <v>18.591504000000004</v>
      </c>
      <c r="O21" s="336">
        <v>1.8591504000000005</v>
      </c>
      <c r="P21" s="342" t="s">
        <v>787</v>
      </c>
      <c r="R21" s="185" t="s">
        <v>801</v>
      </c>
      <c r="S21" s="186" t="s">
        <v>802</v>
      </c>
      <c r="T21" s="187" t="s">
        <v>802</v>
      </c>
      <c r="U21" s="188" t="s">
        <v>802</v>
      </c>
      <c r="V21" s="187" t="s">
        <v>802</v>
      </c>
      <c r="W21" s="178">
        <v>3.7859440791690342</v>
      </c>
      <c r="X21" s="189" t="s">
        <v>802</v>
      </c>
      <c r="Y21" s="186" t="s">
        <v>802</v>
      </c>
      <c r="Z21" s="187" t="s">
        <v>802</v>
      </c>
      <c r="AA21" s="187" t="s">
        <v>802</v>
      </c>
      <c r="AB21" s="188" t="s">
        <v>802</v>
      </c>
      <c r="AC21" s="178">
        <v>0.61788691536804019</v>
      </c>
      <c r="AD21" s="189" t="s">
        <v>802</v>
      </c>
    </row>
    <row r="22" spans="1:30" ht="14.45">
      <c r="A22" s="159" t="s">
        <v>847</v>
      </c>
      <c r="B22" s="160" t="s">
        <v>848</v>
      </c>
      <c r="C22" s="160" t="s">
        <v>849</v>
      </c>
      <c r="D22" s="161" t="s">
        <v>850</v>
      </c>
      <c r="E22" t="s">
        <v>774</v>
      </c>
      <c r="F22" s="160" t="s">
        <v>775</v>
      </c>
      <c r="G22" s="161">
        <v>84.9</v>
      </c>
      <c r="I22" s="197" t="s">
        <v>851</v>
      </c>
      <c r="J22" s="198">
        <v>77.206666666666678</v>
      </c>
      <c r="M22" s="342" t="s">
        <v>430</v>
      </c>
      <c r="N22" s="343">
        <v>23.239380000000004</v>
      </c>
      <c r="O22" s="336">
        <v>2.3239380000000005</v>
      </c>
      <c r="P22" s="342" t="s">
        <v>787</v>
      </c>
      <c r="R22" s="176" t="s">
        <v>805</v>
      </c>
      <c r="S22" s="186" t="s">
        <v>802</v>
      </c>
      <c r="T22" s="187" t="s">
        <v>802</v>
      </c>
      <c r="U22" s="179">
        <v>177.58015334407696</v>
      </c>
      <c r="V22" s="187" t="s">
        <v>802</v>
      </c>
      <c r="W22" s="187" t="s">
        <v>802</v>
      </c>
      <c r="X22" s="189" t="s">
        <v>802</v>
      </c>
      <c r="Y22" s="186" t="s">
        <v>802</v>
      </c>
      <c r="Z22" s="187" t="s">
        <v>802</v>
      </c>
      <c r="AA22" s="178">
        <v>21.84703202325149</v>
      </c>
      <c r="AB22" s="188" t="s">
        <v>802</v>
      </c>
      <c r="AC22" s="187" t="s">
        <v>802</v>
      </c>
      <c r="AD22" s="189" t="s">
        <v>802</v>
      </c>
    </row>
    <row r="23" spans="1:30" ht="14.45">
      <c r="A23" s="159" t="s">
        <v>852</v>
      </c>
      <c r="B23" s="160" t="s">
        <v>853</v>
      </c>
      <c r="C23" s="160" t="s">
        <v>854</v>
      </c>
      <c r="D23" s="161" t="s">
        <v>855</v>
      </c>
      <c r="E23" t="s">
        <v>774</v>
      </c>
      <c r="F23" s="160" t="s">
        <v>799</v>
      </c>
      <c r="G23" s="161">
        <v>90.6</v>
      </c>
      <c r="M23" s="342" t="s">
        <v>432</v>
      </c>
      <c r="N23" s="343">
        <v>23.239380000000004</v>
      </c>
      <c r="O23" s="336">
        <v>2.3239380000000005</v>
      </c>
      <c r="P23" s="342" t="s">
        <v>787</v>
      </c>
      <c r="R23" s="176" t="s">
        <v>809</v>
      </c>
      <c r="S23" s="186" t="s">
        <v>802</v>
      </c>
      <c r="T23" s="178">
        <v>31.461021145547676</v>
      </c>
      <c r="U23" s="179">
        <v>2.238711615888505</v>
      </c>
      <c r="V23" s="187" t="s">
        <v>802</v>
      </c>
      <c r="W23" s="178">
        <v>34.9566901617196</v>
      </c>
      <c r="X23" s="189" t="s">
        <v>802</v>
      </c>
      <c r="Y23" s="186" t="s">
        <v>802</v>
      </c>
      <c r="Z23" s="178">
        <v>3.1461021145547678</v>
      </c>
      <c r="AA23" s="178">
        <v>0.22387116158885051</v>
      </c>
      <c r="AB23" s="188" t="s">
        <v>802</v>
      </c>
      <c r="AC23" s="178">
        <v>3.4956690161719601</v>
      </c>
      <c r="AD23" s="189" t="s">
        <v>802</v>
      </c>
    </row>
    <row r="24" spans="1:30" ht="14.45">
      <c r="A24" s="159" t="s">
        <v>856</v>
      </c>
      <c r="B24" s="160" t="s">
        <v>857</v>
      </c>
      <c r="C24" s="160" t="s">
        <v>797</v>
      </c>
      <c r="D24" s="161" t="s">
        <v>858</v>
      </c>
      <c r="E24" t="s">
        <v>776</v>
      </c>
      <c r="F24" s="160" t="s">
        <v>775</v>
      </c>
      <c r="G24" s="161">
        <v>66.099999999999994</v>
      </c>
      <c r="I24" s="199" t="s">
        <v>859</v>
      </c>
      <c r="J24" s="200"/>
      <c r="K24" s="200"/>
      <c r="M24" s="342" t="s">
        <v>435</v>
      </c>
      <c r="N24" s="343">
        <v>2.238711615888505</v>
      </c>
      <c r="O24" s="336">
        <v>0.22387116158885051</v>
      </c>
      <c r="P24" s="342" t="s">
        <v>787</v>
      </c>
      <c r="R24" s="176" t="s">
        <v>814</v>
      </c>
      <c r="S24" s="177">
        <v>25.707174307312787</v>
      </c>
      <c r="T24" s="178">
        <v>23.317164904592026</v>
      </c>
      <c r="U24" s="179">
        <v>23.258871992330644</v>
      </c>
      <c r="V24" s="178">
        <v>25.707174307312787</v>
      </c>
      <c r="W24" s="178">
        <v>22.034720834839444</v>
      </c>
      <c r="X24" s="195">
        <v>24.483023149821715</v>
      </c>
      <c r="Y24" s="177">
        <v>3.3419326599506625</v>
      </c>
      <c r="Z24" s="178">
        <v>3.0312314375969636</v>
      </c>
      <c r="AA24" s="178">
        <v>3.0236533590029837</v>
      </c>
      <c r="AB24" s="179">
        <v>3.3419326599506625</v>
      </c>
      <c r="AC24" s="178">
        <v>2.8645137085291279</v>
      </c>
      <c r="AD24" s="195">
        <v>3.1827930094768231</v>
      </c>
    </row>
    <row r="25" spans="1:30" ht="14.45">
      <c r="A25" s="159" t="s">
        <v>860</v>
      </c>
      <c r="B25" s="160" t="s">
        <v>861</v>
      </c>
      <c r="C25" s="160" t="s">
        <v>642</v>
      </c>
      <c r="D25" s="161" t="s">
        <v>862</v>
      </c>
      <c r="E25" t="s">
        <v>776</v>
      </c>
      <c r="F25" s="160" t="s">
        <v>775</v>
      </c>
      <c r="G25" s="161">
        <v>68.400000000000006</v>
      </c>
      <c r="I25" s="1288" t="s">
        <v>863</v>
      </c>
      <c r="J25" s="1289" t="s">
        <v>864</v>
      </c>
      <c r="K25" s="1290" t="s">
        <v>865</v>
      </c>
      <c r="M25" s="342" t="s">
        <v>438</v>
      </c>
      <c r="N25" s="343">
        <v>31.461021145547676</v>
      </c>
      <c r="O25" s="336">
        <v>3.1461021145547678</v>
      </c>
      <c r="P25" s="342" t="s">
        <v>787</v>
      </c>
      <c r="R25" s="190" t="s">
        <v>866</v>
      </c>
      <c r="S25" s="177">
        <v>19.887215999999999</v>
      </c>
      <c r="T25" s="187" t="s">
        <v>802</v>
      </c>
      <c r="U25" s="188" t="s">
        <v>802</v>
      </c>
      <c r="V25" s="187" t="s">
        <v>802</v>
      </c>
      <c r="W25" s="187" t="s">
        <v>802</v>
      </c>
      <c r="X25" s="189" t="s">
        <v>802</v>
      </c>
      <c r="Y25" s="191">
        <v>3.173022</v>
      </c>
      <c r="Z25" s="201" t="s">
        <v>802</v>
      </c>
      <c r="AA25" s="201" t="s">
        <v>802</v>
      </c>
      <c r="AB25" s="202" t="s">
        <v>802</v>
      </c>
      <c r="AC25" s="201" t="s">
        <v>802</v>
      </c>
      <c r="AD25" s="203" t="s">
        <v>802</v>
      </c>
    </row>
    <row r="26" spans="1:30" ht="14.45">
      <c r="A26" s="159" t="s">
        <v>867</v>
      </c>
      <c r="B26" s="160" t="s">
        <v>868</v>
      </c>
      <c r="C26" s="160" t="s">
        <v>830</v>
      </c>
      <c r="D26" s="161" t="s">
        <v>869</v>
      </c>
      <c r="E26" t="s">
        <v>774</v>
      </c>
      <c r="F26" s="160" t="s">
        <v>775</v>
      </c>
      <c r="G26" s="161">
        <v>81.3</v>
      </c>
      <c r="I26" s="204" t="s">
        <v>774</v>
      </c>
      <c r="J26" s="205">
        <f>GETPIVOTDATA("Efficiency (%)",$I$6,"Fuel Type","Coal")/100</f>
        <v>0.80685000000000007</v>
      </c>
      <c r="K26" s="206">
        <f t="shared" ref="K26:K37" si="0">1/J26</f>
        <v>1.2393877424552271</v>
      </c>
      <c r="M26" s="342" t="s">
        <v>440</v>
      </c>
      <c r="N26" s="343">
        <v>34.9566901617196</v>
      </c>
      <c r="O26" s="336">
        <v>3.4956690161719601</v>
      </c>
      <c r="P26" s="342" t="s">
        <v>787</v>
      </c>
      <c r="R26" s="170" t="s">
        <v>870</v>
      </c>
      <c r="S26" s="1291"/>
      <c r="T26" s="1292"/>
      <c r="U26" s="354"/>
      <c r="V26" s="1292"/>
      <c r="W26" s="1292"/>
      <c r="X26" s="355"/>
      <c r="Y26" s="1291"/>
      <c r="Z26" s="1292"/>
      <c r="AA26" s="1292"/>
      <c r="AB26" s="354"/>
      <c r="AC26" s="1292"/>
      <c r="AD26" s="355"/>
    </row>
    <row r="27" spans="1:30" ht="14.45">
      <c r="A27" s="159" t="s">
        <v>867</v>
      </c>
      <c r="B27" s="160" t="s">
        <v>868</v>
      </c>
      <c r="C27" s="160" t="s">
        <v>830</v>
      </c>
      <c r="D27" s="161" t="s">
        <v>871</v>
      </c>
      <c r="E27" t="s">
        <v>774</v>
      </c>
      <c r="F27" s="160" t="s">
        <v>775</v>
      </c>
      <c r="G27" s="161">
        <v>82.6</v>
      </c>
      <c r="I27" s="185" t="s">
        <v>799</v>
      </c>
      <c r="J27" s="207">
        <f>GETPIVOTDATA("Efficiency (%)",$I$6,"Fuel Type","Coal","Combustor Design","Pulverized Coal")/100</f>
        <v>0.82958333333333345</v>
      </c>
      <c r="K27" s="169">
        <f t="shared" si="0"/>
        <v>1.2054244098442992</v>
      </c>
      <c r="M27" s="342" t="s">
        <v>442</v>
      </c>
      <c r="N27" s="343">
        <v>34.9566901617196</v>
      </c>
      <c r="O27" s="336">
        <v>3.4956690161719601</v>
      </c>
      <c r="P27" s="342" t="s">
        <v>787</v>
      </c>
      <c r="R27" s="176" t="s">
        <v>794</v>
      </c>
      <c r="S27" s="177">
        <v>5.4600835487186652</v>
      </c>
      <c r="T27" s="178">
        <v>4.3333996418402059</v>
      </c>
      <c r="U27" s="179">
        <v>3.1463353272225971</v>
      </c>
      <c r="V27" s="187" t="s">
        <v>802</v>
      </c>
      <c r="W27" s="178">
        <v>3.9329191590282462</v>
      </c>
      <c r="X27" s="189" t="s">
        <v>802</v>
      </c>
      <c r="Y27" s="177">
        <v>1.6319100000000002</v>
      </c>
      <c r="Z27" s="178">
        <v>0.65384858769104759</v>
      </c>
      <c r="AA27" s="178">
        <v>0.58846372892194299</v>
      </c>
      <c r="AB27" s="188" t="s">
        <v>802</v>
      </c>
      <c r="AC27" s="178">
        <v>0.58846372892194299</v>
      </c>
      <c r="AD27" s="189" t="s">
        <v>802</v>
      </c>
    </row>
    <row r="28" spans="1:30" ht="14.45">
      <c r="A28" s="159" t="s">
        <v>872</v>
      </c>
      <c r="B28" s="160" t="s">
        <v>873</v>
      </c>
      <c r="C28" s="160" t="s">
        <v>874</v>
      </c>
      <c r="D28" s="161" t="s">
        <v>875</v>
      </c>
      <c r="E28" t="s">
        <v>774</v>
      </c>
      <c r="F28" s="160" t="s">
        <v>799</v>
      </c>
      <c r="G28" s="161">
        <v>90.8</v>
      </c>
      <c r="I28" s="185" t="s">
        <v>775</v>
      </c>
      <c r="J28" s="207">
        <f>GETPIVOTDATA("Efficiency (%)",$I$6,"Fuel Type","Coal","Combustor Design","Stoker/Sloped Grate/Other")/100</f>
        <v>0.78299999999999981</v>
      </c>
      <c r="K28" s="169">
        <f t="shared" si="0"/>
        <v>1.2771392081736912</v>
      </c>
      <c r="M28" s="342" t="s">
        <v>444</v>
      </c>
      <c r="N28" s="343">
        <v>34.957230000000003</v>
      </c>
      <c r="O28" s="336">
        <v>3.4957230000000004</v>
      </c>
      <c r="P28" s="342" t="s">
        <v>787</v>
      </c>
      <c r="R28" s="185" t="s">
        <v>801</v>
      </c>
      <c r="S28" s="186" t="s">
        <v>802</v>
      </c>
      <c r="T28" s="187" t="s">
        <v>802</v>
      </c>
      <c r="U28" s="188" t="s">
        <v>802</v>
      </c>
      <c r="V28" s="187" t="s">
        <v>802</v>
      </c>
      <c r="W28" s="178">
        <v>4.3262110749310709</v>
      </c>
      <c r="X28" s="189" t="s">
        <v>802</v>
      </c>
      <c r="Y28" s="186" t="s">
        <v>802</v>
      </c>
      <c r="Z28" s="187" t="s">
        <v>802</v>
      </c>
      <c r="AA28" s="187" t="s">
        <v>802</v>
      </c>
      <c r="AB28" s="188" t="s">
        <v>802</v>
      </c>
      <c r="AC28" s="178">
        <v>0.61788691536804019</v>
      </c>
      <c r="AD28" s="189" t="s">
        <v>802</v>
      </c>
    </row>
    <row r="29" spans="1:30">
      <c r="A29" s="159" t="s">
        <v>872</v>
      </c>
      <c r="B29" s="160" t="s">
        <v>873</v>
      </c>
      <c r="C29" s="160" t="s">
        <v>874</v>
      </c>
      <c r="D29" s="161" t="s">
        <v>876</v>
      </c>
      <c r="E29" t="s">
        <v>774</v>
      </c>
      <c r="F29" s="160" t="s">
        <v>799</v>
      </c>
      <c r="G29" s="161">
        <v>91.4</v>
      </c>
      <c r="I29" s="208" t="s">
        <v>793</v>
      </c>
      <c r="J29" s="209">
        <f>GETPIVOTDATA("Efficiency (%)",$I$6,"Fuel Type","Coal","Combustor Design","Fluidized Bed")/100</f>
        <v>0.82212499999999988</v>
      </c>
      <c r="K29" s="163">
        <f t="shared" si="0"/>
        <v>1.2163600425726016</v>
      </c>
      <c r="M29" s="342" t="s">
        <v>446</v>
      </c>
      <c r="N29" s="343">
        <v>100</v>
      </c>
      <c r="O29" s="336">
        <v>1</v>
      </c>
      <c r="P29" s="336" t="s">
        <v>877</v>
      </c>
      <c r="R29" s="176" t="s">
        <v>809</v>
      </c>
      <c r="S29" s="177">
        <v>34.9566901617196</v>
      </c>
      <c r="T29" s="178">
        <v>31.461021145547676</v>
      </c>
      <c r="U29" s="179">
        <v>2.238711615888505</v>
      </c>
      <c r="V29" s="187" t="s">
        <v>802</v>
      </c>
      <c r="W29" s="178">
        <v>34.9566901617196</v>
      </c>
      <c r="X29" s="189" t="s">
        <v>802</v>
      </c>
      <c r="Y29" s="177">
        <v>3.4956690161719601</v>
      </c>
      <c r="Z29" s="178">
        <v>3.1461021145547678</v>
      </c>
      <c r="AA29" s="178">
        <v>0.22387116158885051</v>
      </c>
      <c r="AB29" s="188" t="s">
        <v>802</v>
      </c>
      <c r="AC29" s="178">
        <v>3.4956690161719601</v>
      </c>
      <c r="AD29" s="189" t="s">
        <v>802</v>
      </c>
    </row>
    <row r="30" spans="1:30">
      <c r="A30" s="159" t="s">
        <v>872</v>
      </c>
      <c r="B30" s="160" t="s">
        <v>873</v>
      </c>
      <c r="C30" s="160" t="s">
        <v>874</v>
      </c>
      <c r="D30" s="161" t="s">
        <v>878</v>
      </c>
      <c r="E30" t="s">
        <v>774</v>
      </c>
      <c r="F30" s="160" t="s">
        <v>799</v>
      </c>
      <c r="G30" s="161">
        <v>90.6</v>
      </c>
      <c r="I30" s="204" t="s">
        <v>776</v>
      </c>
      <c r="J30" s="205">
        <f>GETPIVOTDATA("Efficiency (%)",$I$6,"Fuel Type","Biomass")/100</f>
        <v>0.69803703703703723</v>
      </c>
      <c r="K30" s="206">
        <f t="shared" si="0"/>
        <v>1.4325887409136728</v>
      </c>
      <c r="M30" s="342" t="s">
        <v>449</v>
      </c>
      <c r="N30" s="343">
        <v>100</v>
      </c>
      <c r="O30" s="336">
        <v>1</v>
      </c>
      <c r="P30" s="336" t="s">
        <v>877</v>
      </c>
      <c r="R30" s="190" t="s">
        <v>814</v>
      </c>
      <c r="S30" s="191">
        <v>45.841269825402982</v>
      </c>
      <c r="T30" s="192">
        <v>41.579383061590065</v>
      </c>
      <c r="U30" s="193">
        <v>41.475434603936016</v>
      </c>
      <c r="V30" s="201" t="s">
        <v>802</v>
      </c>
      <c r="W30" s="192">
        <v>39.29251699320254</v>
      </c>
      <c r="X30" s="194">
        <v>43.658352214669506</v>
      </c>
      <c r="Y30" s="191">
        <v>4.1257142842862686</v>
      </c>
      <c r="Z30" s="192">
        <v>3.7421444755431055</v>
      </c>
      <c r="AA30" s="192">
        <v>3.7327891143542411</v>
      </c>
      <c r="AB30" s="202" t="s">
        <v>802</v>
      </c>
      <c r="AC30" s="192">
        <v>3.5363265293882287</v>
      </c>
      <c r="AD30" s="194">
        <v>3.9292516993202553</v>
      </c>
    </row>
    <row r="31" spans="1:30">
      <c r="A31" s="159" t="s">
        <v>879</v>
      </c>
      <c r="B31" s="160" t="s">
        <v>880</v>
      </c>
      <c r="C31" s="160" t="s">
        <v>881</v>
      </c>
      <c r="D31" s="161" t="s">
        <v>882</v>
      </c>
      <c r="E31" t="s">
        <v>774</v>
      </c>
      <c r="F31" s="160" t="s">
        <v>775</v>
      </c>
      <c r="G31" s="161">
        <v>76.2</v>
      </c>
      <c r="I31" s="185" t="s">
        <v>775</v>
      </c>
      <c r="J31" s="207">
        <f>GETPIVOTDATA("Efficiency (%)",$I$6,"Fuel Type","Biomass","Combustor Design","Stoker/Sloped Grate/Other")/100</f>
        <v>0.75419999999999987</v>
      </c>
      <c r="K31" s="169">
        <f t="shared" si="0"/>
        <v>1.3259082471492976</v>
      </c>
      <c r="M31" s="342" t="s">
        <v>451</v>
      </c>
      <c r="N31" s="343"/>
      <c r="O31" s="336"/>
      <c r="P31" s="336"/>
      <c r="R31" s="170" t="s">
        <v>883</v>
      </c>
      <c r="S31" s="159"/>
      <c r="T31" s="160"/>
      <c r="V31" s="172"/>
      <c r="W31" s="172"/>
      <c r="X31" s="175"/>
      <c r="Y31" s="159"/>
      <c r="Z31" s="160"/>
      <c r="AA31" s="160"/>
      <c r="AB31" s="173"/>
      <c r="AC31" s="172"/>
      <c r="AD31" s="175"/>
    </row>
    <row r="32" spans="1:30">
      <c r="A32" s="159" t="s">
        <v>884</v>
      </c>
      <c r="B32" s="160" t="s">
        <v>885</v>
      </c>
      <c r="C32" s="160" t="s">
        <v>874</v>
      </c>
      <c r="D32" s="161" t="s">
        <v>886</v>
      </c>
      <c r="E32" t="s">
        <v>774</v>
      </c>
      <c r="F32" s="160" t="s">
        <v>799</v>
      </c>
      <c r="G32" s="161">
        <v>66.900000000000006</v>
      </c>
      <c r="I32" s="185" t="s">
        <v>793</v>
      </c>
      <c r="J32" s="207">
        <f>GETPIVOTDATA("Efficiency (%)",$I$6,"Fuel Type","Biomass","Combustor Design","Fluidized Bed")/100</f>
        <v>0.73866666666666658</v>
      </c>
      <c r="K32" s="169">
        <f t="shared" si="0"/>
        <v>1.3537906137184117</v>
      </c>
      <c r="M32" s="342" t="s">
        <v>453</v>
      </c>
      <c r="N32" s="343">
        <v>100</v>
      </c>
      <c r="O32" s="336">
        <v>1</v>
      </c>
      <c r="P32" s="336" t="s">
        <v>877</v>
      </c>
      <c r="R32" s="176" t="s">
        <v>794</v>
      </c>
      <c r="S32" s="177">
        <v>4.3157925400720334</v>
      </c>
      <c r="T32" s="178">
        <v>3.4252321746603354</v>
      </c>
      <c r="U32" s="179">
        <v>2.4759663642565584</v>
      </c>
      <c r="V32" s="187" t="s">
        <v>802</v>
      </c>
      <c r="W32" s="178">
        <v>3.0949579553206976</v>
      </c>
      <c r="X32" s="195">
        <v>3.596493783393361</v>
      </c>
      <c r="Y32" s="177">
        <v>1.6319100000000002</v>
      </c>
      <c r="Z32" s="178">
        <v>0.65384858769104759</v>
      </c>
      <c r="AA32" s="178">
        <v>0.58846372892194299</v>
      </c>
      <c r="AB32" s="188" t="s">
        <v>802</v>
      </c>
      <c r="AC32" s="178">
        <v>0.58846372892194299</v>
      </c>
      <c r="AD32" s="195">
        <v>0.65384858769104759</v>
      </c>
    </row>
    <row r="33" spans="1:30">
      <c r="A33" s="159" t="s">
        <v>887</v>
      </c>
      <c r="B33" s="160" t="s">
        <v>888</v>
      </c>
      <c r="C33" s="160" t="s">
        <v>889</v>
      </c>
      <c r="D33" s="161" t="s">
        <v>890</v>
      </c>
      <c r="E33" t="s">
        <v>776</v>
      </c>
      <c r="F33" s="160" t="s">
        <v>775</v>
      </c>
      <c r="G33" s="161">
        <v>80.2</v>
      </c>
      <c r="I33" s="185" t="s">
        <v>891</v>
      </c>
      <c r="J33" s="207">
        <f>AVERAGE(GETPIVOTDATA("Efficiency (%)",$I$6,"Fuel Type","Biomass","Combustor Design","Dutch Oven/Pile Burner"),GETPIVOTDATA("Efficiency (%)",$I$6,"Fuel Type","Biomass","Combustor Design","Suspension Burner"))/100</f>
        <v>0.70829999999999993</v>
      </c>
      <c r="K33" s="169">
        <f t="shared" si="0"/>
        <v>1.4118311449950587</v>
      </c>
      <c r="M33" s="342" t="s">
        <v>455</v>
      </c>
      <c r="N33" s="343"/>
      <c r="O33" s="336"/>
      <c r="P33" s="336"/>
      <c r="R33" s="185" t="s">
        <v>801</v>
      </c>
      <c r="S33" s="186" t="s">
        <v>802</v>
      </c>
      <c r="T33" s="187" t="s">
        <v>802</v>
      </c>
      <c r="U33" s="188" t="s">
        <v>802</v>
      </c>
      <c r="V33" s="187" t="s">
        <v>802</v>
      </c>
      <c r="W33" s="178">
        <v>3.4044537508527677</v>
      </c>
      <c r="X33" s="189" t="s">
        <v>802</v>
      </c>
      <c r="Y33" s="186" t="s">
        <v>802</v>
      </c>
      <c r="Z33" s="187" t="s">
        <v>802</v>
      </c>
      <c r="AA33" s="187" t="s">
        <v>802</v>
      </c>
      <c r="AB33" s="188" t="s">
        <v>802</v>
      </c>
      <c r="AC33" s="178">
        <v>0.61788691536804019</v>
      </c>
      <c r="AD33" s="189" t="s">
        <v>802</v>
      </c>
    </row>
    <row r="34" spans="1:30">
      <c r="A34" s="159" t="s">
        <v>892</v>
      </c>
      <c r="B34" s="160" t="s">
        <v>893</v>
      </c>
      <c r="C34" s="160" t="s">
        <v>894</v>
      </c>
      <c r="D34" s="161" t="s">
        <v>895</v>
      </c>
      <c r="E34" t="s">
        <v>776</v>
      </c>
      <c r="F34" s="160" t="s">
        <v>775</v>
      </c>
      <c r="G34" s="161">
        <v>91.9</v>
      </c>
      <c r="I34" s="185" t="s">
        <v>800</v>
      </c>
      <c r="J34" s="207">
        <f>GETPIVOTDATA("Efficiency (%)",$I$6,"Fuel Type","Biomass","Combustor Design","Fuel Cell")/100</f>
        <v>0.5635</v>
      </c>
      <c r="K34" s="169">
        <f t="shared" si="0"/>
        <v>1.7746228926353149</v>
      </c>
      <c r="M34" s="342" t="s">
        <v>457</v>
      </c>
      <c r="N34" s="343"/>
      <c r="O34" s="336"/>
      <c r="P34" s="336"/>
      <c r="R34" s="176" t="s">
        <v>805</v>
      </c>
      <c r="S34" s="186" t="s">
        <v>802</v>
      </c>
      <c r="T34" s="187" t="s">
        <v>802</v>
      </c>
      <c r="U34" s="179">
        <v>177.58015334407696</v>
      </c>
      <c r="V34" s="187" t="s">
        <v>802</v>
      </c>
      <c r="W34" s="187" t="s">
        <v>802</v>
      </c>
      <c r="X34" s="189" t="s">
        <v>802</v>
      </c>
      <c r="Y34" s="186" t="s">
        <v>802</v>
      </c>
      <c r="Z34" s="187" t="s">
        <v>802</v>
      </c>
      <c r="AA34" s="178">
        <v>21.84703202325149</v>
      </c>
      <c r="AB34" s="188" t="s">
        <v>802</v>
      </c>
      <c r="AC34" s="187" t="s">
        <v>802</v>
      </c>
      <c r="AD34" s="189" t="s">
        <v>802</v>
      </c>
    </row>
    <row r="35" spans="1:30">
      <c r="A35" s="159" t="s">
        <v>896</v>
      </c>
      <c r="B35" s="160" t="s">
        <v>897</v>
      </c>
      <c r="C35" s="160" t="s">
        <v>898</v>
      </c>
      <c r="D35" s="161" t="s">
        <v>899</v>
      </c>
      <c r="E35" t="s">
        <v>776</v>
      </c>
      <c r="F35" s="160" t="s">
        <v>775</v>
      </c>
      <c r="G35" s="161">
        <v>68.7</v>
      </c>
      <c r="I35" s="208" t="s">
        <v>804</v>
      </c>
      <c r="J35" s="209">
        <f>GETPIVOTDATA("Efficiency (%)",$I$6,"Fuel Type","Biomass","Combustor Design","Hybrid Suspension Grate")/100</f>
        <v>0.57833333333333337</v>
      </c>
      <c r="K35" s="163">
        <f t="shared" si="0"/>
        <v>1.7291066282420748</v>
      </c>
      <c r="M35" s="342" t="s">
        <v>459</v>
      </c>
      <c r="N35" s="343"/>
      <c r="O35" s="336"/>
      <c r="P35" s="336"/>
      <c r="R35" s="176" t="s">
        <v>809</v>
      </c>
      <c r="S35" s="177">
        <v>34.957230000000003</v>
      </c>
      <c r="T35" s="187" t="s">
        <v>802</v>
      </c>
      <c r="U35" s="178">
        <v>2.238711615888505</v>
      </c>
      <c r="V35" s="187" t="s">
        <v>802</v>
      </c>
      <c r="W35" s="178">
        <v>34.9566901617196</v>
      </c>
      <c r="X35" s="195">
        <v>12.270000000000001</v>
      </c>
      <c r="Y35" s="177">
        <v>3.4957230000000004</v>
      </c>
      <c r="Z35" s="178" t="s">
        <v>802</v>
      </c>
      <c r="AA35" s="182">
        <v>0.22387116158885051</v>
      </c>
      <c r="AB35" s="188" t="s">
        <v>802</v>
      </c>
      <c r="AC35" s="178">
        <v>3.4956690161719601</v>
      </c>
      <c r="AD35" s="195">
        <v>1.2270000000000003</v>
      </c>
    </row>
    <row r="36" spans="1:30">
      <c r="A36" s="159" t="s">
        <v>900</v>
      </c>
      <c r="B36" s="160" t="s">
        <v>901</v>
      </c>
      <c r="C36" s="160" t="s">
        <v>902</v>
      </c>
      <c r="D36" s="161" t="s">
        <v>903</v>
      </c>
      <c r="E36" t="s">
        <v>774</v>
      </c>
      <c r="F36" s="160" t="s">
        <v>799</v>
      </c>
      <c r="G36" s="161">
        <v>71.5</v>
      </c>
      <c r="I36" s="210" t="s">
        <v>904</v>
      </c>
      <c r="J36" s="211">
        <f>GETPIVOTDATA("Efficiency (%)",$I$6,"Fuel Type","Heavy Liquid")/100</f>
        <v>0.80949999999999989</v>
      </c>
      <c r="K36" s="212">
        <f t="shared" si="0"/>
        <v>1.2353304508956147</v>
      </c>
      <c r="M36" s="342" t="s">
        <v>462</v>
      </c>
      <c r="N36" s="343"/>
      <c r="O36" s="336"/>
      <c r="P36" s="336"/>
      <c r="R36" s="190" t="s">
        <v>814</v>
      </c>
      <c r="S36" s="191">
        <v>150.90847079250889</v>
      </c>
      <c r="T36" s="192">
        <v>136.87843155783156</v>
      </c>
      <c r="U36" s="193">
        <v>136.53623547893702</v>
      </c>
      <c r="V36" s="192">
        <v>150.90847079250889</v>
      </c>
      <c r="W36" s="192">
        <v>129.35011782215048</v>
      </c>
      <c r="X36" s="194">
        <v>143.72235313572236</v>
      </c>
      <c r="Y36" s="191">
        <v>6.0363388317003555</v>
      </c>
      <c r="Z36" s="192">
        <v>5.4751372623132628</v>
      </c>
      <c r="AA36" s="192">
        <v>5.4614494191574812</v>
      </c>
      <c r="AB36" s="193">
        <v>6.0363388317003555</v>
      </c>
      <c r="AC36" s="192">
        <v>5.1740047128860196</v>
      </c>
      <c r="AD36" s="194">
        <v>5.7488941254288948</v>
      </c>
    </row>
    <row r="37" spans="1:30">
      <c r="A37" s="159" t="s">
        <v>905</v>
      </c>
      <c r="B37" s="160" t="s">
        <v>906</v>
      </c>
      <c r="C37" s="160" t="s">
        <v>854</v>
      </c>
      <c r="D37" s="161" t="s">
        <v>907</v>
      </c>
      <c r="E37" t="s">
        <v>842</v>
      </c>
      <c r="F37" s="160" t="s">
        <v>802</v>
      </c>
      <c r="G37" s="161">
        <v>60.9</v>
      </c>
      <c r="I37" s="210" t="s">
        <v>908</v>
      </c>
      <c r="J37" s="211">
        <f>GETPIVOTDATA("Efficiency (%)",$I$6,"Fuel Type","Light Liquid")/100</f>
        <v>0.60899999999999999</v>
      </c>
      <c r="K37" s="212">
        <f t="shared" si="0"/>
        <v>1.6420361247947455</v>
      </c>
      <c r="M37" s="342" t="s">
        <v>464</v>
      </c>
      <c r="N37" s="343"/>
      <c r="O37" s="336"/>
      <c r="P37" s="336"/>
      <c r="R37" s="170" t="s">
        <v>909</v>
      </c>
      <c r="S37" s="159"/>
      <c r="T37" s="160"/>
      <c r="U37" s="173"/>
      <c r="V37" s="160"/>
      <c r="W37" s="172"/>
      <c r="X37" s="161"/>
      <c r="Y37" s="159"/>
      <c r="Z37" s="160"/>
      <c r="AA37" s="172"/>
      <c r="AB37" s="173"/>
      <c r="AC37" s="160"/>
      <c r="AD37" s="161"/>
    </row>
    <row r="38" spans="1:30">
      <c r="A38" s="159" t="s">
        <v>910</v>
      </c>
      <c r="B38" s="160" t="s">
        <v>911</v>
      </c>
      <c r="C38" s="160" t="s">
        <v>642</v>
      </c>
      <c r="D38" s="161" t="s">
        <v>912</v>
      </c>
      <c r="E38" t="s">
        <v>832</v>
      </c>
      <c r="F38" s="160" t="s">
        <v>802</v>
      </c>
      <c r="G38" s="161">
        <v>73.3</v>
      </c>
      <c r="I38" s="204" t="s">
        <v>913</v>
      </c>
      <c r="J38" s="213">
        <f>AVERAGE(J39:J40)</f>
        <v>0.79499999999999993</v>
      </c>
      <c r="K38" s="206">
        <f>1/J38</f>
        <v>1.257861635220126</v>
      </c>
      <c r="M38" s="342" t="s">
        <v>466</v>
      </c>
      <c r="N38" s="343"/>
      <c r="O38" s="336"/>
      <c r="P38" s="336"/>
      <c r="R38" s="176" t="s">
        <v>794</v>
      </c>
      <c r="S38" s="177">
        <v>4.5443223247025193</v>
      </c>
      <c r="T38" s="178">
        <v>3.6066050196051669</v>
      </c>
      <c r="U38" s="179">
        <v>2.6098709722836961</v>
      </c>
      <c r="V38" s="178">
        <v>4.5443223247025193</v>
      </c>
      <c r="W38" s="178">
        <v>3.2623387153546202</v>
      </c>
      <c r="X38" s="195">
        <v>3.7869352705854347</v>
      </c>
      <c r="Y38" s="177">
        <v>1.6319100000000002</v>
      </c>
      <c r="Z38" s="178">
        <v>0.65384858769104759</v>
      </c>
      <c r="AA38" s="178">
        <v>0.58846372892194299</v>
      </c>
      <c r="AB38" s="179">
        <v>0.58846372892194299</v>
      </c>
      <c r="AC38" s="178">
        <v>0.58846372892194299</v>
      </c>
      <c r="AD38" s="195">
        <v>0.65384858769104759</v>
      </c>
    </row>
    <row r="39" spans="1:30">
      <c r="A39" s="159" t="s">
        <v>914</v>
      </c>
      <c r="B39" s="160" t="s">
        <v>915</v>
      </c>
      <c r="C39" s="160" t="s">
        <v>916</v>
      </c>
      <c r="D39" s="161" t="s">
        <v>917</v>
      </c>
      <c r="E39" t="s">
        <v>776</v>
      </c>
      <c r="F39" s="160" t="s">
        <v>793</v>
      </c>
      <c r="G39" s="161">
        <v>91.7</v>
      </c>
      <c r="I39" s="185" t="s">
        <v>788</v>
      </c>
      <c r="J39" s="214">
        <f>AVERAGE(0.7,0.83)</f>
        <v>0.7649999999999999</v>
      </c>
      <c r="K39" s="169">
        <f>1/J39</f>
        <v>1.3071895424836604</v>
      </c>
      <c r="M39" s="342" t="s">
        <v>468</v>
      </c>
      <c r="N39" s="343"/>
      <c r="O39" s="336"/>
      <c r="P39" s="336"/>
      <c r="R39" s="185" t="s">
        <v>801</v>
      </c>
      <c r="S39" s="186" t="s">
        <v>802</v>
      </c>
      <c r="T39" s="187" t="s">
        <v>802</v>
      </c>
      <c r="U39" s="188" t="s">
        <v>802</v>
      </c>
      <c r="V39" s="187" t="s">
        <v>802</v>
      </c>
      <c r="W39" s="178">
        <v>3.5885725868900824</v>
      </c>
      <c r="X39" s="189" t="s">
        <v>802</v>
      </c>
      <c r="Y39" s="186" t="s">
        <v>802</v>
      </c>
      <c r="Z39" s="187" t="s">
        <v>802</v>
      </c>
      <c r="AA39" s="187" t="s">
        <v>802</v>
      </c>
      <c r="AB39" s="188" t="s">
        <v>802</v>
      </c>
      <c r="AC39" s="178">
        <v>0.61788691536804019</v>
      </c>
      <c r="AD39" s="189" t="s">
        <v>802</v>
      </c>
    </row>
    <row r="40" spans="1:30">
      <c r="A40" s="159" t="s">
        <v>918</v>
      </c>
      <c r="B40" s="160" t="s">
        <v>919</v>
      </c>
      <c r="C40" s="160" t="s">
        <v>920</v>
      </c>
      <c r="D40" s="161" t="s">
        <v>921</v>
      </c>
      <c r="E40" t="s">
        <v>776</v>
      </c>
      <c r="F40" s="160" t="s">
        <v>793</v>
      </c>
      <c r="G40" s="161">
        <v>67</v>
      </c>
      <c r="I40" s="185" t="s">
        <v>816</v>
      </c>
      <c r="J40" s="214">
        <f>AVERAGE(0.82,0.83)</f>
        <v>0.82499999999999996</v>
      </c>
      <c r="K40" s="169">
        <f>1/J40</f>
        <v>1.2121212121212122</v>
      </c>
      <c r="M40" s="342" t="s">
        <v>470</v>
      </c>
      <c r="N40" s="343"/>
      <c r="O40" s="336"/>
      <c r="P40" s="336"/>
      <c r="R40" s="176" t="s">
        <v>805</v>
      </c>
      <c r="S40" s="177"/>
      <c r="T40" s="215"/>
      <c r="U40" s="179">
        <v>177.58015334407696</v>
      </c>
      <c r="V40" s="187" t="s">
        <v>802</v>
      </c>
      <c r="W40" s="187" t="s">
        <v>802</v>
      </c>
      <c r="X40" s="189" t="s">
        <v>802</v>
      </c>
      <c r="Y40" s="186" t="s">
        <v>802</v>
      </c>
      <c r="Z40" s="187" t="s">
        <v>802</v>
      </c>
      <c r="AA40" s="178">
        <v>21.84703202325149</v>
      </c>
      <c r="AB40" s="188" t="s">
        <v>802</v>
      </c>
      <c r="AC40" s="187" t="s">
        <v>802</v>
      </c>
      <c r="AD40" s="189" t="s">
        <v>802</v>
      </c>
    </row>
    <row r="41" spans="1:30">
      <c r="A41" s="159" t="s">
        <v>922</v>
      </c>
      <c r="B41" s="160" t="s">
        <v>923</v>
      </c>
      <c r="C41" s="160" t="s">
        <v>924</v>
      </c>
      <c r="D41" s="161" t="s">
        <v>925</v>
      </c>
      <c r="E41" t="s">
        <v>776</v>
      </c>
      <c r="F41" s="160" t="s">
        <v>786</v>
      </c>
      <c r="G41" s="161">
        <v>58.8</v>
      </c>
      <c r="I41" s="208" t="s">
        <v>801</v>
      </c>
      <c r="J41" s="216">
        <f>AVERAGE(0.93,0.94)</f>
        <v>0.93500000000000005</v>
      </c>
      <c r="K41" s="163">
        <f>1/J41</f>
        <v>1.0695187165775399</v>
      </c>
      <c r="M41" s="342" t="s">
        <v>472</v>
      </c>
      <c r="N41" s="343"/>
      <c r="O41" s="336"/>
      <c r="P41" s="336"/>
      <c r="R41" s="176" t="s">
        <v>809</v>
      </c>
      <c r="S41" s="177">
        <v>34.957230000000003</v>
      </c>
      <c r="T41" s="178">
        <v>31.461021145547676</v>
      </c>
      <c r="U41" s="179">
        <v>2.238711615888505</v>
      </c>
      <c r="V41" s="187" t="s">
        <v>802</v>
      </c>
      <c r="W41" s="178">
        <v>34.9566901617196</v>
      </c>
      <c r="X41" s="195">
        <v>12.270000000000001</v>
      </c>
      <c r="Y41" s="177">
        <v>3.4957230000000004</v>
      </c>
      <c r="Z41" s="178">
        <v>3.1461021145547678</v>
      </c>
      <c r="AA41" s="178">
        <v>0.22387116158885051</v>
      </c>
      <c r="AB41" s="188" t="s">
        <v>802</v>
      </c>
      <c r="AC41" s="178">
        <v>3.4956690161719601</v>
      </c>
      <c r="AD41" s="195">
        <v>1.2270000000000003</v>
      </c>
    </row>
    <row r="42" spans="1:30">
      <c r="A42" s="159" t="s">
        <v>926</v>
      </c>
      <c r="B42" s="160" t="s">
        <v>927</v>
      </c>
      <c r="C42" s="160" t="s">
        <v>928</v>
      </c>
      <c r="D42" s="161" t="s">
        <v>929</v>
      </c>
      <c r="E42" t="s">
        <v>774</v>
      </c>
      <c r="F42" s="160" t="s">
        <v>775</v>
      </c>
      <c r="G42" s="161">
        <v>80.7</v>
      </c>
      <c r="M42" s="342" t="s">
        <v>474</v>
      </c>
      <c r="N42" s="343"/>
      <c r="O42" s="336"/>
      <c r="P42" s="336"/>
      <c r="R42" s="176" t="s">
        <v>814</v>
      </c>
      <c r="S42" s="177">
        <v>23.239380000000004</v>
      </c>
      <c r="T42" s="178">
        <v>21.147835800000003</v>
      </c>
      <c r="U42" s="179">
        <v>25.663247334000005</v>
      </c>
      <c r="V42" s="178">
        <v>23.239380000000004</v>
      </c>
      <c r="W42" s="178">
        <v>18.591504000000004</v>
      </c>
      <c r="X42" s="195">
        <v>22.077411000000001</v>
      </c>
      <c r="Y42" s="177">
        <v>2.3239380000000005</v>
      </c>
      <c r="Z42" s="178">
        <v>2.1147835800000006</v>
      </c>
      <c r="AA42" s="178">
        <v>2.5663247334000006</v>
      </c>
      <c r="AB42" s="179">
        <v>2.3239380000000005</v>
      </c>
      <c r="AC42" s="178">
        <v>1.8591504000000005</v>
      </c>
      <c r="AD42" s="195">
        <v>2.2077411000000002</v>
      </c>
    </row>
    <row r="43" spans="1:30">
      <c r="A43" s="159" t="s">
        <v>930</v>
      </c>
      <c r="B43" s="160" t="s">
        <v>931</v>
      </c>
      <c r="C43" s="160" t="s">
        <v>889</v>
      </c>
      <c r="D43" s="161" t="s">
        <v>932</v>
      </c>
      <c r="E43" t="s">
        <v>776</v>
      </c>
      <c r="F43" s="160" t="s">
        <v>775</v>
      </c>
      <c r="G43" s="161">
        <v>81.2</v>
      </c>
      <c r="M43" s="342" t="s">
        <v>476</v>
      </c>
      <c r="N43" s="343">
        <v>100</v>
      </c>
      <c r="O43" s="336">
        <v>1</v>
      </c>
      <c r="P43" s="336" t="s">
        <v>877</v>
      </c>
      <c r="R43" s="190" t="s">
        <v>933</v>
      </c>
      <c r="S43" s="191">
        <v>19.887215999999999</v>
      </c>
      <c r="T43" s="201" t="s">
        <v>802</v>
      </c>
      <c r="U43" s="202" t="s">
        <v>802</v>
      </c>
      <c r="V43" s="201" t="s">
        <v>802</v>
      </c>
      <c r="W43" s="201" t="s">
        <v>802</v>
      </c>
      <c r="X43" s="203" t="s">
        <v>802</v>
      </c>
      <c r="Y43" s="191">
        <v>3.173022</v>
      </c>
      <c r="Z43" s="201" t="s">
        <v>802</v>
      </c>
      <c r="AA43" s="201" t="s">
        <v>802</v>
      </c>
      <c r="AB43" s="202" t="s">
        <v>802</v>
      </c>
      <c r="AC43" s="201" t="s">
        <v>802</v>
      </c>
      <c r="AD43" s="203" t="s">
        <v>802</v>
      </c>
    </row>
    <row r="44" spans="1:30" ht="14.45">
      <c r="A44" s="159" t="s">
        <v>934</v>
      </c>
      <c r="B44" s="160" t="s">
        <v>935</v>
      </c>
      <c r="C44" s="160" t="s">
        <v>854</v>
      </c>
      <c r="D44" s="161" t="s">
        <v>936</v>
      </c>
      <c r="E44" t="s">
        <v>774</v>
      </c>
      <c r="F44" s="160" t="s">
        <v>775</v>
      </c>
      <c r="G44" s="161">
        <v>97</v>
      </c>
      <c r="M44" s="337" t="s">
        <v>937</v>
      </c>
      <c r="R44" s="175" t="s">
        <v>787</v>
      </c>
    </row>
    <row r="45" spans="1:30">
      <c r="A45" s="159" t="s">
        <v>938</v>
      </c>
      <c r="B45" s="160" t="s">
        <v>939</v>
      </c>
      <c r="C45" s="160" t="s">
        <v>791</v>
      </c>
      <c r="D45" s="161" t="s">
        <v>940</v>
      </c>
      <c r="E45" t="s">
        <v>774</v>
      </c>
      <c r="F45" s="160" t="s">
        <v>793</v>
      </c>
      <c r="G45" s="161">
        <v>82.7</v>
      </c>
      <c r="M45" s="337" t="s">
        <v>941</v>
      </c>
    </row>
    <row r="46" spans="1:30">
      <c r="A46" s="159" t="s">
        <v>942</v>
      </c>
      <c r="B46" s="160" t="s">
        <v>943</v>
      </c>
      <c r="C46" s="160" t="s">
        <v>854</v>
      </c>
      <c r="D46" s="161" t="s">
        <v>944</v>
      </c>
      <c r="E46" t="s">
        <v>776</v>
      </c>
      <c r="F46" s="160" t="s">
        <v>775</v>
      </c>
      <c r="G46" s="161">
        <v>99.8</v>
      </c>
    </row>
    <row r="47" spans="1:30">
      <c r="A47" s="159" t="s">
        <v>945</v>
      </c>
      <c r="B47" s="160" t="s">
        <v>946</v>
      </c>
      <c r="C47" s="160" t="s">
        <v>791</v>
      </c>
      <c r="D47" s="161" t="s">
        <v>947</v>
      </c>
      <c r="E47" t="s">
        <v>774</v>
      </c>
      <c r="F47" s="160" t="s">
        <v>775</v>
      </c>
      <c r="G47" s="161">
        <v>76</v>
      </c>
    </row>
    <row r="48" spans="1:30">
      <c r="A48" s="159" t="s">
        <v>948</v>
      </c>
      <c r="B48" s="160" t="s">
        <v>949</v>
      </c>
      <c r="C48" s="160" t="s">
        <v>849</v>
      </c>
      <c r="D48" s="161" t="s">
        <v>808</v>
      </c>
      <c r="E48" t="s">
        <v>774</v>
      </c>
      <c r="F48" s="160" t="s">
        <v>775</v>
      </c>
      <c r="G48" s="161">
        <v>82.9</v>
      </c>
    </row>
    <row r="49" spans="1:7">
      <c r="A49" s="159" t="s">
        <v>950</v>
      </c>
      <c r="B49" s="160" t="s">
        <v>951</v>
      </c>
      <c r="C49" s="160" t="s">
        <v>835</v>
      </c>
      <c r="D49" s="161" t="s">
        <v>952</v>
      </c>
      <c r="E49" t="s">
        <v>774</v>
      </c>
      <c r="F49" s="160" t="s">
        <v>775</v>
      </c>
      <c r="G49" s="161">
        <v>67.400000000000006</v>
      </c>
    </row>
    <row r="50" spans="1:7">
      <c r="A50" s="159" t="s">
        <v>953</v>
      </c>
      <c r="B50" s="160" t="s">
        <v>954</v>
      </c>
      <c r="C50" s="160" t="s">
        <v>772</v>
      </c>
      <c r="D50" s="161" t="s">
        <v>955</v>
      </c>
      <c r="E50" t="s">
        <v>774</v>
      </c>
      <c r="F50" s="160" t="s">
        <v>793</v>
      </c>
      <c r="G50" s="161">
        <v>68.099999999999994</v>
      </c>
    </row>
    <row r="51" spans="1:7" ht="15.75" customHeight="1">
      <c r="A51" s="159" t="s">
        <v>956</v>
      </c>
      <c r="B51" s="160" t="s">
        <v>957</v>
      </c>
      <c r="C51" s="160" t="s">
        <v>958</v>
      </c>
      <c r="D51" s="161" t="s">
        <v>959</v>
      </c>
      <c r="E51" t="s">
        <v>776</v>
      </c>
      <c r="F51" s="160" t="s">
        <v>800</v>
      </c>
      <c r="G51" s="161">
        <v>45.5</v>
      </c>
    </row>
    <row r="52" spans="1:7">
      <c r="A52" s="159" t="s">
        <v>960</v>
      </c>
      <c r="B52" s="160" t="s">
        <v>961</v>
      </c>
      <c r="C52" s="160" t="s">
        <v>819</v>
      </c>
      <c r="D52" s="161" t="s">
        <v>962</v>
      </c>
      <c r="E52" t="s">
        <v>776</v>
      </c>
      <c r="F52" s="160" t="s">
        <v>786</v>
      </c>
      <c r="G52" s="161">
        <v>60.5</v>
      </c>
    </row>
    <row r="53" spans="1:7">
      <c r="A53" s="159" t="s">
        <v>963</v>
      </c>
      <c r="B53" s="160" t="s">
        <v>964</v>
      </c>
      <c r="C53" s="160" t="s">
        <v>881</v>
      </c>
      <c r="D53" s="161" t="s">
        <v>965</v>
      </c>
      <c r="E53" t="s">
        <v>774</v>
      </c>
      <c r="F53" s="160" t="s">
        <v>799</v>
      </c>
      <c r="G53" s="161">
        <v>82.6</v>
      </c>
    </row>
    <row r="54" spans="1:7">
      <c r="A54" s="159" t="s">
        <v>966</v>
      </c>
      <c r="B54" s="160" t="s">
        <v>967</v>
      </c>
      <c r="C54" s="160" t="s">
        <v>797</v>
      </c>
      <c r="D54" s="161" t="s">
        <v>968</v>
      </c>
      <c r="E54" t="s">
        <v>774</v>
      </c>
      <c r="F54" s="160" t="s">
        <v>793</v>
      </c>
      <c r="G54" s="161">
        <v>76</v>
      </c>
    </row>
    <row r="55" spans="1:7">
      <c r="A55" s="159" t="s">
        <v>969</v>
      </c>
      <c r="B55" s="160" t="s">
        <v>970</v>
      </c>
      <c r="C55" s="160" t="s">
        <v>958</v>
      </c>
      <c r="D55" s="161" t="s">
        <v>971</v>
      </c>
      <c r="E55" t="s">
        <v>776</v>
      </c>
      <c r="F55" s="160" t="s">
        <v>775</v>
      </c>
      <c r="G55" s="161">
        <v>60</v>
      </c>
    </row>
    <row r="56" spans="1:7">
      <c r="A56" s="159" t="s">
        <v>972</v>
      </c>
      <c r="B56" s="160" t="s">
        <v>972</v>
      </c>
      <c r="C56" s="160" t="s">
        <v>772</v>
      </c>
      <c r="D56" s="161" t="s">
        <v>973</v>
      </c>
      <c r="E56" t="s">
        <v>774</v>
      </c>
      <c r="F56" s="160" t="s">
        <v>775</v>
      </c>
      <c r="G56" s="161">
        <v>68.099999999999994</v>
      </c>
    </row>
    <row r="57" spans="1:7">
      <c r="A57" s="159" t="s">
        <v>974</v>
      </c>
      <c r="B57" s="160" t="s">
        <v>975</v>
      </c>
      <c r="C57" s="160" t="s">
        <v>791</v>
      </c>
      <c r="D57" s="161" t="s">
        <v>976</v>
      </c>
      <c r="E57" t="s">
        <v>774</v>
      </c>
      <c r="F57" s="160" t="s">
        <v>793</v>
      </c>
      <c r="G57" s="161">
        <v>87.8</v>
      </c>
    </row>
    <row r="58" spans="1:7">
      <c r="A58" s="159" t="s">
        <v>977</v>
      </c>
      <c r="B58" s="160" t="s">
        <v>978</v>
      </c>
      <c r="C58" s="160" t="s">
        <v>797</v>
      </c>
      <c r="D58" s="161" t="s">
        <v>979</v>
      </c>
      <c r="E58" t="s">
        <v>774</v>
      </c>
      <c r="F58" s="160" t="s">
        <v>799</v>
      </c>
      <c r="G58" s="161">
        <v>86</v>
      </c>
    </row>
    <row r="59" spans="1:7">
      <c r="A59" s="159" t="s">
        <v>977</v>
      </c>
      <c r="B59" s="160" t="s">
        <v>978</v>
      </c>
      <c r="C59" s="160" t="s">
        <v>797</v>
      </c>
      <c r="D59" s="161" t="s">
        <v>980</v>
      </c>
      <c r="E59" t="s">
        <v>774</v>
      </c>
      <c r="F59" s="160" t="s">
        <v>799</v>
      </c>
      <c r="G59" s="161">
        <v>83.3</v>
      </c>
    </row>
    <row r="60" spans="1:7">
      <c r="A60" s="159" t="s">
        <v>981</v>
      </c>
      <c r="B60" s="160" t="s">
        <v>982</v>
      </c>
      <c r="C60" s="160" t="s">
        <v>823</v>
      </c>
      <c r="D60" s="161" t="s">
        <v>983</v>
      </c>
      <c r="E60" t="s">
        <v>774</v>
      </c>
      <c r="F60" s="160" t="s">
        <v>799</v>
      </c>
      <c r="G60" s="161">
        <v>60.9</v>
      </c>
    </row>
    <row r="61" spans="1:7">
      <c r="A61" s="159" t="s">
        <v>981</v>
      </c>
      <c r="B61" s="160" t="s">
        <v>982</v>
      </c>
      <c r="C61" s="160" t="s">
        <v>823</v>
      </c>
      <c r="D61" s="161" t="s">
        <v>984</v>
      </c>
      <c r="E61" t="s">
        <v>774</v>
      </c>
      <c r="F61" s="160" t="s">
        <v>775</v>
      </c>
      <c r="G61" s="161">
        <v>84.7</v>
      </c>
    </row>
    <row r="62" spans="1:7">
      <c r="A62" s="159" t="s">
        <v>985</v>
      </c>
      <c r="B62" s="160" t="s">
        <v>986</v>
      </c>
      <c r="C62" s="160" t="s">
        <v>987</v>
      </c>
      <c r="D62" s="161" t="s">
        <v>988</v>
      </c>
      <c r="E62" t="s">
        <v>774</v>
      </c>
      <c r="F62" s="160" t="s">
        <v>799</v>
      </c>
      <c r="G62" s="161">
        <v>85.1</v>
      </c>
    </row>
    <row r="63" spans="1:7">
      <c r="A63" s="159" t="s">
        <v>989</v>
      </c>
      <c r="B63" s="160" t="s">
        <v>990</v>
      </c>
      <c r="C63" s="160" t="s">
        <v>894</v>
      </c>
      <c r="D63" s="161" t="s">
        <v>991</v>
      </c>
      <c r="E63" t="s">
        <v>774</v>
      </c>
      <c r="F63" s="160" t="s">
        <v>793</v>
      </c>
      <c r="G63" s="161">
        <v>83.6</v>
      </c>
    </row>
    <row r="64" spans="1:7">
      <c r="A64" s="159" t="s">
        <v>992</v>
      </c>
      <c r="B64" s="160" t="s">
        <v>993</v>
      </c>
      <c r="C64" s="160" t="s">
        <v>849</v>
      </c>
      <c r="D64" s="161" t="s">
        <v>994</v>
      </c>
      <c r="E64" t="s">
        <v>774</v>
      </c>
      <c r="F64" s="160" t="s">
        <v>799</v>
      </c>
      <c r="G64" s="161">
        <v>79.900000000000006</v>
      </c>
    </row>
    <row r="65" spans="1:7">
      <c r="A65" s="159" t="s">
        <v>995</v>
      </c>
      <c r="B65" s="160" t="s">
        <v>996</v>
      </c>
      <c r="C65" s="160" t="s">
        <v>797</v>
      </c>
      <c r="D65" s="161" t="s">
        <v>997</v>
      </c>
      <c r="E65" t="s">
        <v>774</v>
      </c>
      <c r="F65" s="160" t="s">
        <v>799</v>
      </c>
      <c r="G65" s="161">
        <v>89.2</v>
      </c>
    </row>
    <row r="66" spans="1:7">
      <c r="A66" s="159" t="s">
        <v>998</v>
      </c>
      <c r="B66" s="160" t="s">
        <v>999</v>
      </c>
      <c r="C66" s="160" t="s">
        <v>1000</v>
      </c>
      <c r="D66" s="161" t="s">
        <v>1001</v>
      </c>
      <c r="E66" t="s">
        <v>776</v>
      </c>
      <c r="F66" s="160" t="s">
        <v>813</v>
      </c>
      <c r="G66" s="161">
        <v>87.2</v>
      </c>
    </row>
    <row r="67" spans="1:7">
      <c r="A67" s="159" t="s">
        <v>998</v>
      </c>
      <c r="B67" s="160" t="s">
        <v>1002</v>
      </c>
      <c r="C67" s="160" t="s">
        <v>894</v>
      </c>
      <c r="D67" s="161" t="s">
        <v>1003</v>
      </c>
      <c r="E67" t="s">
        <v>776</v>
      </c>
      <c r="F67" s="160" t="s">
        <v>813</v>
      </c>
      <c r="G67" s="161">
        <v>98.4</v>
      </c>
    </row>
    <row r="68" spans="1:7">
      <c r="A68" s="159" t="s">
        <v>1004</v>
      </c>
      <c r="B68" s="160" t="s">
        <v>1005</v>
      </c>
      <c r="C68" s="160" t="s">
        <v>835</v>
      </c>
      <c r="D68" s="161" t="s">
        <v>1006</v>
      </c>
      <c r="E68" t="s">
        <v>774</v>
      </c>
      <c r="F68" s="160" t="s">
        <v>799</v>
      </c>
      <c r="G68" s="161">
        <v>91.4</v>
      </c>
    </row>
    <row r="69" spans="1:7">
      <c r="A69" s="159" t="s">
        <v>1004</v>
      </c>
      <c r="B69" s="160" t="s">
        <v>1005</v>
      </c>
      <c r="C69" s="160" t="s">
        <v>835</v>
      </c>
      <c r="D69" s="161" t="s">
        <v>1007</v>
      </c>
      <c r="E69" t="s">
        <v>774</v>
      </c>
      <c r="F69" s="160" t="s">
        <v>799</v>
      </c>
      <c r="G69" s="161">
        <v>84.7</v>
      </c>
    </row>
    <row r="70" spans="1:7">
      <c r="A70" s="159" t="s">
        <v>1004</v>
      </c>
      <c r="B70" s="160" t="s">
        <v>1005</v>
      </c>
      <c r="C70" s="160" t="s">
        <v>835</v>
      </c>
      <c r="D70" s="161" t="s">
        <v>1008</v>
      </c>
      <c r="E70" t="s">
        <v>774</v>
      </c>
      <c r="F70" s="160" t="s">
        <v>799</v>
      </c>
      <c r="G70" s="161">
        <v>88.2</v>
      </c>
    </row>
    <row r="71" spans="1:7">
      <c r="A71" s="159" t="s">
        <v>1004</v>
      </c>
      <c r="B71" s="160" t="s">
        <v>1005</v>
      </c>
      <c r="C71" s="160" t="s">
        <v>835</v>
      </c>
      <c r="D71" s="161" t="s">
        <v>1009</v>
      </c>
      <c r="E71" t="s">
        <v>774</v>
      </c>
      <c r="F71" s="160" t="s">
        <v>799</v>
      </c>
      <c r="G71" s="161">
        <v>88.3</v>
      </c>
    </row>
    <row r="72" spans="1:7">
      <c r="A72" s="159" t="s">
        <v>1010</v>
      </c>
      <c r="B72" s="160" t="s">
        <v>1011</v>
      </c>
      <c r="C72" s="160" t="s">
        <v>958</v>
      </c>
      <c r="D72" s="161" t="s">
        <v>1012</v>
      </c>
      <c r="E72" t="s">
        <v>774</v>
      </c>
      <c r="F72" s="160" t="s">
        <v>799</v>
      </c>
      <c r="G72" s="161">
        <v>79.599999999999994</v>
      </c>
    </row>
    <row r="73" spans="1:7">
      <c r="A73" s="159" t="s">
        <v>1010</v>
      </c>
      <c r="B73" s="160" t="s">
        <v>1013</v>
      </c>
      <c r="C73" s="160" t="s">
        <v>958</v>
      </c>
      <c r="D73" s="161" t="s">
        <v>1014</v>
      </c>
      <c r="E73" t="s">
        <v>774</v>
      </c>
      <c r="F73" s="160" t="s">
        <v>799</v>
      </c>
      <c r="G73" s="161">
        <v>77.2</v>
      </c>
    </row>
    <row r="74" spans="1:7">
      <c r="A74" s="159" t="s">
        <v>1010</v>
      </c>
      <c r="B74" s="160" t="s">
        <v>1011</v>
      </c>
      <c r="C74" s="160" t="s">
        <v>958</v>
      </c>
      <c r="D74" s="161" t="s">
        <v>1015</v>
      </c>
      <c r="E74" t="s">
        <v>774</v>
      </c>
      <c r="F74" s="160" t="s">
        <v>799</v>
      </c>
      <c r="G74" s="161">
        <v>69.8</v>
      </c>
    </row>
    <row r="75" spans="1:7">
      <c r="A75" s="159" t="s">
        <v>1010</v>
      </c>
      <c r="B75" s="160" t="s">
        <v>1016</v>
      </c>
      <c r="C75" s="160" t="s">
        <v>958</v>
      </c>
      <c r="D75" s="161" t="s">
        <v>1017</v>
      </c>
      <c r="E75" t="s">
        <v>774</v>
      </c>
      <c r="F75" s="160" t="s">
        <v>775</v>
      </c>
      <c r="G75" s="161">
        <v>75.900000000000006</v>
      </c>
    </row>
    <row r="76" spans="1:7">
      <c r="A76" s="159" t="s">
        <v>1010</v>
      </c>
      <c r="B76" s="160" t="s">
        <v>1013</v>
      </c>
      <c r="C76" s="160" t="s">
        <v>958</v>
      </c>
      <c r="D76" s="161" t="s">
        <v>1018</v>
      </c>
      <c r="E76" t="s">
        <v>774</v>
      </c>
      <c r="F76" s="160" t="s">
        <v>775</v>
      </c>
      <c r="G76" s="161">
        <v>82.5</v>
      </c>
    </row>
    <row r="77" spans="1:7">
      <c r="A77" s="159" t="s">
        <v>1019</v>
      </c>
      <c r="B77" s="160" t="s">
        <v>1020</v>
      </c>
      <c r="C77" s="160" t="s">
        <v>791</v>
      </c>
      <c r="D77" s="161" t="s">
        <v>1021</v>
      </c>
      <c r="E77" t="s">
        <v>774</v>
      </c>
      <c r="F77" s="160" t="s">
        <v>793</v>
      </c>
      <c r="G77" s="161">
        <v>80.099999999999994</v>
      </c>
    </row>
    <row r="78" spans="1:7">
      <c r="A78" s="159" t="s">
        <v>1022</v>
      </c>
      <c r="B78" s="160" t="s">
        <v>1023</v>
      </c>
      <c r="C78" s="160" t="s">
        <v>928</v>
      </c>
      <c r="D78" s="161" t="s">
        <v>1024</v>
      </c>
      <c r="E78" t="s">
        <v>774</v>
      </c>
      <c r="F78" s="160" t="s">
        <v>775</v>
      </c>
      <c r="G78" s="161">
        <v>98.5</v>
      </c>
    </row>
    <row r="79" spans="1:7">
      <c r="A79" s="159" t="s">
        <v>1025</v>
      </c>
      <c r="B79" s="160" t="s">
        <v>1026</v>
      </c>
      <c r="C79" s="160" t="s">
        <v>1027</v>
      </c>
      <c r="D79" s="161" t="s">
        <v>1028</v>
      </c>
      <c r="E79" t="s">
        <v>774</v>
      </c>
      <c r="F79" s="160" t="s">
        <v>775</v>
      </c>
      <c r="G79" s="161">
        <v>56.6</v>
      </c>
    </row>
    <row r="80" spans="1:7">
      <c r="A80" s="159" t="s">
        <v>1029</v>
      </c>
      <c r="B80" s="160" t="s">
        <v>1030</v>
      </c>
      <c r="C80" s="160" t="s">
        <v>987</v>
      </c>
      <c r="D80" s="161" t="s">
        <v>1031</v>
      </c>
      <c r="E80" t="s">
        <v>776</v>
      </c>
      <c r="F80" s="160" t="s">
        <v>804</v>
      </c>
      <c r="G80" s="161">
        <v>53.6</v>
      </c>
    </row>
    <row r="81" spans="1:7">
      <c r="A81" s="159" t="s">
        <v>1029</v>
      </c>
      <c r="B81" s="160" t="s">
        <v>1030</v>
      </c>
      <c r="C81" s="160" t="s">
        <v>987</v>
      </c>
      <c r="D81" s="161" t="s">
        <v>1032</v>
      </c>
      <c r="E81" t="s">
        <v>776</v>
      </c>
      <c r="F81" s="160" t="s">
        <v>804</v>
      </c>
      <c r="G81" s="161">
        <v>64.900000000000006</v>
      </c>
    </row>
    <row r="82" spans="1:7">
      <c r="A82" s="159" t="s">
        <v>1029</v>
      </c>
      <c r="B82" s="160" t="s">
        <v>1030</v>
      </c>
      <c r="C82" s="160" t="s">
        <v>987</v>
      </c>
      <c r="D82" s="161" t="s">
        <v>1033</v>
      </c>
      <c r="E82" t="s">
        <v>776</v>
      </c>
      <c r="F82" s="160" t="s">
        <v>804</v>
      </c>
      <c r="G82" s="161">
        <v>55</v>
      </c>
    </row>
    <row r="83" spans="1:7">
      <c r="A83" s="159" t="s">
        <v>1034</v>
      </c>
      <c r="B83" s="160" t="s">
        <v>1035</v>
      </c>
      <c r="C83" s="160" t="s">
        <v>823</v>
      </c>
      <c r="D83" s="161" t="s">
        <v>1036</v>
      </c>
      <c r="E83" t="s">
        <v>774</v>
      </c>
      <c r="F83" s="160" t="s">
        <v>775</v>
      </c>
      <c r="G83" s="161">
        <v>69.8</v>
      </c>
    </row>
    <row r="84" spans="1:7">
      <c r="A84" s="159" t="s">
        <v>1037</v>
      </c>
      <c r="B84" s="160" t="s">
        <v>1038</v>
      </c>
      <c r="C84" s="160" t="s">
        <v>791</v>
      </c>
      <c r="D84" s="161" t="s">
        <v>876</v>
      </c>
      <c r="E84" t="s">
        <v>774</v>
      </c>
      <c r="F84" s="160" t="s">
        <v>799</v>
      </c>
      <c r="G84" s="161">
        <v>81</v>
      </c>
    </row>
    <row r="85" spans="1:7">
      <c r="A85" s="159" t="s">
        <v>1039</v>
      </c>
      <c r="B85" s="160" t="s">
        <v>1040</v>
      </c>
      <c r="C85" s="160" t="s">
        <v>797</v>
      </c>
      <c r="D85" s="161" t="s">
        <v>1041</v>
      </c>
      <c r="E85" t="s">
        <v>774</v>
      </c>
      <c r="F85" s="160" t="s">
        <v>775</v>
      </c>
      <c r="G85" s="161">
        <v>90.1</v>
      </c>
    </row>
    <row r="86" spans="1:7">
      <c r="A86" s="159" t="s">
        <v>1042</v>
      </c>
      <c r="B86" s="160" t="s">
        <v>1043</v>
      </c>
      <c r="C86" s="160" t="s">
        <v>874</v>
      </c>
      <c r="D86" s="161" t="s">
        <v>1044</v>
      </c>
      <c r="E86" t="s">
        <v>774</v>
      </c>
      <c r="F86" s="160" t="s">
        <v>775</v>
      </c>
      <c r="G86" s="161">
        <v>58.7</v>
      </c>
    </row>
    <row r="87" spans="1:7">
      <c r="A87" s="159" t="s">
        <v>1042</v>
      </c>
      <c r="B87" s="160" t="s">
        <v>1043</v>
      </c>
      <c r="C87" s="160" t="s">
        <v>874</v>
      </c>
      <c r="D87" s="161" t="s">
        <v>1045</v>
      </c>
      <c r="E87" t="s">
        <v>774</v>
      </c>
      <c r="F87" s="160" t="s">
        <v>775</v>
      </c>
      <c r="G87" s="161">
        <v>80</v>
      </c>
    </row>
    <row r="88" spans="1:7">
      <c r="A88" s="159" t="s">
        <v>1042</v>
      </c>
      <c r="B88" s="160" t="s">
        <v>1043</v>
      </c>
      <c r="C88" s="160" t="s">
        <v>874</v>
      </c>
      <c r="D88" s="161" t="s">
        <v>1046</v>
      </c>
      <c r="E88" t="s">
        <v>774</v>
      </c>
      <c r="F88" s="160" t="s">
        <v>775</v>
      </c>
      <c r="G88" s="161">
        <v>71.8</v>
      </c>
    </row>
    <row r="89" spans="1:7">
      <c r="A89" s="159" t="s">
        <v>1047</v>
      </c>
      <c r="B89" s="160" t="s">
        <v>1048</v>
      </c>
      <c r="C89" s="160" t="s">
        <v>928</v>
      </c>
      <c r="D89" s="161" t="s">
        <v>1049</v>
      </c>
      <c r="E89" t="s">
        <v>774</v>
      </c>
      <c r="F89" s="160" t="s">
        <v>775</v>
      </c>
      <c r="G89" s="161">
        <v>90.2</v>
      </c>
    </row>
    <row r="90" spans="1:7">
      <c r="A90" s="159" t="s">
        <v>1050</v>
      </c>
      <c r="B90" s="160" t="s">
        <v>1051</v>
      </c>
      <c r="C90" s="160" t="s">
        <v>819</v>
      </c>
      <c r="D90" s="161" t="s">
        <v>1052</v>
      </c>
      <c r="E90" t="s">
        <v>776</v>
      </c>
      <c r="F90" s="160" t="s">
        <v>775</v>
      </c>
      <c r="G90" s="161">
        <v>60.8</v>
      </c>
    </row>
    <row r="91" spans="1:7">
      <c r="A91" s="159" t="s">
        <v>1053</v>
      </c>
      <c r="B91" s="160" t="s">
        <v>1054</v>
      </c>
      <c r="C91" s="160" t="s">
        <v>889</v>
      </c>
      <c r="D91" s="161" t="s">
        <v>1055</v>
      </c>
      <c r="E91" t="s">
        <v>776</v>
      </c>
      <c r="F91" s="160" t="s">
        <v>786</v>
      </c>
      <c r="G91" s="161">
        <v>47.7</v>
      </c>
    </row>
    <row r="92" spans="1:7">
      <c r="A92" s="159" t="s">
        <v>1056</v>
      </c>
      <c r="B92" s="160" t="s">
        <v>1057</v>
      </c>
      <c r="C92" s="160" t="s">
        <v>819</v>
      </c>
      <c r="D92" s="161" t="s">
        <v>1058</v>
      </c>
      <c r="E92" t="s">
        <v>776</v>
      </c>
      <c r="F92" s="160" t="s">
        <v>786</v>
      </c>
      <c r="G92" s="161">
        <v>53.4</v>
      </c>
    </row>
    <row r="93" spans="1:7">
      <c r="A93" s="159" t="s">
        <v>1056</v>
      </c>
      <c r="B93" s="160" t="s">
        <v>1057</v>
      </c>
      <c r="C93" s="160" t="s">
        <v>819</v>
      </c>
      <c r="D93" s="161" t="s">
        <v>1059</v>
      </c>
      <c r="E93" t="s">
        <v>776</v>
      </c>
      <c r="F93" s="160" t="s">
        <v>775</v>
      </c>
      <c r="G93" s="161">
        <v>77.099999999999994</v>
      </c>
    </row>
    <row r="94" spans="1:7">
      <c r="A94" s="159" t="s">
        <v>1060</v>
      </c>
      <c r="B94" s="160" t="s">
        <v>1061</v>
      </c>
      <c r="C94" s="160" t="s">
        <v>924</v>
      </c>
      <c r="D94" s="161" t="s">
        <v>1062</v>
      </c>
      <c r="E94" t="s">
        <v>776</v>
      </c>
      <c r="F94" s="160" t="s">
        <v>786</v>
      </c>
      <c r="G94" s="161">
        <v>59.9</v>
      </c>
    </row>
    <row r="95" spans="1:7">
      <c r="A95" s="159" t="s">
        <v>1063</v>
      </c>
      <c r="B95" s="160" t="s">
        <v>1064</v>
      </c>
      <c r="C95" s="160" t="s">
        <v>928</v>
      </c>
      <c r="D95" s="161" t="s">
        <v>1065</v>
      </c>
      <c r="E95" t="s">
        <v>774</v>
      </c>
      <c r="F95" s="160" t="s">
        <v>775</v>
      </c>
      <c r="G95" s="161">
        <v>67.099999999999994</v>
      </c>
    </row>
    <row r="96" spans="1:7" ht="14.45" thickBot="1">
      <c r="A96" s="217" t="s">
        <v>1063</v>
      </c>
      <c r="B96" s="218" t="s">
        <v>1064</v>
      </c>
      <c r="C96" s="218" t="s">
        <v>928</v>
      </c>
      <c r="D96" s="219" t="s">
        <v>1066</v>
      </c>
      <c r="E96" s="220" t="s">
        <v>774</v>
      </c>
      <c r="F96" s="218" t="s">
        <v>775</v>
      </c>
      <c r="G96" s="219">
        <v>77</v>
      </c>
    </row>
    <row r="97" spans="1:1" ht="14.45">
      <c r="A97" s="159" t="s">
        <v>1067</v>
      </c>
    </row>
    <row r="98" spans="1:1" ht="14.45">
      <c r="A98" s="221" t="s">
        <v>1068</v>
      </c>
    </row>
  </sheetData>
  <mergeCells count="3">
    <mergeCell ref="A3:H3"/>
    <mergeCell ref="S6:X6"/>
    <mergeCell ref="Y6:AD6"/>
  </mergeCells>
  <hyperlinks>
    <hyperlink ref="A98" r:id="rId2" xr:uid="{51B4BEF5-A500-468C-8268-04A1E68D6AB9}"/>
  </hyperlinks>
  <pageMargins left="0.7" right="0.7" top="0.75" bottom="0.75" header="0.3" footer="0.3"/>
  <drawing r:id="rId3"/>
  <legacyDrawing r:id="rId4"/>
  <tableParts count="1">
    <tablePart r:id="rId5"/>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D86D9-A7B3-47BF-9CB6-3D5B3B5C0904}">
  <sheetPr>
    <tabColor theme="4" tint="0.59999389629810485"/>
  </sheetPr>
  <dimension ref="B2:AF66"/>
  <sheetViews>
    <sheetView workbookViewId="0"/>
  </sheetViews>
  <sheetFormatPr defaultColWidth="12.375" defaultRowHeight="13.9"/>
  <cols>
    <col min="1" max="1" width="3.625" style="134" customWidth="1"/>
    <col min="2" max="2" width="53" style="134" customWidth="1"/>
    <col min="3" max="3" width="17.625" style="134" bestFit="1" customWidth="1"/>
    <col min="4" max="4" width="18.875" style="134" bestFit="1" customWidth="1"/>
    <col min="5" max="5" width="19.25" style="134" bestFit="1" customWidth="1"/>
    <col min="6" max="6" width="18.875" style="134" bestFit="1" customWidth="1"/>
    <col min="7" max="7" width="17.25" style="134" bestFit="1" customWidth="1"/>
    <col min="8" max="8" width="19.75" style="134" bestFit="1" customWidth="1"/>
    <col min="9" max="9" width="17.5" style="134" bestFit="1" customWidth="1"/>
    <col min="10" max="10" width="48" style="134" bestFit="1" customWidth="1"/>
    <col min="11" max="11" width="16.875" style="134" bestFit="1" customWidth="1"/>
    <col min="12" max="12" width="19.25" style="134" bestFit="1" customWidth="1"/>
    <col min="13" max="13" width="18.5" style="134" bestFit="1" customWidth="1"/>
    <col min="14" max="14" width="19.25" style="134" bestFit="1" customWidth="1"/>
    <col min="15" max="15" width="17.625" style="134" bestFit="1" customWidth="1"/>
    <col min="16" max="16" width="19.75" style="134" bestFit="1" customWidth="1"/>
    <col min="17" max="17" width="12.375" style="134"/>
    <col min="18" max="18" width="48" style="134" bestFit="1" customWidth="1"/>
    <col min="19" max="19" width="17.25" style="134" bestFit="1" customWidth="1"/>
    <col min="20" max="22" width="18.875" style="134" bestFit="1" customWidth="1"/>
    <col min="23" max="23" width="17.25" style="134" bestFit="1" customWidth="1"/>
    <col min="24" max="24" width="19.75" style="134" bestFit="1" customWidth="1"/>
    <col min="25" max="16384" width="12.375" style="134"/>
  </cols>
  <sheetData>
    <row r="2" spans="2:24">
      <c r="Q2" s="131"/>
    </row>
    <row r="3" spans="2:24" ht="14.45" thickBot="1">
      <c r="B3" s="333" t="s">
        <v>1069</v>
      </c>
      <c r="C3" s="333" t="s">
        <v>641</v>
      </c>
      <c r="D3" s="333" t="s">
        <v>640</v>
      </c>
      <c r="E3" s="333" t="s">
        <v>642</v>
      </c>
      <c r="F3" s="333" t="s">
        <v>643</v>
      </c>
      <c r="G3" s="333" t="s">
        <v>644</v>
      </c>
      <c r="H3" s="333" t="s">
        <v>634</v>
      </c>
      <c r="J3" s="333" t="s">
        <v>1070</v>
      </c>
      <c r="K3" s="333" t="s">
        <v>641</v>
      </c>
      <c r="L3" s="333" t="s">
        <v>640</v>
      </c>
      <c r="M3" s="333" t="s">
        <v>642</v>
      </c>
      <c r="N3" s="333" t="s">
        <v>643</v>
      </c>
      <c r="O3" s="333" t="s">
        <v>644</v>
      </c>
      <c r="P3" s="333" t="s">
        <v>634</v>
      </c>
      <c r="Q3" s="131"/>
      <c r="R3" s="333" t="s">
        <v>1071</v>
      </c>
      <c r="S3" s="333" t="s">
        <v>641</v>
      </c>
      <c r="T3" s="333" t="s">
        <v>640</v>
      </c>
      <c r="U3" s="333" t="s">
        <v>642</v>
      </c>
      <c r="V3" s="333" t="s">
        <v>643</v>
      </c>
      <c r="W3" s="333" t="s">
        <v>644</v>
      </c>
      <c r="X3" s="333" t="s">
        <v>634</v>
      </c>
    </row>
    <row r="4" spans="2:24">
      <c r="B4" s="328" t="s">
        <v>1072</v>
      </c>
      <c r="C4" s="329">
        <v>50685616</v>
      </c>
      <c r="D4" s="329">
        <v>87265001</v>
      </c>
      <c r="E4" s="329">
        <v>464882</v>
      </c>
      <c r="F4" s="329">
        <v>274889871</v>
      </c>
      <c r="G4" s="329">
        <v>128796736</v>
      </c>
      <c r="H4" s="329">
        <v>542102106</v>
      </c>
      <c r="I4" s="330"/>
      <c r="J4" s="328" t="s">
        <v>1072</v>
      </c>
      <c r="K4" s="329">
        <v>50886480</v>
      </c>
      <c r="L4" s="329">
        <v>88063893</v>
      </c>
      <c r="M4" s="329">
        <v>451466</v>
      </c>
      <c r="N4" s="329">
        <v>277625345</v>
      </c>
      <c r="O4" s="329">
        <v>131727926</v>
      </c>
      <c r="P4" s="329">
        <v>548755110</v>
      </c>
      <c r="Q4" s="131"/>
      <c r="R4" s="328" t="s">
        <v>1072</v>
      </c>
      <c r="S4" s="329">
        <v>49002742</v>
      </c>
      <c r="T4" s="329">
        <v>81830104</v>
      </c>
      <c r="U4" s="329">
        <v>411242</v>
      </c>
      <c r="V4" s="329">
        <v>266477267</v>
      </c>
      <c r="W4" s="329">
        <v>125833262</v>
      </c>
      <c r="X4" s="329">
        <v>523554617</v>
      </c>
    </row>
    <row r="5" spans="2:24">
      <c r="B5" s="328" t="s">
        <v>1073</v>
      </c>
      <c r="C5" s="329">
        <v>25146</v>
      </c>
      <c r="D5" s="329">
        <v>391760</v>
      </c>
      <c r="E5" s="329">
        <v>119384</v>
      </c>
      <c r="F5" s="329">
        <v>495040</v>
      </c>
      <c r="G5" s="329">
        <v>44015</v>
      </c>
      <c r="H5" s="329">
        <v>1075345</v>
      </c>
      <c r="J5" s="328" t="s">
        <v>1073</v>
      </c>
      <c r="K5" s="329">
        <v>105935</v>
      </c>
      <c r="L5" s="329">
        <v>876728</v>
      </c>
      <c r="M5" s="329">
        <v>361712</v>
      </c>
      <c r="N5" s="329">
        <v>849582</v>
      </c>
      <c r="O5" s="329">
        <v>72050</v>
      </c>
      <c r="P5" s="329">
        <v>2266007</v>
      </c>
      <c r="Q5" s="131"/>
      <c r="R5" s="328" t="s">
        <v>1073</v>
      </c>
      <c r="S5" s="329">
        <v>140110</v>
      </c>
      <c r="T5" s="329">
        <v>1183707</v>
      </c>
      <c r="U5" s="329">
        <v>439873</v>
      </c>
      <c r="V5" s="329">
        <v>927524</v>
      </c>
      <c r="W5" s="329">
        <v>65007</v>
      </c>
      <c r="X5" s="329">
        <v>2756221</v>
      </c>
    </row>
    <row r="6" spans="2:24">
      <c r="B6" s="328" t="s">
        <v>1074</v>
      </c>
      <c r="C6" s="329">
        <v>57792779</v>
      </c>
      <c r="D6" s="329">
        <v>253744544</v>
      </c>
      <c r="E6" s="329">
        <v>14947233</v>
      </c>
      <c r="F6" s="329">
        <v>168119865</v>
      </c>
      <c r="G6" s="329">
        <v>68988540</v>
      </c>
      <c r="H6" s="329">
        <v>563592961</v>
      </c>
      <c r="J6" s="328" t="s">
        <v>1074</v>
      </c>
      <c r="K6" s="329">
        <v>58140690</v>
      </c>
      <c r="L6" s="329">
        <v>254375129</v>
      </c>
      <c r="M6" s="329">
        <v>15875197</v>
      </c>
      <c r="N6" s="329">
        <v>169981905</v>
      </c>
      <c r="O6" s="329">
        <v>70333193</v>
      </c>
      <c r="P6" s="329">
        <v>568706114</v>
      </c>
      <c r="Q6" s="131"/>
      <c r="R6" s="328" t="s">
        <v>1074</v>
      </c>
      <c r="S6" s="329">
        <v>55497365</v>
      </c>
      <c r="T6" s="329">
        <v>239547313</v>
      </c>
      <c r="U6" s="329">
        <v>16565146</v>
      </c>
      <c r="V6" s="329">
        <v>158977240</v>
      </c>
      <c r="W6" s="329">
        <v>63657903</v>
      </c>
      <c r="X6" s="329">
        <v>534244967</v>
      </c>
    </row>
    <row r="7" spans="2:24">
      <c r="B7" s="328" t="s">
        <v>1075</v>
      </c>
      <c r="C7" s="329">
        <v>1021390</v>
      </c>
      <c r="D7" s="329">
        <v>11711758</v>
      </c>
      <c r="E7" s="329">
        <v>279736</v>
      </c>
      <c r="F7" s="329">
        <v>9392143</v>
      </c>
      <c r="G7" s="329">
        <v>958882</v>
      </c>
      <c r="H7" s="329">
        <v>23363909</v>
      </c>
      <c r="J7" s="328" t="s">
        <v>1075</v>
      </c>
      <c r="K7" s="329">
        <v>1017027</v>
      </c>
      <c r="L7" s="329">
        <v>11345874</v>
      </c>
      <c r="M7" s="329">
        <v>269088</v>
      </c>
      <c r="N7" s="329">
        <v>9421662</v>
      </c>
      <c r="O7" s="329">
        <v>959210</v>
      </c>
      <c r="P7" s="329">
        <v>23012861</v>
      </c>
      <c r="Q7" s="131"/>
      <c r="R7" s="328" t="s">
        <v>1075</v>
      </c>
      <c r="S7" s="329">
        <v>985600</v>
      </c>
      <c r="T7" s="329">
        <v>10802432</v>
      </c>
      <c r="U7" s="329">
        <v>239626</v>
      </c>
      <c r="V7" s="329">
        <v>9086174</v>
      </c>
      <c r="W7" s="329">
        <v>880692</v>
      </c>
      <c r="X7" s="329">
        <v>21994524</v>
      </c>
    </row>
    <row r="8" spans="2:24">
      <c r="B8" s="328" t="s">
        <v>1076</v>
      </c>
      <c r="C8" s="329">
        <v>649462</v>
      </c>
      <c r="D8" s="329">
        <v>2386262</v>
      </c>
      <c r="E8" s="329">
        <v>28190838</v>
      </c>
      <c r="F8" s="329">
        <v>4137782</v>
      </c>
      <c r="G8" s="329">
        <v>32050</v>
      </c>
      <c r="H8" s="329">
        <v>35396394</v>
      </c>
      <c r="J8" s="328" t="s">
        <v>1076</v>
      </c>
      <c r="K8" s="329">
        <v>821565</v>
      </c>
      <c r="L8" s="329">
        <v>2221011</v>
      </c>
      <c r="M8" s="329">
        <v>19837262</v>
      </c>
      <c r="N8" s="329">
        <v>2797893</v>
      </c>
      <c r="O8" s="329">
        <v>0</v>
      </c>
      <c r="P8" s="329">
        <v>25677731</v>
      </c>
      <c r="Q8" s="131"/>
      <c r="R8" s="328" t="s">
        <v>1076</v>
      </c>
      <c r="S8" s="329">
        <v>3143422</v>
      </c>
      <c r="T8" s="329">
        <v>8566718</v>
      </c>
      <c r="U8" s="329">
        <v>46942349</v>
      </c>
      <c r="V8" s="329">
        <v>12077136</v>
      </c>
      <c r="W8" s="329">
        <v>518530</v>
      </c>
      <c r="X8" s="329">
        <v>71248155</v>
      </c>
    </row>
    <row r="9" spans="2:24">
      <c r="B9" s="328" t="s">
        <v>1077</v>
      </c>
      <c r="C9" s="329">
        <v>7478511</v>
      </c>
      <c r="D9" s="329">
        <v>10916197</v>
      </c>
      <c r="E9" s="329">
        <v>5549364</v>
      </c>
      <c r="F9" s="329">
        <v>15478493</v>
      </c>
      <c r="G9" s="329">
        <v>9340286</v>
      </c>
      <c r="H9" s="329">
        <v>48762851</v>
      </c>
      <c r="J9" s="328" t="s">
        <v>1077</v>
      </c>
      <c r="K9" s="329">
        <v>7862100</v>
      </c>
      <c r="L9" s="329">
        <v>13329129</v>
      </c>
      <c r="M9" s="329">
        <v>5311866</v>
      </c>
      <c r="N9" s="329">
        <v>15744062</v>
      </c>
      <c r="O9" s="329">
        <v>9663330</v>
      </c>
      <c r="P9" s="329">
        <v>51910487</v>
      </c>
      <c r="Q9" s="131"/>
      <c r="R9" s="328" t="s">
        <v>1077</v>
      </c>
      <c r="S9" s="329">
        <v>10200209</v>
      </c>
      <c r="T9" s="329">
        <v>20148941</v>
      </c>
      <c r="U9" s="329">
        <v>7158597</v>
      </c>
      <c r="V9" s="329">
        <v>21543008</v>
      </c>
      <c r="W9" s="329">
        <v>10838987</v>
      </c>
      <c r="X9" s="329">
        <v>69889742</v>
      </c>
    </row>
    <row r="10" spans="2:24">
      <c r="B10" s="328" t="s">
        <v>1078</v>
      </c>
      <c r="C10" s="329">
        <v>0</v>
      </c>
      <c r="D10" s="329">
        <v>1795634</v>
      </c>
      <c r="E10" s="329">
        <v>36649739</v>
      </c>
      <c r="F10" s="329">
        <v>2300810</v>
      </c>
      <c r="G10" s="329">
        <v>450505</v>
      </c>
      <c r="H10" s="329">
        <v>41196688</v>
      </c>
      <c r="J10" s="328" t="s">
        <v>1078</v>
      </c>
      <c r="K10" s="329">
        <v>0</v>
      </c>
      <c r="L10" s="329">
        <v>1608704</v>
      </c>
      <c r="M10" s="329">
        <v>30840876</v>
      </c>
      <c r="N10" s="329">
        <v>1463060</v>
      </c>
      <c r="O10" s="329">
        <v>341524</v>
      </c>
      <c r="P10" s="329">
        <v>34254164</v>
      </c>
      <c r="Q10" s="131"/>
      <c r="R10" s="328" t="s">
        <v>1078</v>
      </c>
      <c r="S10" s="329">
        <v>23396</v>
      </c>
      <c r="T10" s="329">
        <v>2502873</v>
      </c>
      <c r="U10" s="329">
        <v>33547674</v>
      </c>
      <c r="V10" s="329">
        <v>2339529</v>
      </c>
      <c r="W10" s="329">
        <v>341524</v>
      </c>
      <c r="X10" s="329">
        <v>38754996</v>
      </c>
    </row>
    <row r="11" spans="2:24">
      <c r="B11" s="328" t="s">
        <v>1079</v>
      </c>
      <c r="C11" s="329">
        <v>7202787</v>
      </c>
      <c r="D11" s="329">
        <v>12598821</v>
      </c>
      <c r="E11" s="329">
        <v>8432408</v>
      </c>
      <c r="F11" s="329">
        <v>23855110</v>
      </c>
      <c r="G11" s="329">
        <v>5972719</v>
      </c>
      <c r="H11" s="329">
        <v>58061845</v>
      </c>
      <c r="J11" s="328" t="s">
        <v>1079</v>
      </c>
      <c r="K11" s="329">
        <v>7363541</v>
      </c>
      <c r="L11" s="329">
        <v>12248950</v>
      </c>
      <c r="M11" s="329">
        <v>8007486</v>
      </c>
      <c r="N11" s="329">
        <v>23400467</v>
      </c>
      <c r="O11" s="329">
        <v>5865471</v>
      </c>
      <c r="P11" s="329">
        <v>56885915</v>
      </c>
      <c r="Q11" s="131"/>
      <c r="R11" s="328" t="s">
        <v>1079</v>
      </c>
      <c r="S11" s="329">
        <v>7176759</v>
      </c>
      <c r="T11" s="329">
        <v>13652518</v>
      </c>
      <c r="U11" s="329">
        <v>7190956</v>
      </c>
      <c r="V11" s="329">
        <v>24061327</v>
      </c>
      <c r="W11" s="329">
        <v>6304350</v>
      </c>
      <c r="X11" s="329">
        <v>58385910</v>
      </c>
    </row>
    <row r="12" spans="2:24">
      <c r="B12" s="328" t="s">
        <v>1080</v>
      </c>
      <c r="C12" s="329">
        <v>1376633</v>
      </c>
      <c r="D12" s="329">
        <v>5246074</v>
      </c>
      <c r="E12" s="329">
        <v>151041211</v>
      </c>
      <c r="F12" s="329">
        <v>1795535</v>
      </c>
      <c r="G12" s="329">
        <v>0</v>
      </c>
      <c r="H12" s="329">
        <v>159459453</v>
      </c>
      <c r="J12" s="328" t="s">
        <v>1080</v>
      </c>
      <c r="K12" s="329">
        <v>1378445</v>
      </c>
      <c r="L12" s="329">
        <v>5016277</v>
      </c>
      <c r="M12" s="329">
        <v>134636550</v>
      </c>
      <c r="N12" s="329">
        <v>1711152</v>
      </c>
      <c r="O12" s="329">
        <v>0</v>
      </c>
      <c r="P12" s="329">
        <v>142742424</v>
      </c>
      <c r="Q12" s="131"/>
      <c r="R12" s="328" t="s">
        <v>1080</v>
      </c>
      <c r="S12" s="329">
        <v>1564639</v>
      </c>
      <c r="T12" s="329">
        <v>6665918</v>
      </c>
      <c r="U12" s="329">
        <v>151125318</v>
      </c>
      <c r="V12" s="329">
        <v>1670735</v>
      </c>
      <c r="W12" s="329">
        <v>0</v>
      </c>
      <c r="X12" s="329">
        <v>161026610</v>
      </c>
    </row>
    <row r="13" spans="2:24">
      <c r="B13" s="328" t="s">
        <v>1081</v>
      </c>
      <c r="C13" s="329">
        <v>17903618</v>
      </c>
      <c r="D13" s="329">
        <v>39004249</v>
      </c>
      <c r="E13" s="329">
        <v>56774779</v>
      </c>
      <c r="F13" s="329">
        <v>28930477</v>
      </c>
      <c r="G13" s="329">
        <v>4183527</v>
      </c>
      <c r="H13" s="329">
        <v>146796650</v>
      </c>
      <c r="J13" s="328" t="s">
        <v>1081</v>
      </c>
      <c r="K13" s="329">
        <v>17890581</v>
      </c>
      <c r="L13" s="329">
        <v>40801512</v>
      </c>
      <c r="M13" s="329">
        <v>55204052</v>
      </c>
      <c r="N13" s="329">
        <v>29306582</v>
      </c>
      <c r="O13" s="329">
        <v>3969775</v>
      </c>
      <c r="P13" s="329">
        <v>147172502</v>
      </c>
      <c r="Q13" s="131"/>
      <c r="R13" s="328" t="s">
        <v>1081</v>
      </c>
      <c r="S13" s="329">
        <v>18516544</v>
      </c>
      <c r="T13" s="329">
        <v>45436730</v>
      </c>
      <c r="U13" s="329">
        <v>51610897</v>
      </c>
      <c r="V13" s="329">
        <v>31877919</v>
      </c>
      <c r="W13" s="329">
        <v>3942646</v>
      </c>
      <c r="X13" s="329">
        <v>151384736</v>
      </c>
    </row>
    <row r="14" spans="2:24">
      <c r="B14" s="328" t="s">
        <v>1082</v>
      </c>
      <c r="C14" s="329">
        <v>4159833</v>
      </c>
      <c r="D14" s="329">
        <v>13141752</v>
      </c>
      <c r="E14" s="329">
        <v>340796704</v>
      </c>
      <c r="F14" s="329">
        <v>14092213</v>
      </c>
      <c r="G14" s="329">
        <v>683200</v>
      </c>
      <c r="H14" s="329">
        <v>372873702</v>
      </c>
      <c r="J14" s="328" t="s">
        <v>1082</v>
      </c>
      <c r="K14" s="329">
        <v>5666562</v>
      </c>
      <c r="L14" s="329">
        <v>12683905</v>
      </c>
      <c r="M14" s="329">
        <v>282353713</v>
      </c>
      <c r="N14" s="329">
        <v>13079419</v>
      </c>
      <c r="O14" s="329">
        <v>683200</v>
      </c>
      <c r="P14" s="329">
        <v>314466799</v>
      </c>
      <c r="Q14" s="131"/>
      <c r="R14" s="328" t="s">
        <v>1082</v>
      </c>
      <c r="S14" s="329">
        <v>5836480</v>
      </c>
      <c r="T14" s="329">
        <v>14779535</v>
      </c>
      <c r="U14" s="329">
        <v>327446027</v>
      </c>
      <c r="V14" s="329">
        <v>17137383</v>
      </c>
      <c r="W14" s="329">
        <v>1258042</v>
      </c>
      <c r="X14" s="329">
        <v>366457467</v>
      </c>
    </row>
    <row r="15" spans="2:24">
      <c r="B15" s="328" t="s">
        <v>1083</v>
      </c>
      <c r="C15" s="329">
        <v>23811777</v>
      </c>
      <c r="D15" s="329">
        <v>61676784</v>
      </c>
      <c r="E15" s="329">
        <v>3015059</v>
      </c>
      <c r="F15" s="329">
        <v>65084716</v>
      </c>
      <c r="G15" s="329">
        <v>5197443</v>
      </c>
      <c r="H15" s="329">
        <v>158785779</v>
      </c>
      <c r="J15" s="328" t="s">
        <v>1083</v>
      </c>
      <c r="K15" s="329">
        <v>23276372</v>
      </c>
      <c r="L15" s="329">
        <v>59260079</v>
      </c>
      <c r="M15" s="329">
        <v>2614175</v>
      </c>
      <c r="N15" s="329">
        <v>64928314</v>
      </c>
      <c r="O15" s="329">
        <v>5425385</v>
      </c>
      <c r="P15" s="329">
        <v>155504325</v>
      </c>
      <c r="Q15" s="131"/>
      <c r="R15" s="328" t="s">
        <v>1083</v>
      </c>
      <c r="S15" s="329">
        <v>25264369</v>
      </c>
      <c r="T15" s="329">
        <v>53780233</v>
      </c>
      <c r="U15" s="329">
        <v>2145043</v>
      </c>
      <c r="V15" s="329">
        <v>60986347</v>
      </c>
      <c r="W15" s="329">
        <v>9214569</v>
      </c>
      <c r="X15" s="329">
        <v>151390561</v>
      </c>
    </row>
    <row r="16" spans="2:24">
      <c r="B16" s="328" t="s">
        <v>1084</v>
      </c>
      <c r="C16" s="329">
        <v>6560053</v>
      </c>
      <c r="D16" s="329">
        <v>26853781</v>
      </c>
      <c r="E16" s="329">
        <v>22158490</v>
      </c>
      <c r="F16" s="329">
        <v>11028219</v>
      </c>
      <c r="G16" s="329">
        <v>1569692</v>
      </c>
      <c r="H16" s="329">
        <v>68170235</v>
      </c>
      <c r="J16" s="328" t="s">
        <v>1084</v>
      </c>
      <c r="K16" s="329">
        <v>5942806</v>
      </c>
      <c r="L16" s="329">
        <v>24126969</v>
      </c>
      <c r="M16" s="329">
        <v>14484884</v>
      </c>
      <c r="N16" s="329">
        <v>11336649</v>
      </c>
      <c r="O16" s="329">
        <v>1569692</v>
      </c>
      <c r="P16" s="329">
        <v>57461000</v>
      </c>
      <c r="Q16" s="131"/>
      <c r="R16" s="328" t="s">
        <v>1084</v>
      </c>
      <c r="S16" s="329">
        <v>5546095</v>
      </c>
      <c r="T16" s="329">
        <v>19667895</v>
      </c>
      <c r="U16" s="329">
        <v>7785123</v>
      </c>
      <c r="V16" s="329">
        <v>9666845</v>
      </c>
      <c r="W16" s="329">
        <v>1292282</v>
      </c>
      <c r="X16" s="329">
        <v>43958240</v>
      </c>
    </row>
    <row r="17" spans="2:32">
      <c r="B17" s="328" t="s">
        <v>1085</v>
      </c>
      <c r="C17" s="329">
        <v>14127036</v>
      </c>
      <c r="D17" s="329">
        <v>39600391</v>
      </c>
      <c r="E17" s="329">
        <v>22695005</v>
      </c>
      <c r="F17" s="329">
        <v>31613736</v>
      </c>
      <c r="G17" s="329">
        <v>4630540</v>
      </c>
      <c r="H17" s="329">
        <v>112666708</v>
      </c>
      <c r="J17" s="328" t="s">
        <v>1085</v>
      </c>
      <c r="K17" s="329">
        <v>16392882</v>
      </c>
      <c r="L17" s="329">
        <v>39175167</v>
      </c>
      <c r="M17" s="329">
        <v>22597531</v>
      </c>
      <c r="N17" s="329">
        <v>34642431</v>
      </c>
      <c r="O17" s="329">
        <v>3789777</v>
      </c>
      <c r="P17" s="329">
        <v>116597788</v>
      </c>
      <c r="Q17" s="131"/>
      <c r="R17" s="328" t="s">
        <v>1085</v>
      </c>
      <c r="S17" s="329">
        <v>15362439</v>
      </c>
      <c r="T17" s="329">
        <v>37547643</v>
      </c>
      <c r="U17" s="329">
        <v>20756050</v>
      </c>
      <c r="V17" s="329">
        <v>33750750</v>
      </c>
      <c r="W17" s="329">
        <v>3787395</v>
      </c>
      <c r="X17" s="329">
        <v>111204277</v>
      </c>
    </row>
    <row r="18" spans="2:32">
      <c r="B18" s="328" t="s">
        <v>1086</v>
      </c>
      <c r="C18" s="329">
        <v>19870788</v>
      </c>
      <c r="D18" s="329">
        <v>20925966</v>
      </c>
      <c r="E18" s="329">
        <v>43847297</v>
      </c>
      <c r="F18" s="329">
        <v>19745411</v>
      </c>
      <c r="G18" s="329">
        <v>5364865</v>
      </c>
      <c r="H18" s="329">
        <v>109754327</v>
      </c>
      <c r="J18" s="328" t="s">
        <v>1086</v>
      </c>
      <c r="K18" s="329">
        <v>20425115</v>
      </c>
      <c r="L18" s="329">
        <v>20895216</v>
      </c>
      <c r="M18" s="329">
        <v>44550781</v>
      </c>
      <c r="N18" s="329">
        <v>20742279</v>
      </c>
      <c r="O18" s="329">
        <v>6026216</v>
      </c>
      <c r="P18" s="329">
        <v>112639607</v>
      </c>
      <c r="Q18" s="131"/>
      <c r="R18" s="328" t="s">
        <v>1086</v>
      </c>
      <c r="S18" s="329">
        <v>20180575</v>
      </c>
      <c r="T18" s="329">
        <v>21028051</v>
      </c>
      <c r="U18" s="329">
        <v>44133119</v>
      </c>
      <c r="V18" s="329">
        <v>17733607</v>
      </c>
      <c r="W18" s="329">
        <v>6234828</v>
      </c>
      <c r="X18" s="329">
        <v>109310180</v>
      </c>
    </row>
    <row r="19" spans="2:32">
      <c r="B19" s="328" t="s">
        <v>1087</v>
      </c>
      <c r="C19" s="329">
        <v>18024446</v>
      </c>
      <c r="D19" s="329">
        <v>43051677</v>
      </c>
      <c r="E19" s="329">
        <v>42371794</v>
      </c>
      <c r="F19" s="329">
        <v>9987685</v>
      </c>
      <c r="G19" s="329">
        <v>31141240</v>
      </c>
      <c r="H19" s="329">
        <v>144576842</v>
      </c>
      <c r="J19" s="328" t="s">
        <v>1087</v>
      </c>
      <c r="K19" s="329">
        <v>17155353</v>
      </c>
      <c r="L19" s="329">
        <v>43179797</v>
      </c>
      <c r="M19" s="329">
        <v>40208078</v>
      </c>
      <c r="N19" s="329">
        <v>10578272</v>
      </c>
      <c r="O19" s="329">
        <v>31058964</v>
      </c>
      <c r="P19" s="329">
        <v>142180464</v>
      </c>
      <c r="Q19" s="131"/>
      <c r="R19" s="328" t="s">
        <v>1087</v>
      </c>
      <c r="S19" s="329">
        <v>16228354</v>
      </c>
      <c r="T19" s="329">
        <v>44735208</v>
      </c>
      <c r="U19" s="329">
        <v>54750856</v>
      </c>
      <c r="V19" s="329">
        <v>10889343</v>
      </c>
      <c r="W19" s="329">
        <v>3485801</v>
      </c>
      <c r="X19" s="329">
        <v>130089562</v>
      </c>
      <c r="Z19" s="131"/>
      <c r="AA19" s="131"/>
      <c r="AB19" s="131"/>
      <c r="AC19" s="131"/>
      <c r="AD19" s="131"/>
      <c r="AE19" s="131"/>
      <c r="AF19" s="131"/>
    </row>
    <row r="20" spans="2:32">
      <c r="B20" s="328" t="s">
        <v>1088</v>
      </c>
      <c r="C20" s="329">
        <v>34445299</v>
      </c>
      <c r="D20" s="329">
        <v>57859719</v>
      </c>
      <c r="E20" s="329">
        <v>35485500</v>
      </c>
      <c r="F20" s="329">
        <v>40248452</v>
      </c>
      <c r="G20" s="329">
        <v>10674130</v>
      </c>
      <c r="H20" s="329">
        <v>178713100</v>
      </c>
      <c r="J20" s="328" t="s">
        <v>1088</v>
      </c>
      <c r="K20" s="329">
        <v>35504374</v>
      </c>
      <c r="L20" s="329">
        <v>60330787</v>
      </c>
      <c r="M20" s="329">
        <v>36690076</v>
      </c>
      <c r="N20" s="329">
        <v>42147515</v>
      </c>
      <c r="O20" s="329">
        <v>11143401</v>
      </c>
      <c r="P20" s="329">
        <v>185816153</v>
      </c>
      <c r="Q20" s="131"/>
      <c r="R20" s="328" t="s">
        <v>1088</v>
      </c>
      <c r="S20" s="329">
        <v>37071191</v>
      </c>
      <c r="T20" s="329">
        <v>61950916</v>
      </c>
      <c r="U20" s="329">
        <v>37658157</v>
      </c>
      <c r="V20" s="329">
        <v>43384416</v>
      </c>
      <c r="W20" s="329">
        <v>12027351</v>
      </c>
      <c r="X20" s="329">
        <v>192092031</v>
      </c>
      <c r="Z20" s="131"/>
      <c r="AA20" s="131"/>
      <c r="AB20" s="131"/>
      <c r="AC20" s="131"/>
      <c r="AD20" s="131"/>
      <c r="AE20" s="131"/>
      <c r="AF20" s="131"/>
    </row>
    <row r="21" spans="2:32">
      <c r="B21" s="328" t="s">
        <v>1089</v>
      </c>
      <c r="C21" s="329">
        <v>7842465</v>
      </c>
      <c r="D21" s="329">
        <v>21172468</v>
      </c>
      <c r="E21" s="329">
        <v>28354023</v>
      </c>
      <c r="F21" s="329">
        <v>13862108</v>
      </c>
      <c r="G21" s="329">
        <v>2458035</v>
      </c>
      <c r="H21" s="329">
        <v>73689099</v>
      </c>
      <c r="J21" s="328" t="s">
        <v>1089</v>
      </c>
      <c r="K21" s="329">
        <v>8004939</v>
      </c>
      <c r="L21" s="329">
        <v>21446827</v>
      </c>
      <c r="M21" s="329">
        <v>28243608</v>
      </c>
      <c r="N21" s="329">
        <v>14499277</v>
      </c>
      <c r="O21" s="329">
        <v>2428294</v>
      </c>
      <c r="P21" s="329">
        <v>74622945</v>
      </c>
      <c r="Q21" s="131"/>
      <c r="R21" s="328" t="s">
        <v>1089</v>
      </c>
      <c r="S21" s="329">
        <v>7763661</v>
      </c>
      <c r="T21" s="329">
        <v>20796069</v>
      </c>
      <c r="U21" s="329">
        <v>26501122</v>
      </c>
      <c r="V21" s="329">
        <v>14355045</v>
      </c>
      <c r="W21" s="329">
        <v>2504812</v>
      </c>
      <c r="X21" s="329">
        <v>71920709</v>
      </c>
      <c r="Z21" s="131"/>
      <c r="AA21" s="131"/>
      <c r="AB21" s="131"/>
      <c r="AC21" s="131"/>
      <c r="AD21" s="131"/>
      <c r="AE21" s="131"/>
      <c r="AF21" s="131"/>
    </row>
    <row r="22" spans="2:32">
      <c r="B22" s="328" t="s">
        <v>1090</v>
      </c>
      <c r="C22" s="329">
        <v>7443981</v>
      </c>
      <c r="D22" s="329">
        <v>6937379</v>
      </c>
      <c r="E22" s="329">
        <v>21866497</v>
      </c>
      <c r="F22" s="329">
        <v>9275064</v>
      </c>
      <c r="G22" s="329">
        <v>2014082</v>
      </c>
      <c r="H22" s="329">
        <v>47537003</v>
      </c>
      <c r="J22" s="328" t="s">
        <v>1090</v>
      </c>
      <c r="K22" s="329">
        <v>8353434</v>
      </c>
      <c r="L22" s="329">
        <v>6873370</v>
      </c>
      <c r="M22" s="329">
        <v>23742555</v>
      </c>
      <c r="N22" s="329">
        <v>9420700</v>
      </c>
      <c r="O22" s="329">
        <v>1344822</v>
      </c>
      <c r="P22" s="329">
        <v>49734881</v>
      </c>
      <c r="Q22" s="131"/>
      <c r="R22" s="328" t="s">
        <v>1090</v>
      </c>
      <c r="S22" s="329">
        <v>8837522</v>
      </c>
      <c r="T22" s="329">
        <v>6847198</v>
      </c>
      <c r="U22" s="329">
        <v>25887598</v>
      </c>
      <c r="V22" s="329">
        <v>9421370</v>
      </c>
      <c r="W22" s="329">
        <v>1317145</v>
      </c>
      <c r="X22" s="329">
        <v>52310833</v>
      </c>
      <c r="Z22" s="131"/>
      <c r="AA22" s="131"/>
      <c r="AB22" s="131"/>
      <c r="AC22" s="131"/>
      <c r="AD22" s="131"/>
      <c r="AE22" s="131"/>
      <c r="AF22" s="131"/>
    </row>
    <row r="23" spans="2:32">
      <c r="B23" s="328" t="s">
        <v>1091</v>
      </c>
      <c r="C23" s="329">
        <v>14034951</v>
      </c>
      <c r="D23" s="329">
        <v>18988977</v>
      </c>
      <c r="E23" s="329">
        <v>121064052</v>
      </c>
      <c r="F23" s="329">
        <v>12861818</v>
      </c>
      <c r="G23" s="329">
        <v>701697</v>
      </c>
      <c r="H23" s="329">
        <v>167651495</v>
      </c>
      <c r="J23" s="328" t="s">
        <v>1091</v>
      </c>
      <c r="K23" s="329">
        <v>17631535</v>
      </c>
      <c r="L23" s="329">
        <v>22497105</v>
      </c>
      <c r="M23" s="329">
        <v>122867007</v>
      </c>
      <c r="N23" s="329">
        <v>16668198</v>
      </c>
      <c r="O23" s="329">
        <v>857695</v>
      </c>
      <c r="P23" s="329">
        <v>180521540</v>
      </c>
      <c r="Q23" s="131"/>
      <c r="R23" s="328" t="s">
        <v>1091</v>
      </c>
      <c r="S23" s="329">
        <v>31023857</v>
      </c>
      <c r="T23" s="329">
        <v>47440729</v>
      </c>
      <c r="U23" s="329">
        <v>144504893</v>
      </c>
      <c r="V23" s="329">
        <v>27042192</v>
      </c>
      <c r="W23" s="329">
        <v>1062646</v>
      </c>
      <c r="X23" s="329">
        <v>251074317</v>
      </c>
      <c r="Z23" s="131"/>
      <c r="AA23" s="131"/>
      <c r="AB23" s="131"/>
      <c r="AC23" s="131"/>
      <c r="AD23" s="131"/>
      <c r="AE23" s="131"/>
      <c r="AF23" s="131"/>
    </row>
    <row r="24" spans="2:32">
      <c r="B24" s="328" t="s">
        <v>1092</v>
      </c>
      <c r="C24" s="329">
        <v>29375841</v>
      </c>
      <c r="D24" s="329">
        <v>71267408</v>
      </c>
      <c r="E24" s="329">
        <v>16063481</v>
      </c>
      <c r="F24" s="329">
        <v>41532539</v>
      </c>
      <c r="G24" s="329">
        <v>11362551</v>
      </c>
      <c r="H24" s="329">
        <v>169601820</v>
      </c>
      <c r="J24" s="328" t="s">
        <v>1092</v>
      </c>
      <c r="K24" s="329">
        <v>32397956</v>
      </c>
      <c r="L24" s="329">
        <v>79380098</v>
      </c>
      <c r="M24" s="329">
        <v>15781670</v>
      </c>
      <c r="N24" s="329">
        <v>45457034</v>
      </c>
      <c r="O24" s="329">
        <v>11774564</v>
      </c>
      <c r="P24" s="329">
        <v>184791322</v>
      </c>
      <c r="Q24" s="131"/>
      <c r="R24" s="328" t="s">
        <v>1092</v>
      </c>
      <c r="S24" s="329">
        <v>36153243</v>
      </c>
      <c r="T24" s="329">
        <v>98230284</v>
      </c>
      <c r="U24" s="329">
        <v>17337621</v>
      </c>
      <c r="V24" s="329">
        <v>50514149</v>
      </c>
      <c r="W24" s="329">
        <v>8763807</v>
      </c>
      <c r="X24" s="329">
        <v>210999104</v>
      </c>
      <c r="Z24" s="131"/>
      <c r="AA24" s="131"/>
      <c r="AB24" s="131"/>
      <c r="AC24" s="131"/>
      <c r="AD24" s="131"/>
      <c r="AE24" s="131"/>
      <c r="AF24" s="131"/>
    </row>
    <row r="25" spans="2:32">
      <c r="B25" s="328" t="s">
        <v>1093</v>
      </c>
      <c r="C25" s="329">
        <v>37581746</v>
      </c>
      <c r="D25" s="329">
        <v>36298740</v>
      </c>
      <c r="E25" s="329">
        <v>140916167</v>
      </c>
      <c r="F25" s="329">
        <v>30014419</v>
      </c>
      <c r="G25" s="329">
        <v>1085455</v>
      </c>
      <c r="H25" s="329">
        <v>245896527</v>
      </c>
      <c r="J25" s="328" t="s">
        <v>1093</v>
      </c>
      <c r="K25" s="329">
        <v>37573270</v>
      </c>
      <c r="L25" s="329">
        <v>36310672</v>
      </c>
      <c r="M25" s="329">
        <v>140469330</v>
      </c>
      <c r="N25" s="329">
        <v>29990737</v>
      </c>
      <c r="O25" s="329">
        <v>1085455</v>
      </c>
      <c r="P25" s="329">
        <v>245429464</v>
      </c>
      <c r="Q25" s="131"/>
      <c r="R25" s="328" t="s">
        <v>1093</v>
      </c>
      <c r="S25" s="329">
        <v>37032251</v>
      </c>
      <c r="T25" s="329">
        <v>36207254</v>
      </c>
      <c r="U25" s="329">
        <v>141284360</v>
      </c>
      <c r="V25" s="329">
        <v>30383606</v>
      </c>
      <c r="W25" s="329">
        <v>1085455</v>
      </c>
      <c r="X25" s="329">
        <v>245992926</v>
      </c>
      <c r="Z25" s="131"/>
      <c r="AA25" s="131"/>
      <c r="AB25" s="131"/>
      <c r="AC25" s="131"/>
      <c r="AD25" s="131"/>
      <c r="AE25" s="131"/>
      <c r="AF25" s="131"/>
    </row>
    <row r="26" spans="2:32">
      <c r="B26" s="328" t="s">
        <v>1094</v>
      </c>
      <c r="C26" s="329">
        <v>39663827</v>
      </c>
      <c r="D26" s="329">
        <v>80278422</v>
      </c>
      <c r="E26" s="329">
        <v>17108461</v>
      </c>
      <c r="F26" s="329">
        <v>148118523</v>
      </c>
      <c r="G26" s="329">
        <v>12905901</v>
      </c>
      <c r="H26" s="329">
        <v>298075134</v>
      </c>
      <c r="J26" s="328" t="s">
        <v>1094</v>
      </c>
      <c r="K26" s="329">
        <v>39958638</v>
      </c>
      <c r="L26" s="329">
        <v>80897223</v>
      </c>
      <c r="M26" s="329">
        <v>17223424</v>
      </c>
      <c r="N26" s="329">
        <v>148736019</v>
      </c>
      <c r="O26" s="329">
        <v>13017703</v>
      </c>
      <c r="P26" s="329">
        <v>299833007</v>
      </c>
      <c r="Q26" s="131"/>
      <c r="R26" s="328" t="s">
        <v>1094</v>
      </c>
      <c r="S26" s="329">
        <v>40485556</v>
      </c>
      <c r="T26" s="329">
        <v>80480388</v>
      </c>
      <c r="U26" s="329">
        <v>16973517</v>
      </c>
      <c r="V26" s="329">
        <v>147267393</v>
      </c>
      <c r="W26" s="329">
        <v>12361839</v>
      </c>
      <c r="X26" s="329">
        <v>297568693</v>
      </c>
      <c r="Z26" s="143" t="s">
        <v>650</v>
      </c>
      <c r="AA26" s="144"/>
      <c r="AB26" s="144" t="s">
        <v>631</v>
      </c>
      <c r="AC26" s="144" t="s">
        <v>632</v>
      </c>
      <c r="AD26" s="144" t="s">
        <v>631</v>
      </c>
      <c r="AE26" s="144" t="s">
        <v>633</v>
      </c>
      <c r="AF26" s="144" t="s">
        <v>632</v>
      </c>
    </row>
    <row r="27" spans="2:32">
      <c r="B27" s="328" t="s">
        <v>1095</v>
      </c>
      <c r="C27" s="329">
        <v>3946359</v>
      </c>
      <c r="D27" s="329">
        <v>9070643</v>
      </c>
      <c r="E27" s="329">
        <v>167451581</v>
      </c>
      <c r="F27" s="329">
        <v>987189</v>
      </c>
      <c r="G27" s="329">
        <v>348917</v>
      </c>
      <c r="H27" s="329">
        <v>181804689</v>
      </c>
      <c r="J27" s="328" t="s">
        <v>1095</v>
      </c>
      <c r="K27" s="329">
        <v>3972284</v>
      </c>
      <c r="L27" s="329">
        <v>9029136</v>
      </c>
      <c r="M27" s="329">
        <v>168099895</v>
      </c>
      <c r="N27" s="329">
        <v>1187365</v>
      </c>
      <c r="O27" s="329">
        <v>348917</v>
      </c>
      <c r="P27" s="329">
        <v>182637597</v>
      </c>
      <c r="Q27" s="131"/>
      <c r="R27" s="328" t="s">
        <v>1095</v>
      </c>
      <c r="S27" s="329">
        <v>3661234</v>
      </c>
      <c r="T27" s="329">
        <v>9602649</v>
      </c>
      <c r="U27" s="329">
        <v>175901666</v>
      </c>
      <c r="V27" s="329">
        <v>1880312</v>
      </c>
      <c r="W27" s="329">
        <v>149890</v>
      </c>
      <c r="X27" s="329">
        <v>191195751</v>
      </c>
      <c r="Z27" s="146">
        <v>0</v>
      </c>
      <c r="AA27" s="144" t="s">
        <v>652</v>
      </c>
      <c r="AB27" s="147">
        <v>-20.426927139854609</v>
      </c>
      <c r="AC27" s="147">
        <v>-14.13257774422202</v>
      </c>
      <c r="AD27" s="147"/>
      <c r="AE27" s="147"/>
      <c r="AF27" s="147"/>
    </row>
    <row r="28" spans="2:32">
      <c r="B28" s="328" t="s">
        <v>1096</v>
      </c>
      <c r="C28" s="329">
        <v>228896648</v>
      </c>
      <c r="D28" s="329">
        <v>427500252</v>
      </c>
      <c r="E28" s="329">
        <v>289735863</v>
      </c>
      <c r="F28" s="329">
        <v>154628622</v>
      </c>
      <c r="G28" s="329">
        <v>6928394</v>
      </c>
      <c r="H28" s="329">
        <v>1107689779</v>
      </c>
      <c r="J28" s="328" t="s">
        <v>1096</v>
      </c>
      <c r="K28" s="329">
        <v>230086078</v>
      </c>
      <c r="L28" s="329">
        <v>435957979</v>
      </c>
      <c r="M28" s="329">
        <v>298140292</v>
      </c>
      <c r="N28" s="329">
        <v>158690656</v>
      </c>
      <c r="O28" s="329">
        <v>7250476</v>
      </c>
      <c r="P28" s="329">
        <v>1130125481</v>
      </c>
      <c r="Q28" s="131"/>
      <c r="R28" s="328" t="s">
        <v>1096</v>
      </c>
      <c r="S28" s="329">
        <v>227201721</v>
      </c>
      <c r="T28" s="329">
        <v>428326748</v>
      </c>
      <c r="U28" s="329">
        <v>290443561</v>
      </c>
      <c r="V28" s="329">
        <v>154339374</v>
      </c>
      <c r="W28" s="329">
        <v>10509615</v>
      </c>
      <c r="X28" s="329">
        <v>1110821019</v>
      </c>
      <c r="Z28" s="146"/>
      <c r="AA28" s="144"/>
      <c r="AB28" s="147"/>
      <c r="AC28" s="147"/>
      <c r="AD28" s="147"/>
      <c r="AE28" s="147"/>
      <c r="AF28" s="147"/>
    </row>
    <row r="29" spans="2:32">
      <c r="B29" s="328" t="s">
        <v>1097</v>
      </c>
      <c r="C29" s="329">
        <v>62895103</v>
      </c>
      <c r="D29" s="329">
        <v>59169663</v>
      </c>
      <c r="E29" s="329">
        <v>156280437</v>
      </c>
      <c r="F29" s="329">
        <v>41960712</v>
      </c>
      <c r="G29" s="329">
        <v>2255107</v>
      </c>
      <c r="H29" s="329">
        <v>322561022</v>
      </c>
      <c r="J29" s="328" t="s">
        <v>1097</v>
      </c>
      <c r="K29" s="329">
        <v>62917640</v>
      </c>
      <c r="L29" s="329">
        <v>60085654</v>
      </c>
      <c r="M29" s="329">
        <v>164931891</v>
      </c>
      <c r="N29" s="329">
        <v>46392895</v>
      </c>
      <c r="O29" s="329">
        <v>2255107</v>
      </c>
      <c r="P29" s="329">
        <v>336583187</v>
      </c>
      <c r="Q29" s="131"/>
      <c r="R29" s="328" t="s">
        <v>1097</v>
      </c>
      <c r="S29" s="329">
        <v>67640007</v>
      </c>
      <c r="T29" s="329">
        <v>61634966</v>
      </c>
      <c r="U29" s="329">
        <v>169605368</v>
      </c>
      <c r="V29" s="329">
        <v>52444540</v>
      </c>
      <c r="W29" s="329">
        <v>2255107</v>
      </c>
      <c r="X29" s="329">
        <v>353579988</v>
      </c>
      <c r="Z29" s="146"/>
      <c r="AA29" s="144"/>
      <c r="AB29" s="147"/>
      <c r="AC29" s="147"/>
      <c r="AD29" s="147"/>
      <c r="AE29" s="147"/>
      <c r="AF29" s="147"/>
    </row>
    <row r="30" spans="2:32">
      <c r="B30" s="328" t="s">
        <v>1098</v>
      </c>
      <c r="C30" s="329">
        <v>2175707</v>
      </c>
      <c r="D30" s="329">
        <v>1515541</v>
      </c>
      <c r="E30" s="329">
        <v>1782262</v>
      </c>
      <c r="F30" s="329">
        <v>622231</v>
      </c>
      <c r="G30" s="329">
        <v>61420</v>
      </c>
      <c r="H30" s="329">
        <v>6157161</v>
      </c>
      <c r="J30" s="328" t="s">
        <v>1098</v>
      </c>
      <c r="K30" s="329">
        <v>2261621</v>
      </c>
      <c r="L30" s="329">
        <v>1039907</v>
      </c>
      <c r="M30" s="329">
        <v>1173038</v>
      </c>
      <c r="N30" s="329">
        <v>610594</v>
      </c>
      <c r="O30" s="329">
        <v>78643</v>
      </c>
      <c r="P30" s="329">
        <v>5163803</v>
      </c>
      <c r="Q30" s="131"/>
      <c r="R30" s="328" t="s">
        <v>1098</v>
      </c>
      <c r="S30" s="329">
        <v>2880012</v>
      </c>
      <c r="T30" s="329">
        <v>1064756</v>
      </c>
      <c r="U30" s="329">
        <v>1373019</v>
      </c>
      <c r="V30" s="329">
        <v>500663</v>
      </c>
      <c r="W30" s="329">
        <v>82201</v>
      </c>
      <c r="X30" s="329">
        <v>5900651</v>
      </c>
      <c r="Z30" s="146"/>
      <c r="AA30" s="144"/>
      <c r="AB30" s="147"/>
      <c r="AC30" s="147"/>
      <c r="AD30" s="147"/>
      <c r="AE30" s="147"/>
      <c r="AF30" s="147"/>
    </row>
    <row r="31" spans="2:32">
      <c r="B31" s="328" t="s">
        <v>909</v>
      </c>
      <c r="C31" s="329">
        <v>0</v>
      </c>
      <c r="D31" s="329">
        <v>22655</v>
      </c>
      <c r="E31" s="329">
        <v>35235</v>
      </c>
      <c r="F31" s="329">
        <v>26233</v>
      </c>
      <c r="G31" s="329">
        <v>0</v>
      </c>
      <c r="H31" s="329">
        <v>84123</v>
      </c>
      <c r="J31" s="328" t="s">
        <v>909</v>
      </c>
      <c r="K31" s="329">
        <v>21078</v>
      </c>
      <c r="L31" s="329">
        <v>1928</v>
      </c>
      <c r="M31" s="329">
        <v>4219</v>
      </c>
      <c r="N31" s="329">
        <v>0</v>
      </c>
      <c r="O31" s="329">
        <v>0</v>
      </c>
      <c r="P31" s="329">
        <v>27225</v>
      </c>
      <c r="Q31" s="131"/>
      <c r="R31" s="328" t="s">
        <v>909</v>
      </c>
      <c r="S31" s="329">
        <v>1382205</v>
      </c>
      <c r="T31" s="329">
        <v>2158725</v>
      </c>
      <c r="U31" s="329">
        <v>3758303</v>
      </c>
      <c r="V31" s="329">
        <v>2263817</v>
      </c>
      <c r="W31" s="329">
        <v>21458</v>
      </c>
      <c r="X31" s="329">
        <v>9584508</v>
      </c>
      <c r="Z31" s="146">
        <v>0</v>
      </c>
      <c r="AA31" s="144" t="s">
        <v>32</v>
      </c>
      <c r="AB31" s="147">
        <v>-172.24979288135708</v>
      </c>
      <c r="AC31" s="147">
        <v>-51.724465404016456</v>
      </c>
      <c r="AD31" s="147"/>
      <c r="AE31" s="147"/>
      <c r="AF31" s="147"/>
    </row>
    <row r="32" spans="2:32">
      <c r="B32" s="328" t="s">
        <v>1099</v>
      </c>
      <c r="C32" s="329">
        <v>5470829</v>
      </c>
      <c r="D32" s="329">
        <v>5845685</v>
      </c>
      <c r="E32" s="329">
        <v>3554609</v>
      </c>
      <c r="F32" s="329">
        <v>22823742</v>
      </c>
      <c r="G32" s="329">
        <v>1478726</v>
      </c>
      <c r="H32" s="329">
        <v>39173591</v>
      </c>
      <c r="J32" s="328" t="s">
        <v>1099</v>
      </c>
      <c r="K32" s="329">
        <v>4897602</v>
      </c>
      <c r="L32" s="329">
        <v>5466094</v>
      </c>
      <c r="M32" s="329">
        <v>3606324</v>
      </c>
      <c r="N32" s="329">
        <v>23379213</v>
      </c>
      <c r="O32" s="329">
        <v>1842809</v>
      </c>
      <c r="P32" s="329">
        <v>39192042</v>
      </c>
      <c r="Q32" s="131"/>
      <c r="R32" s="328" t="s">
        <v>1099</v>
      </c>
      <c r="S32" s="329">
        <v>3492330</v>
      </c>
      <c r="T32" s="329">
        <v>4558481</v>
      </c>
      <c r="U32" s="329">
        <v>3335810</v>
      </c>
      <c r="V32" s="329">
        <v>23249516</v>
      </c>
      <c r="W32" s="329">
        <v>1536263</v>
      </c>
      <c r="X32" s="329">
        <v>36172400</v>
      </c>
      <c r="Z32" s="146">
        <v>0</v>
      </c>
      <c r="AA32" s="144" t="s">
        <v>651</v>
      </c>
      <c r="AB32" s="147">
        <v>-63.971284583902197</v>
      </c>
      <c r="AC32" s="147">
        <v>-30.066820693284019</v>
      </c>
      <c r="AD32" s="147"/>
      <c r="AE32" s="147"/>
      <c r="AF32" s="147"/>
    </row>
    <row r="33" spans="2:32" ht="14.45" thickBot="1">
      <c r="B33" s="334" t="s">
        <v>1100</v>
      </c>
      <c r="C33" s="335">
        <v>581509</v>
      </c>
      <c r="D33" s="335">
        <v>588231</v>
      </c>
      <c r="E33" s="335">
        <v>430174</v>
      </c>
      <c r="F33" s="335">
        <v>338589</v>
      </c>
      <c r="G33" s="335">
        <v>275086</v>
      </c>
      <c r="H33" s="335">
        <v>2213589</v>
      </c>
      <c r="J33" s="334" t="s">
        <v>1100</v>
      </c>
      <c r="K33" s="335">
        <v>31880</v>
      </c>
      <c r="L33" s="335">
        <v>53552</v>
      </c>
      <c r="M33" s="335">
        <v>23102</v>
      </c>
      <c r="N33" s="335">
        <v>26843</v>
      </c>
      <c r="O33" s="335">
        <v>3690</v>
      </c>
      <c r="P33" s="335">
        <v>139067</v>
      </c>
      <c r="Q33" s="131"/>
      <c r="R33" s="334" t="s">
        <v>1100</v>
      </c>
      <c r="S33" s="335">
        <v>77084</v>
      </c>
      <c r="T33" s="335">
        <v>227008</v>
      </c>
      <c r="U33" s="335">
        <v>223947</v>
      </c>
      <c r="V33" s="335">
        <v>119147</v>
      </c>
      <c r="W33" s="335">
        <v>25193</v>
      </c>
      <c r="X33" s="335">
        <v>672379</v>
      </c>
      <c r="Z33" s="131"/>
      <c r="AA33" s="131"/>
      <c r="AB33" s="131"/>
      <c r="AC33" s="131"/>
      <c r="AD33" s="131"/>
      <c r="AE33" s="131"/>
      <c r="AF33" s="131"/>
    </row>
    <row r="34" spans="2:32" ht="14.45">
      <c r="B34" s="847" t="s">
        <v>1101</v>
      </c>
      <c r="C34" s="848">
        <f>C30/SUM(tbl_pluto_2010[BX])</f>
        <v>3.0859160108755745E-3</v>
      </c>
      <c r="D34" s="848">
        <f>D30/SUM(tbl_pluto_2010[BK])</f>
        <v>1.0621761441237778E-3</v>
      </c>
      <c r="E34" s="848">
        <f>E30/SUM(tbl_pluto_2010[MN])</f>
        <v>1.0027003301811305E-3</v>
      </c>
      <c r="F34" s="848">
        <f>F30/SUM(tbl_pluto_2010[QN])</f>
        <v>5.1928427094610546E-4</v>
      </c>
      <c r="G34" s="848">
        <f>G30/SUM(tbl_pluto_2010[SI])</f>
        <v>1.919952539723504E-4</v>
      </c>
      <c r="H34" s="848">
        <f>H30/SUM(tbl_pluto_2010[TOTAL])</f>
        <v>1.1344411301468973E-3</v>
      </c>
      <c r="J34" s="847" t="s">
        <v>1101</v>
      </c>
      <c r="K34" s="848">
        <f>K30/SUM(tbl_pluto_2015[BX])</f>
        <v>3.1501629438549831E-3</v>
      </c>
      <c r="L34" s="848">
        <f>L30/SUM(tbl_pluto_2015[BK])</f>
        <v>7.1788092707746282E-4</v>
      </c>
      <c r="M34" s="848">
        <f>M30/SUM(tbl_pluto_2015[MN])</f>
        <v>6.9059060826679721E-4</v>
      </c>
      <c r="N34" s="848">
        <f>N30/SUM(tbl_pluto_2015[QN])</f>
        <v>4.985189123735569E-4</v>
      </c>
      <c r="O34" s="848">
        <f>O30/SUM(tbl_pluto_2015[SI])</f>
        <v>2.4204005961652597E-4</v>
      </c>
      <c r="P34" s="848">
        <f>P30/SUM(tbl_pluto_2015[TOTAL])</f>
        <v>9.5363713397771316E-4</v>
      </c>
      <c r="Q34" s="131"/>
      <c r="R34" s="847" t="s">
        <v>1101</v>
      </c>
      <c r="S34" s="848">
        <f>S30/SUM(tbl_pluto_2020[BX])</f>
        <v>3.8952191918078167E-3</v>
      </c>
      <c r="T34" s="848">
        <f>T30/SUM(tbl_pluto_2020[BK])</f>
        <v>7.1874886572820121E-4</v>
      </c>
      <c r="U34" s="848">
        <f>U30/SUM(tbl_pluto_2020[MN])</f>
        <v>7.5150044675782279E-4</v>
      </c>
      <c r="V34" s="848">
        <f>V30/SUM(tbl_pluto_2020[QN])</f>
        <v>4.049466922571772E-4</v>
      </c>
      <c r="W34" s="848">
        <f>W30/SUM(tbl_pluto_2020[SI])</f>
        <v>2.8212999376026656E-4</v>
      </c>
      <c r="X34" s="848">
        <f>X30/SUM(tbl_pluto_2020[TOTAL])</f>
        <v>1.0583109716599424E-3</v>
      </c>
      <c r="Y34" s="532"/>
      <c r="Z34" s="131"/>
      <c r="AA34" s="131"/>
      <c r="AB34" s="131"/>
      <c r="AC34" s="131"/>
      <c r="AD34" s="131"/>
      <c r="AE34" s="131"/>
      <c r="AF34" s="131"/>
    </row>
    <row r="35" spans="2:32">
      <c r="B35" s="849" t="s">
        <v>1102</v>
      </c>
      <c r="C35" s="850">
        <f>SUM(tbl_pluto_2010[BX])-SUM(C30:C33)</f>
        <v>696816095</v>
      </c>
      <c r="D35" s="850">
        <f>SUM(tbl_pluto_2010[BK])-SUM(D30:D33)</f>
        <v>1418854322</v>
      </c>
      <c r="E35" s="850">
        <f>SUM(tbl_pluto_2010[MN])-SUM(E30:E33)</f>
        <v>1771659985</v>
      </c>
      <c r="F35" s="850">
        <f>SUM(tbl_pluto_2010[QN])-SUM(F30:F33)</f>
        <v>1174436552</v>
      </c>
      <c r="G35" s="850">
        <f>SUM(tbl_pluto_2010[SI])-SUM(G30:G33)</f>
        <v>318088509</v>
      </c>
      <c r="H35" s="850">
        <f>SUM(tbl_pluto_2010[TOTAL])-SUM(H30:H33)</f>
        <v>5379855463</v>
      </c>
      <c r="J35" s="849" t="s">
        <v>1102</v>
      </c>
      <c r="K35" s="850">
        <f>SUM(tbl_pluto_2015[BX])-SUM(K30:K33)</f>
        <v>710725602</v>
      </c>
      <c r="L35" s="850">
        <f>SUM(tbl_pluto_2015[BK])-SUM(L30:L33)</f>
        <v>1442017191</v>
      </c>
      <c r="M35" s="850">
        <f>SUM(tbl_pluto_2015[MN])-SUM(M30:M33)</f>
        <v>1693794465</v>
      </c>
      <c r="N35" s="850">
        <f>SUM(tbl_pluto_2015[QN])-SUM(N30:N33)</f>
        <v>1200799470</v>
      </c>
      <c r="O35" s="850">
        <f>SUM(tbl_pluto_2015[SI])-SUM(O30:O33)</f>
        <v>322992147</v>
      </c>
      <c r="P35" s="850">
        <f>SUM(tbl_pluto_2015[TOTAL])-SUM(P30:P33)</f>
        <v>5370328875</v>
      </c>
      <c r="Q35" s="131"/>
      <c r="R35" s="849" t="s">
        <v>1102</v>
      </c>
      <c r="S35" s="850">
        <f>SUM(tbl_pluto_2020[BX])-SUM(S30:S33)</f>
        <v>731539341</v>
      </c>
      <c r="T35" s="850">
        <f>SUM(tbl_pluto_2020[BK])-SUM(T30:T33)</f>
        <v>1473393020</v>
      </c>
      <c r="U35" s="850">
        <f>SUM(tbl_pluto_2020[MN])-SUM(U30:U33)</f>
        <v>1818345759</v>
      </c>
      <c r="V35" s="850">
        <f>SUM(tbl_pluto_2020[QN])-SUM(V30:V33)</f>
        <v>1210234531</v>
      </c>
      <c r="W35" s="850">
        <f>SUM(tbl_pluto_2020[SI])-SUM(W30:W33)</f>
        <v>289693485</v>
      </c>
      <c r="X35" s="850">
        <f>SUM(tbl_pluto_2020[TOTAL])-SUM(X30:X33)</f>
        <v>5523206136</v>
      </c>
      <c r="Y35" s="532"/>
      <c r="Z35" s="131"/>
      <c r="AA35" s="131"/>
      <c r="AB35" s="140"/>
      <c r="AC35" s="140"/>
      <c r="AD35" s="140"/>
      <c r="AE35" s="140"/>
      <c r="AF35" s="140"/>
    </row>
    <row r="36" spans="2:32">
      <c r="B36" s="331" t="s">
        <v>1103</v>
      </c>
      <c r="C36" s="332"/>
      <c r="D36" s="332"/>
      <c r="E36" s="332"/>
      <c r="F36" s="332"/>
      <c r="G36" s="332"/>
      <c r="H36" s="332"/>
      <c r="J36" s="331" t="s">
        <v>1104</v>
      </c>
      <c r="K36" s="332"/>
      <c r="L36" s="332"/>
      <c r="M36" s="332"/>
      <c r="N36" s="332"/>
      <c r="O36" s="332"/>
      <c r="P36" s="332"/>
      <c r="Q36" s="131"/>
      <c r="R36" s="331" t="s">
        <v>1105</v>
      </c>
      <c r="S36" s="332"/>
      <c r="T36" s="332"/>
      <c r="U36" s="332"/>
      <c r="V36" s="332"/>
      <c r="W36" s="332"/>
      <c r="X36" s="332"/>
      <c r="Y36" s="131"/>
      <c r="Z36" s="131"/>
      <c r="AA36" s="131"/>
      <c r="AB36" s="140"/>
      <c r="AC36" s="140"/>
      <c r="AD36" s="140"/>
      <c r="AE36" s="140"/>
      <c r="AF36" s="140"/>
    </row>
    <row r="37" spans="2:32">
      <c r="B37" s="331" t="s">
        <v>1106</v>
      </c>
      <c r="C37" s="332"/>
      <c r="D37" s="332"/>
      <c r="E37" s="332"/>
      <c r="F37" s="332"/>
      <c r="G37" s="332"/>
      <c r="H37" s="332"/>
      <c r="J37" s="331" t="s">
        <v>1107</v>
      </c>
      <c r="K37" s="332"/>
      <c r="L37" s="332"/>
      <c r="M37" s="332"/>
      <c r="N37" s="332"/>
      <c r="O37" s="332"/>
      <c r="P37" s="332"/>
      <c r="Q37" s="131"/>
      <c r="R37" s="331" t="s">
        <v>1108</v>
      </c>
      <c r="S37" s="332"/>
      <c r="T37" s="332"/>
      <c r="U37" s="332"/>
      <c r="V37" s="332"/>
      <c r="W37" s="332"/>
      <c r="X37" s="332"/>
      <c r="Y37" s="131"/>
      <c r="Z37" s="131"/>
      <c r="AA37" s="131"/>
      <c r="AB37" s="140"/>
      <c r="AC37" s="140"/>
      <c r="AD37" s="140"/>
      <c r="AE37" s="140"/>
      <c r="AF37" s="140"/>
    </row>
    <row r="38" spans="2:32">
      <c r="B38" s="331"/>
      <c r="C38" s="332"/>
      <c r="D38" s="332"/>
      <c r="E38" s="332"/>
      <c r="F38" s="332"/>
      <c r="G38" s="332"/>
      <c r="H38" s="332"/>
      <c r="Q38" s="131"/>
      <c r="R38" s="131"/>
      <c r="S38" s="131"/>
      <c r="T38" s="131"/>
      <c r="U38" s="131"/>
      <c r="V38" s="131"/>
      <c r="W38" s="131"/>
      <c r="X38" s="131"/>
      <c r="Y38" s="131"/>
      <c r="Z38" s="131"/>
      <c r="AA38" s="131"/>
      <c r="AB38" s="140"/>
      <c r="AC38" s="140"/>
      <c r="AD38" s="140"/>
      <c r="AE38" s="140"/>
      <c r="AF38" s="140"/>
    </row>
    <row r="39" spans="2:32" ht="14.45" thickBot="1">
      <c r="B39" s="858" t="s">
        <v>639</v>
      </c>
      <c r="C39" s="858" t="s">
        <v>641</v>
      </c>
      <c r="D39" s="858" t="s">
        <v>640</v>
      </c>
      <c r="E39" s="858" t="s">
        <v>642</v>
      </c>
      <c r="F39" s="858" t="s">
        <v>643</v>
      </c>
      <c r="G39" s="858" t="s">
        <v>644</v>
      </c>
      <c r="H39" s="858" t="s">
        <v>634</v>
      </c>
      <c r="J39" s="858" t="s">
        <v>639</v>
      </c>
      <c r="K39" s="858" t="s">
        <v>641</v>
      </c>
      <c r="L39" s="858" t="s">
        <v>640</v>
      </c>
      <c r="M39" s="858" t="s">
        <v>642</v>
      </c>
      <c r="N39" s="858" t="s">
        <v>643</v>
      </c>
      <c r="O39" s="858" t="s">
        <v>644</v>
      </c>
      <c r="P39" s="858" t="s">
        <v>634</v>
      </c>
      <c r="Q39" s="131"/>
      <c r="R39" s="858" t="s">
        <v>639</v>
      </c>
      <c r="S39" s="858" t="s">
        <v>641</v>
      </c>
      <c r="T39" s="858" t="s">
        <v>640</v>
      </c>
      <c r="U39" s="858" t="s">
        <v>642</v>
      </c>
      <c r="V39" s="858" t="s">
        <v>643</v>
      </c>
      <c r="W39" s="858" t="s">
        <v>644</v>
      </c>
      <c r="X39" s="858" t="s">
        <v>634</v>
      </c>
      <c r="Y39" s="131"/>
      <c r="Z39" s="131"/>
      <c r="AA39" s="131"/>
      <c r="AB39" s="140"/>
      <c r="AC39" s="140"/>
      <c r="AD39" s="140"/>
      <c r="AE39" s="140"/>
      <c r="AF39" s="140"/>
    </row>
    <row r="40" spans="2:32" ht="14.45">
      <c r="B40" s="847" t="s">
        <v>629</v>
      </c>
      <c r="C40" s="851">
        <f>SUMIF(tbl_pluto_2010[BldgArea 2010],"*"&amp;tbl_bldgarea[[#This Row],[TOTAL BLDGAREA ]]&amp;"*",tbl_pluto_2010[BX])</f>
        <v>109524931</v>
      </c>
      <c r="D40" s="851">
        <f>SUMIF(tbl_pluto_2010[BldgArea 2010],"*"&amp;tbl_bldgarea[[#This Row],[TOTAL BLDGAREA ]]&amp;"*",tbl_pluto_2010[BK])</f>
        <v>353113063</v>
      </c>
      <c r="E40" s="851">
        <f>SUMIF(tbl_pluto_2010[BldgArea 2010],"*"&amp;tbl_bldgarea[[#This Row],[TOTAL BLDGAREA ]]&amp;"*",tbl_pluto_2010[MN])</f>
        <v>15811235</v>
      </c>
      <c r="F40" s="851">
        <f>SUMIF(tbl_pluto_2010[BldgArea 2010],"*"&amp;tbl_bldgarea[[#This Row],[TOTAL BLDGAREA ]]&amp;"*",tbl_pluto_2010[QN])</f>
        <v>452896919</v>
      </c>
      <c r="G40" s="851">
        <f>SUMIF(tbl_pluto_2010[BldgArea 2010],"*"&amp;tbl_bldgarea[[#This Row],[TOTAL BLDGAREA ]]&amp;"*",tbl_pluto_2010[SI])</f>
        <v>198788173</v>
      </c>
      <c r="H40" s="851">
        <f>SUM(tbl_bldgarea[[#This Row],[BX]:[SI]])</f>
        <v>1130134321</v>
      </c>
      <c r="J40" s="847" t="s">
        <v>629</v>
      </c>
      <c r="K40" s="851">
        <f>SUMIF(tbl_pluto_2015[BldgArea 2015],"*"&amp;tbl_bldgarea27[[#This Row],[TOTAL BLDGAREA ]]&amp;"*",tbl_pluto_2015[BX])</f>
        <v>110150132</v>
      </c>
      <c r="L40" s="851">
        <f>SUMIF(tbl_pluto_2015[BldgArea 2015],"*"&amp;tbl_bldgarea27[[#This Row],[TOTAL BLDGAREA ]]&amp;"*",tbl_pluto_2015[BK])</f>
        <v>354661624</v>
      </c>
      <c r="M40" s="851">
        <f>SUMIF(tbl_pluto_2015[BldgArea 2015],"*"&amp;tbl_bldgarea27[[#This Row],[TOTAL BLDGAREA ]]&amp;"*",tbl_pluto_2015[MN])</f>
        <v>16957463</v>
      </c>
      <c r="N40" s="851">
        <f>SUMIF(tbl_pluto_2015[BldgArea 2015],"*"&amp;tbl_bldgarea27[[#This Row],[TOTAL BLDGAREA ]]&amp;"*",tbl_pluto_2015[QN])</f>
        <v>457878494</v>
      </c>
      <c r="O40" s="851">
        <f>SUMIF(tbl_pluto_2015[BldgArea 2015],"*"&amp;tbl_bldgarea27[[#This Row],[TOTAL BLDGAREA ]]&amp;"*",tbl_pluto_2015[SI])</f>
        <v>203092379</v>
      </c>
      <c r="P40" s="851">
        <f>SUM(tbl_bldgarea27[[#This Row],[BX]:[SI]])</f>
        <v>1142740092</v>
      </c>
      <c r="Q40" s="131"/>
      <c r="R40" s="847" t="s">
        <v>629</v>
      </c>
      <c r="S40" s="851">
        <f>SUMIF(tbl_pluto_2020[BldgArea 2020],"*"&amp;tbl_bldgarea30[[#This Row],[TOTAL BLDGAREA ]]&amp;"*",tbl_pluto_2020[BX])</f>
        <v>105625817</v>
      </c>
      <c r="T40" s="851">
        <f>SUMIF(tbl_pluto_2020[BldgArea 2020],"*"&amp;tbl_bldgarea30[[#This Row],[TOTAL BLDGAREA ]]&amp;"*",tbl_pluto_2020[BK])</f>
        <v>333363556</v>
      </c>
      <c r="U40" s="851">
        <f>SUMIF(tbl_pluto_2020[BldgArea 2020],"*"&amp;tbl_bldgarea30[[#This Row],[TOTAL BLDGAREA ]]&amp;"*",tbl_pluto_2020[MN])</f>
        <v>17655887</v>
      </c>
      <c r="V40" s="851">
        <f>SUMIF(tbl_pluto_2020[BldgArea 2020],"*"&amp;tbl_bldgarea30[[#This Row],[TOTAL BLDGAREA ]]&amp;"*",tbl_pluto_2020[QN])</f>
        <v>435468205</v>
      </c>
      <c r="W40" s="851">
        <f>SUMIF(tbl_pluto_2020[BldgArea 2020],"*"&amp;tbl_bldgarea30[[#This Row],[TOTAL BLDGAREA ]]&amp;"*",tbl_pluto_2020[SI])</f>
        <v>190436864</v>
      </c>
      <c r="X40" s="851">
        <f>SUM(tbl_bldgarea30[[#This Row],[BX]:[SI]])</f>
        <v>1082550329</v>
      </c>
      <c r="Y40" s="131"/>
      <c r="Z40" s="131"/>
      <c r="AA40" s="131"/>
      <c r="AB40" s="140"/>
      <c r="AC40" s="140"/>
      <c r="AD40" s="140"/>
      <c r="AE40" s="140"/>
      <c r="AF40" s="140"/>
    </row>
    <row r="41" spans="2:32" ht="14.45">
      <c r="B41" s="847" t="s">
        <v>631</v>
      </c>
      <c r="C41" s="851">
        <f>SUMIF(tbl_pluto_2010[BldgArea 2010],"*"&amp;tbl_bldgarea[[#This Row],[TOTAL BLDGAREA ]]&amp;"*",tbl_pluto_2010[BX])</f>
        <v>38770844</v>
      </c>
      <c r="D41" s="851">
        <f>SUMIF(tbl_pluto_2010[BldgArea 2010],"*"&amp;tbl_bldgarea[[#This Row],[TOTAL BLDGAREA ]]&amp;"*",tbl_pluto_2010[BK])</f>
        <v>85088989</v>
      </c>
      <c r="E41" s="851">
        <f>SUMIF(tbl_pluto_2010[BldgArea 2010],"*"&amp;tbl_bldgarea[[#This Row],[TOTAL BLDGAREA ]]&amp;"*",tbl_pluto_2010[MN])</f>
        <v>627435043</v>
      </c>
      <c r="F41" s="851">
        <f>SUMIF(tbl_pluto_2010[BldgArea 2010],"*"&amp;tbl_bldgarea[[#This Row],[TOTAL BLDGAREA ]]&amp;"*",tbl_pluto_2010[QN])</f>
        <v>90590420</v>
      </c>
      <c r="G41" s="851">
        <f>SUMIF(tbl_pluto_2010[BldgArea 2010],"*"&amp;tbl_bldgarea[[#This Row],[TOTAL BLDGAREA ]]&amp;"*",tbl_pluto_2010[SI])</f>
        <v>20662287</v>
      </c>
      <c r="H41" s="851">
        <f>SUM(tbl_bldgarea[[#This Row],[BX]:[SI]])</f>
        <v>862547583</v>
      </c>
      <c r="J41" s="847" t="s">
        <v>631</v>
      </c>
      <c r="K41" s="851">
        <f>SUMIF(tbl_pluto_2015[BldgArea 2015],"*"&amp;tbl_bldgarea27[[#This Row],[TOTAL BLDGAREA ]]&amp;"*",tbl_pluto_2015[BX])</f>
        <v>40982794</v>
      </c>
      <c r="L41" s="851">
        <f>SUMIF(tbl_pluto_2015[BldgArea 2015],"*"&amp;tbl_bldgarea27[[#This Row],[TOTAL BLDGAREA ]]&amp;"*",tbl_pluto_2015[BK])</f>
        <v>87909488</v>
      </c>
      <c r="M41" s="851">
        <f>SUMIF(tbl_pluto_2015[BldgArea 2015],"*"&amp;tbl_bldgarea27[[#This Row],[TOTAL BLDGAREA ]]&amp;"*",tbl_pluto_2015[MN])</f>
        <v>536191805</v>
      </c>
      <c r="N41" s="851">
        <f>SUMIF(tbl_pluto_2015[BldgArea 2015],"*"&amp;tbl_bldgarea27[[#This Row],[TOTAL BLDGAREA ]]&amp;"*",tbl_pluto_2015[QN])</f>
        <v>87502635</v>
      </c>
      <c r="O41" s="851">
        <f>SUMIF(tbl_pluto_2015[BldgArea 2015],"*"&amp;tbl_bldgarea27[[#This Row],[TOTAL BLDGAREA ]]&amp;"*",tbl_pluto_2015[SI])</f>
        <v>20523300</v>
      </c>
      <c r="P41" s="851">
        <f>SUM(tbl_bldgarea27[[#This Row],[BX]:[SI]])</f>
        <v>773110022</v>
      </c>
      <c r="Q41" s="131"/>
      <c r="R41" s="847" t="s">
        <v>631</v>
      </c>
      <c r="S41" s="851">
        <f>SUMIF(tbl_pluto_2020[BldgArea 2020],"*"&amp;tbl_bldgarea30[[#This Row],[TOTAL BLDGAREA ]]&amp;"*",tbl_pluto_2020[BX])</f>
        <v>46461449</v>
      </c>
      <c r="T41" s="851">
        <f>SUMIF(tbl_pluto_2020[BldgArea 2020],"*"&amp;tbl_bldgarea30[[#This Row],[TOTAL BLDGAREA ]]&amp;"*",tbl_pluto_2020[BK])</f>
        <v>111753233</v>
      </c>
      <c r="U41" s="851">
        <f>SUMIF(tbl_pluto_2020[BldgArea 2020],"*"&amp;tbl_bldgarea30[[#This Row],[TOTAL BLDGAREA ]]&amp;"*",tbl_pluto_2020[MN])</f>
        <v>625021818</v>
      </c>
      <c r="V41" s="851">
        <f>SUMIF(tbl_pluto_2020[BldgArea 2020],"*"&amp;tbl_bldgarea30[[#This Row],[TOTAL BLDGAREA ]]&amp;"*",tbl_pluto_2020[QN])</f>
        <v>110707037</v>
      </c>
      <c r="W41" s="851">
        <f>SUMIF(tbl_pluto_2020[BldgArea 2020],"*"&amp;tbl_bldgarea30[[#This Row],[TOTAL BLDGAREA ]]&amp;"*",tbl_pluto_2020[SI])</f>
        <v>23204079</v>
      </c>
      <c r="X41" s="851">
        <f>SUM(tbl_bldgarea30[[#This Row],[BX]:[SI]])</f>
        <v>917147616</v>
      </c>
      <c r="Y41" s="131"/>
      <c r="Z41" s="131"/>
      <c r="AA41" s="131"/>
      <c r="AB41" s="140"/>
      <c r="AC41" s="140"/>
      <c r="AD41" s="140"/>
      <c r="AE41" s="140"/>
      <c r="AF41" s="140"/>
    </row>
    <row r="42" spans="2:32" ht="14.45">
      <c r="B42" s="847" t="s">
        <v>633</v>
      </c>
      <c r="C42" s="851">
        <f>SUMIF(tbl_pluto_2010[BldgArea 2010],"*"&amp;tbl_bldgarea[[#This Row],[TOTAL BLDGAREA ]]&amp;"*",tbl_pluto_2010[BX])</f>
        <v>44498866</v>
      </c>
      <c r="D42" s="851">
        <f>SUMIF(tbl_pluto_2010[BldgArea 2010],"*"&amp;tbl_bldgarea[[#This Row],[TOTAL BLDGAREA ]]&amp;"*",tbl_pluto_2010[BK])</f>
        <v>128130956</v>
      </c>
      <c r="E42" s="851">
        <f>SUMIF(tbl_pluto_2010[BldgArea 2010],"*"&amp;tbl_bldgarea[[#This Row],[TOTAL BLDGAREA ]]&amp;"*",tbl_pluto_2010[MN])</f>
        <v>47868554</v>
      </c>
      <c r="F42" s="851">
        <f>SUMIF(tbl_pluto_2010[BldgArea 2010],"*"&amp;tbl_bldgarea[[#This Row],[TOTAL BLDGAREA ]]&amp;"*",tbl_pluto_2010[QN])</f>
        <v>107726671</v>
      </c>
      <c r="G42" s="851">
        <f>SUMIF(tbl_pluto_2010[BldgArea 2010],"*"&amp;tbl_bldgarea[[#This Row],[TOTAL BLDGAREA ]]&amp;"*",tbl_pluto_2010[SI])</f>
        <v>11397675</v>
      </c>
      <c r="H42" s="851">
        <f>SUM(tbl_bldgarea[[#This Row],[BX]:[SI]])</f>
        <v>339622722</v>
      </c>
      <c r="J42" s="847" t="s">
        <v>633</v>
      </c>
      <c r="K42" s="851">
        <f>SUMIF(tbl_pluto_2015[BldgArea 2015],"*"&amp;tbl_bldgarea27[[#This Row],[TOTAL BLDGAREA ]]&amp;"*",tbl_pluto_2015[BX])</f>
        <v>45612060</v>
      </c>
      <c r="L42" s="851">
        <f>SUMIF(tbl_pluto_2015[BldgArea 2015],"*"&amp;tbl_bldgarea27[[#This Row],[TOTAL BLDGAREA ]]&amp;"*",tbl_pluto_2015[BK])</f>
        <v>122562215</v>
      </c>
      <c r="M42" s="851">
        <f>SUMIF(tbl_pluto_2015[BldgArea 2015],"*"&amp;tbl_bldgarea27[[#This Row],[TOTAL BLDGAREA ]]&amp;"*",tbl_pluto_2015[MN])</f>
        <v>39696590</v>
      </c>
      <c r="N42" s="851">
        <f>SUMIF(tbl_pluto_2015[BldgArea 2015],"*"&amp;tbl_bldgarea27[[#This Row],[TOTAL BLDGAREA ]]&amp;"*",tbl_pluto_2015[QN])</f>
        <v>110907394</v>
      </c>
      <c r="O42" s="851">
        <f>SUMIF(tbl_pluto_2015[BldgArea 2015],"*"&amp;tbl_bldgarea27[[#This Row],[TOTAL BLDGAREA ]]&amp;"*",tbl_pluto_2015[SI])</f>
        <v>10784854</v>
      </c>
      <c r="P42" s="851">
        <f>SUM(tbl_bldgarea27[[#This Row],[BX]:[SI]])</f>
        <v>329563113</v>
      </c>
      <c r="Q42" s="131"/>
      <c r="R42" s="847" t="s">
        <v>633</v>
      </c>
      <c r="S42" s="851">
        <f>SUMIF(tbl_pluto_2020[BldgArea 2020],"*"&amp;tbl_bldgarea30[[#This Row],[TOTAL BLDGAREA ]]&amp;"*",tbl_pluto_2020[BX])</f>
        <v>46172903</v>
      </c>
      <c r="T42" s="851">
        <f>SUMIF(tbl_pluto_2020[BldgArea 2020],"*"&amp;tbl_bldgarea30[[#This Row],[TOTAL BLDGAREA ]]&amp;"*",tbl_pluto_2020[BK])</f>
        <v>110995771</v>
      </c>
      <c r="U42" s="851">
        <f>SUMIF(tbl_pluto_2020[BldgArea 2020],"*"&amp;tbl_bldgarea30[[#This Row],[TOTAL BLDGAREA ]]&amp;"*",tbl_pluto_2020[MN])</f>
        <v>30686216</v>
      </c>
      <c r="V42" s="851">
        <f>SUMIF(tbl_pluto_2020[BldgArea 2020],"*"&amp;tbl_bldgarea30[[#This Row],[TOTAL BLDGAREA ]]&amp;"*",tbl_pluto_2020[QN])</f>
        <v>104403942</v>
      </c>
      <c r="W42" s="851">
        <f>SUMIF(tbl_pluto_2020[BldgArea 2020],"*"&amp;tbl_bldgarea30[[#This Row],[TOTAL BLDGAREA ]]&amp;"*",tbl_pluto_2020[SI])</f>
        <v>14294246</v>
      </c>
      <c r="X42" s="851">
        <f>SUM(tbl_bldgarea30[[#This Row],[BX]:[SI]])</f>
        <v>306553078</v>
      </c>
      <c r="Y42" s="131"/>
      <c r="Z42" s="131"/>
      <c r="AA42" s="131"/>
      <c r="AB42" s="140"/>
      <c r="AC42" s="140"/>
      <c r="AD42" s="140"/>
      <c r="AE42" s="140"/>
      <c r="AF42" s="140"/>
    </row>
    <row r="43" spans="2:32" ht="14.45">
      <c r="B43" s="847" t="s">
        <v>632</v>
      </c>
      <c r="C43" s="851">
        <f>SUMIF(tbl_pluto_2010[BldgArea 2010],"*"&amp;tbl_bldgarea[[#This Row],[TOTAL BLDGAREA ]]&amp;"*",tbl_pluto_2010[BX])</f>
        <v>87626979</v>
      </c>
      <c r="D43" s="851">
        <f>SUMIF(tbl_pluto_2010[BldgArea 2010],"*"&amp;tbl_bldgarea[[#This Row],[TOTAL BLDGAREA ]]&amp;"*",tbl_pluto_2010[BK])</f>
        <v>149947209</v>
      </c>
      <c r="E43" s="851">
        <f>SUMIF(tbl_pluto_2010[BldgArea 2010],"*"&amp;tbl_bldgarea[[#This Row],[TOTAL BLDGAREA ]]&amp;"*",tbl_pluto_2010[MN])</f>
        <v>171925111</v>
      </c>
      <c r="F43" s="851">
        <f>SUMIF(tbl_pluto_2010[BldgArea 2010],"*"&amp;tbl_bldgarea[[#This Row],[TOTAL BLDGAREA ]]&amp;"*",tbl_pluto_2010[QN])</f>
        <v>93118720</v>
      </c>
      <c r="G43" s="851">
        <f>SUMIF(tbl_pluto_2010[BldgArea 2010],"*"&amp;tbl_bldgarea[[#This Row],[TOTAL BLDGAREA ]]&amp;"*",tbl_pluto_2010[SI])</f>
        <v>51652352</v>
      </c>
      <c r="H43" s="851">
        <f>SUM(tbl_bldgarea[[#This Row],[BX]:[SI]])</f>
        <v>554270371</v>
      </c>
      <c r="J43" s="847" t="s">
        <v>632</v>
      </c>
      <c r="K43" s="851">
        <f>SUMIF(tbl_pluto_2015[BldgArea 2015],"*"&amp;tbl_bldgarea27[[#This Row],[TOTAL BLDGAREA ]]&amp;"*",tbl_pluto_2015[BX])</f>
        <v>89443215</v>
      </c>
      <c r="L43" s="851">
        <f>SUMIF(tbl_pluto_2015[BldgArea 2015],"*"&amp;tbl_bldgarea27[[#This Row],[TOTAL BLDGAREA ]]&amp;"*",tbl_pluto_2015[BK])</f>
        <v>152725997</v>
      </c>
      <c r="M43" s="851">
        <f>SUMIF(tbl_pluto_2015[BldgArea 2015],"*"&amp;tbl_bldgarea27[[#This Row],[TOTAL BLDGAREA ]]&amp;"*",tbl_pluto_2015[MN])</f>
        <v>173435098</v>
      </c>
      <c r="N43" s="851">
        <f>SUMIF(tbl_pluto_2015[BldgArea 2015],"*"&amp;tbl_bldgarea27[[#This Row],[TOTAL BLDGAREA ]]&amp;"*",tbl_pluto_2015[QN])</f>
        <v>97388043</v>
      </c>
      <c r="O43" s="851">
        <f>SUMIF(tbl_pluto_2015[BldgArea 2015],"*"&amp;tbl_bldgarea27[[#This Row],[TOTAL BLDGAREA ]]&amp;"*",tbl_pluto_2015[SI])</f>
        <v>52001697</v>
      </c>
      <c r="P43" s="851">
        <f>SUM(tbl_bldgarea27[[#This Row],[BX]:[SI]])</f>
        <v>564994050</v>
      </c>
      <c r="Q43" s="131"/>
      <c r="R43" s="847" t="s">
        <v>632</v>
      </c>
      <c r="S43" s="851">
        <f>SUMIF(tbl_pluto_2020[BldgArea 2020],"*"&amp;tbl_bldgarea30[[#This Row],[TOTAL BLDGAREA ]]&amp;"*",tbl_pluto_2020[BX])</f>
        <v>90081303</v>
      </c>
      <c r="T43" s="851">
        <f>SUMIF(tbl_pluto_2020[BldgArea 2020],"*"&amp;tbl_bldgarea30[[#This Row],[TOTAL BLDGAREA ]]&amp;"*",tbl_pluto_2020[BK])</f>
        <v>155357442</v>
      </c>
      <c r="U43" s="851">
        <f>SUMIF(tbl_pluto_2020[BldgArea 2020],"*"&amp;tbl_bldgarea30[[#This Row],[TOTAL BLDGAREA ]]&amp;"*",tbl_pluto_2020[MN])</f>
        <v>188930852</v>
      </c>
      <c r="V43" s="851">
        <f>SUMIF(tbl_pluto_2020[BldgArea 2020],"*"&amp;tbl_bldgarea30[[#This Row],[TOTAL BLDGAREA ]]&amp;"*",tbl_pluto_2020[QN])</f>
        <v>95783781</v>
      </c>
      <c r="W43" s="851">
        <f>SUMIF(tbl_pluto_2020[BldgArea 2020],"*"&amp;tbl_bldgarea30[[#This Row],[TOTAL BLDGAREA ]]&amp;"*",tbl_pluto_2020[SI])</f>
        <v>25569937</v>
      </c>
      <c r="X43" s="851">
        <f>SUM(tbl_bldgarea30[[#This Row],[BX]:[SI]])</f>
        <v>555723315</v>
      </c>
      <c r="Y43" s="131"/>
      <c r="Z43" s="131"/>
      <c r="AA43" s="131"/>
      <c r="AB43" s="131"/>
      <c r="AC43" s="131"/>
      <c r="AD43" s="131"/>
      <c r="AE43" s="131"/>
      <c r="AF43" s="131"/>
    </row>
    <row r="44" spans="2:32" ht="15" thickBot="1">
      <c r="B44" s="852" t="s">
        <v>630</v>
      </c>
      <c r="C44" s="853">
        <f>SUMIF(tbl_pluto_2010[BldgArea 2010],"*"&amp;tbl_bldgarea[[#This Row],[TOTAL BLDGAREA ]]&amp;"*",tbl_pluto_2010[BX])</f>
        <v>416394475</v>
      </c>
      <c r="D44" s="853">
        <f>SUMIF(tbl_pluto_2010[BldgArea 2010],"*"&amp;tbl_bldgarea[[#This Row],[TOTAL BLDGAREA ]]&amp;"*",tbl_pluto_2010[BK])</f>
        <v>702574105</v>
      </c>
      <c r="E44" s="853">
        <f>SUMIF(tbl_pluto_2010[BldgArea 2010],"*"&amp;tbl_bldgarea[[#This Row],[TOTAL BLDGAREA ]]&amp;"*",tbl_pluto_2010[MN])</f>
        <v>908620042</v>
      </c>
      <c r="F44" s="853">
        <f>SUMIF(tbl_pluto_2010[BldgArea 2010],"*"&amp;tbl_bldgarea[[#This Row],[TOTAL BLDGAREA ]]&amp;"*",tbl_pluto_2010[QN])</f>
        <v>430103822</v>
      </c>
      <c r="G44" s="853">
        <f>SUMIF(tbl_pluto_2010[BldgArea 2010],"*"&amp;tbl_bldgarea[[#This Row],[TOTAL BLDGAREA ]]&amp;"*",tbl_pluto_2010[SI])</f>
        <v>35588022</v>
      </c>
      <c r="H44" s="853">
        <f>SUM(tbl_bldgarea[[#This Row],[BX]:[SI]])</f>
        <v>2493280466</v>
      </c>
      <c r="J44" s="852" t="s">
        <v>630</v>
      </c>
      <c r="K44" s="853">
        <f>SUMIF(tbl_pluto_2015[BldgArea 2015],"*"&amp;tbl_bldgarea27[[#This Row],[TOTAL BLDGAREA ]]&amp;"*",tbl_pluto_2015[BX])</f>
        <v>424537401</v>
      </c>
      <c r="L44" s="853">
        <f>SUMIF(tbl_pluto_2015[BldgArea 2015],"*"&amp;tbl_bldgarea27[[#This Row],[TOTAL BLDGAREA ]]&amp;"*",tbl_pluto_2015[BK])</f>
        <v>724157867</v>
      </c>
      <c r="M44" s="853">
        <f>SUMIF(tbl_pluto_2015[BldgArea 2015],"*"&amp;tbl_bldgarea27[[#This Row],[TOTAL BLDGAREA ]]&amp;"*",tbl_pluto_2015[MN])</f>
        <v>927513509</v>
      </c>
      <c r="N44" s="853">
        <f>SUMIF(tbl_pluto_2015[BldgArea 2015],"*"&amp;tbl_bldgarea27[[#This Row],[TOTAL BLDGAREA ]]&amp;"*",tbl_pluto_2015[QN])</f>
        <v>447122904</v>
      </c>
      <c r="O44" s="853">
        <f>SUMIF(tbl_pluto_2015[BldgArea 2015],"*"&amp;tbl_bldgarea27[[#This Row],[TOTAL BLDGAREA ]]&amp;"*",tbl_pluto_2015[SI])</f>
        <v>36589917</v>
      </c>
      <c r="P44" s="853">
        <f>SUM(tbl_bldgarea27[[#This Row],[BX]:[SI]])</f>
        <v>2559921598</v>
      </c>
      <c r="Q44" s="131"/>
      <c r="R44" s="852" t="s">
        <v>630</v>
      </c>
      <c r="S44" s="853">
        <f>SUMIF(tbl_pluto_2020[BldgArea 2020],"*"&amp;tbl_bldgarea30[[#This Row],[TOTAL BLDGAREA ]]&amp;"*",tbl_pluto_2020[BX])</f>
        <v>443197869</v>
      </c>
      <c r="T44" s="853">
        <f>SUMIF(tbl_pluto_2020[BldgArea 2020],"*"&amp;tbl_bldgarea30[[#This Row],[TOTAL BLDGAREA ]]&amp;"*",tbl_pluto_2020[BK])</f>
        <v>761923018</v>
      </c>
      <c r="U44" s="853">
        <f>SUMIF(tbl_pluto_2020[BldgArea 2020],"*"&amp;tbl_bldgarea30[[#This Row],[TOTAL BLDGAREA ]]&amp;"*",tbl_pluto_2020[MN])</f>
        <v>956050986</v>
      </c>
      <c r="V44" s="853">
        <f>SUMIF(tbl_pluto_2020[BldgArea 2020],"*"&amp;tbl_bldgarea30[[#This Row],[TOTAL BLDGAREA ]]&amp;"*",tbl_pluto_2020[QN])</f>
        <v>463871566</v>
      </c>
      <c r="W44" s="853">
        <f>SUMIF(tbl_pluto_2020[BldgArea 2020],"*"&amp;tbl_bldgarea30[[#This Row],[TOTAL BLDGAREA ]]&amp;"*",tbl_pluto_2020[SI])</f>
        <v>36188359</v>
      </c>
      <c r="X44" s="853">
        <f>SUM(tbl_bldgarea30[[#This Row],[BX]:[SI]])</f>
        <v>2661231798</v>
      </c>
    </row>
    <row r="45" spans="2:32">
      <c r="B45" s="856" t="s">
        <v>634</v>
      </c>
      <c r="C45" s="850">
        <f>SUM(tbl_bldgarea[BX])</f>
        <v>696816095</v>
      </c>
      <c r="D45" s="850">
        <f>SUM(tbl_bldgarea[BK])</f>
        <v>1418854322</v>
      </c>
      <c r="E45" s="850">
        <f>SUM(tbl_bldgarea[MN])</f>
        <v>1771659985</v>
      </c>
      <c r="F45" s="850">
        <f>SUM(tbl_bldgarea[QN])</f>
        <v>1174436552</v>
      </c>
      <c r="G45" s="850">
        <f>SUM(tbl_bldgarea[SI])</f>
        <v>318088509</v>
      </c>
      <c r="H45" s="850">
        <f>SUM(H40:H44)</f>
        <v>5379855463</v>
      </c>
      <c r="J45" s="856" t="s">
        <v>634</v>
      </c>
      <c r="K45" s="850">
        <f>SUM(tbl_bldgarea27[BX])</f>
        <v>710725602</v>
      </c>
      <c r="L45" s="850">
        <f>SUM(tbl_bldgarea27[BK])</f>
        <v>1442017191</v>
      </c>
      <c r="M45" s="850">
        <f>SUM(tbl_bldgarea27[MN])</f>
        <v>1693794465</v>
      </c>
      <c r="N45" s="850">
        <f>SUM(tbl_bldgarea27[QN])</f>
        <v>1200799470</v>
      </c>
      <c r="O45" s="850">
        <f>SUM(tbl_bldgarea27[SI])</f>
        <v>322992147</v>
      </c>
      <c r="P45" s="850">
        <f>SUM(P40:P44)</f>
        <v>5370328875</v>
      </c>
      <c r="Q45" s="131"/>
      <c r="R45" s="856" t="s">
        <v>634</v>
      </c>
      <c r="S45" s="850">
        <f>SUM(tbl_bldgarea30[BX])</f>
        <v>731539341</v>
      </c>
      <c r="T45" s="850">
        <f>SUM(tbl_bldgarea30[BK])</f>
        <v>1473393020</v>
      </c>
      <c r="U45" s="850">
        <f>SUM(tbl_bldgarea30[MN])</f>
        <v>1818345759</v>
      </c>
      <c r="V45" s="850">
        <f>SUM(tbl_bldgarea30[QN])</f>
        <v>1210234531</v>
      </c>
      <c r="W45" s="850">
        <f>SUM(tbl_bldgarea30[SI])</f>
        <v>289693485</v>
      </c>
      <c r="X45" s="850">
        <f>SUM(X40:X44)</f>
        <v>5523206136</v>
      </c>
    </row>
    <row r="46" spans="2:32">
      <c r="B46" s="331" t="s">
        <v>1109</v>
      </c>
      <c r="J46" s="331" t="s">
        <v>1110</v>
      </c>
      <c r="Q46" s="131"/>
      <c r="R46" s="331" t="s">
        <v>1111</v>
      </c>
    </row>
    <row r="47" spans="2:32">
      <c r="B47" s="331" t="s">
        <v>1112</v>
      </c>
      <c r="J47" s="331" t="s">
        <v>1112</v>
      </c>
      <c r="Q47" s="131"/>
      <c r="R47" s="331" t="s">
        <v>1112</v>
      </c>
    </row>
    <row r="48" spans="2:32">
      <c r="B48" s="331"/>
      <c r="C48" s="331"/>
      <c r="D48" s="331"/>
      <c r="E48" s="331"/>
      <c r="F48" s="331"/>
      <c r="G48" s="331"/>
      <c r="H48" s="331"/>
      <c r="J48" s="331"/>
      <c r="K48" s="331"/>
      <c r="L48" s="331"/>
      <c r="M48" s="331"/>
      <c r="N48" s="331"/>
      <c r="O48" s="331"/>
      <c r="P48" s="331"/>
      <c r="Q48" s="131"/>
      <c r="R48" s="331"/>
      <c r="S48" s="331"/>
      <c r="T48" s="331"/>
      <c r="U48" s="331"/>
      <c r="V48" s="331"/>
      <c r="W48" s="331"/>
      <c r="X48" s="331"/>
    </row>
    <row r="49" spans="2:24" ht="14.45" thickBot="1">
      <c r="B49" s="858" t="s">
        <v>1113</v>
      </c>
      <c r="C49" s="858" t="s">
        <v>641</v>
      </c>
      <c r="D49" s="858" t="s">
        <v>640</v>
      </c>
      <c r="E49" s="858" t="s">
        <v>642</v>
      </c>
      <c r="F49" s="858" t="s">
        <v>643</v>
      </c>
      <c r="G49" s="858" t="s">
        <v>644</v>
      </c>
      <c r="H49" s="858" t="s">
        <v>634</v>
      </c>
      <c r="J49" s="858" t="s">
        <v>1113</v>
      </c>
      <c r="K49" s="858" t="s">
        <v>641</v>
      </c>
      <c r="L49" s="858" t="s">
        <v>640</v>
      </c>
      <c r="M49" s="858" t="s">
        <v>642</v>
      </c>
      <c r="N49" s="858" t="s">
        <v>643</v>
      </c>
      <c r="O49" s="858" t="s">
        <v>644</v>
      </c>
      <c r="P49" s="858" t="s">
        <v>634</v>
      </c>
      <c r="Q49" s="131"/>
      <c r="R49" s="858" t="s">
        <v>1113</v>
      </c>
      <c r="S49" s="858" t="s">
        <v>641</v>
      </c>
      <c r="T49" s="858" t="s">
        <v>640</v>
      </c>
      <c r="U49" s="858" t="s">
        <v>642</v>
      </c>
      <c r="V49" s="858" t="s">
        <v>643</v>
      </c>
      <c r="W49" s="858" t="s">
        <v>644</v>
      </c>
      <c r="X49" s="858" t="s">
        <v>634</v>
      </c>
    </row>
    <row r="50" spans="2:24" ht="14.45">
      <c r="B50" s="847" t="s">
        <v>629</v>
      </c>
      <c r="C50" s="854">
        <f>_xlfn.XLOOKUP(tbl_prct_bldgarea_typology[[#This Row],[TOTAL BLDGAREA (%)]],tbl_bldgarea[[TOTAL BLDGAREA ]],tbl_bldgarea[BX])/_xlfn.XLOOKUP(tbl_prct_bldgarea_typology[[#This Row],[TOTAL BLDGAREA (%)]],tbl_bldgarea[[TOTAL BLDGAREA ]],tbl_bldgarea[TOTAL])</f>
        <v>9.6913197807395851E-2</v>
      </c>
      <c r="D50" s="854">
        <f>_xlfn.XLOOKUP(tbl_prct_bldgarea_typology[[#This Row],[TOTAL BLDGAREA (%)]],tbl_bldgarea[[TOTAL BLDGAREA ]],tbl_bldgarea[BK])/_xlfn.XLOOKUP(tbl_prct_bldgarea_typology[[#This Row],[TOTAL BLDGAREA (%)]],tbl_bldgarea[[TOTAL BLDGAREA ]],tbl_bldgarea[TOTAL])</f>
        <v>0.31245229565946436</v>
      </c>
      <c r="E50" s="854">
        <f>_xlfn.XLOOKUP(tbl_prct_bldgarea_typology[[#This Row],[TOTAL BLDGAREA (%)]],tbl_bldgarea[[TOTAL BLDGAREA ]],tbl_bldgarea[MN])/_xlfn.XLOOKUP(tbl_prct_bldgarea_typology[[#This Row],[TOTAL BLDGAREA (%)]],tbl_bldgarea[[TOTAL BLDGAREA ]],tbl_bldgarea[TOTAL])</f>
        <v>1.3990580328548398E-2</v>
      </c>
      <c r="F50" s="854">
        <f>_xlfn.XLOOKUP(tbl_prct_bldgarea_typology[[#This Row],[TOTAL BLDGAREA (%)]],tbl_bldgarea[[TOTAL BLDGAREA ]],tbl_bldgarea[QN])/_xlfn.XLOOKUP(tbl_prct_bldgarea_typology[[#This Row],[TOTAL BLDGAREA (%)]],tbl_bldgarea[[TOTAL BLDGAREA ]],tbl_bldgarea[TOTAL])</f>
        <v>0.4007460976844362</v>
      </c>
      <c r="G50" s="854">
        <f>_xlfn.XLOOKUP(tbl_prct_bldgarea_typology[[#This Row],[TOTAL BLDGAREA (%)]],tbl_bldgarea[[TOTAL BLDGAREA ]],tbl_bldgarea[SI])/_xlfn.XLOOKUP(tbl_prct_bldgarea_typology[[#This Row],[TOTAL BLDGAREA (%)]],tbl_bldgarea[[TOTAL BLDGAREA ]],tbl_bldgarea[TOTAL])</f>
        <v>0.17589782852015518</v>
      </c>
      <c r="H50" s="854">
        <f>SUM(tbl_prct_bldgarea_typology[[#This Row],[BX]:[SI]])</f>
        <v>1</v>
      </c>
      <c r="J50" s="847" t="s">
        <v>629</v>
      </c>
      <c r="K50" s="854">
        <f>_xlfn.XLOOKUP(tbl_prct_bldgarea_typology29[[#This Row],[TOTAL BLDGAREA (%)]],tbl_bldgarea27[[TOTAL BLDGAREA ]],tbl_bldgarea27[BX])/_xlfn.XLOOKUP(tbl_prct_bldgarea_typology29[[#This Row],[TOTAL BLDGAREA (%)]],tbl_bldgarea27[[TOTAL BLDGAREA ]],tbl_bldgarea27[TOTAL])</f>
        <v>9.6391237842384195E-2</v>
      </c>
      <c r="L50" s="854">
        <f>_xlfn.XLOOKUP(tbl_prct_bldgarea_typology29[[#This Row],[TOTAL BLDGAREA (%)]],tbl_bldgarea27[[TOTAL BLDGAREA ]],tbl_bldgarea27[BK])/_xlfn.XLOOKUP(tbl_prct_bldgarea_typology29[[#This Row],[TOTAL BLDGAREA (%)]],tbl_bldgarea27[[TOTAL BLDGAREA ]],tbl_bldgarea27[TOTAL])</f>
        <v>0.31036070798853183</v>
      </c>
      <c r="M50" s="854">
        <f>_xlfn.XLOOKUP(tbl_prct_bldgarea_typology29[[#This Row],[TOTAL BLDGAREA (%)]],tbl_bldgarea27[[TOTAL BLDGAREA ]],tbl_bldgarea27[MN])/_xlfn.XLOOKUP(tbl_prct_bldgarea_typology29[[#This Row],[TOTAL BLDGAREA (%)]],tbl_bldgarea27[[TOTAL BLDGAREA ]],tbl_bldgarea27[TOTAL])</f>
        <v>1.4839299958682118E-2</v>
      </c>
      <c r="N50" s="854">
        <f>_xlfn.XLOOKUP(tbl_prct_bldgarea_typology29[[#This Row],[TOTAL BLDGAREA (%)]],tbl_bldgarea27[[TOTAL BLDGAREA ]],tbl_bldgarea27[QN])/_xlfn.XLOOKUP(tbl_prct_bldgarea_typology29[[#This Row],[TOTAL BLDGAREA (%)]],tbl_bldgarea27[[TOTAL BLDGAREA ]],tbl_bldgarea27[TOTAL])</f>
        <v>0.40068472017869833</v>
      </c>
      <c r="O50" s="854">
        <f>_xlfn.XLOOKUP(tbl_prct_bldgarea_typology29[[#This Row],[TOTAL BLDGAREA (%)]],tbl_bldgarea27[[TOTAL BLDGAREA ]],tbl_bldgarea27[SI])/_xlfn.XLOOKUP(tbl_prct_bldgarea_typology29[[#This Row],[TOTAL BLDGAREA (%)]],tbl_bldgarea27[[TOTAL BLDGAREA ]],tbl_bldgarea27[TOTAL])</f>
        <v>0.1777240340317035</v>
      </c>
      <c r="P50" s="854">
        <f>SUM(tbl_prct_bldgarea_typology29[[#This Row],[BX]:[SI]])</f>
        <v>1</v>
      </c>
      <c r="R50" s="847" t="s">
        <v>629</v>
      </c>
      <c r="S50" s="854">
        <f>_xlfn.XLOOKUP(tbl_prct_bldgarea_typology32[[#This Row],[TOTAL BLDGAREA (%)]],tbl_bldgarea30[[TOTAL BLDGAREA ]],tbl_bldgarea30[BX])/_xlfn.XLOOKUP(tbl_prct_bldgarea_typology32[[#This Row],[TOTAL BLDGAREA (%)]],tbl_bldgarea30[[TOTAL BLDGAREA ]],tbl_bldgarea30[TOTAL])</f>
        <v>9.757127606027452E-2</v>
      </c>
      <c r="T50" s="854">
        <f>_xlfn.XLOOKUP(tbl_prct_bldgarea_typology32[[#This Row],[TOTAL BLDGAREA (%)]],tbl_bldgarea30[[TOTAL BLDGAREA ]],tbl_bldgarea30[BK])/_xlfn.XLOOKUP(tbl_prct_bldgarea_typology32[[#This Row],[TOTAL BLDGAREA (%)]],tbl_bldgarea30[[TOTAL BLDGAREA ]],tbl_bldgarea30[TOTAL])</f>
        <v>0.30794277833525097</v>
      </c>
      <c r="U50" s="854">
        <f>_xlfn.XLOOKUP(tbl_prct_bldgarea_typology32[[#This Row],[TOTAL BLDGAREA (%)]],tbl_bldgarea30[[TOTAL BLDGAREA ]],tbl_bldgarea30[MN])/_xlfn.XLOOKUP(tbl_prct_bldgarea_typology32[[#This Row],[TOTAL BLDGAREA (%)]],tbl_bldgarea30[[TOTAL BLDGAREA ]],tbl_bldgarea30[TOTAL])</f>
        <v>1.6309529937799317E-2</v>
      </c>
      <c r="V50" s="854">
        <f>_xlfn.XLOOKUP(tbl_prct_bldgarea_typology32[[#This Row],[TOTAL BLDGAREA (%)]],tbl_bldgarea30[[TOTAL BLDGAREA ]],tbl_bldgarea30[QN])/_xlfn.XLOOKUP(tbl_prct_bldgarea_typology32[[#This Row],[TOTAL BLDGAREA (%)]],tbl_bldgarea30[[TOTAL BLDGAREA ]],tbl_bldgarea30[TOTAL])</f>
        <v>0.40226139453697402</v>
      </c>
      <c r="W50" s="854">
        <f>_xlfn.XLOOKUP(tbl_prct_bldgarea_typology32[[#This Row],[TOTAL BLDGAREA (%)]],tbl_bldgarea30[[TOTAL BLDGAREA ]],tbl_bldgarea30[SI])/_xlfn.XLOOKUP(tbl_prct_bldgarea_typology32[[#This Row],[TOTAL BLDGAREA (%)]],tbl_bldgarea30[[TOTAL BLDGAREA ]],tbl_bldgarea30[TOTAL])</f>
        <v>0.17591502112970123</v>
      </c>
      <c r="X50" s="854">
        <f>SUM(tbl_prct_bldgarea_typology32[[#This Row],[BX]:[SI]])</f>
        <v>1</v>
      </c>
    </row>
    <row r="51" spans="2:24" ht="14.45">
      <c r="B51" s="847" t="s">
        <v>631</v>
      </c>
      <c r="C51" s="854">
        <f>_xlfn.XLOOKUP(tbl_prct_bldgarea_typology[[#This Row],[TOTAL BLDGAREA (%)]],tbl_bldgarea[[TOTAL BLDGAREA ]],tbl_bldgarea[BX])/_xlfn.XLOOKUP(tbl_prct_bldgarea_typology[[#This Row],[TOTAL BLDGAREA (%)]],tbl_bldgarea[[TOTAL BLDGAREA ]],tbl_bldgarea[TOTAL])</f>
        <v>4.4949223398380332E-2</v>
      </c>
      <c r="D51" s="854">
        <f>_xlfn.XLOOKUP(tbl_prct_bldgarea_typology[[#This Row],[TOTAL BLDGAREA (%)]],tbl_bldgarea[[TOTAL BLDGAREA ]],tbl_bldgarea[BK])/_xlfn.XLOOKUP(tbl_prct_bldgarea_typology[[#This Row],[TOTAL BLDGAREA (%)]],tbl_bldgarea[[TOTAL BLDGAREA ]],tbl_bldgarea[TOTAL])</f>
        <v>9.8648457983100041E-2</v>
      </c>
      <c r="E51" s="854">
        <f>_xlfn.XLOOKUP(tbl_prct_bldgarea_typology[[#This Row],[TOTAL BLDGAREA (%)]],tbl_bldgarea[[TOTAL BLDGAREA ]],tbl_bldgarea[MN])/_xlfn.XLOOKUP(tbl_prct_bldgarea_typology[[#This Row],[TOTAL BLDGAREA (%)]],tbl_bldgarea[[TOTAL BLDGAREA ]],tbl_bldgarea[TOTAL])</f>
        <v>0.72742078856419445</v>
      </c>
      <c r="F51" s="854">
        <f>_xlfn.XLOOKUP(tbl_prct_bldgarea_typology[[#This Row],[TOTAL BLDGAREA (%)]],tbl_bldgarea[[TOTAL BLDGAREA ]],tbl_bldgarea[QN])/_xlfn.XLOOKUP(tbl_prct_bldgarea_typology[[#This Row],[TOTAL BLDGAREA (%)]],tbl_bldgarea[[TOTAL BLDGAREA ]],tbl_bldgarea[TOTAL])</f>
        <v>0.10502657683523994</v>
      </c>
      <c r="G51" s="854">
        <f>_xlfn.XLOOKUP(tbl_prct_bldgarea_typology[[#This Row],[TOTAL BLDGAREA (%)]],tbl_bldgarea[[TOTAL BLDGAREA ]],tbl_bldgarea[SI])/_xlfn.XLOOKUP(tbl_prct_bldgarea_typology[[#This Row],[TOTAL BLDGAREA (%)]],tbl_bldgarea[[TOTAL BLDGAREA ]],tbl_bldgarea[TOTAL])</f>
        <v>2.3954953219085189E-2</v>
      </c>
      <c r="H51" s="854">
        <f>SUM(tbl_prct_bldgarea_typology[[#This Row],[BX]:[SI]])</f>
        <v>1</v>
      </c>
      <c r="J51" s="847" t="s">
        <v>631</v>
      </c>
      <c r="K51" s="854">
        <f>_xlfn.XLOOKUP(tbl_prct_bldgarea_typology29[[#This Row],[TOTAL BLDGAREA (%)]],tbl_bldgarea27[[TOTAL BLDGAREA ]],tbl_bldgarea27[BX])/_xlfn.XLOOKUP(tbl_prct_bldgarea_typology29[[#This Row],[TOTAL BLDGAREA (%)]],tbl_bldgarea27[[TOTAL BLDGAREA ]],tbl_bldgarea27[TOTAL])</f>
        <v>5.3010299742304985E-2</v>
      </c>
      <c r="L51" s="854">
        <f>_xlfn.XLOOKUP(tbl_prct_bldgarea_typology29[[#This Row],[TOTAL BLDGAREA (%)]],tbl_bldgarea27[[TOTAL BLDGAREA ]],tbl_bldgarea27[BK])/_xlfn.XLOOKUP(tbl_prct_bldgarea_typology29[[#This Row],[TOTAL BLDGAREA (%)]],tbl_bldgarea27[[TOTAL BLDGAREA ]],tbl_bldgarea27[TOTAL])</f>
        <v>0.11370889717944957</v>
      </c>
      <c r="M51" s="854">
        <f>_xlfn.XLOOKUP(tbl_prct_bldgarea_typology29[[#This Row],[TOTAL BLDGAREA (%)]],tbl_bldgarea27[[TOTAL BLDGAREA ]],tbl_bldgarea27[MN])/_xlfn.XLOOKUP(tbl_prct_bldgarea_typology29[[#This Row],[TOTAL BLDGAREA (%)]],tbl_bldgarea27[[TOTAL BLDGAREA ]],tbl_bldgarea27[TOTAL])</f>
        <v>0.69355174521330942</v>
      </c>
      <c r="N51" s="854">
        <f>_xlfn.XLOOKUP(tbl_prct_bldgarea_typology29[[#This Row],[TOTAL BLDGAREA (%)]],tbl_bldgarea27[[TOTAL BLDGAREA ]],tbl_bldgarea27[QN])/_xlfn.XLOOKUP(tbl_prct_bldgarea_typology29[[#This Row],[TOTAL BLDGAREA (%)]],tbl_bldgarea27[[TOTAL BLDGAREA ]],tbl_bldgarea27[TOTAL])</f>
        <v>0.11318264219837006</v>
      </c>
      <c r="O51" s="854">
        <f>_xlfn.XLOOKUP(tbl_prct_bldgarea_typology29[[#This Row],[TOTAL BLDGAREA (%)]],tbl_bldgarea27[[TOTAL BLDGAREA ]],tbl_bldgarea27[SI])/_xlfn.XLOOKUP(tbl_prct_bldgarea_typology29[[#This Row],[TOTAL BLDGAREA (%)]],tbl_bldgarea27[[TOTAL BLDGAREA ]],tbl_bldgarea27[TOTAL])</f>
        <v>2.6546415666566018E-2</v>
      </c>
      <c r="P51" s="854">
        <f>SUM(tbl_prct_bldgarea_typology29[[#This Row],[BX]:[SI]])</f>
        <v>1</v>
      </c>
      <c r="R51" s="847" t="s">
        <v>631</v>
      </c>
      <c r="S51" s="854">
        <f>_xlfn.XLOOKUP(tbl_prct_bldgarea_typology32[[#This Row],[TOTAL BLDGAREA (%)]],tbl_bldgarea30[[TOTAL BLDGAREA ]],tbl_bldgarea30[BX])/_xlfn.XLOOKUP(tbl_prct_bldgarea_typology32[[#This Row],[TOTAL BLDGAREA (%)]],tbl_bldgarea30[[TOTAL BLDGAREA ]],tbl_bldgarea30[TOTAL])</f>
        <v>5.0658637922033262E-2</v>
      </c>
      <c r="T51" s="854">
        <f>_xlfn.XLOOKUP(tbl_prct_bldgarea_typology32[[#This Row],[TOTAL BLDGAREA (%)]],tbl_bldgarea30[[TOTAL BLDGAREA ]],tbl_bldgarea30[BK])/_xlfn.XLOOKUP(tbl_prct_bldgarea_typology32[[#This Row],[TOTAL BLDGAREA (%)]],tbl_bldgarea30[[TOTAL BLDGAREA ]],tbl_bldgarea30[TOTAL])</f>
        <v>0.12184868722375876</v>
      </c>
      <c r="U51" s="854">
        <f>_xlfn.XLOOKUP(tbl_prct_bldgarea_typology32[[#This Row],[TOTAL BLDGAREA (%)]],tbl_bldgarea30[[TOTAL BLDGAREA ]],tbl_bldgarea30[MN])/_xlfn.XLOOKUP(tbl_prct_bldgarea_typology32[[#This Row],[TOTAL BLDGAREA (%)]],tbl_bldgarea30[[TOTAL BLDGAREA ]],tbl_bldgarea30[TOTAL])</f>
        <v>0.681484427475195</v>
      </c>
      <c r="V51" s="854">
        <f>_xlfn.XLOOKUP(tbl_prct_bldgarea_typology32[[#This Row],[TOTAL BLDGAREA (%)]],tbl_bldgarea30[[TOTAL BLDGAREA ]],tbl_bldgarea30[QN])/_xlfn.XLOOKUP(tbl_prct_bldgarea_typology32[[#This Row],[TOTAL BLDGAREA (%)]],tbl_bldgarea30[[TOTAL BLDGAREA ]],tbl_bldgarea30[TOTAL])</f>
        <v>0.12070798099310548</v>
      </c>
      <c r="W51" s="854">
        <f>_xlfn.XLOOKUP(tbl_prct_bldgarea_typology32[[#This Row],[TOTAL BLDGAREA (%)]],tbl_bldgarea30[[TOTAL BLDGAREA ]],tbl_bldgarea30[SI])/_xlfn.XLOOKUP(tbl_prct_bldgarea_typology32[[#This Row],[TOTAL BLDGAREA (%)]],tbl_bldgarea30[[TOTAL BLDGAREA ]],tbl_bldgarea30[TOTAL])</f>
        <v>2.5300266385907499E-2</v>
      </c>
      <c r="X51" s="854">
        <f>SUM(tbl_prct_bldgarea_typology32[[#This Row],[BX]:[SI]])</f>
        <v>1</v>
      </c>
    </row>
    <row r="52" spans="2:24" ht="14.45">
      <c r="B52" s="847" t="s">
        <v>633</v>
      </c>
      <c r="C52" s="854">
        <f>_xlfn.XLOOKUP(tbl_prct_bldgarea_typology[[#This Row],[TOTAL BLDGAREA (%)]],tbl_bldgarea[[TOTAL BLDGAREA ]],tbl_bldgarea[BX])/_xlfn.XLOOKUP(tbl_prct_bldgarea_typology[[#This Row],[TOTAL BLDGAREA (%)]],tbl_bldgarea[[TOTAL BLDGAREA ]],tbl_bldgarea[TOTAL])</f>
        <v>0.13102440772499316</v>
      </c>
      <c r="D52" s="854">
        <f>_xlfn.XLOOKUP(tbl_prct_bldgarea_typology[[#This Row],[TOTAL BLDGAREA (%)]],tbl_bldgarea[[TOTAL BLDGAREA ]],tbl_bldgarea[BK])/_xlfn.XLOOKUP(tbl_prct_bldgarea_typology[[#This Row],[TOTAL BLDGAREA (%)]],tbl_bldgarea[[TOTAL BLDGAREA ]],tbl_bldgarea[TOTAL])</f>
        <v>0.37727439214152464</v>
      </c>
      <c r="E52" s="854">
        <f>_xlfn.XLOOKUP(tbl_prct_bldgarea_typology[[#This Row],[TOTAL BLDGAREA (%)]],tbl_bldgarea[[TOTAL BLDGAREA ]],tbl_bldgarea[MN])/_xlfn.XLOOKUP(tbl_prct_bldgarea_typology[[#This Row],[TOTAL BLDGAREA (%)]],tbl_bldgarea[[TOTAL BLDGAREA ]],tbl_bldgarea[TOTAL])</f>
        <v>0.14094626448462422</v>
      </c>
      <c r="F52" s="854">
        <f>_xlfn.XLOOKUP(tbl_prct_bldgarea_typology[[#This Row],[TOTAL BLDGAREA (%)]],tbl_bldgarea[[TOTAL BLDGAREA ]],tbl_bldgarea[QN])/_xlfn.XLOOKUP(tbl_prct_bldgarea_typology[[#This Row],[TOTAL BLDGAREA (%)]],tbl_bldgarea[[TOTAL BLDGAREA ]],tbl_bldgarea[TOTAL])</f>
        <v>0.31719512276920037</v>
      </c>
      <c r="G52" s="854">
        <f>_xlfn.XLOOKUP(tbl_prct_bldgarea_typology[[#This Row],[TOTAL BLDGAREA (%)]],tbl_bldgarea[[TOTAL BLDGAREA ]],tbl_bldgarea[SI])/_xlfn.XLOOKUP(tbl_prct_bldgarea_typology[[#This Row],[TOTAL BLDGAREA (%)]],tbl_bldgarea[[TOTAL BLDGAREA ]],tbl_bldgarea[TOTAL])</f>
        <v>3.3559812879657681E-2</v>
      </c>
      <c r="H52" s="854">
        <f>SUM(tbl_prct_bldgarea_typology[[#This Row],[BX]:[SI]])</f>
        <v>1</v>
      </c>
      <c r="J52" s="847" t="s">
        <v>633</v>
      </c>
      <c r="K52" s="854">
        <f>_xlfn.XLOOKUP(tbl_prct_bldgarea_typology29[[#This Row],[TOTAL BLDGAREA (%)]],tbl_bldgarea27[[TOTAL BLDGAREA ]],tbl_bldgarea27[BX])/_xlfn.XLOOKUP(tbl_prct_bldgarea_typology29[[#This Row],[TOTAL BLDGAREA (%)]],tbl_bldgarea27[[TOTAL BLDGAREA ]],tbl_bldgarea27[TOTAL])</f>
        <v>0.13840159350600623</v>
      </c>
      <c r="L52" s="854">
        <f>_xlfn.XLOOKUP(tbl_prct_bldgarea_typology29[[#This Row],[TOTAL BLDGAREA (%)]],tbl_bldgarea27[[TOTAL BLDGAREA ]],tbl_bldgarea27[BK])/_xlfn.XLOOKUP(tbl_prct_bldgarea_typology29[[#This Row],[TOTAL BLDGAREA (%)]],tbl_bldgarea27[[TOTAL BLDGAREA ]],tbl_bldgarea27[TOTAL])</f>
        <v>0.3718930006587236</v>
      </c>
      <c r="M52" s="854">
        <f>_xlfn.XLOOKUP(tbl_prct_bldgarea_typology29[[#This Row],[TOTAL BLDGAREA (%)]],tbl_bldgarea27[[TOTAL BLDGAREA ]],tbl_bldgarea27[MN])/_xlfn.XLOOKUP(tbl_prct_bldgarea_typology29[[#This Row],[TOTAL BLDGAREA (%)]],tbl_bldgarea27[[TOTAL BLDGAREA ]],tbl_bldgarea27[TOTAL])</f>
        <v>0.12045216358907254</v>
      </c>
      <c r="N52" s="854">
        <f>_xlfn.XLOOKUP(tbl_prct_bldgarea_typology29[[#This Row],[TOTAL BLDGAREA (%)]],tbl_bldgarea27[[TOTAL BLDGAREA ]],tbl_bldgarea27[QN])/_xlfn.XLOOKUP(tbl_prct_bldgarea_typology29[[#This Row],[TOTAL BLDGAREA (%)]],tbl_bldgarea27[[TOTAL BLDGAREA ]],tbl_bldgarea27[TOTAL])</f>
        <v>0.33652854225830792</v>
      </c>
      <c r="O52" s="854">
        <f>_xlfn.XLOOKUP(tbl_prct_bldgarea_typology29[[#This Row],[TOTAL BLDGAREA (%)]],tbl_bldgarea27[[TOTAL BLDGAREA ]],tbl_bldgarea27[SI])/_xlfn.XLOOKUP(tbl_prct_bldgarea_typology29[[#This Row],[TOTAL BLDGAREA (%)]],tbl_bldgarea27[[TOTAL BLDGAREA ]],tbl_bldgarea27[TOTAL])</f>
        <v>3.2724699987889724E-2</v>
      </c>
      <c r="P52" s="854">
        <f>SUM(tbl_prct_bldgarea_typology29[[#This Row],[BX]:[SI]])</f>
        <v>1</v>
      </c>
      <c r="R52" s="847" t="s">
        <v>633</v>
      </c>
      <c r="S52" s="854">
        <f>_xlfn.XLOOKUP(tbl_prct_bldgarea_typology32[[#This Row],[TOTAL BLDGAREA (%)]],tbl_bldgarea30[[TOTAL BLDGAREA ]],tbl_bldgarea30[BX])/_xlfn.XLOOKUP(tbl_prct_bldgarea_typology32[[#This Row],[TOTAL BLDGAREA (%)]],tbl_bldgarea30[[TOTAL BLDGAREA ]],tbl_bldgarea30[TOTAL])</f>
        <v>0.15061960330406468</v>
      </c>
      <c r="T52" s="854">
        <f>_xlfn.XLOOKUP(tbl_prct_bldgarea_typology32[[#This Row],[TOTAL BLDGAREA (%)]],tbl_bldgarea30[[TOTAL BLDGAREA ]],tbl_bldgarea30[BK])/_xlfn.XLOOKUP(tbl_prct_bldgarea_typology32[[#This Row],[TOTAL BLDGAREA (%)]],tbl_bldgarea30[[TOTAL BLDGAREA ]],tbl_bldgarea30[TOTAL])</f>
        <v>0.36207684399763229</v>
      </c>
      <c r="U52" s="854">
        <f>_xlfn.XLOOKUP(tbl_prct_bldgarea_typology32[[#This Row],[TOTAL BLDGAREA (%)]],tbl_bldgarea30[[TOTAL BLDGAREA ]],tbl_bldgarea30[MN])/_xlfn.XLOOKUP(tbl_prct_bldgarea_typology32[[#This Row],[TOTAL BLDGAREA (%)]],tbl_bldgarea30[[TOTAL BLDGAREA ]],tbl_bldgarea30[TOTAL])</f>
        <v>0.10010082495403945</v>
      </c>
      <c r="V52" s="854">
        <f>_xlfn.XLOOKUP(tbl_prct_bldgarea_typology32[[#This Row],[TOTAL BLDGAREA (%)]],tbl_bldgarea30[[TOTAL BLDGAREA ]],tbl_bldgarea30[QN])/_xlfn.XLOOKUP(tbl_prct_bldgarea_typology32[[#This Row],[TOTAL BLDGAREA (%)]],tbl_bldgarea30[[TOTAL BLDGAREA ]],tbl_bldgarea30[TOTAL])</f>
        <v>0.34057378474601385</v>
      </c>
      <c r="W52" s="854">
        <f>_xlfn.XLOOKUP(tbl_prct_bldgarea_typology32[[#This Row],[TOTAL BLDGAREA (%)]],tbl_bldgarea30[[TOTAL BLDGAREA ]],tbl_bldgarea30[SI])/_xlfn.XLOOKUP(tbl_prct_bldgarea_typology32[[#This Row],[TOTAL BLDGAREA (%)]],tbl_bldgarea30[[TOTAL BLDGAREA ]],tbl_bldgarea30[TOTAL])</f>
        <v>4.6628942998249719E-2</v>
      </c>
      <c r="X52" s="854">
        <f>SUM(tbl_prct_bldgarea_typology32[[#This Row],[BX]:[SI]])</f>
        <v>1</v>
      </c>
    </row>
    <row r="53" spans="2:24" ht="14.45">
      <c r="B53" s="847" t="s">
        <v>632</v>
      </c>
      <c r="C53" s="854">
        <f>_xlfn.XLOOKUP(tbl_prct_bldgarea_typology[[#This Row],[TOTAL BLDGAREA (%)]],tbl_bldgarea[[TOTAL BLDGAREA ]],tbl_bldgarea[BX])/_xlfn.XLOOKUP(tbl_prct_bldgarea_typology[[#This Row],[TOTAL BLDGAREA (%)]],tbl_bldgarea[[TOTAL BLDGAREA ]],tbl_bldgarea[TOTAL])</f>
        <v>0.15809428680430043</v>
      </c>
      <c r="D53" s="854">
        <f>_xlfn.XLOOKUP(tbl_prct_bldgarea_typology[[#This Row],[TOTAL BLDGAREA (%)]],tbl_bldgarea[[TOTAL BLDGAREA ]],tbl_bldgarea[BK])/_xlfn.XLOOKUP(tbl_prct_bldgarea_typology[[#This Row],[TOTAL BLDGAREA (%)]],tbl_bldgarea[[TOTAL BLDGAREA ]],tbl_bldgarea[TOTAL])</f>
        <v>0.27053080381956768</v>
      </c>
      <c r="E53" s="854">
        <f>_xlfn.XLOOKUP(tbl_prct_bldgarea_typology[[#This Row],[TOTAL BLDGAREA (%)]],tbl_bldgarea[[TOTAL BLDGAREA ]],tbl_bldgarea[MN])/_xlfn.XLOOKUP(tbl_prct_bldgarea_typology[[#This Row],[TOTAL BLDGAREA (%)]],tbl_bldgarea[[TOTAL BLDGAREA ]],tbl_bldgarea[TOTAL])</f>
        <v>0.31018275555631314</v>
      </c>
      <c r="F53" s="854">
        <f>_xlfn.XLOOKUP(tbl_prct_bldgarea_typology[[#This Row],[TOTAL BLDGAREA (%)]],tbl_bldgarea[[TOTAL BLDGAREA ]],tbl_bldgarea[QN])/_xlfn.XLOOKUP(tbl_prct_bldgarea_typology[[#This Row],[TOTAL BLDGAREA (%)]],tbl_bldgarea[[TOTAL BLDGAREA ]],tbl_bldgarea[TOTAL])</f>
        <v>0.16800234122563265</v>
      </c>
      <c r="G53" s="854">
        <f>_xlfn.XLOOKUP(tbl_prct_bldgarea_typology[[#This Row],[TOTAL BLDGAREA (%)]],tbl_bldgarea[[TOTAL BLDGAREA ]],tbl_bldgarea[SI])/_xlfn.XLOOKUP(tbl_prct_bldgarea_typology[[#This Row],[TOTAL BLDGAREA (%)]],tbl_bldgarea[[TOTAL BLDGAREA ]],tbl_bldgarea[TOTAL])</f>
        <v>9.31898125941861E-2</v>
      </c>
      <c r="H53" s="854">
        <f>SUM(tbl_prct_bldgarea_typology[[#This Row],[BX]:[SI]])</f>
        <v>1</v>
      </c>
      <c r="J53" s="847" t="s">
        <v>632</v>
      </c>
      <c r="K53" s="854">
        <f>_xlfn.XLOOKUP(tbl_prct_bldgarea_typology29[[#This Row],[TOTAL BLDGAREA (%)]],tbl_bldgarea27[[TOTAL BLDGAREA ]],tbl_bldgarea27[BX])/_xlfn.XLOOKUP(tbl_prct_bldgarea_typology29[[#This Row],[TOTAL BLDGAREA (%)]],tbl_bldgarea27[[TOTAL BLDGAREA ]],tbl_bldgarea27[TOTAL])</f>
        <v>0.15830824236113636</v>
      </c>
      <c r="L53" s="854">
        <f>_xlfn.XLOOKUP(tbl_prct_bldgarea_typology29[[#This Row],[TOTAL BLDGAREA (%)]],tbl_bldgarea27[[TOTAL BLDGAREA ]],tbl_bldgarea27[BK])/_xlfn.XLOOKUP(tbl_prct_bldgarea_typology29[[#This Row],[TOTAL BLDGAREA (%)]],tbl_bldgarea27[[TOTAL BLDGAREA ]],tbl_bldgarea27[TOTAL])</f>
        <v>0.27031434578824326</v>
      </c>
      <c r="M53" s="854">
        <f>_xlfn.XLOOKUP(tbl_prct_bldgarea_typology29[[#This Row],[TOTAL BLDGAREA (%)]],tbl_bldgarea27[[TOTAL BLDGAREA ]],tbl_bldgarea27[MN])/_xlfn.XLOOKUP(tbl_prct_bldgarea_typology29[[#This Row],[TOTAL BLDGAREA (%)]],tbl_bldgarea27[[TOTAL BLDGAREA ]],tbl_bldgarea27[TOTAL])</f>
        <v>0.30696800789318046</v>
      </c>
      <c r="N53" s="854">
        <f>_xlfn.XLOOKUP(tbl_prct_bldgarea_typology29[[#This Row],[TOTAL BLDGAREA (%)]],tbl_bldgarea27[[TOTAL BLDGAREA ]],tbl_bldgarea27[QN])/_xlfn.XLOOKUP(tbl_prct_bldgarea_typology29[[#This Row],[TOTAL BLDGAREA (%)]],tbl_bldgarea27[[TOTAL BLDGAREA ]],tbl_bldgarea27[TOTAL])</f>
        <v>0.17237003292335557</v>
      </c>
      <c r="O53" s="854">
        <f>_xlfn.XLOOKUP(tbl_prct_bldgarea_typology29[[#This Row],[TOTAL BLDGAREA (%)]],tbl_bldgarea27[[TOTAL BLDGAREA ]],tbl_bldgarea27[SI])/_xlfn.XLOOKUP(tbl_prct_bldgarea_typology29[[#This Row],[TOTAL BLDGAREA (%)]],tbl_bldgarea27[[TOTAL BLDGAREA ]],tbl_bldgarea27[TOTAL])</f>
        <v>9.2039371034084341E-2</v>
      </c>
      <c r="P53" s="854">
        <f>SUM(tbl_prct_bldgarea_typology29[[#This Row],[BX]:[SI]])</f>
        <v>1</v>
      </c>
      <c r="R53" s="847" t="s">
        <v>632</v>
      </c>
      <c r="S53" s="854">
        <f>_xlfn.XLOOKUP(tbl_prct_bldgarea_typology32[[#This Row],[TOTAL BLDGAREA (%)]],tbl_bldgarea30[[TOTAL BLDGAREA ]],tbl_bldgarea30[BX])/_xlfn.XLOOKUP(tbl_prct_bldgarea_typology32[[#This Row],[TOTAL BLDGAREA (%)]],tbl_bldgarea30[[TOTAL BLDGAREA ]],tbl_bldgarea30[TOTAL])</f>
        <v>0.16209739733521888</v>
      </c>
      <c r="T53" s="854">
        <f>_xlfn.XLOOKUP(tbl_prct_bldgarea_typology32[[#This Row],[TOTAL BLDGAREA (%)]],tbl_bldgarea30[[TOTAL BLDGAREA ]],tbl_bldgarea30[BK])/_xlfn.XLOOKUP(tbl_prct_bldgarea_typology32[[#This Row],[TOTAL BLDGAREA (%)]],tbl_bldgarea30[[TOTAL BLDGAREA ]],tbl_bldgarea30[TOTAL])</f>
        <v>0.27955897801408602</v>
      </c>
      <c r="U53" s="854">
        <f>_xlfn.XLOOKUP(tbl_prct_bldgarea_typology32[[#This Row],[TOTAL BLDGAREA (%)]],tbl_bldgarea30[[TOTAL BLDGAREA ]],tbl_bldgarea30[MN])/_xlfn.XLOOKUP(tbl_prct_bldgarea_typology32[[#This Row],[TOTAL BLDGAREA (%)]],tbl_bldgarea30[[TOTAL BLDGAREA ]],tbl_bldgarea30[TOTAL])</f>
        <v>0.33997287301145535</v>
      </c>
      <c r="V53" s="854">
        <f>_xlfn.XLOOKUP(tbl_prct_bldgarea_typology32[[#This Row],[TOTAL BLDGAREA (%)]],tbl_bldgarea30[[TOTAL BLDGAREA ]],tbl_bldgarea30[QN])/_xlfn.XLOOKUP(tbl_prct_bldgarea_typology32[[#This Row],[TOTAL BLDGAREA (%)]],tbl_bldgarea30[[TOTAL BLDGAREA ]],tbl_bldgarea30[TOTAL])</f>
        <v>0.17235875914257801</v>
      </c>
      <c r="W53" s="854">
        <f>_xlfn.XLOOKUP(tbl_prct_bldgarea_typology32[[#This Row],[TOTAL BLDGAREA (%)]],tbl_bldgarea30[[TOTAL BLDGAREA ]],tbl_bldgarea30[SI])/_xlfn.XLOOKUP(tbl_prct_bldgarea_typology32[[#This Row],[TOTAL BLDGAREA (%)]],tbl_bldgarea30[[TOTAL BLDGAREA ]],tbl_bldgarea30[TOTAL])</f>
        <v>4.6011992496661762E-2</v>
      </c>
      <c r="X53" s="854">
        <f>SUM(tbl_prct_bldgarea_typology32[[#This Row],[BX]:[SI]])</f>
        <v>1</v>
      </c>
    </row>
    <row r="54" spans="2:24" ht="15" thickBot="1">
      <c r="B54" s="852" t="s">
        <v>630</v>
      </c>
      <c r="C54" s="855">
        <f>_xlfn.XLOOKUP(tbl_prct_bldgarea_typology[[#This Row],[TOTAL BLDGAREA (%)]],tbl_bldgarea[[TOTAL BLDGAREA ]],tbl_bldgarea[BX])/_xlfn.XLOOKUP(tbl_prct_bldgarea_typology[[#This Row],[TOTAL BLDGAREA (%)]],tbl_bldgarea[[TOTAL BLDGAREA ]],tbl_bldgarea[TOTAL])</f>
        <v>0.16700667280645995</v>
      </c>
      <c r="D54" s="855">
        <f>_xlfn.XLOOKUP(tbl_prct_bldgarea_typology[[#This Row],[TOTAL BLDGAREA (%)]],tbl_bldgarea[[TOTAL BLDGAREA ]],tbl_bldgarea[BK])/_xlfn.XLOOKUP(tbl_prct_bldgarea_typology[[#This Row],[TOTAL BLDGAREA (%)]],tbl_bldgarea[[TOTAL BLDGAREA ]],tbl_bldgarea[TOTAL])</f>
        <v>0.28178703301965385</v>
      </c>
      <c r="E54" s="855">
        <f>_xlfn.XLOOKUP(tbl_prct_bldgarea_typology[[#This Row],[TOTAL BLDGAREA (%)]],tbl_bldgarea[[TOTAL BLDGAREA ]],tbl_bldgarea[MN])/_xlfn.XLOOKUP(tbl_prct_bldgarea_typology[[#This Row],[TOTAL BLDGAREA (%)]],tbl_bldgarea[[TOTAL BLDGAREA ]],tbl_bldgarea[TOTAL])</f>
        <v>0.36442753007154072</v>
      </c>
      <c r="F54" s="855">
        <f>_xlfn.XLOOKUP(tbl_prct_bldgarea_typology[[#This Row],[TOTAL BLDGAREA (%)]],tbl_bldgarea[[TOTAL BLDGAREA ]],tbl_bldgarea[QN])/_xlfn.XLOOKUP(tbl_prct_bldgarea_typology[[#This Row],[TOTAL BLDGAREA (%)]],tbl_bldgarea[[TOTAL BLDGAREA ]],tbl_bldgarea[TOTAL])</f>
        <v>0.17250519059735817</v>
      </c>
      <c r="G54" s="855">
        <f>_xlfn.XLOOKUP(tbl_prct_bldgarea_typology[[#This Row],[TOTAL BLDGAREA (%)]],tbl_bldgarea[[TOTAL BLDGAREA ]],tbl_bldgarea[SI])/_xlfn.XLOOKUP(tbl_prct_bldgarea_typology[[#This Row],[TOTAL BLDGAREA (%)]],tbl_bldgarea[[TOTAL BLDGAREA ]],tbl_bldgarea[TOTAL])</f>
        <v>1.4273573504987305E-2</v>
      </c>
      <c r="H54" s="855">
        <f>SUM(tbl_prct_bldgarea_typology[[#This Row],[BX]:[SI]])</f>
        <v>0.99999999999999989</v>
      </c>
      <c r="J54" s="852" t="s">
        <v>630</v>
      </c>
      <c r="K54" s="855">
        <f>_xlfn.XLOOKUP(tbl_prct_bldgarea_typology29[[#This Row],[TOTAL BLDGAREA (%)]],tbl_bldgarea27[[TOTAL BLDGAREA ]],tbl_bldgarea27[BX])/_xlfn.XLOOKUP(tbl_prct_bldgarea_typology29[[#This Row],[TOTAL BLDGAREA (%)]],tbl_bldgarea27[[TOTAL BLDGAREA ]],tbl_bldgarea27[TOTAL])</f>
        <v>0.16584000124522563</v>
      </c>
      <c r="L54" s="855">
        <f>_xlfn.XLOOKUP(tbl_prct_bldgarea_typology29[[#This Row],[TOTAL BLDGAREA (%)]],tbl_bldgarea27[[TOTAL BLDGAREA ]],tbl_bldgarea27[BK])/_xlfn.XLOOKUP(tbl_prct_bldgarea_typology29[[#This Row],[TOTAL BLDGAREA (%)]],tbl_bldgarea27[[TOTAL BLDGAREA ]],tbl_bldgarea27[TOTAL])</f>
        <v>0.2828828303045553</v>
      </c>
      <c r="M54" s="855">
        <f>_xlfn.XLOOKUP(tbl_prct_bldgarea_typology29[[#This Row],[TOTAL BLDGAREA (%)]],tbl_bldgarea27[[TOTAL BLDGAREA ]],tbl_bldgarea27[MN])/_xlfn.XLOOKUP(tbl_prct_bldgarea_typology29[[#This Row],[TOTAL BLDGAREA (%)]],tbl_bldgarea27[[TOTAL BLDGAREA ]],tbl_bldgarea27[TOTAL])</f>
        <v>0.36232106081867588</v>
      </c>
      <c r="N54" s="855">
        <f>_xlfn.XLOOKUP(tbl_prct_bldgarea_typology29[[#This Row],[TOTAL BLDGAREA (%)]],tbl_bldgarea27[[TOTAL BLDGAREA ]],tbl_bldgarea27[QN])/_xlfn.XLOOKUP(tbl_prct_bldgarea_typology29[[#This Row],[TOTAL BLDGAREA (%)]],tbl_bldgarea27[[TOTAL BLDGAREA ]],tbl_bldgarea27[TOTAL])</f>
        <v>0.17466273355767045</v>
      </c>
      <c r="O54" s="855">
        <f>_xlfn.XLOOKUP(tbl_prct_bldgarea_typology29[[#This Row],[TOTAL BLDGAREA (%)]],tbl_bldgarea27[[TOTAL BLDGAREA ]],tbl_bldgarea27[SI])/_xlfn.XLOOKUP(tbl_prct_bldgarea_typology29[[#This Row],[TOTAL BLDGAREA (%)]],tbl_bldgarea27[[TOTAL BLDGAREA ]],tbl_bldgarea27[TOTAL])</f>
        <v>1.4293374073872711E-2</v>
      </c>
      <c r="P54" s="855">
        <f>SUM(tbl_prct_bldgarea_typology29[[#This Row],[BX]:[SI]])</f>
        <v>1</v>
      </c>
      <c r="R54" s="852" t="s">
        <v>630</v>
      </c>
      <c r="S54" s="855">
        <f>_xlfn.XLOOKUP(tbl_prct_bldgarea_typology32[[#This Row],[TOTAL BLDGAREA (%)]],tbl_bldgarea30[[TOTAL BLDGAREA ]],tbl_bldgarea30[BX])/_xlfn.XLOOKUP(tbl_prct_bldgarea_typology32[[#This Row],[TOTAL BLDGAREA (%)]],tbl_bldgarea30[[TOTAL BLDGAREA ]],tbl_bldgarea30[TOTAL])</f>
        <v>0.16653861919622232</v>
      </c>
      <c r="T54" s="855">
        <f>_xlfn.XLOOKUP(tbl_prct_bldgarea_typology32[[#This Row],[TOTAL BLDGAREA (%)]],tbl_bldgarea30[[TOTAL BLDGAREA ]],tbl_bldgarea30[BK])/_xlfn.XLOOKUP(tbl_prct_bldgarea_typology32[[#This Row],[TOTAL BLDGAREA (%)]],tbl_bldgarea30[[TOTAL BLDGAREA ]],tbl_bldgarea30[TOTAL])</f>
        <v>0.28630464229858116</v>
      </c>
      <c r="U54" s="855">
        <f>_xlfn.XLOOKUP(tbl_prct_bldgarea_typology32[[#This Row],[TOTAL BLDGAREA (%)]],tbl_bldgarea30[[TOTAL BLDGAREA ]],tbl_bldgarea30[MN])/_xlfn.XLOOKUP(tbl_prct_bldgarea_typology32[[#This Row],[TOTAL BLDGAREA (%)]],tbl_bldgarea30[[TOTAL BLDGAREA ]],tbl_bldgarea30[TOTAL])</f>
        <v>0.35925130111495834</v>
      </c>
      <c r="V54" s="855">
        <f>_xlfn.XLOOKUP(tbl_prct_bldgarea_typology32[[#This Row],[TOTAL BLDGAREA (%)]],tbl_bldgarea30[[TOTAL BLDGAREA ]],tbl_bldgarea30[QN])/_xlfn.XLOOKUP(tbl_prct_bldgarea_typology32[[#This Row],[TOTAL BLDGAREA (%)]],tbl_bldgarea30[[TOTAL BLDGAREA ]],tbl_bldgarea30[TOTAL])</f>
        <v>0.17430708829971675</v>
      </c>
      <c r="W54" s="855">
        <f>_xlfn.XLOOKUP(tbl_prct_bldgarea_typology32[[#This Row],[TOTAL BLDGAREA (%)]],tbl_bldgarea30[[TOTAL BLDGAREA ]],tbl_bldgarea30[SI])/_xlfn.XLOOKUP(tbl_prct_bldgarea_typology32[[#This Row],[TOTAL BLDGAREA (%)]],tbl_bldgarea30[[TOTAL BLDGAREA ]],tbl_bldgarea30[TOTAL])</f>
        <v>1.3598349090521426E-2</v>
      </c>
      <c r="X54" s="855">
        <f>SUM(tbl_prct_bldgarea_typology32[[#This Row],[BX]:[SI]])</f>
        <v>0.99999999999999989</v>
      </c>
    </row>
    <row r="55" spans="2:24">
      <c r="B55" s="331" t="s">
        <v>1114</v>
      </c>
      <c r="C55"/>
      <c r="D55"/>
      <c r="E55"/>
      <c r="F55"/>
      <c r="G55"/>
      <c r="H55"/>
      <c r="J55" s="331" t="s">
        <v>1115</v>
      </c>
      <c r="K55"/>
      <c r="L55"/>
      <c r="M55"/>
      <c r="N55"/>
      <c r="O55"/>
      <c r="P55"/>
      <c r="R55" s="331" t="s">
        <v>1116</v>
      </c>
      <c r="S55"/>
      <c r="T55"/>
      <c r="U55"/>
      <c r="V55"/>
      <c r="W55"/>
      <c r="X55"/>
    </row>
    <row r="56" spans="2:24">
      <c r="B56" s="331" t="s">
        <v>1112</v>
      </c>
      <c r="C56" s="331"/>
      <c r="D56" s="331"/>
      <c r="E56" s="331"/>
      <c r="F56" s="331"/>
      <c r="G56" s="331"/>
      <c r="H56" s="331"/>
      <c r="J56" s="331" t="s">
        <v>1112</v>
      </c>
      <c r="K56" s="331"/>
      <c r="L56" s="331"/>
      <c r="M56" s="331"/>
      <c r="N56" s="331"/>
      <c r="O56" s="331"/>
      <c r="P56" s="331"/>
      <c r="R56" s="331" t="s">
        <v>1112</v>
      </c>
      <c r="S56" s="331"/>
      <c r="T56" s="331"/>
      <c r="U56" s="331"/>
      <c r="V56" s="331"/>
      <c r="W56" s="331"/>
      <c r="X56" s="331"/>
    </row>
    <row r="58" spans="2:24" ht="14.45" thickBot="1">
      <c r="B58" s="858" t="s">
        <v>1113</v>
      </c>
      <c r="C58" s="858" t="s">
        <v>641</v>
      </c>
      <c r="D58" s="858" t="s">
        <v>640</v>
      </c>
      <c r="E58" s="858" t="s">
        <v>642</v>
      </c>
      <c r="F58" s="858" t="s">
        <v>643</v>
      </c>
      <c r="G58" s="858" t="s">
        <v>644</v>
      </c>
      <c r="H58" s="858" t="s">
        <v>634</v>
      </c>
      <c r="J58" s="858" t="s">
        <v>1113</v>
      </c>
      <c r="K58" s="858" t="s">
        <v>641</v>
      </c>
      <c r="L58" s="858" t="s">
        <v>640</v>
      </c>
      <c r="M58" s="858" t="s">
        <v>642</v>
      </c>
      <c r="N58" s="858" t="s">
        <v>643</v>
      </c>
      <c r="O58" s="858" t="s">
        <v>644</v>
      </c>
      <c r="P58" s="858" t="s">
        <v>634</v>
      </c>
      <c r="R58" s="858" t="s">
        <v>1113</v>
      </c>
      <c r="S58" s="858" t="s">
        <v>641</v>
      </c>
      <c r="T58" s="858" t="s">
        <v>640</v>
      </c>
      <c r="U58" s="858" t="s">
        <v>642</v>
      </c>
      <c r="V58" s="858" t="s">
        <v>643</v>
      </c>
      <c r="W58" s="858" t="s">
        <v>644</v>
      </c>
      <c r="X58" s="858" t="s">
        <v>634</v>
      </c>
    </row>
    <row r="59" spans="2:24" ht="14.45">
      <c r="B59" s="847" t="s">
        <v>629</v>
      </c>
      <c r="C59" s="854">
        <f>SUMIF(tbl_pluto_2010[BldgArea 2010],"*"&amp;tbl_prct_bldgarea_borough[[#This Row],[TOTAL BLDGAREA (%)]]&amp;"*",tbl_pluto_2010[BX])/C$35</f>
        <v>0.15717910620305062</v>
      </c>
      <c r="D59" s="854">
        <f>SUMIF(tbl_pluto_2010[BldgArea 2010],"*"&amp;tbl_prct_bldgarea_borough[[#This Row],[TOTAL BLDGAREA (%)]]&amp;"*",tbl_pluto_2010[BK])/D$35</f>
        <v>0.24887196488379165</v>
      </c>
      <c r="E59" s="854">
        <f>SUMIF(tbl_pluto_2010[BldgArea 2010],"*"&amp;tbl_prct_bldgarea_borough[[#This Row],[TOTAL BLDGAREA (%)]]&amp;"*",tbl_pluto_2010[MN])/E$35</f>
        <v>8.9245313061580497E-3</v>
      </c>
      <c r="F59" s="854">
        <f>SUMIF(tbl_pluto_2010[BldgArea 2010],"*"&amp;tbl_prct_bldgarea_borough[[#This Row],[TOTAL BLDGAREA (%)]]&amp;"*",tbl_pluto_2010[QN])/F$35</f>
        <v>0.38562910719079868</v>
      </c>
      <c r="G59" s="854">
        <f>SUMIF(tbl_pluto_2010[BldgArea 2010],"*"&amp;tbl_prct_bldgarea_borough[[#This Row],[TOTAL BLDGAREA (%)]]&amp;"*",tbl_pluto_2010[SI])/G$35</f>
        <v>0.62494609951471081</v>
      </c>
      <c r="H59" s="854">
        <f>SUMIF(tbl_pluto_2010[BldgArea 2010],"*"&amp;tbl_prct_bldgarea_borough[[#This Row],[TOTAL BLDGAREA (%)]]&amp;"*",tbl_pluto_2010[TOTAL])/H$35</f>
        <v>0.21006778504971146</v>
      </c>
      <c r="J59" s="847" t="s">
        <v>629</v>
      </c>
      <c r="K59" s="854">
        <f>SUMIF(tbl_pluto_2015[BldgArea 2015],"*"&amp;tbl_prct_bldgarea_borough28[[#This Row],[TOTAL BLDGAREA (%)]]&amp;"*",tbl_pluto_2015[BX])/K$35</f>
        <v>0.15498264265426026</v>
      </c>
      <c r="L59" s="854">
        <f>SUMIF(tbl_pluto_2015[BldgArea 2015],"*"&amp;tbl_prct_bldgarea_borough28[[#This Row],[TOTAL BLDGAREA (%)]]&amp;"*",tbl_pluto_2015[BK])/L$35</f>
        <v>0.24594826345589663</v>
      </c>
      <c r="M59" s="854">
        <f>SUMIF(tbl_pluto_2015[BldgArea 2015],"*"&amp;tbl_prct_bldgarea_borough28[[#This Row],[TOTAL BLDGAREA (%)]]&amp;"*",tbl_pluto_2015[MN])/M$35</f>
        <v>1.0011523446559379E-2</v>
      </c>
      <c r="N59" s="854">
        <f>SUMIF(tbl_pluto_2015[BldgArea 2015],"*"&amp;tbl_prct_bldgarea_borough28[[#This Row],[TOTAL BLDGAREA (%)]]&amp;"*",tbl_pluto_2015[QN])/N$35</f>
        <v>0.3813113724975245</v>
      </c>
      <c r="O59" s="854">
        <f>SUMIF(tbl_pluto_2015[BldgArea 2015],"*"&amp;tbl_prct_bldgarea_borough28[[#This Row],[TOTAL BLDGAREA (%)]]&amp;"*",tbl_pluto_2015[SI])/O$35</f>
        <v>0.62878426267125309</v>
      </c>
      <c r="P59" s="854">
        <f>SUMIF(tbl_pluto_2015[BldgArea 2015],"*"&amp;tbl_prct_bldgarea_borough28[[#This Row],[TOTAL BLDGAREA (%)]]&amp;"*",tbl_pluto_2015[TOTAL])/P$35</f>
        <v>0.21278773024864328</v>
      </c>
      <c r="R59" s="847" t="s">
        <v>629</v>
      </c>
      <c r="S59" s="854">
        <f>SUMIF(tbl_pluto_2020[BldgArea 2020],"*"&amp;tbl_prct_bldgarea_borough31[[#This Row],[TOTAL BLDGAREA (%)]]&amp;"*",tbl_pluto_2020[BX])/S$35</f>
        <v>0.14438843009538158</v>
      </c>
      <c r="T59" s="854">
        <f>SUMIF(tbl_pluto_2020[BldgArea 2020],"*"&amp;tbl_prct_bldgarea_borough31[[#This Row],[TOTAL BLDGAREA (%)]]&amp;"*",tbl_pluto_2020[BK])/T$35</f>
        <v>0.22625569109863164</v>
      </c>
      <c r="U59" s="854">
        <f>SUMIF(tbl_pluto_2020[BldgArea 2020],"*"&amp;tbl_prct_bldgarea_borough31[[#This Row],[TOTAL BLDGAREA (%)]]&amp;"*",tbl_pluto_2020[MN])/U$35</f>
        <v>9.709862336473269E-3</v>
      </c>
      <c r="V59" s="854">
        <f>SUMIF(tbl_pluto_2020[BldgArea 2020],"*"&amp;tbl_prct_bldgarea_borough31[[#This Row],[TOTAL BLDGAREA (%)]]&amp;"*",tbl_pluto_2020[QN])/V$35</f>
        <v>0.35982133532430172</v>
      </c>
      <c r="W59" s="854">
        <f>SUMIF(tbl_pluto_2020[BldgArea 2020],"*"&amp;tbl_prct_bldgarea_borough31[[#This Row],[TOTAL BLDGAREA (%)]]&amp;"*",tbl_pluto_2020[SI])/W$35</f>
        <v>0.65737365132667724</v>
      </c>
      <c r="X59" s="854">
        <f>SUMIF(tbl_pluto_2020[BldgArea 2020],"*"&amp;tbl_prct_bldgarea_borough31[[#This Row],[TOTAL BLDGAREA (%)]]&amp;"*",tbl_pluto_2020[TOTAL])/X$35</f>
        <v>0.19600034877278749</v>
      </c>
    </row>
    <row r="60" spans="2:24" ht="14.45">
      <c r="B60" s="847" t="s">
        <v>631</v>
      </c>
      <c r="C60" s="854">
        <f>SUMIF(tbl_pluto_2010[BldgArea 2010],"*"&amp;tbl_prct_bldgarea_borough[[#This Row],[TOTAL BLDGAREA (%)]]&amp;"*",tbl_pluto_2010[BX])/C$35</f>
        <v>5.5639994940128355E-2</v>
      </c>
      <c r="D60" s="854">
        <f>SUMIF(tbl_pluto_2010[BldgArea 2010],"*"&amp;tbl_prct_bldgarea_borough[[#This Row],[TOTAL BLDGAREA (%)]]&amp;"*",tbl_pluto_2010[BK])/D$35</f>
        <v>5.99702081324738E-2</v>
      </c>
      <c r="E60" s="854">
        <f>SUMIF(tbl_pluto_2010[BldgArea 2010],"*"&amp;tbl_prct_bldgarea_borough[[#This Row],[TOTAL BLDGAREA (%)]]&amp;"*",tbl_pluto_2010[MN])/E$35</f>
        <v>0.35415093658617569</v>
      </c>
      <c r="F60" s="854">
        <f>SUMIF(tbl_pluto_2010[BldgArea 2010],"*"&amp;tbl_prct_bldgarea_borough[[#This Row],[TOTAL BLDGAREA (%)]]&amp;"*",tbl_pluto_2010[QN])/F$35</f>
        <v>7.7135218454951499E-2</v>
      </c>
      <c r="G60" s="854">
        <f>SUMIF(tbl_pluto_2010[BldgArea 2010],"*"&amp;tbl_prct_bldgarea_borough[[#This Row],[TOTAL BLDGAREA (%)]]&amp;"*",tbl_pluto_2010[SI])/G$35</f>
        <v>6.495766560369523E-2</v>
      </c>
      <c r="H60" s="854">
        <f>SUMIF(tbl_pluto_2010[BldgArea 2010],"*"&amp;tbl_prct_bldgarea_borough[[#This Row],[TOTAL BLDGAREA (%)]]&amp;"*",tbl_pluto_2010[TOTAL])/H$35</f>
        <v>0.16032913689450917</v>
      </c>
      <c r="J60" s="847" t="s">
        <v>631</v>
      </c>
      <c r="K60" s="854">
        <f>SUMIF(tbl_pluto_2015[BldgArea 2015],"*"&amp;tbl_prct_bldgarea_borough28[[#This Row],[TOTAL BLDGAREA (%)]]&amp;"*",tbl_pluto_2015[BX])/K$35</f>
        <v>5.7663314624762881E-2</v>
      </c>
      <c r="L60" s="854">
        <f>SUMIF(tbl_pluto_2015[BldgArea 2015],"*"&amp;tbl_prct_bldgarea_borough28[[#This Row],[TOTAL BLDGAREA (%)]]&amp;"*",tbl_pluto_2015[BK])/L$35</f>
        <v>6.096285713420458E-2</v>
      </c>
      <c r="M60" s="854">
        <f>SUMIF(tbl_pluto_2015[BldgArea 2015],"*"&amp;tbl_prct_bldgarea_borough28[[#This Row],[TOTAL BLDGAREA (%)]]&amp;"*",tbl_pluto_2015[MN])/M$35</f>
        <v>0.31656249685524862</v>
      </c>
      <c r="N60" s="854">
        <f>SUMIF(tbl_pluto_2015[BldgArea 2015],"*"&amp;tbl_prct_bldgarea_borough28[[#This Row],[TOTAL BLDGAREA (%)]]&amp;"*",tbl_pluto_2015[QN])/N$35</f>
        <v>7.2870314474739073E-2</v>
      </c>
      <c r="O60" s="854">
        <f>SUMIF(tbl_pluto_2015[BldgArea 2015],"*"&amp;tbl_prct_bldgarea_borough28[[#This Row],[TOTAL BLDGAREA (%)]]&amp;"*",tbl_pluto_2015[SI])/O$35</f>
        <v>6.3541173340044083E-2</v>
      </c>
      <c r="P60" s="854">
        <f>SUMIF(tbl_pluto_2015[BldgArea 2015],"*"&amp;tbl_prct_bldgarea_borough28[[#This Row],[TOTAL BLDGAREA (%)]]&amp;"*",tbl_pluto_2015[TOTAL])/P$35</f>
        <v>0.14395953022523225</v>
      </c>
      <c r="R60" s="847" t="s">
        <v>631</v>
      </c>
      <c r="S60" s="854">
        <f>SUMIF(tbl_pluto_2020[BldgArea 2020],"*"&amp;tbl_prct_bldgarea_borough31[[#This Row],[TOTAL BLDGAREA (%)]]&amp;"*",tbl_pluto_2020[BX])/S$35</f>
        <v>6.3511893887330931E-2</v>
      </c>
      <c r="T60" s="854">
        <f>SUMIF(tbl_pluto_2020[BldgArea 2020],"*"&amp;tbl_prct_bldgarea_borough31[[#This Row],[TOTAL BLDGAREA (%)]]&amp;"*",tbl_pluto_2020[BK])/T$35</f>
        <v>7.5847537950193361E-2</v>
      </c>
      <c r="U60" s="854">
        <f>SUMIF(tbl_pluto_2020[BldgArea 2020],"*"&amp;tbl_prct_bldgarea_borough31[[#This Row],[TOTAL BLDGAREA (%)]]&amp;"*",tbl_pluto_2020[MN])/U$35</f>
        <v>0.34373100655165328</v>
      </c>
      <c r="V60" s="854">
        <f>SUMIF(tbl_pluto_2020[BldgArea 2020],"*"&amp;tbl_prct_bldgarea_borough31[[#This Row],[TOTAL BLDGAREA (%)]]&amp;"*",tbl_pluto_2020[QN])/V$35</f>
        <v>9.1475688525036805E-2</v>
      </c>
      <c r="W60" s="854">
        <f>SUMIF(tbl_pluto_2020[BldgArea 2020],"*"&amp;tbl_prct_bldgarea_borough31[[#This Row],[TOTAL BLDGAREA (%)]]&amp;"*",tbl_pluto_2020[SI])/W$35</f>
        <v>8.0098725727297593E-2</v>
      </c>
      <c r="X60" s="854">
        <f>SUMIF(tbl_pluto_2020[BldgArea 2020],"*"&amp;tbl_prct_bldgarea_borough31[[#This Row],[TOTAL BLDGAREA (%)]]&amp;"*",tbl_pluto_2020[TOTAL])/X$35</f>
        <v>0.16605348296201994</v>
      </c>
    </row>
    <row r="61" spans="2:24" ht="14.45">
      <c r="B61" s="847" t="s">
        <v>633</v>
      </c>
      <c r="C61" s="854">
        <f>SUMIF(tbl_pluto_2010[BldgArea 2010],"*"&amp;tbl_prct_bldgarea_borough[[#This Row],[TOTAL BLDGAREA (%)]]&amp;"*",tbl_pluto_2010[BX])/C$35</f>
        <v>6.3860272917490524E-2</v>
      </c>
      <c r="D61" s="854">
        <f>SUMIF(tbl_pluto_2010[BldgArea 2010],"*"&amp;tbl_prct_bldgarea_borough[[#This Row],[TOTAL BLDGAREA (%)]]&amp;"*",tbl_pluto_2010[BK])/D$35</f>
        <v>9.0305927827310797E-2</v>
      </c>
      <c r="E61" s="854">
        <f>SUMIF(tbl_pluto_2010[BldgArea 2010],"*"&amp;tbl_prct_bldgarea_borough[[#This Row],[TOTAL BLDGAREA (%)]]&amp;"*",tbl_pluto_2010[MN])/E$35</f>
        <v>2.7019041128255771E-2</v>
      </c>
      <c r="F61" s="854">
        <f>SUMIF(tbl_pluto_2010[BldgArea 2010],"*"&amp;tbl_prct_bldgarea_borough[[#This Row],[TOTAL BLDGAREA (%)]]&amp;"*",tbl_pluto_2010[QN])/F$35</f>
        <v>9.1726258703841837E-2</v>
      </c>
      <c r="G61" s="854">
        <f>SUMIF(tbl_pluto_2010[BldgArea 2010],"*"&amp;tbl_prct_bldgarea_borough[[#This Row],[TOTAL BLDGAREA (%)]]&amp;"*",tbl_pluto_2010[SI])/G$35</f>
        <v>3.5831772219096412E-2</v>
      </c>
      <c r="H61" s="854">
        <f>SUMIF(tbl_pluto_2010[BldgArea 2010],"*"&amp;tbl_prct_bldgarea_borough[[#This Row],[TOTAL BLDGAREA (%)]]&amp;"*",tbl_pluto_2010[TOTAL])/H$35</f>
        <v>6.3128595988453232E-2</v>
      </c>
      <c r="J61" s="847" t="s">
        <v>633</v>
      </c>
      <c r="K61" s="854">
        <f>SUMIF(tbl_pluto_2015[BldgArea 2015],"*"&amp;tbl_prct_bldgarea_borough28[[#This Row],[TOTAL BLDGAREA (%)]]&amp;"*",tbl_pluto_2015[BX])/K$35</f>
        <v>6.4176751015647251E-2</v>
      </c>
      <c r="L61" s="854">
        <f>SUMIF(tbl_pluto_2015[BldgArea 2015],"*"&amp;tbl_prct_bldgarea_borough28[[#This Row],[TOTAL BLDGAREA (%)]]&amp;"*",tbl_pluto_2015[BK])/L$35</f>
        <v>8.4993587985595656E-2</v>
      </c>
      <c r="M61" s="854">
        <f>SUMIF(tbl_pluto_2015[BldgArea 2015],"*"&amp;tbl_prct_bldgarea_borough28[[#This Row],[TOTAL BLDGAREA (%)]]&amp;"*",tbl_pluto_2015[MN])/M$35</f>
        <v>2.3436485843044717E-2</v>
      </c>
      <c r="N61" s="854">
        <f>SUMIF(tbl_pluto_2015[BldgArea 2015],"*"&amp;tbl_prct_bldgarea_borough28[[#This Row],[TOTAL BLDGAREA (%)]]&amp;"*",tbl_pluto_2015[QN])/N$35</f>
        <v>9.2361294929618851E-2</v>
      </c>
      <c r="O61" s="854">
        <f>SUMIF(tbl_pluto_2015[BldgArea 2015],"*"&amp;tbl_prct_bldgarea_borough28[[#This Row],[TOTAL BLDGAREA (%)]]&amp;"*",tbl_pluto_2015[SI])/O$35</f>
        <v>3.3390452678714815E-2</v>
      </c>
      <c r="P61" s="854">
        <f>SUMIF(tbl_pluto_2015[BldgArea 2015],"*"&amp;tbl_prct_bldgarea_borough28[[#This Row],[TOTAL BLDGAREA (%)]]&amp;"*",tbl_pluto_2015[TOTAL])/P$35</f>
        <v>6.1367398658615673E-2</v>
      </c>
      <c r="R61" s="847" t="s">
        <v>633</v>
      </c>
      <c r="S61" s="854">
        <f>SUMIF(tbl_pluto_2020[BldgArea 2020],"*"&amp;tbl_prct_bldgarea_borough31[[#This Row],[TOTAL BLDGAREA (%)]]&amp;"*",tbl_pluto_2020[BX])/S$35</f>
        <v>6.3117457137551264E-2</v>
      </c>
      <c r="T61" s="854">
        <f>SUMIF(tbl_pluto_2020[BldgArea 2020],"*"&amp;tbl_prct_bldgarea_borough31[[#This Row],[TOTAL BLDGAREA (%)]]&amp;"*",tbl_pluto_2020[BK])/T$35</f>
        <v>7.5333444297163835E-2</v>
      </c>
      <c r="U61" s="854">
        <f>SUMIF(tbl_pluto_2020[BldgArea 2020],"*"&amp;tbl_prct_bldgarea_borough31[[#This Row],[TOTAL BLDGAREA (%)]]&amp;"*",tbl_pluto_2020[MN])/U$35</f>
        <v>1.6875897143388118E-2</v>
      </c>
      <c r="V61" s="854">
        <f>SUMIF(tbl_pluto_2020[BldgArea 2020],"*"&amp;tbl_prct_bldgarea_borough31[[#This Row],[TOTAL BLDGAREA (%)]]&amp;"*",tbl_pluto_2020[QN])/V$35</f>
        <v>8.6267528586985928E-2</v>
      </c>
      <c r="W61" s="854">
        <f>SUMIF(tbl_pluto_2020[BldgArea 2020],"*"&amp;tbl_prct_bldgarea_borough31[[#This Row],[TOTAL BLDGAREA (%)]]&amp;"*",tbl_pluto_2020[SI])/W$35</f>
        <v>4.9342656083549825E-2</v>
      </c>
      <c r="X61" s="854">
        <f>SUMIF(tbl_pluto_2020[BldgArea 2020],"*"&amp;tbl_prct_bldgarea_borough31[[#This Row],[TOTAL BLDGAREA (%)]]&amp;"*",tbl_pluto_2020[TOTAL])/X$35</f>
        <v>5.5502740700170743E-2</v>
      </c>
    </row>
    <row r="62" spans="2:24" ht="14.45">
      <c r="B62" s="847" t="s">
        <v>632</v>
      </c>
      <c r="C62" s="854">
        <f>SUMIF(tbl_pluto_2010[BldgArea 2010],"*"&amp;tbl_prct_bldgarea_borough[[#This Row],[TOTAL BLDGAREA (%)]]&amp;"*",tbl_pluto_2010[BX])/C$35</f>
        <v>0.12575337973500741</v>
      </c>
      <c r="D62" s="854">
        <f>SUMIF(tbl_pluto_2010[BldgArea 2010],"*"&amp;tbl_prct_bldgarea_borough[[#This Row],[TOTAL BLDGAREA (%)]]&amp;"*",tbl_pluto_2010[BK])/D$35</f>
        <v>0.10568189184400285</v>
      </c>
      <c r="E62" s="854">
        <f>SUMIF(tbl_pluto_2010[BldgArea 2010],"*"&amp;tbl_prct_bldgarea_borough[[#This Row],[TOTAL BLDGAREA (%)]]&amp;"*",tbl_pluto_2010[MN])/E$35</f>
        <v>9.7041820922540059E-2</v>
      </c>
      <c r="F62" s="854">
        <f>SUMIF(tbl_pluto_2010[BldgArea 2010],"*"&amp;tbl_prct_bldgarea_borough[[#This Row],[TOTAL BLDGAREA (%)]]&amp;"*",tbl_pluto_2010[QN])/F$35</f>
        <v>7.9287995457416591E-2</v>
      </c>
      <c r="G62" s="854">
        <f>SUMIF(tbl_pluto_2010[BldgArea 2010],"*"&amp;tbl_prct_bldgarea_borough[[#This Row],[TOTAL BLDGAREA (%)]]&amp;"*",tbl_pluto_2010[SI])/G$35</f>
        <v>0.16238358362074626</v>
      </c>
      <c r="H62" s="854">
        <f>SUMIF(tbl_pluto_2010[BldgArea 2010],"*"&amp;tbl_prct_bldgarea_borough[[#This Row],[TOTAL BLDGAREA (%)]]&amp;"*",tbl_pluto_2010[TOTAL])/H$35</f>
        <v>0.1030270004114421</v>
      </c>
      <c r="J62" s="847" t="s">
        <v>632</v>
      </c>
      <c r="K62" s="854">
        <f>SUMIF(tbl_pluto_2015[BldgArea 2015],"*"&amp;tbl_prct_bldgarea_borough28[[#This Row],[TOTAL BLDGAREA (%)]]&amp;"*",tbl_pluto_2015[BX])/K$35</f>
        <v>0.12584774594907586</v>
      </c>
      <c r="L62" s="854">
        <f>SUMIF(tbl_pluto_2015[BldgArea 2015],"*"&amp;tbl_prct_bldgarea_borough28[[#This Row],[TOTAL BLDGAREA (%)]]&amp;"*",tbl_pluto_2015[BK])/L$35</f>
        <v>0.1059113566420721</v>
      </c>
      <c r="M62" s="854">
        <f>SUMIF(tbl_pluto_2015[BldgArea 2015],"*"&amp;tbl_prct_bldgarea_borough28[[#This Row],[TOTAL BLDGAREA (%)]]&amp;"*",tbl_pluto_2015[MN])/M$35</f>
        <v>0.1023944177311974</v>
      </c>
      <c r="N62" s="854">
        <f>SUMIF(tbl_pluto_2015[BldgArea 2015],"*"&amp;tbl_prct_bldgarea_borough28[[#This Row],[TOTAL BLDGAREA (%)]]&amp;"*",tbl_pluto_2015[QN])/N$35</f>
        <v>8.1102669873763356E-2</v>
      </c>
      <c r="O62" s="854">
        <f>SUMIF(tbl_pluto_2015[BldgArea 2015],"*"&amp;tbl_prct_bldgarea_borough28[[#This Row],[TOTAL BLDGAREA (%)]]&amp;"*",tbl_pluto_2015[SI])/O$35</f>
        <v>0.16099988028501511</v>
      </c>
      <c r="P62" s="854">
        <f>SUMIF(tbl_pluto_2015[BldgArea 2015],"*"&amp;tbl_prct_bldgarea_borough28[[#This Row],[TOTAL BLDGAREA (%)]]&amp;"*",tbl_pluto_2015[TOTAL])/P$35</f>
        <v>0.10520660152307712</v>
      </c>
      <c r="R62" s="847" t="s">
        <v>632</v>
      </c>
      <c r="S62" s="854">
        <f>SUMIF(tbl_pluto_2020[BldgArea 2020],"*"&amp;tbl_prct_bldgarea_borough31[[#This Row],[TOTAL BLDGAREA (%)]]&amp;"*",tbl_pluto_2020[BX])/S$35</f>
        <v>0.12313938287565043</v>
      </c>
      <c r="T62" s="854">
        <f>SUMIF(tbl_pluto_2020[BldgArea 2020],"*"&amp;tbl_prct_bldgarea_borough31[[#This Row],[TOTAL BLDGAREA (%)]]&amp;"*",tbl_pluto_2020[BK])/T$35</f>
        <v>0.10544195600980925</v>
      </c>
      <c r="U62" s="854">
        <f>SUMIF(tbl_pluto_2020[BldgArea 2020],"*"&amp;tbl_prct_bldgarea_borough31[[#This Row],[TOTAL BLDGAREA (%)]]&amp;"*",tbl_pluto_2020[MN])/U$35</f>
        <v>0.10390259996751255</v>
      </c>
      <c r="V62" s="854">
        <f>SUMIF(tbl_pluto_2020[BldgArea 2020],"*"&amp;tbl_prct_bldgarea_borough31[[#This Row],[TOTAL BLDGAREA (%)]]&amp;"*",tbl_pluto_2020[QN])/V$35</f>
        <v>7.9144809164266028E-2</v>
      </c>
      <c r="W62" s="854">
        <f>SUMIF(tbl_pluto_2020[BldgArea 2020],"*"&amp;tbl_prct_bldgarea_borough31[[#This Row],[TOTAL BLDGAREA (%)]]&amp;"*",tbl_pluto_2020[SI])/W$35</f>
        <v>8.8265488607726192E-2</v>
      </c>
      <c r="X62" s="854">
        <f>SUMIF(tbl_pluto_2020[BldgArea 2020],"*"&amp;tbl_prct_bldgarea_borough31[[#This Row],[TOTAL BLDGAREA (%)]]&amp;"*",tbl_pluto_2020[TOTAL])/X$35</f>
        <v>0.10061607358411293</v>
      </c>
    </row>
    <row r="63" spans="2:24" ht="15" thickBot="1">
      <c r="B63" s="852" t="s">
        <v>630</v>
      </c>
      <c r="C63" s="855">
        <f>SUMIF(tbl_pluto_2010[BldgArea 2010],"*"&amp;tbl_prct_bldgarea_borough[[#This Row],[TOTAL BLDGAREA (%)]]&amp;"*",tbl_pluto_2010[BX])/C$35</f>
        <v>0.59756724620432311</v>
      </c>
      <c r="D63" s="855">
        <f>SUMIF(tbl_pluto_2010[BldgArea 2010],"*"&amp;tbl_prct_bldgarea_borough[[#This Row],[TOTAL BLDGAREA (%)]]&amp;"*",tbl_pluto_2010[BK])/D$35</f>
        <v>0.49517000731242089</v>
      </c>
      <c r="E63" s="855">
        <f>SUMIF(tbl_pluto_2010[BldgArea 2010],"*"&amp;tbl_prct_bldgarea_borough[[#This Row],[TOTAL BLDGAREA (%)]]&amp;"*",tbl_pluto_2010[MN])/E$35</f>
        <v>0.51286367005687039</v>
      </c>
      <c r="F63" s="855">
        <f>SUMIF(tbl_pluto_2010[BldgArea 2010],"*"&amp;tbl_prct_bldgarea_borough[[#This Row],[TOTAL BLDGAREA (%)]]&amp;"*",tbl_pluto_2010[QN])/F$35</f>
        <v>0.36622142019299142</v>
      </c>
      <c r="G63" s="855">
        <f>SUMIF(tbl_pluto_2010[BldgArea 2010],"*"&amp;tbl_prct_bldgarea_borough[[#This Row],[TOTAL BLDGAREA (%)]]&amp;"*",tbl_pluto_2010[SI])/G$35</f>
        <v>0.11188087904175124</v>
      </c>
      <c r="H63" s="855">
        <f>SUMIF(tbl_pluto_2010[BldgArea 2010],"*"&amp;tbl_prct_bldgarea_borough[[#This Row],[TOTAL BLDGAREA (%)]]&amp;"*",tbl_pluto_2010[TOTAL])/H$35</f>
        <v>0.46344748165588401</v>
      </c>
      <c r="J63" s="852" t="s">
        <v>630</v>
      </c>
      <c r="K63" s="855">
        <f>SUMIF(tbl_pluto_2015[BldgArea 2015],"*"&amp;tbl_prct_bldgarea_borough28[[#This Row],[TOTAL BLDGAREA (%)]]&amp;"*",tbl_pluto_2015[BX])/K$35</f>
        <v>0.59732954575625374</v>
      </c>
      <c r="L63" s="855">
        <f>SUMIF(tbl_pluto_2015[BldgArea 2015],"*"&amp;tbl_prct_bldgarea_borough28[[#This Row],[TOTAL BLDGAREA (%)]]&amp;"*",tbl_pluto_2015[BK])/L$35</f>
        <v>0.502183934782231</v>
      </c>
      <c r="M63" s="855">
        <f>SUMIF(tbl_pluto_2015[BldgArea 2015],"*"&amp;tbl_prct_bldgarea_borough28[[#This Row],[TOTAL BLDGAREA (%)]]&amp;"*",tbl_pluto_2015[MN])/M$35</f>
        <v>0.54759507612394986</v>
      </c>
      <c r="N63" s="855">
        <f>SUMIF(tbl_pluto_2015[BldgArea 2015],"*"&amp;tbl_prct_bldgarea_borough28[[#This Row],[TOTAL BLDGAREA (%)]]&amp;"*",tbl_pluto_2015[QN])/N$35</f>
        <v>0.3723543482243542</v>
      </c>
      <c r="O63" s="855">
        <f>SUMIF(tbl_pluto_2015[BldgArea 2015],"*"&amp;tbl_prct_bldgarea_borough28[[#This Row],[TOTAL BLDGAREA (%)]]&amp;"*",tbl_pluto_2015[SI])/O$35</f>
        <v>0.11328423102497287</v>
      </c>
      <c r="P63" s="855">
        <f>SUMIF(tbl_pluto_2015[BldgArea 2015],"*"&amp;tbl_prct_bldgarea_borough28[[#This Row],[TOTAL BLDGAREA (%)]]&amp;"*",tbl_pluto_2015[TOTAL])/P$35</f>
        <v>0.47667873934443167</v>
      </c>
      <c r="R63" s="852" t="s">
        <v>630</v>
      </c>
      <c r="S63" s="855">
        <f>SUMIF(tbl_pluto_2020[BldgArea 2020],"*"&amp;tbl_prct_bldgarea_borough31[[#This Row],[TOTAL BLDGAREA (%)]]&amp;"*",tbl_pluto_2020[BX])/S$35</f>
        <v>0.60584283600408584</v>
      </c>
      <c r="T63" s="855">
        <f>SUMIF(tbl_pluto_2020[BldgArea 2020],"*"&amp;tbl_prct_bldgarea_borough31[[#This Row],[TOTAL BLDGAREA (%)]]&amp;"*",tbl_pluto_2020[BK])/T$35</f>
        <v>0.51712137064420194</v>
      </c>
      <c r="U63" s="855">
        <f>SUMIF(tbl_pluto_2020[BldgArea 2020],"*"&amp;tbl_prct_bldgarea_borough31[[#This Row],[TOTAL BLDGAREA (%)]]&amp;"*",tbl_pluto_2020[MN])/U$35</f>
        <v>0.52578063400097275</v>
      </c>
      <c r="V63" s="855">
        <f>SUMIF(tbl_pluto_2020[BldgArea 2020],"*"&amp;tbl_prct_bldgarea_borough31[[#This Row],[TOTAL BLDGAREA (%)]]&amp;"*",tbl_pluto_2020[QN])/V$35</f>
        <v>0.38329063839940952</v>
      </c>
      <c r="W63" s="855">
        <f>SUMIF(tbl_pluto_2020[BldgArea 2020],"*"&amp;tbl_prct_bldgarea_borough31[[#This Row],[TOTAL BLDGAREA (%)]]&amp;"*",tbl_pluto_2020[SI])/W$35</f>
        <v>0.12491947825474915</v>
      </c>
      <c r="X63" s="855">
        <f>SUMIF(tbl_pluto_2020[BldgArea 2020],"*"&amp;tbl_prct_bldgarea_borough31[[#This Row],[TOTAL BLDGAREA (%)]]&amp;"*",tbl_pluto_2020[TOTAL])/X$35</f>
        <v>0.48182735398090887</v>
      </c>
    </row>
    <row r="64" spans="2:24">
      <c r="B64" s="849" t="s">
        <v>634</v>
      </c>
      <c r="C64" s="857">
        <f>SUM(tbl_prct_bldgarea_borough[BX])</f>
        <v>1</v>
      </c>
      <c r="D64" s="857">
        <f>SUM(tbl_prct_bldgarea_borough[BK])</f>
        <v>1</v>
      </c>
      <c r="E64" s="857">
        <f>SUM(tbl_prct_bldgarea_borough[MN])</f>
        <v>1</v>
      </c>
      <c r="F64" s="857">
        <f>SUM(tbl_prct_bldgarea_borough[QN])</f>
        <v>1</v>
      </c>
      <c r="G64" s="857">
        <f>SUM(tbl_prct_bldgarea_borough[SI])</f>
        <v>0.99999999999999989</v>
      </c>
      <c r="H64" s="857">
        <v>1</v>
      </c>
      <c r="J64" s="849" t="s">
        <v>634</v>
      </c>
      <c r="K64" s="857">
        <f>SUM(tbl_prct_bldgarea_borough28[BX])</f>
        <v>1</v>
      </c>
      <c r="L64" s="857">
        <f>SUM(tbl_prct_bldgarea_borough28[BK])</f>
        <v>1</v>
      </c>
      <c r="M64" s="857">
        <f>SUM(tbl_prct_bldgarea_borough28[MN])</f>
        <v>1</v>
      </c>
      <c r="N64" s="857">
        <f>SUM(tbl_prct_bldgarea_borough28[QN])</f>
        <v>1</v>
      </c>
      <c r="O64" s="857">
        <f>SUM(tbl_prct_bldgarea_borough28[SI])</f>
        <v>0.99999999999999989</v>
      </c>
      <c r="P64" s="857">
        <v>1</v>
      </c>
      <c r="R64" s="849" t="s">
        <v>634</v>
      </c>
      <c r="S64" s="857">
        <f>SUM(tbl_prct_bldgarea_borough31[BX])</f>
        <v>1</v>
      </c>
      <c r="T64" s="857">
        <f>SUM(tbl_prct_bldgarea_borough31[BK])</f>
        <v>1</v>
      </c>
      <c r="U64" s="857">
        <f>SUM(tbl_prct_bldgarea_borough31[MN])</f>
        <v>1</v>
      </c>
      <c r="V64" s="857">
        <f>SUM(tbl_prct_bldgarea_borough31[QN])</f>
        <v>1</v>
      </c>
      <c r="W64" s="857">
        <f>SUM(tbl_prct_bldgarea_borough31[SI])</f>
        <v>1</v>
      </c>
      <c r="X64" s="857">
        <v>1</v>
      </c>
    </row>
    <row r="65" spans="2:24">
      <c r="B65" s="331" t="s">
        <v>1117</v>
      </c>
      <c r="C65" s="331"/>
      <c r="D65" s="331"/>
      <c r="E65" s="331"/>
      <c r="F65" s="331"/>
      <c r="G65" s="331"/>
      <c r="H65" s="331"/>
      <c r="J65" s="331" t="s">
        <v>1118</v>
      </c>
      <c r="K65" s="331"/>
      <c r="L65" s="331"/>
      <c r="M65" s="331"/>
      <c r="N65" s="331"/>
      <c r="O65" s="331"/>
      <c r="P65" s="331"/>
      <c r="R65" s="331" t="s">
        <v>1119</v>
      </c>
      <c r="S65" s="331"/>
      <c r="T65" s="331"/>
      <c r="U65" s="331"/>
      <c r="V65" s="331"/>
      <c r="W65" s="331"/>
      <c r="X65" s="331"/>
    </row>
    <row r="66" spans="2:24">
      <c r="B66" s="331" t="s">
        <v>1112</v>
      </c>
      <c r="C66" s="331"/>
      <c r="D66" s="331"/>
      <c r="E66" s="331"/>
      <c r="F66" s="331"/>
      <c r="G66" s="331"/>
      <c r="H66" s="331"/>
      <c r="J66" s="331" t="s">
        <v>1112</v>
      </c>
      <c r="K66" s="331"/>
      <c r="L66" s="331"/>
      <c r="M66" s="331"/>
      <c r="N66" s="331"/>
      <c r="O66" s="331"/>
      <c r="P66" s="331"/>
      <c r="R66" s="331" t="s">
        <v>1112</v>
      </c>
      <c r="S66" s="331"/>
      <c r="T66" s="331"/>
      <c r="U66" s="331"/>
      <c r="V66" s="331"/>
      <c r="W66" s="331"/>
      <c r="X66" s="331"/>
    </row>
  </sheetData>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012B6-28EC-4C9C-BB12-F4F730691284}">
  <sheetPr>
    <tabColor theme="5" tint="0.59999389629810485"/>
  </sheetPr>
  <dimension ref="A2:BC229"/>
  <sheetViews>
    <sheetView showGridLines="0" workbookViewId="0"/>
  </sheetViews>
  <sheetFormatPr defaultColWidth="9" defaultRowHeight="14.45" outlineLevelRow="1"/>
  <cols>
    <col min="1" max="1" width="3.625" style="366" customWidth="1"/>
    <col min="2" max="2" width="9.75" style="366" customWidth="1"/>
    <col min="3" max="3" width="47.75" style="366" bestFit="1" customWidth="1"/>
    <col min="4" max="4" width="22.25" style="433" customWidth="1"/>
    <col min="5" max="5" width="15.375" style="433" customWidth="1"/>
    <col min="6" max="6" width="22.125" style="433" customWidth="1"/>
    <col min="7" max="7" width="20.125" style="433" customWidth="1"/>
    <col min="8" max="8" width="17.5" style="433" customWidth="1"/>
    <col min="9" max="9" width="20.75" style="433" customWidth="1"/>
    <col min="10" max="10" width="22" style="433" customWidth="1"/>
    <col min="11" max="11" width="23.875" style="433" customWidth="1"/>
    <col min="12" max="12" width="15" style="366" bestFit="1" customWidth="1"/>
    <col min="13" max="13" width="23.125" style="366" customWidth="1"/>
    <col min="14" max="15" width="14.25" style="366" bestFit="1" customWidth="1"/>
    <col min="16" max="16" width="14.25" style="366" customWidth="1"/>
    <col min="17" max="17" width="12.5" style="366" bestFit="1" customWidth="1"/>
    <col min="18" max="19" width="13.375" style="366" bestFit="1" customWidth="1"/>
    <col min="20" max="20" width="15" style="366" customWidth="1"/>
    <col min="21" max="21" width="16" style="366" customWidth="1"/>
    <col min="22" max="23" width="13" style="366" bestFit="1" customWidth="1"/>
    <col min="24" max="26" width="14.125" style="366" bestFit="1" customWidth="1"/>
    <col min="27" max="28" width="13" style="366" bestFit="1" customWidth="1"/>
    <col min="29" max="29" width="14.125" style="366" bestFit="1" customWidth="1"/>
    <col min="30" max="30" width="15" style="366" bestFit="1" customWidth="1"/>
    <col min="31" max="32" width="14.125" style="366" bestFit="1" customWidth="1"/>
    <col min="33" max="33" width="11.75" style="366" bestFit="1" customWidth="1"/>
    <col min="34" max="34" width="10" style="366" bestFit="1" customWidth="1"/>
    <col min="35" max="35" width="9.125" style="366" bestFit="1" customWidth="1"/>
    <col min="36" max="37" width="13" style="366" bestFit="1" customWidth="1"/>
    <col min="38" max="38" width="14.125" style="366" bestFit="1" customWidth="1"/>
    <col min="39" max="40" width="13" style="366" bestFit="1" customWidth="1"/>
    <col min="41" max="41" width="10.875" style="366" bestFit="1" customWidth="1"/>
    <col min="42" max="42" width="9.5" style="366" customWidth="1"/>
    <col min="43" max="43" width="9.125" style="366" bestFit="1" customWidth="1"/>
    <col min="44" max="44" width="10.875" style="366" bestFit="1" customWidth="1"/>
    <col min="45" max="45" width="10" style="366" bestFit="1" customWidth="1"/>
    <col min="46" max="46" width="12.625" style="366" bestFit="1" customWidth="1"/>
    <col min="47" max="49" width="12.875" style="366" bestFit="1" customWidth="1"/>
    <col min="50" max="54" width="12" style="366" bestFit="1" customWidth="1"/>
    <col min="55" max="55" width="11.625" style="366" bestFit="1" customWidth="1"/>
    <col min="56" max="16384" width="9" style="366"/>
  </cols>
  <sheetData>
    <row r="2" spans="1:55" ht="15" outlineLevel="1" thickBot="1">
      <c r="A2" s="427"/>
      <c r="B2" s="531" t="s">
        <v>1120</v>
      </c>
      <c r="C2" s="427"/>
      <c r="D2" s="432"/>
      <c r="E2" s="432"/>
      <c r="F2" s="432"/>
      <c r="G2" s="432"/>
      <c r="H2" s="432"/>
      <c r="I2" s="432"/>
      <c r="J2" s="432"/>
      <c r="K2" s="432"/>
      <c r="L2" s="427"/>
      <c r="M2" s="427"/>
      <c r="N2" s="427"/>
      <c r="O2" s="427"/>
      <c r="P2" s="427"/>
      <c r="Q2" s="427"/>
      <c r="R2" s="427"/>
      <c r="S2" s="427"/>
      <c r="T2" s="427"/>
      <c r="U2" s="427"/>
      <c r="V2" s="427"/>
      <c r="W2" s="427"/>
      <c r="X2" s="427"/>
      <c r="Y2" s="427"/>
      <c r="Z2" s="427"/>
      <c r="AA2" s="427"/>
      <c r="AB2" s="427"/>
      <c r="AC2" s="427"/>
      <c r="AD2" s="427"/>
      <c r="AE2" s="427"/>
      <c r="AF2" s="427"/>
      <c r="AG2" s="427"/>
      <c r="AH2" s="427"/>
      <c r="AI2" s="427"/>
      <c r="AJ2" s="427"/>
      <c r="AK2" s="427"/>
      <c r="AL2" s="427"/>
      <c r="AM2" s="427"/>
      <c r="AN2" s="427"/>
      <c r="AO2" s="427"/>
      <c r="AP2" s="427"/>
      <c r="AQ2" s="427"/>
      <c r="AR2" s="427"/>
      <c r="AS2" s="427"/>
      <c r="AT2" s="427"/>
      <c r="AU2" s="427"/>
      <c r="AV2" s="427"/>
      <c r="AW2" s="427"/>
      <c r="AX2" s="427"/>
      <c r="AY2" s="427"/>
      <c r="AZ2" s="427"/>
      <c r="BA2" s="427"/>
      <c r="BB2" s="427"/>
    </row>
    <row r="3" spans="1:55" ht="15" outlineLevel="1" thickBot="1">
      <c r="A3" s="438"/>
      <c r="B3" s="531" t="s">
        <v>1121</v>
      </c>
      <c r="C3" s="438"/>
      <c r="E3" s="1415" t="s">
        <v>1122</v>
      </c>
      <c r="F3" s="1416"/>
      <c r="G3" s="1417"/>
      <c r="H3" s="1418" t="s">
        <v>1123</v>
      </c>
      <c r="I3" s="1419"/>
      <c r="J3" s="1419"/>
      <c r="K3" s="1419"/>
      <c r="L3" s="1419"/>
      <c r="M3" s="1419"/>
      <c r="N3" s="1420"/>
      <c r="O3" s="1409" t="s">
        <v>635</v>
      </c>
      <c r="P3" s="1410"/>
      <c r="Q3" s="1410"/>
      <c r="R3" s="1410"/>
      <c r="S3" s="1410"/>
      <c r="T3" s="1410"/>
      <c r="U3" s="1410"/>
      <c r="V3" s="1411"/>
      <c r="W3" s="1409" t="s">
        <v>636</v>
      </c>
      <c r="X3" s="1410"/>
      <c r="Y3" s="1410"/>
      <c r="Z3" s="1410"/>
      <c r="AA3" s="1410"/>
      <c r="AB3" s="1410"/>
      <c r="AC3" s="1410"/>
      <c r="AD3" s="1411"/>
      <c r="AE3" s="1409" t="s">
        <v>740</v>
      </c>
      <c r="AF3" s="1410"/>
      <c r="AG3" s="1410"/>
      <c r="AH3" s="1410"/>
      <c r="AI3" s="1410"/>
      <c r="AJ3" s="1410"/>
      <c r="AK3" s="1410"/>
      <c r="AL3" s="1411"/>
      <c r="AM3" s="1409" t="s">
        <v>1124</v>
      </c>
      <c r="AN3" s="1410"/>
      <c r="AO3" s="1410"/>
      <c r="AP3" s="1410"/>
      <c r="AQ3" s="1410"/>
      <c r="AR3" s="1410"/>
      <c r="AS3" s="1410"/>
      <c r="AT3" s="1411"/>
      <c r="AU3" s="1412" t="s">
        <v>1125</v>
      </c>
      <c r="AV3" s="1413"/>
      <c r="AW3" s="1413"/>
      <c r="AX3" s="1413"/>
      <c r="AY3" s="1413"/>
      <c r="AZ3" s="1413"/>
      <c r="BA3" s="1413"/>
      <c r="BB3" s="1413"/>
      <c r="BC3" s="1414"/>
    </row>
    <row r="4" spans="1:55" ht="43.9" outlineLevel="1" thickBot="1">
      <c r="A4" s="438"/>
      <c r="B4" s="1293"/>
      <c r="C4" s="467" t="s">
        <v>1126</v>
      </c>
      <c r="D4" s="444" t="s">
        <v>1127</v>
      </c>
      <c r="E4" s="444" t="s">
        <v>1128</v>
      </c>
      <c r="F4" s="1294" t="s">
        <v>1129</v>
      </c>
      <c r="G4" s="445" t="s">
        <v>1130</v>
      </c>
      <c r="H4" s="451" t="s">
        <v>1131</v>
      </c>
      <c r="I4" s="1295" t="s">
        <v>1132</v>
      </c>
      <c r="J4" s="1295" t="s">
        <v>1133</v>
      </c>
      <c r="K4" s="1295" t="s">
        <v>1134</v>
      </c>
      <c r="L4" s="1295" t="s">
        <v>636</v>
      </c>
      <c r="M4" s="1296" t="s">
        <v>637</v>
      </c>
      <c r="N4" s="452" t="s">
        <v>1124</v>
      </c>
      <c r="O4" s="461" t="s">
        <v>1135</v>
      </c>
      <c r="P4" s="1297" t="s">
        <v>1136</v>
      </c>
      <c r="Q4" s="1298" t="s">
        <v>1137</v>
      </c>
      <c r="R4" s="1299" t="s">
        <v>1138</v>
      </c>
      <c r="S4" s="1300" t="s">
        <v>1139</v>
      </c>
      <c r="T4" s="1301" t="s">
        <v>1140</v>
      </c>
      <c r="U4" s="1302" t="s">
        <v>1141</v>
      </c>
      <c r="V4" s="1303" t="s">
        <v>1142</v>
      </c>
      <c r="W4" s="461" t="s">
        <v>1143</v>
      </c>
      <c r="X4" s="1297" t="s">
        <v>1144</v>
      </c>
      <c r="Y4" s="1298" t="s">
        <v>1145</v>
      </c>
      <c r="Z4" s="1299" t="s">
        <v>1146</v>
      </c>
      <c r="AA4" s="1300" t="s">
        <v>1147</v>
      </c>
      <c r="AB4" s="1301" t="s">
        <v>1148</v>
      </c>
      <c r="AC4" s="1302" t="s">
        <v>1149</v>
      </c>
      <c r="AD4" s="462" t="s">
        <v>1150</v>
      </c>
      <c r="AE4" s="461" t="s">
        <v>1151</v>
      </c>
      <c r="AF4" s="1297" t="s">
        <v>1152</v>
      </c>
      <c r="AG4" s="1298" t="s">
        <v>1153</v>
      </c>
      <c r="AH4" s="1299" t="s">
        <v>1154</v>
      </c>
      <c r="AI4" s="1300" t="s">
        <v>1155</v>
      </c>
      <c r="AJ4" s="1301" t="s">
        <v>1156</v>
      </c>
      <c r="AK4" s="1302" t="s">
        <v>1157</v>
      </c>
      <c r="AL4" s="462" t="s">
        <v>1158</v>
      </c>
      <c r="AM4" s="461" t="s">
        <v>1159</v>
      </c>
      <c r="AN4" s="1297" t="s">
        <v>1160</v>
      </c>
      <c r="AO4" s="1298" t="s">
        <v>1161</v>
      </c>
      <c r="AP4" s="1299" t="s">
        <v>1162</v>
      </c>
      <c r="AQ4" s="1300" t="s">
        <v>1163</v>
      </c>
      <c r="AR4" s="1301" t="s">
        <v>1164</v>
      </c>
      <c r="AS4" s="1302" t="s">
        <v>1165</v>
      </c>
      <c r="AT4" s="1303" t="s">
        <v>1166</v>
      </c>
      <c r="AU4" s="504" t="s">
        <v>260</v>
      </c>
      <c r="AV4" s="505" t="s">
        <v>264</v>
      </c>
      <c r="AW4" s="506" t="s">
        <v>262</v>
      </c>
      <c r="AX4" s="507" t="s">
        <v>269</v>
      </c>
      <c r="AY4" s="508" t="s">
        <v>1167</v>
      </c>
      <c r="AZ4" s="509" t="s">
        <v>275</v>
      </c>
      <c r="BA4" s="510" t="s">
        <v>1168</v>
      </c>
      <c r="BB4" s="511" t="s">
        <v>286</v>
      </c>
      <c r="BC4" s="833" t="s">
        <v>1169</v>
      </c>
    </row>
    <row r="5" spans="1:55" outlineLevel="1">
      <c r="A5" s="427"/>
      <c r="B5" s="1406" t="s">
        <v>629</v>
      </c>
      <c r="C5" s="478" t="s">
        <v>1072</v>
      </c>
      <c r="D5" s="513">
        <f>SUMIF(tbl_pluto_2010[BldgArea 2010],Original!C5,tbl_pluto_2010[TOTAL])</f>
        <v>542102106</v>
      </c>
      <c r="E5" s="446">
        <v>34397279.617698602</v>
      </c>
      <c r="F5" s="500">
        <f t="shared" ref="F5:F30" si="0">E5/$E$32</f>
        <v>6.2632292502352305E-2</v>
      </c>
      <c r="G5" s="519">
        <v>55.38356966714651</v>
      </c>
      <c r="H5" s="453">
        <v>3139269.7531758077</v>
      </c>
      <c r="I5" s="442">
        <v>373088.3616361348</v>
      </c>
      <c r="J5" s="442">
        <v>93126.849293603183</v>
      </c>
      <c r="K5" s="442">
        <v>61486.808703047362</v>
      </c>
      <c r="L5" s="442">
        <v>8619051.6034933645</v>
      </c>
      <c r="M5" s="454">
        <v>22111256.241396647</v>
      </c>
      <c r="N5" s="455">
        <v>0</v>
      </c>
      <c r="O5" s="463">
        <v>3060305.6636657752</v>
      </c>
      <c r="P5" s="437">
        <v>606666.10914281721</v>
      </c>
      <c r="Q5" s="437">
        <v>0</v>
      </c>
      <c r="R5" s="437">
        <v>0</v>
      </c>
      <c r="S5" s="437">
        <v>0</v>
      </c>
      <c r="T5" s="437">
        <v>0</v>
      </c>
      <c r="U5" s="437">
        <v>0</v>
      </c>
      <c r="V5" s="437">
        <v>0</v>
      </c>
      <c r="W5" s="463">
        <v>172381.0320698673</v>
      </c>
      <c r="X5" s="437">
        <v>258571.54810480092</v>
      </c>
      <c r="Y5" s="437">
        <v>1465238.7725938722</v>
      </c>
      <c r="Z5" s="437">
        <v>0</v>
      </c>
      <c r="AA5" s="437">
        <v>1637619.8046637392</v>
      </c>
      <c r="AB5" s="437">
        <v>0</v>
      </c>
      <c r="AC5" s="437">
        <v>0</v>
      </c>
      <c r="AD5" s="464">
        <v>5085240.446061085</v>
      </c>
      <c r="AE5" s="463">
        <v>15829244.599615162</v>
      </c>
      <c r="AF5" s="437">
        <v>6282011.6417814838</v>
      </c>
      <c r="AG5" s="437">
        <v>0</v>
      </c>
      <c r="AH5" s="437">
        <v>0</v>
      </c>
      <c r="AI5" s="437">
        <v>0</v>
      </c>
      <c r="AJ5" s="437">
        <v>0</v>
      </c>
      <c r="AK5" s="437">
        <v>0</v>
      </c>
      <c r="AL5" s="464">
        <v>0</v>
      </c>
      <c r="AM5" s="463">
        <v>0</v>
      </c>
      <c r="AN5" s="437">
        <v>0</v>
      </c>
      <c r="AO5" s="437">
        <v>0</v>
      </c>
      <c r="AP5" s="437">
        <v>0</v>
      </c>
      <c r="AQ5" s="437">
        <v>0</v>
      </c>
      <c r="AR5" s="437">
        <v>0</v>
      </c>
      <c r="AS5" s="437">
        <v>0</v>
      </c>
      <c r="AT5" s="427"/>
      <c r="AU5" s="525">
        <f t="shared" ref="AU5:AU30" si="1">SUM(O5,W5,AE5,AM5)</f>
        <v>19061931.295350805</v>
      </c>
      <c r="AV5" s="526">
        <f t="shared" ref="AV5:AV30" si="2">SUM(P5,X5,AF5,AN5)</f>
        <v>7147249.2990291016</v>
      </c>
      <c r="AW5" s="526">
        <f t="shared" ref="AW5:AW30" si="3">SUM(Q5,Y5,AG5,AO5)</f>
        <v>1465238.7725938722</v>
      </c>
      <c r="AX5" s="526">
        <f t="shared" ref="AX5:AX30" si="4">SUM(R5,Z5,AH5,AP5)</f>
        <v>0</v>
      </c>
      <c r="AY5" s="526">
        <f t="shared" ref="AY5:AY30" si="5">SUM(S5,AA5,AI5,AQ5)</f>
        <v>1637619.8046637392</v>
      </c>
      <c r="AZ5" s="526">
        <f t="shared" ref="AZ5:AZ30" si="6">SUM(T5,AB5,AJ5,AR5)</f>
        <v>0</v>
      </c>
      <c r="BA5" s="526">
        <f t="shared" ref="BA5:BA30" si="7">SUM(U5,AC5,AK5,AS5)</f>
        <v>0</v>
      </c>
      <c r="BB5" s="527">
        <f t="shared" ref="BB5:BB30" si="8">SUM(V5,AD5,AL5,AT5)</f>
        <v>5085240.446061085</v>
      </c>
      <c r="BC5" s="496">
        <f t="shared" ref="BC5:BC31" si="9">SUM(AU5:BB5)</f>
        <v>34397279.617698602</v>
      </c>
    </row>
    <row r="6" spans="1:55" ht="19.5" customHeight="1" outlineLevel="1">
      <c r="A6" s="427"/>
      <c r="B6" s="1406"/>
      <c r="C6" s="440" t="s">
        <v>1074</v>
      </c>
      <c r="D6" s="516">
        <f>SUMIF(tbl_pluto_2010[BldgArea 2010],Original!C6,tbl_pluto_2010[TOTAL])</f>
        <v>563592961</v>
      </c>
      <c r="E6" s="446">
        <v>44962795.526013903</v>
      </c>
      <c r="F6" s="500">
        <f t="shared" si="0"/>
        <v>8.1870513959475061E-2</v>
      </c>
      <c r="G6" s="519">
        <v>55.383569667146503</v>
      </c>
      <c r="H6" s="453">
        <v>4103532.1857376532</v>
      </c>
      <c r="I6" s="442">
        <v>487686.69801287673</v>
      </c>
      <c r="J6" s="442">
        <v>121731.82092620224</v>
      </c>
      <c r="K6" s="442">
        <v>80373.181774519093</v>
      </c>
      <c r="L6" s="442">
        <v>11266491.396506637</v>
      </c>
      <c r="M6" s="454">
        <v>28902980.243056018</v>
      </c>
      <c r="N6" s="455">
        <v>0</v>
      </c>
      <c r="O6" s="463">
        <v>3920530.1320734117</v>
      </c>
      <c r="P6" s="437">
        <v>872793.75437784009</v>
      </c>
      <c r="Q6" s="437">
        <v>0</v>
      </c>
      <c r="R6" s="437">
        <v>0</v>
      </c>
      <c r="S6" s="437">
        <v>0</v>
      </c>
      <c r="T6" s="437">
        <v>0</v>
      </c>
      <c r="U6" s="437">
        <v>0</v>
      </c>
      <c r="V6" s="437">
        <v>0</v>
      </c>
      <c r="W6" s="463">
        <v>225329.82793013274</v>
      </c>
      <c r="X6" s="437">
        <v>337994.74189519911</v>
      </c>
      <c r="Y6" s="437">
        <v>1915303.5374061286</v>
      </c>
      <c r="Z6" s="437">
        <v>0</v>
      </c>
      <c r="AA6" s="437">
        <v>2140633.3653362612</v>
      </c>
      <c r="AB6" s="437">
        <v>0</v>
      </c>
      <c r="AC6" s="437">
        <v>0</v>
      </c>
      <c r="AD6" s="464">
        <v>6647229.9239389161</v>
      </c>
      <c r="AE6" s="463">
        <v>20685590.124127481</v>
      </c>
      <c r="AF6" s="437">
        <v>8217390.1189285321</v>
      </c>
      <c r="AG6" s="437">
        <v>0</v>
      </c>
      <c r="AH6" s="437">
        <v>0</v>
      </c>
      <c r="AI6" s="437">
        <v>0</v>
      </c>
      <c r="AJ6" s="437">
        <v>0</v>
      </c>
      <c r="AK6" s="437">
        <v>0</v>
      </c>
      <c r="AL6" s="464">
        <v>0</v>
      </c>
      <c r="AM6" s="463">
        <v>0</v>
      </c>
      <c r="AN6" s="437">
        <v>0</v>
      </c>
      <c r="AO6" s="437">
        <v>0</v>
      </c>
      <c r="AP6" s="437">
        <v>0</v>
      </c>
      <c r="AQ6" s="437">
        <v>0</v>
      </c>
      <c r="AR6" s="437">
        <v>0</v>
      </c>
      <c r="AS6" s="437">
        <v>0</v>
      </c>
      <c r="AT6" s="437">
        <v>0</v>
      </c>
      <c r="AU6" s="528">
        <f t="shared" si="1"/>
        <v>24831450.084131025</v>
      </c>
      <c r="AV6" s="529">
        <f t="shared" si="2"/>
        <v>9428178.615201572</v>
      </c>
      <c r="AW6" s="529">
        <f t="shared" si="3"/>
        <v>1915303.5374061286</v>
      </c>
      <c r="AX6" s="529">
        <f t="shared" si="4"/>
        <v>0</v>
      </c>
      <c r="AY6" s="529">
        <f t="shared" si="5"/>
        <v>2140633.3653362612</v>
      </c>
      <c r="AZ6" s="529">
        <f t="shared" si="6"/>
        <v>0</v>
      </c>
      <c r="BA6" s="529">
        <f t="shared" si="7"/>
        <v>0</v>
      </c>
      <c r="BB6" s="530">
        <f t="shared" si="8"/>
        <v>6647229.9239389161</v>
      </c>
      <c r="BC6" s="497">
        <f t="shared" si="9"/>
        <v>44962795.526013903</v>
      </c>
    </row>
    <row r="7" spans="1:55" outlineLevel="1">
      <c r="A7" s="427"/>
      <c r="B7" s="1406" t="s">
        <v>630</v>
      </c>
      <c r="C7" s="479" t="s">
        <v>1170</v>
      </c>
      <c r="D7" s="514">
        <f>SUMIF(tbl_pluto_2010[BldgArea 2010],Original!C7,tbl_pluto_2010[TOTAL])</f>
        <v>0</v>
      </c>
      <c r="E7" s="1304">
        <v>0</v>
      </c>
      <c r="F7" s="501">
        <f t="shared" si="0"/>
        <v>0</v>
      </c>
      <c r="G7" s="520">
        <v>0</v>
      </c>
      <c r="H7" s="1305">
        <v>0</v>
      </c>
      <c r="I7" s="476">
        <v>0</v>
      </c>
      <c r="J7" s="476">
        <v>0</v>
      </c>
      <c r="K7" s="476">
        <v>0</v>
      </c>
      <c r="L7" s="476">
        <v>0</v>
      </c>
      <c r="M7" s="477">
        <v>0</v>
      </c>
      <c r="N7" s="486">
        <v>0</v>
      </c>
      <c r="O7" s="1306">
        <v>0</v>
      </c>
      <c r="P7" s="428">
        <v>0</v>
      </c>
      <c r="Q7" s="428">
        <v>0</v>
      </c>
      <c r="R7" s="428">
        <v>0</v>
      </c>
      <c r="S7" s="428">
        <v>0</v>
      </c>
      <c r="T7" s="428">
        <v>0</v>
      </c>
      <c r="U7" s="428">
        <v>0</v>
      </c>
      <c r="V7" s="428">
        <v>0</v>
      </c>
      <c r="W7" s="1306">
        <v>0</v>
      </c>
      <c r="X7" s="428">
        <v>0</v>
      </c>
      <c r="Y7" s="428">
        <v>0</v>
      </c>
      <c r="Z7" s="428">
        <v>0</v>
      </c>
      <c r="AA7" s="428">
        <v>0</v>
      </c>
      <c r="AB7" s="428">
        <v>0</v>
      </c>
      <c r="AC7" s="428">
        <v>0</v>
      </c>
      <c r="AD7" s="481">
        <v>0</v>
      </c>
      <c r="AE7" s="1306">
        <v>0</v>
      </c>
      <c r="AF7" s="428">
        <v>0</v>
      </c>
      <c r="AG7" s="428">
        <v>0</v>
      </c>
      <c r="AH7" s="428">
        <v>0</v>
      </c>
      <c r="AI7" s="428">
        <v>0</v>
      </c>
      <c r="AJ7" s="428">
        <v>0</v>
      </c>
      <c r="AK7" s="428">
        <v>0</v>
      </c>
      <c r="AL7" s="481">
        <v>0</v>
      </c>
      <c r="AM7" s="1306">
        <v>0</v>
      </c>
      <c r="AN7" s="428">
        <v>0</v>
      </c>
      <c r="AO7" s="428">
        <v>0</v>
      </c>
      <c r="AP7" s="428">
        <v>0</v>
      </c>
      <c r="AQ7" s="428">
        <v>0</v>
      </c>
      <c r="AR7" s="428">
        <v>0</v>
      </c>
      <c r="AS7" s="428">
        <v>0</v>
      </c>
      <c r="AT7" s="428">
        <v>0</v>
      </c>
      <c r="AU7" s="525">
        <f t="shared" si="1"/>
        <v>0</v>
      </c>
      <c r="AV7" s="526">
        <f t="shared" si="2"/>
        <v>0</v>
      </c>
      <c r="AW7" s="526">
        <f t="shared" si="3"/>
        <v>0</v>
      </c>
      <c r="AX7" s="526">
        <f t="shared" si="4"/>
        <v>0</v>
      </c>
      <c r="AY7" s="526">
        <f t="shared" si="5"/>
        <v>0</v>
      </c>
      <c r="AZ7" s="526">
        <f t="shared" si="6"/>
        <v>0</v>
      </c>
      <c r="BA7" s="526">
        <f t="shared" si="7"/>
        <v>0</v>
      </c>
      <c r="BB7" s="527">
        <f t="shared" si="8"/>
        <v>0</v>
      </c>
      <c r="BC7" s="498">
        <f t="shared" si="9"/>
        <v>0</v>
      </c>
    </row>
    <row r="8" spans="1:55" outlineLevel="1">
      <c r="A8" s="427"/>
      <c r="B8" s="1406"/>
      <c r="C8" s="440" t="s">
        <v>1091</v>
      </c>
      <c r="D8" s="514">
        <f>SUMIF(tbl_pluto_2010[BldgArea 2010],Original!C8,tbl_pluto_2010[TOTAL])</f>
        <v>167651495</v>
      </c>
      <c r="E8" s="447">
        <v>15347555.11749785</v>
      </c>
      <c r="F8" s="500">
        <f t="shared" si="0"/>
        <v>2.794559837285799E-2</v>
      </c>
      <c r="G8" s="519">
        <v>92.325096950615716</v>
      </c>
      <c r="H8" s="453">
        <v>894733.86049749935</v>
      </c>
      <c r="I8" s="442">
        <v>727824.03106786753</v>
      </c>
      <c r="J8" s="442">
        <v>618523.40654032386</v>
      </c>
      <c r="K8" s="442">
        <v>73567.567150399409</v>
      </c>
      <c r="L8" s="442">
        <v>2526671.94755285</v>
      </c>
      <c r="M8" s="456">
        <v>10033937.678923406</v>
      </c>
      <c r="N8" s="457">
        <v>472296.62576550397</v>
      </c>
      <c r="O8" s="463">
        <v>1674553.9025025198</v>
      </c>
      <c r="P8" s="437">
        <v>640094.96275357017</v>
      </c>
      <c r="Q8" s="437">
        <v>0</v>
      </c>
      <c r="R8" s="437">
        <v>0</v>
      </c>
      <c r="S8" s="437">
        <v>0</v>
      </c>
      <c r="T8" s="437">
        <v>0</v>
      </c>
      <c r="U8" s="437">
        <v>0</v>
      </c>
      <c r="V8" s="437">
        <v>0</v>
      </c>
      <c r="W8" s="463">
        <v>101687.83633791166</v>
      </c>
      <c r="X8" s="437">
        <v>15651.09262169853</v>
      </c>
      <c r="Y8" s="437">
        <v>510031.84203062457</v>
      </c>
      <c r="Z8" s="437">
        <v>219597.21043935098</v>
      </c>
      <c r="AA8" s="437">
        <v>560848.0719143491</v>
      </c>
      <c r="AB8" s="437">
        <v>220104.12692545314</v>
      </c>
      <c r="AC8" s="437">
        <v>80459.316654335707</v>
      </c>
      <c r="AD8" s="464">
        <v>818292.45062912616</v>
      </c>
      <c r="AE8" s="463">
        <v>6621879.412535945</v>
      </c>
      <c r="AF8" s="437">
        <v>2990361.2979181465</v>
      </c>
      <c r="AG8" s="437">
        <v>146714.12176358575</v>
      </c>
      <c r="AH8" s="437">
        <v>0</v>
      </c>
      <c r="AI8" s="437">
        <v>0</v>
      </c>
      <c r="AJ8" s="437">
        <v>0</v>
      </c>
      <c r="AK8" s="437">
        <v>59878.807191540611</v>
      </c>
      <c r="AL8" s="464">
        <v>215104.03951418691</v>
      </c>
      <c r="AM8" s="463">
        <v>335837.66814836051</v>
      </c>
      <c r="AN8" s="437">
        <v>136458.95761714349</v>
      </c>
      <c r="AO8" s="437">
        <v>0</v>
      </c>
      <c r="AP8" s="437">
        <v>0</v>
      </c>
      <c r="AQ8" s="437">
        <v>0</v>
      </c>
      <c r="AR8" s="437">
        <v>0</v>
      </c>
      <c r="AS8" s="437">
        <v>0</v>
      </c>
      <c r="AT8" s="437">
        <v>0</v>
      </c>
      <c r="AU8" s="525">
        <f t="shared" si="1"/>
        <v>8733958.8195247371</v>
      </c>
      <c r="AV8" s="526">
        <f t="shared" si="2"/>
        <v>3782566.3109105588</v>
      </c>
      <c r="AW8" s="526">
        <f t="shared" si="3"/>
        <v>656745.96379421034</v>
      </c>
      <c r="AX8" s="526">
        <f t="shared" si="4"/>
        <v>219597.21043935098</v>
      </c>
      <c r="AY8" s="526">
        <f t="shared" si="5"/>
        <v>560848.0719143491</v>
      </c>
      <c r="AZ8" s="526">
        <f t="shared" si="6"/>
        <v>220104.12692545314</v>
      </c>
      <c r="BA8" s="526">
        <f t="shared" si="7"/>
        <v>140338.12384587631</v>
      </c>
      <c r="BB8" s="527">
        <f t="shared" si="8"/>
        <v>1033396.4901433131</v>
      </c>
      <c r="BC8" s="498">
        <f t="shared" si="9"/>
        <v>15347555.11749785</v>
      </c>
    </row>
    <row r="9" spans="1:55" outlineLevel="1">
      <c r="A9" s="427"/>
      <c r="B9" s="1406"/>
      <c r="C9" s="440" t="s">
        <v>1092</v>
      </c>
      <c r="D9" s="514">
        <f>SUMIF(tbl_pluto_2010[BldgArea 2010],Original!C9,tbl_pluto_2010[TOTAL])</f>
        <v>169601820</v>
      </c>
      <c r="E9" s="447">
        <v>9775689.723280102</v>
      </c>
      <c r="F9" s="500">
        <f t="shared" si="0"/>
        <v>1.7800066312386009E-2</v>
      </c>
      <c r="G9" s="519">
        <v>92.325096950615688</v>
      </c>
      <c r="H9" s="453">
        <v>569904.49216005963</v>
      </c>
      <c r="I9" s="442">
        <v>463590.57494145189</v>
      </c>
      <c r="J9" s="442">
        <v>393971.08286197303</v>
      </c>
      <c r="K9" s="442">
        <v>46859.171031022634</v>
      </c>
      <c r="L9" s="442">
        <v>1609374.3141949642</v>
      </c>
      <c r="M9" s="454">
        <v>6391158.7676953841</v>
      </c>
      <c r="N9" s="455">
        <v>300831.32039524679</v>
      </c>
      <c r="O9" s="463">
        <v>1087319.1817228743</v>
      </c>
      <c r="P9" s="437">
        <v>387006.139271633</v>
      </c>
      <c r="Q9" s="437">
        <v>0</v>
      </c>
      <c r="R9" s="437">
        <v>0</v>
      </c>
      <c r="S9" s="437">
        <v>0</v>
      </c>
      <c r="T9" s="437">
        <v>0</v>
      </c>
      <c r="U9" s="437">
        <v>0</v>
      </c>
      <c r="V9" s="437">
        <v>0</v>
      </c>
      <c r="W9" s="463">
        <v>52744.268481620151</v>
      </c>
      <c r="X9" s="437">
        <v>7833.6524910942162</v>
      </c>
      <c r="Y9" s="437">
        <v>189737.63971004327</v>
      </c>
      <c r="Z9" s="437">
        <v>112144.01593266016</v>
      </c>
      <c r="AA9" s="437">
        <v>490099.47150866076</v>
      </c>
      <c r="AB9" s="437">
        <v>69103.167302520902</v>
      </c>
      <c r="AC9" s="437">
        <v>44811.899700335183</v>
      </c>
      <c r="AD9" s="464">
        <v>642900.19906802976</v>
      </c>
      <c r="AE9" s="463">
        <v>4162711.5007776478</v>
      </c>
      <c r="AF9" s="437">
        <v>2001773.4880817742</v>
      </c>
      <c r="AG9" s="437">
        <v>0</v>
      </c>
      <c r="AH9" s="437">
        <v>0</v>
      </c>
      <c r="AI9" s="437">
        <v>0</v>
      </c>
      <c r="AJ9" s="437">
        <v>0</v>
      </c>
      <c r="AK9" s="437">
        <v>0</v>
      </c>
      <c r="AL9" s="464">
        <v>226673.7788359616</v>
      </c>
      <c r="AM9" s="463">
        <v>300831.32039524679</v>
      </c>
      <c r="AN9" s="437">
        <v>0</v>
      </c>
      <c r="AO9" s="437">
        <v>0</v>
      </c>
      <c r="AP9" s="437">
        <v>0</v>
      </c>
      <c r="AQ9" s="437">
        <v>0</v>
      </c>
      <c r="AR9" s="437">
        <v>0</v>
      </c>
      <c r="AS9" s="437">
        <v>0</v>
      </c>
      <c r="AT9" s="437">
        <v>0</v>
      </c>
      <c r="AU9" s="525">
        <f t="shared" si="1"/>
        <v>5603606.2713773893</v>
      </c>
      <c r="AV9" s="526">
        <f t="shared" si="2"/>
        <v>2396613.2798445015</v>
      </c>
      <c r="AW9" s="526">
        <f t="shared" si="3"/>
        <v>189737.63971004327</v>
      </c>
      <c r="AX9" s="526">
        <f t="shared" si="4"/>
        <v>112144.01593266016</v>
      </c>
      <c r="AY9" s="526">
        <f t="shared" si="5"/>
        <v>490099.47150866076</v>
      </c>
      <c r="AZ9" s="526">
        <f t="shared" si="6"/>
        <v>69103.167302520902</v>
      </c>
      <c r="BA9" s="526">
        <f t="shared" si="7"/>
        <v>44811.899700335183</v>
      </c>
      <c r="BB9" s="527">
        <f t="shared" si="8"/>
        <v>869573.97790399136</v>
      </c>
      <c r="BC9" s="498">
        <f t="shared" si="9"/>
        <v>9775689.723280102</v>
      </c>
    </row>
    <row r="10" spans="1:55" outlineLevel="1">
      <c r="A10" s="427"/>
      <c r="B10" s="1406"/>
      <c r="C10" s="440" t="s">
        <v>1093</v>
      </c>
      <c r="D10" s="514">
        <f>SUMIF(tbl_pluto_2010[BldgArea 2010],Original!C10,tbl_pluto_2010[TOTAL])</f>
        <v>245896527</v>
      </c>
      <c r="E10" s="447">
        <v>29488103.896492932</v>
      </c>
      <c r="F10" s="500">
        <f t="shared" si="0"/>
        <v>5.3693419046853971E-2</v>
      </c>
      <c r="G10" s="519">
        <v>92.325096950615702</v>
      </c>
      <c r="H10" s="453">
        <v>1719101.5009276555</v>
      </c>
      <c r="I10" s="442">
        <v>1398408.4423990396</v>
      </c>
      <c r="J10" s="442">
        <v>1188403.1257642661</v>
      </c>
      <c r="K10" s="442">
        <v>141349.42321007777</v>
      </c>
      <c r="L10" s="442">
        <v>4854634.1310641011</v>
      </c>
      <c r="M10" s="454">
        <v>19278757.724068489</v>
      </c>
      <c r="N10" s="455">
        <v>907449.5490593029</v>
      </c>
      <c r="O10" s="463">
        <v>3367038.5104097067</v>
      </c>
      <c r="P10" s="437">
        <v>961497.24186536227</v>
      </c>
      <c r="Q10" s="437">
        <v>118726.74002596918</v>
      </c>
      <c r="R10" s="437">
        <v>0</v>
      </c>
      <c r="S10" s="437">
        <v>0</v>
      </c>
      <c r="T10" s="437">
        <v>0</v>
      </c>
      <c r="U10" s="437">
        <v>0</v>
      </c>
      <c r="V10" s="437">
        <v>0</v>
      </c>
      <c r="W10" s="463">
        <v>458100.47299010138</v>
      </c>
      <c r="X10" s="437">
        <v>90534.00245193622</v>
      </c>
      <c r="Y10" s="437">
        <v>997559.45935597096</v>
      </c>
      <c r="Z10" s="437">
        <v>343545.64152403577</v>
      </c>
      <c r="AA10" s="437">
        <v>1044313.7465681074</v>
      </c>
      <c r="AB10" s="437">
        <v>411164.98442470666</v>
      </c>
      <c r="AC10" s="437">
        <v>157665.95797598618</v>
      </c>
      <c r="AD10" s="464">
        <v>1351749.8657732559</v>
      </c>
      <c r="AE10" s="463">
        <v>11716275.511208959</v>
      </c>
      <c r="AF10" s="437">
        <v>6415268.9985720925</v>
      </c>
      <c r="AG10" s="437">
        <v>525550.57127979188</v>
      </c>
      <c r="AH10" s="437">
        <v>0</v>
      </c>
      <c r="AI10" s="437">
        <v>0</v>
      </c>
      <c r="AJ10" s="437">
        <v>0</v>
      </c>
      <c r="AK10" s="437">
        <v>91338.902922091656</v>
      </c>
      <c r="AL10" s="464">
        <v>530323.74008555943</v>
      </c>
      <c r="AM10" s="463">
        <v>515834.88510496251</v>
      </c>
      <c r="AN10" s="437">
        <v>251675.41333271962</v>
      </c>
      <c r="AO10" s="437">
        <v>139939.25062162083</v>
      </c>
      <c r="AP10" s="437">
        <v>0</v>
      </c>
      <c r="AQ10" s="437">
        <v>0</v>
      </c>
      <c r="AR10" s="437">
        <v>0</v>
      </c>
      <c r="AS10" s="437">
        <v>0</v>
      </c>
      <c r="AT10" s="437">
        <v>0</v>
      </c>
      <c r="AU10" s="525">
        <f t="shared" si="1"/>
        <v>16057249.379713729</v>
      </c>
      <c r="AV10" s="526">
        <f t="shared" si="2"/>
        <v>7718975.6562221106</v>
      </c>
      <c r="AW10" s="526">
        <f t="shared" si="3"/>
        <v>1781776.0212833527</v>
      </c>
      <c r="AX10" s="526">
        <f t="shared" si="4"/>
        <v>343545.64152403577</v>
      </c>
      <c r="AY10" s="526">
        <f t="shared" si="5"/>
        <v>1044313.7465681074</v>
      </c>
      <c r="AZ10" s="526">
        <f t="shared" si="6"/>
        <v>411164.98442470666</v>
      </c>
      <c r="BA10" s="526">
        <f t="shared" si="7"/>
        <v>249004.86089807784</v>
      </c>
      <c r="BB10" s="527">
        <f t="shared" si="8"/>
        <v>1882073.6058588154</v>
      </c>
      <c r="BC10" s="498">
        <f t="shared" si="9"/>
        <v>29488103.896492932</v>
      </c>
    </row>
    <row r="11" spans="1:55" outlineLevel="1">
      <c r="A11" s="427"/>
      <c r="B11" s="1406"/>
      <c r="C11" s="440" t="s">
        <v>1094</v>
      </c>
      <c r="D11" s="514">
        <f>SUMIF(tbl_pluto_2010[BldgArea 2010],Original!C11,tbl_pluto_2010[TOTAL])</f>
        <v>298075134</v>
      </c>
      <c r="E11" s="447">
        <v>23935005.240082145</v>
      </c>
      <c r="F11" s="500">
        <f t="shared" si="0"/>
        <v>4.3582058404142476E-2</v>
      </c>
      <c r="G11" s="519">
        <v>92.325096950615716</v>
      </c>
      <c r="H11" s="453">
        <v>1395366.1984292641</v>
      </c>
      <c r="I11" s="442">
        <v>1135064.9575192549</v>
      </c>
      <c r="J11" s="442">
        <v>964607.12232774834</v>
      </c>
      <c r="K11" s="442">
        <v>114730.98430103433</v>
      </c>
      <c r="L11" s="442">
        <v>3940426.0705796089</v>
      </c>
      <c r="M11" s="454">
        <v>15648248.14669528</v>
      </c>
      <c r="N11" s="455">
        <v>736561.7602299538</v>
      </c>
      <c r="O11" s="463">
        <v>2624514.1567053339</v>
      </c>
      <c r="P11" s="437">
        <v>934770.82703948882</v>
      </c>
      <c r="Q11" s="437">
        <v>50484.27883247898</v>
      </c>
      <c r="R11" s="437">
        <v>0</v>
      </c>
      <c r="S11" s="437">
        <v>0</v>
      </c>
      <c r="T11" s="437">
        <v>0</v>
      </c>
      <c r="U11" s="437">
        <v>0</v>
      </c>
      <c r="V11" s="437">
        <v>0</v>
      </c>
      <c r="W11" s="463">
        <v>169716.87899562062</v>
      </c>
      <c r="X11" s="437">
        <v>48736.791878293101</v>
      </c>
      <c r="Y11" s="437">
        <v>531778.82693040872</v>
      </c>
      <c r="Z11" s="437">
        <v>192001.24017173125</v>
      </c>
      <c r="AA11" s="437">
        <v>1294596.4116856148</v>
      </c>
      <c r="AB11" s="437">
        <v>357113.48479489156</v>
      </c>
      <c r="AC11" s="437">
        <v>143757.11261244744</v>
      </c>
      <c r="AD11" s="464">
        <v>1202725.3235106007</v>
      </c>
      <c r="AE11" s="463">
        <v>10789896.878575906</v>
      </c>
      <c r="AF11" s="437">
        <v>4659798.3434358919</v>
      </c>
      <c r="AG11" s="437">
        <v>16694.191843506916</v>
      </c>
      <c r="AH11" s="437">
        <v>0</v>
      </c>
      <c r="AI11" s="437">
        <v>0</v>
      </c>
      <c r="AJ11" s="437">
        <v>0</v>
      </c>
      <c r="AK11" s="437">
        <v>19414.921934670536</v>
      </c>
      <c r="AL11" s="464">
        <v>162443.81090530622</v>
      </c>
      <c r="AM11" s="463">
        <v>504583.62257053575</v>
      </c>
      <c r="AN11" s="437">
        <v>231978.13765941796</v>
      </c>
      <c r="AO11" s="437">
        <v>0</v>
      </c>
      <c r="AP11" s="437">
        <v>0</v>
      </c>
      <c r="AQ11" s="437">
        <v>0</v>
      </c>
      <c r="AR11" s="437">
        <v>0</v>
      </c>
      <c r="AS11" s="437">
        <v>0</v>
      </c>
      <c r="AT11" s="437">
        <v>0</v>
      </c>
      <c r="AU11" s="525">
        <f t="shared" si="1"/>
        <v>14088711.536847396</v>
      </c>
      <c r="AV11" s="526">
        <f t="shared" si="2"/>
        <v>5875284.1000130922</v>
      </c>
      <c r="AW11" s="526">
        <f t="shared" si="3"/>
        <v>598957.29760639463</v>
      </c>
      <c r="AX11" s="526">
        <f t="shared" si="4"/>
        <v>192001.24017173125</v>
      </c>
      <c r="AY11" s="526">
        <f t="shared" si="5"/>
        <v>1294596.4116856148</v>
      </c>
      <c r="AZ11" s="526">
        <f t="shared" si="6"/>
        <v>357113.48479489156</v>
      </c>
      <c r="BA11" s="526">
        <f t="shared" si="7"/>
        <v>163172.03454711798</v>
      </c>
      <c r="BB11" s="527">
        <f t="shared" si="8"/>
        <v>1365169.1344159069</v>
      </c>
      <c r="BC11" s="498">
        <f t="shared" si="9"/>
        <v>23935005.240082145</v>
      </c>
    </row>
    <row r="12" spans="1:55" outlineLevel="1">
      <c r="A12" s="427"/>
      <c r="B12" s="1406"/>
      <c r="C12" s="440" t="s">
        <v>1095</v>
      </c>
      <c r="D12" s="514">
        <f>SUMIF(tbl_pluto_2010[BldgArea 2010],Original!C12,tbl_pluto_2010[TOTAL])</f>
        <v>181804689</v>
      </c>
      <c r="E12" s="447">
        <v>16610568.537238672</v>
      </c>
      <c r="F12" s="500">
        <f t="shared" si="0"/>
        <v>3.0245356575215973E-2</v>
      </c>
      <c r="G12" s="519">
        <v>92.325096950615716</v>
      </c>
      <c r="H12" s="453">
        <v>968365.18902203196</v>
      </c>
      <c r="I12" s="442">
        <v>787719.66339568584</v>
      </c>
      <c r="J12" s="442">
        <v>669424.24103177851</v>
      </c>
      <c r="K12" s="442">
        <v>79621.744760923422</v>
      </c>
      <c r="L12" s="442">
        <v>2734602.171787953</v>
      </c>
      <c r="M12" s="454">
        <v>10859671.670057589</v>
      </c>
      <c r="N12" s="455">
        <v>511163.85718271171</v>
      </c>
      <c r="O12" s="463">
        <v>1879371.1136497634</v>
      </c>
      <c r="P12" s="437">
        <v>625745.11848823749</v>
      </c>
      <c r="Q12" s="437">
        <v>0</v>
      </c>
      <c r="R12" s="437">
        <v>0</v>
      </c>
      <c r="S12" s="437">
        <v>0</v>
      </c>
      <c r="T12" s="437">
        <v>0</v>
      </c>
      <c r="U12" s="437">
        <v>0</v>
      </c>
      <c r="V12" s="437">
        <v>14.606072418693502</v>
      </c>
      <c r="W12" s="463">
        <v>56223.717307023922</v>
      </c>
      <c r="X12" s="437">
        <v>127817.40295091413</v>
      </c>
      <c r="Y12" s="437">
        <v>373327.47584755335</v>
      </c>
      <c r="Z12" s="437">
        <v>78583.143372521707</v>
      </c>
      <c r="AA12" s="437">
        <v>796593.03951106395</v>
      </c>
      <c r="AB12" s="437">
        <v>315192.95581559453</v>
      </c>
      <c r="AC12" s="437">
        <v>84312.192576945221</v>
      </c>
      <c r="AD12" s="464">
        <v>902552.2444063361</v>
      </c>
      <c r="AE12" s="463">
        <v>7049694.2243986726</v>
      </c>
      <c r="AF12" s="437">
        <v>3316152.785815795</v>
      </c>
      <c r="AG12" s="437">
        <v>0</v>
      </c>
      <c r="AH12" s="437">
        <v>0</v>
      </c>
      <c r="AI12" s="437">
        <v>0</v>
      </c>
      <c r="AJ12" s="437">
        <v>0</v>
      </c>
      <c r="AK12" s="437">
        <v>90424.789541529521</v>
      </c>
      <c r="AL12" s="464">
        <v>403399.87030159082</v>
      </c>
      <c r="AM12" s="463">
        <v>342864.0435004913</v>
      </c>
      <c r="AN12" s="437">
        <v>168299.81368222041</v>
      </c>
      <c r="AO12" s="437">
        <v>0</v>
      </c>
      <c r="AP12" s="437">
        <v>0</v>
      </c>
      <c r="AQ12" s="437">
        <v>0</v>
      </c>
      <c r="AR12" s="437">
        <v>0</v>
      </c>
      <c r="AS12" s="437">
        <v>0</v>
      </c>
      <c r="AT12" s="437">
        <v>0</v>
      </c>
      <c r="AU12" s="525">
        <f t="shared" si="1"/>
        <v>9328153.0988559499</v>
      </c>
      <c r="AV12" s="526">
        <f t="shared" si="2"/>
        <v>4238015.1209371667</v>
      </c>
      <c r="AW12" s="526">
        <f t="shared" si="3"/>
        <v>373327.47584755335</v>
      </c>
      <c r="AX12" s="526">
        <f t="shared" si="4"/>
        <v>78583.143372521707</v>
      </c>
      <c r="AY12" s="526">
        <f t="shared" si="5"/>
        <v>796593.03951106395</v>
      </c>
      <c r="AZ12" s="526">
        <f t="shared" si="6"/>
        <v>315192.95581559453</v>
      </c>
      <c r="BA12" s="526">
        <f t="shared" si="7"/>
        <v>174736.98211847473</v>
      </c>
      <c r="BB12" s="527">
        <f t="shared" si="8"/>
        <v>1305966.7207803456</v>
      </c>
      <c r="BC12" s="498">
        <f t="shared" si="9"/>
        <v>16610568.537238669</v>
      </c>
    </row>
    <row r="13" spans="1:55" outlineLevel="1">
      <c r="A13" s="427"/>
      <c r="B13" s="1406"/>
      <c r="C13" s="440" t="s">
        <v>1096</v>
      </c>
      <c r="D13" s="514">
        <f>SUMIF(tbl_pluto_2010[BldgArea 2010],Original!C13,tbl_pluto_2010[TOTAL])</f>
        <v>1107689779</v>
      </c>
      <c r="E13" s="447">
        <v>78375533.713674605</v>
      </c>
      <c r="F13" s="500">
        <f t="shared" si="0"/>
        <v>0.14271010402976964</v>
      </c>
      <c r="G13" s="519">
        <v>92.325096950615702</v>
      </c>
      <c r="H13" s="453">
        <v>4569147.5489954576</v>
      </c>
      <c r="I13" s="442">
        <v>3716787.2307913341</v>
      </c>
      <c r="J13" s="442">
        <v>3158620.4923759447</v>
      </c>
      <c r="K13" s="442">
        <v>375688.32920205069</v>
      </c>
      <c r="L13" s="442">
        <v>12902984.279434174</v>
      </c>
      <c r="M13" s="454">
        <v>51240423.299654685</v>
      </c>
      <c r="N13" s="455">
        <v>2411882.5332209594</v>
      </c>
      <c r="O13" s="463">
        <v>8652265.4779239111</v>
      </c>
      <c r="P13" s="437">
        <v>3167978.1234408752</v>
      </c>
      <c r="Q13" s="437">
        <v>0</v>
      </c>
      <c r="R13" s="437">
        <v>0</v>
      </c>
      <c r="S13" s="437">
        <v>0</v>
      </c>
      <c r="T13" s="437">
        <v>0</v>
      </c>
      <c r="U13" s="437">
        <v>0</v>
      </c>
      <c r="V13" s="437">
        <v>0</v>
      </c>
      <c r="W13" s="463">
        <v>895064.58898701216</v>
      </c>
      <c r="X13" s="437">
        <v>210870.66491157387</v>
      </c>
      <c r="Y13" s="437">
        <v>1757502.0345002031</v>
      </c>
      <c r="Z13" s="437">
        <v>203770.52842316352</v>
      </c>
      <c r="AA13" s="437">
        <v>4372867.9796338566</v>
      </c>
      <c r="AB13" s="437">
        <v>1094017.3979818092</v>
      </c>
      <c r="AC13" s="437">
        <v>290102.83154979203</v>
      </c>
      <c r="AD13" s="464">
        <v>4078788.2534467643</v>
      </c>
      <c r="AE13" s="463">
        <v>35329320.871670403</v>
      </c>
      <c r="AF13" s="437">
        <v>15261320.868300993</v>
      </c>
      <c r="AG13" s="437">
        <v>135.73654066432192</v>
      </c>
      <c r="AH13" s="437">
        <v>0</v>
      </c>
      <c r="AI13" s="437">
        <v>0</v>
      </c>
      <c r="AJ13" s="437">
        <v>0</v>
      </c>
      <c r="AK13" s="437">
        <v>63110.874252552305</v>
      </c>
      <c r="AL13" s="464">
        <v>586534.94889008068</v>
      </c>
      <c r="AM13" s="463">
        <v>1631033.893329449</v>
      </c>
      <c r="AN13" s="437">
        <v>780848.63989151036</v>
      </c>
      <c r="AO13" s="437">
        <v>0</v>
      </c>
      <c r="AP13" s="437">
        <v>0</v>
      </c>
      <c r="AQ13" s="437">
        <v>0</v>
      </c>
      <c r="AR13" s="437">
        <v>0</v>
      </c>
      <c r="AS13" s="437">
        <v>0</v>
      </c>
      <c r="AT13" s="437">
        <v>0</v>
      </c>
      <c r="AU13" s="525">
        <f t="shared" si="1"/>
        <v>46507684.831910774</v>
      </c>
      <c r="AV13" s="526">
        <f t="shared" si="2"/>
        <v>19421018.29654495</v>
      </c>
      <c r="AW13" s="526">
        <f t="shared" si="3"/>
        <v>1757637.7710408673</v>
      </c>
      <c r="AX13" s="526">
        <f t="shared" si="4"/>
        <v>203770.52842316352</v>
      </c>
      <c r="AY13" s="526">
        <f t="shared" si="5"/>
        <v>4372867.9796338566</v>
      </c>
      <c r="AZ13" s="526">
        <f t="shared" si="6"/>
        <v>1094017.3979818092</v>
      </c>
      <c r="BA13" s="526">
        <f t="shared" si="7"/>
        <v>353213.70580234431</v>
      </c>
      <c r="BB13" s="527">
        <f t="shared" si="8"/>
        <v>4665323.202336845</v>
      </c>
      <c r="BC13" s="498">
        <f t="shared" si="9"/>
        <v>78375533.71367462</v>
      </c>
    </row>
    <row r="14" spans="1:55" outlineLevel="1">
      <c r="A14" s="427"/>
      <c r="B14" s="1406"/>
      <c r="C14" s="480" t="s">
        <v>1097</v>
      </c>
      <c r="D14" s="516">
        <f>SUMIF(tbl_pluto_2010[BldgArea 2010],Original!C14,tbl_pluto_2010[TOTAL])</f>
        <v>322561022</v>
      </c>
      <c r="E14" s="468">
        <v>19991192.019257538</v>
      </c>
      <c r="F14" s="502">
        <f t="shared" si="0"/>
        <v>3.6400965423340717E-2</v>
      </c>
      <c r="G14" s="521">
        <v>92.325096950615702</v>
      </c>
      <c r="H14" s="469">
        <v>1165449.2376407394</v>
      </c>
      <c r="I14" s="470">
        <v>948038.29339040269</v>
      </c>
      <c r="J14" s="470">
        <v>805667.09771613497</v>
      </c>
      <c r="K14" s="470">
        <v>95826.556740395681</v>
      </c>
      <c r="L14" s="470">
        <v>3291155.0853863554</v>
      </c>
      <c r="M14" s="471">
        <v>13069858.574407509</v>
      </c>
      <c r="N14" s="487">
        <v>615197.17397600214</v>
      </c>
      <c r="O14" s="472">
        <v>2005770.7505679845</v>
      </c>
      <c r="P14" s="473">
        <v>1009210.4349196877</v>
      </c>
      <c r="Q14" s="473">
        <v>0</v>
      </c>
      <c r="R14" s="473">
        <v>0</v>
      </c>
      <c r="S14" s="473">
        <v>0</v>
      </c>
      <c r="T14" s="473">
        <v>0</v>
      </c>
      <c r="U14" s="473">
        <v>0</v>
      </c>
      <c r="V14" s="473">
        <v>0</v>
      </c>
      <c r="W14" s="472">
        <v>647923.36680807953</v>
      </c>
      <c r="X14" s="473">
        <v>150950.34049636943</v>
      </c>
      <c r="Y14" s="473">
        <v>526039.41975393961</v>
      </c>
      <c r="Z14" s="473">
        <v>134887.83931300163</v>
      </c>
      <c r="AA14" s="473">
        <v>744069.70160692558</v>
      </c>
      <c r="AB14" s="473">
        <v>203339.30652170378</v>
      </c>
      <c r="AC14" s="473">
        <v>87693.058411811988</v>
      </c>
      <c r="AD14" s="474">
        <v>796252.05247452366</v>
      </c>
      <c r="AE14" s="472">
        <v>6954956.5113566583</v>
      </c>
      <c r="AF14" s="473">
        <v>5049265.2735583549</v>
      </c>
      <c r="AG14" s="473">
        <v>678159.06604041741</v>
      </c>
      <c r="AH14" s="473">
        <v>0</v>
      </c>
      <c r="AI14" s="473">
        <v>0</v>
      </c>
      <c r="AJ14" s="473">
        <v>0</v>
      </c>
      <c r="AK14" s="473">
        <v>17382.150455331401</v>
      </c>
      <c r="AL14" s="474">
        <v>370095.57299674809</v>
      </c>
      <c r="AM14" s="472">
        <v>408924.59011785145</v>
      </c>
      <c r="AN14" s="473">
        <v>203791.36496143378</v>
      </c>
      <c r="AO14" s="473">
        <v>2481.2188967169814</v>
      </c>
      <c r="AP14" s="473">
        <v>0</v>
      </c>
      <c r="AQ14" s="473">
        <v>0</v>
      </c>
      <c r="AR14" s="473">
        <v>0</v>
      </c>
      <c r="AS14" s="473">
        <v>0</v>
      </c>
      <c r="AT14" s="473">
        <v>0</v>
      </c>
      <c r="AU14" s="528">
        <f t="shared" si="1"/>
        <v>10017575.218850574</v>
      </c>
      <c r="AV14" s="529">
        <f t="shared" si="2"/>
        <v>6413217.4139358457</v>
      </c>
      <c r="AW14" s="529">
        <f t="shared" si="3"/>
        <v>1206679.7046910741</v>
      </c>
      <c r="AX14" s="529">
        <f t="shared" si="4"/>
        <v>134887.83931300163</v>
      </c>
      <c r="AY14" s="529">
        <f t="shared" si="5"/>
        <v>744069.70160692558</v>
      </c>
      <c r="AZ14" s="529">
        <f t="shared" si="6"/>
        <v>203339.30652170378</v>
      </c>
      <c r="BA14" s="529">
        <f t="shared" si="7"/>
        <v>105075.20886714339</v>
      </c>
      <c r="BB14" s="530">
        <f t="shared" si="8"/>
        <v>1166347.6254712718</v>
      </c>
      <c r="BC14" s="497">
        <f t="shared" si="9"/>
        <v>19991192.019257538</v>
      </c>
    </row>
    <row r="15" spans="1:55" ht="15" customHeight="1" outlineLevel="1">
      <c r="A15" s="427"/>
      <c r="B15" s="1407" t="s">
        <v>631</v>
      </c>
      <c r="C15" s="479" t="s">
        <v>1076</v>
      </c>
      <c r="D15" s="514">
        <f>SUMIF(tbl_pluto_2010[BldgArea 2010],Original!C15,tbl_pluto_2010[TOTAL])</f>
        <v>35396394</v>
      </c>
      <c r="E15" s="1307">
        <v>4442987.8062184351</v>
      </c>
      <c r="F15" s="501">
        <f t="shared" si="0"/>
        <v>8.0900151103890094E-3</v>
      </c>
      <c r="G15" s="520">
        <v>141.604614679127</v>
      </c>
      <c r="H15" s="1305">
        <v>169259.17517266417</v>
      </c>
      <c r="I15" s="476">
        <v>39183.843101471008</v>
      </c>
      <c r="J15" s="476">
        <v>21859.0988477215</v>
      </c>
      <c r="K15" s="476">
        <v>4909.2263456678638</v>
      </c>
      <c r="L15" s="476">
        <v>1858111.8173282866</v>
      </c>
      <c r="M15" s="477">
        <v>2144566.6444759206</v>
      </c>
      <c r="N15" s="486">
        <v>205098.00094670246</v>
      </c>
      <c r="O15" s="1306">
        <v>137934.02680676509</v>
      </c>
      <c r="P15" s="428">
        <v>97277.31666075949</v>
      </c>
      <c r="Q15" s="428">
        <v>0</v>
      </c>
      <c r="R15" s="428">
        <v>0</v>
      </c>
      <c r="S15" s="428">
        <v>0</v>
      </c>
      <c r="T15" s="428">
        <v>0</v>
      </c>
      <c r="U15" s="428">
        <v>0</v>
      </c>
      <c r="V15" s="428">
        <v>0</v>
      </c>
      <c r="W15" s="1306">
        <v>140576.72146277488</v>
      </c>
      <c r="X15" s="428">
        <v>12443.728007353993</v>
      </c>
      <c r="Y15" s="428">
        <v>373753.5530040476</v>
      </c>
      <c r="Z15" s="428">
        <v>359660.22444605251</v>
      </c>
      <c r="AA15" s="428">
        <v>401941.42184487538</v>
      </c>
      <c r="AB15" s="428">
        <v>70590.525001990201</v>
      </c>
      <c r="AC15" s="428">
        <v>116825.66934066512</v>
      </c>
      <c r="AD15" s="481">
        <v>382319.97422052693</v>
      </c>
      <c r="AE15" s="1306">
        <v>1100353.0825032438</v>
      </c>
      <c r="AF15" s="428">
        <v>1010626.7032852992</v>
      </c>
      <c r="AG15" s="428">
        <v>0</v>
      </c>
      <c r="AH15" s="428">
        <v>0</v>
      </c>
      <c r="AI15" s="428">
        <v>0</v>
      </c>
      <c r="AJ15" s="428">
        <v>0</v>
      </c>
      <c r="AK15" s="428">
        <v>17302.888919636429</v>
      </c>
      <c r="AL15" s="481">
        <v>16283.96976774107</v>
      </c>
      <c r="AM15" s="1306">
        <v>132025.25969283318</v>
      </c>
      <c r="AN15" s="428">
        <v>54804.647697949513</v>
      </c>
      <c r="AO15" s="428">
        <v>0</v>
      </c>
      <c r="AP15" s="428">
        <v>0</v>
      </c>
      <c r="AQ15" s="428">
        <v>0</v>
      </c>
      <c r="AR15" s="428">
        <v>0</v>
      </c>
      <c r="AS15" s="428">
        <v>18268.093555919786</v>
      </c>
      <c r="AT15" s="428">
        <v>0</v>
      </c>
      <c r="AU15" s="525">
        <f t="shared" si="1"/>
        <v>1510889.0904656169</v>
      </c>
      <c r="AV15" s="526">
        <f t="shared" si="2"/>
        <v>1175152.3956513624</v>
      </c>
      <c r="AW15" s="526">
        <f t="shared" si="3"/>
        <v>373753.5530040476</v>
      </c>
      <c r="AX15" s="526">
        <f t="shared" si="4"/>
        <v>359660.22444605251</v>
      </c>
      <c r="AY15" s="526">
        <f t="shared" si="5"/>
        <v>401941.42184487538</v>
      </c>
      <c r="AZ15" s="526">
        <f t="shared" si="6"/>
        <v>70590.525001990201</v>
      </c>
      <c r="BA15" s="526">
        <f t="shared" si="7"/>
        <v>152396.65181622133</v>
      </c>
      <c r="BB15" s="527">
        <f t="shared" si="8"/>
        <v>398603.94398826797</v>
      </c>
      <c r="BC15" s="498">
        <f t="shared" si="9"/>
        <v>4442987.8062184351</v>
      </c>
    </row>
    <row r="16" spans="1:55" outlineLevel="1">
      <c r="A16" s="427"/>
      <c r="B16" s="1408"/>
      <c r="C16" s="440" t="s">
        <v>1077</v>
      </c>
      <c r="D16" s="514">
        <f>SUMIF(tbl_pluto_2010[BldgArea 2010],Original!C16,tbl_pluto_2010[TOTAL])</f>
        <v>48762851</v>
      </c>
      <c r="E16" s="446">
        <v>8169233.5181015972</v>
      </c>
      <c r="F16" s="500">
        <f t="shared" si="0"/>
        <v>1.4874950255150236E-2</v>
      </c>
      <c r="G16" s="519">
        <v>141.604614679127</v>
      </c>
      <c r="H16" s="453">
        <v>311213.48681882425</v>
      </c>
      <c r="I16" s="442">
        <v>72046.554794625859</v>
      </c>
      <c r="J16" s="442">
        <v>40191.89130619981</v>
      </c>
      <c r="K16" s="442">
        <v>9026.4970691224134</v>
      </c>
      <c r="L16" s="442">
        <v>3416473.3284331309</v>
      </c>
      <c r="M16" s="454">
        <v>3943172.1350517781</v>
      </c>
      <c r="N16" s="455">
        <v>377109.6246279144</v>
      </c>
      <c r="O16" s="463">
        <v>432478.42998877232</v>
      </c>
      <c r="P16" s="437">
        <v>0</v>
      </c>
      <c r="Q16" s="437">
        <v>0</v>
      </c>
      <c r="R16" s="437">
        <v>0</v>
      </c>
      <c r="S16" s="437">
        <v>0</v>
      </c>
      <c r="T16" s="437">
        <v>0</v>
      </c>
      <c r="U16" s="437">
        <v>0</v>
      </c>
      <c r="V16" s="437">
        <v>0</v>
      </c>
      <c r="W16" s="463">
        <v>104084.03433983016</v>
      </c>
      <c r="X16" s="437">
        <v>26391.464520370548</v>
      </c>
      <c r="Y16" s="437">
        <v>614021.9580951453</v>
      </c>
      <c r="Z16" s="437">
        <v>462107.20497227821</v>
      </c>
      <c r="AA16" s="437">
        <v>833042.08265726699</v>
      </c>
      <c r="AB16" s="437">
        <v>152820.74599377968</v>
      </c>
      <c r="AC16" s="437">
        <v>150115.93636314021</v>
      </c>
      <c r="AD16" s="464">
        <v>1073889.9014913195</v>
      </c>
      <c r="AE16" s="463">
        <v>3519474.5995497908</v>
      </c>
      <c r="AF16" s="437">
        <v>402798.30001233454</v>
      </c>
      <c r="AG16" s="437">
        <v>0</v>
      </c>
      <c r="AH16" s="437">
        <v>0</v>
      </c>
      <c r="AI16" s="437">
        <v>0</v>
      </c>
      <c r="AJ16" s="437">
        <v>0</v>
      </c>
      <c r="AK16" s="437">
        <v>20899.235489652616</v>
      </c>
      <c r="AL16" s="464">
        <v>0</v>
      </c>
      <c r="AM16" s="463">
        <v>186238.18526236436</v>
      </c>
      <c r="AN16" s="437">
        <v>190871.43936555003</v>
      </c>
      <c r="AO16" s="437">
        <v>0</v>
      </c>
      <c r="AP16" s="437">
        <v>0</v>
      </c>
      <c r="AQ16" s="437">
        <v>0</v>
      </c>
      <c r="AR16" s="437">
        <v>0</v>
      </c>
      <c r="AS16" s="437">
        <v>0</v>
      </c>
      <c r="AT16" s="437">
        <v>0</v>
      </c>
      <c r="AU16" s="525">
        <f t="shared" si="1"/>
        <v>4242275.2491407581</v>
      </c>
      <c r="AV16" s="526">
        <f t="shared" si="2"/>
        <v>620061.20389825513</v>
      </c>
      <c r="AW16" s="526">
        <f t="shared" si="3"/>
        <v>614021.9580951453</v>
      </c>
      <c r="AX16" s="526">
        <f t="shared" si="4"/>
        <v>462107.20497227821</v>
      </c>
      <c r="AY16" s="526">
        <f t="shared" si="5"/>
        <v>833042.08265726699</v>
      </c>
      <c r="AZ16" s="526">
        <f t="shared" si="6"/>
        <v>152820.74599377968</v>
      </c>
      <c r="BA16" s="526">
        <f t="shared" si="7"/>
        <v>171015.17185279282</v>
      </c>
      <c r="BB16" s="527">
        <f t="shared" si="8"/>
        <v>1073889.9014913195</v>
      </c>
      <c r="BC16" s="498">
        <f t="shared" si="9"/>
        <v>8169233.5181015963</v>
      </c>
    </row>
    <row r="17" spans="1:55" outlineLevel="1">
      <c r="A17" s="427"/>
      <c r="B17" s="1408"/>
      <c r="C17" s="440" t="s">
        <v>1078</v>
      </c>
      <c r="D17" s="514">
        <f>SUMIF(tbl_pluto_2010[BldgArea 2010],Original!C17,tbl_pluto_2010[TOTAL])</f>
        <v>41196688</v>
      </c>
      <c r="E17" s="446">
        <v>5880425.3125215936</v>
      </c>
      <c r="F17" s="500">
        <f t="shared" si="0"/>
        <v>1.070737344073522E-2</v>
      </c>
      <c r="G17" s="519">
        <v>141.60461467912702</v>
      </c>
      <c r="H17" s="453">
        <v>224019.50702381178</v>
      </c>
      <c r="I17" s="442">
        <v>51860.971235003315</v>
      </c>
      <c r="J17" s="442">
        <v>28931.161592013952</v>
      </c>
      <c r="K17" s="442">
        <v>6497.5057612264591</v>
      </c>
      <c r="L17" s="442">
        <v>2459265.755539543</v>
      </c>
      <c r="M17" s="454">
        <v>2838397.1621338488</v>
      </c>
      <c r="N17" s="455">
        <v>271453.24923614523</v>
      </c>
      <c r="O17" s="463">
        <v>216126.20932023617</v>
      </c>
      <c r="P17" s="437">
        <v>95182.936291819351</v>
      </c>
      <c r="Q17" s="437">
        <v>0</v>
      </c>
      <c r="R17" s="437">
        <v>0</v>
      </c>
      <c r="S17" s="437">
        <v>0</v>
      </c>
      <c r="T17" s="437">
        <v>0</v>
      </c>
      <c r="U17" s="437">
        <v>0</v>
      </c>
      <c r="V17" s="437">
        <v>0</v>
      </c>
      <c r="W17" s="463">
        <v>85249.57085675378</v>
      </c>
      <c r="X17" s="437">
        <v>11895.311941975517</v>
      </c>
      <c r="Y17" s="437">
        <v>358786.66264350328</v>
      </c>
      <c r="Z17" s="437">
        <v>316930.84850593837</v>
      </c>
      <c r="AA17" s="437">
        <v>581493.72094460123</v>
      </c>
      <c r="AB17" s="437">
        <v>142879.84662692071</v>
      </c>
      <c r="AC17" s="437">
        <v>74215.264505747691</v>
      </c>
      <c r="AD17" s="464">
        <v>887814.52951410215</v>
      </c>
      <c r="AE17" s="463">
        <v>1596893.548270162</v>
      </c>
      <c r="AF17" s="437">
        <v>570827.27466090699</v>
      </c>
      <c r="AG17" s="437">
        <v>622123.38334269868</v>
      </c>
      <c r="AH17" s="437">
        <v>0</v>
      </c>
      <c r="AI17" s="437">
        <v>0</v>
      </c>
      <c r="AJ17" s="437">
        <v>0</v>
      </c>
      <c r="AK17" s="437">
        <v>973.69799759660907</v>
      </c>
      <c r="AL17" s="464">
        <v>47579.25786248425</v>
      </c>
      <c r="AM17" s="463">
        <v>158181.08845915002</v>
      </c>
      <c r="AN17" s="437">
        <v>24894.61496090658</v>
      </c>
      <c r="AO17" s="437">
        <v>88377.545816088648</v>
      </c>
      <c r="AP17" s="437">
        <v>0</v>
      </c>
      <c r="AQ17" s="437">
        <v>0</v>
      </c>
      <c r="AR17" s="437">
        <v>0</v>
      </c>
      <c r="AS17" s="437">
        <v>0</v>
      </c>
      <c r="AT17" s="437">
        <v>0</v>
      </c>
      <c r="AU17" s="525">
        <f t="shared" si="1"/>
        <v>2056450.4169063019</v>
      </c>
      <c r="AV17" s="526">
        <f t="shared" si="2"/>
        <v>702800.13785560848</v>
      </c>
      <c r="AW17" s="526">
        <f t="shared" si="3"/>
        <v>1069287.5918022906</v>
      </c>
      <c r="AX17" s="526">
        <f t="shared" si="4"/>
        <v>316930.84850593837</v>
      </c>
      <c r="AY17" s="526">
        <f t="shared" si="5"/>
        <v>581493.72094460123</v>
      </c>
      <c r="AZ17" s="526">
        <f t="shared" si="6"/>
        <v>142879.84662692071</v>
      </c>
      <c r="BA17" s="526">
        <f t="shared" si="7"/>
        <v>75188.962503344301</v>
      </c>
      <c r="BB17" s="527">
        <f t="shared" si="8"/>
        <v>935393.78737658635</v>
      </c>
      <c r="BC17" s="498">
        <f t="shared" si="9"/>
        <v>5880425.3125215927</v>
      </c>
    </row>
    <row r="18" spans="1:55" outlineLevel="1">
      <c r="A18" s="427"/>
      <c r="B18" s="1408"/>
      <c r="C18" s="440" t="s">
        <v>1079</v>
      </c>
      <c r="D18" s="514">
        <f>SUMIF(tbl_pluto_2010[BldgArea 2010],Original!C18,tbl_pluto_2010[TOTAL])</f>
        <v>58061845</v>
      </c>
      <c r="E18" s="446">
        <v>8936194.1313820612</v>
      </c>
      <c r="F18" s="500">
        <f t="shared" si="0"/>
        <v>1.6271470619628393E-2</v>
      </c>
      <c r="G18" s="519">
        <v>141.604614679127</v>
      </c>
      <c r="H18" s="453">
        <v>340431.46500280255</v>
      </c>
      <c r="I18" s="442">
        <v>78810.576134888834</v>
      </c>
      <c r="J18" s="442">
        <v>43965.268274406262</v>
      </c>
      <c r="K18" s="442">
        <v>9873.9410444437653</v>
      </c>
      <c r="L18" s="442">
        <v>3737225.6332148821</v>
      </c>
      <c r="M18" s="454">
        <v>4313373.0495278444</v>
      </c>
      <c r="N18" s="455">
        <v>412514.19818279095</v>
      </c>
      <c r="O18" s="463">
        <v>395618.39019616606</v>
      </c>
      <c r="P18" s="437">
        <v>77462.860260375324</v>
      </c>
      <c r="Q18" s="437">
        <v>0</v>
      </c>
      <c r="R18" s="437">
        <v>0</v>
      </c>
      <c r="S18" s="437">
        <v>0</v>
      </c>
      <c r="T18" s="437">
        <v>0</v>
      </c>
      <c r="U18" s="437">
        <v>0</v>
      </c>
      <c r="V18" s="437">
        <v>0</v>
      </c>
      <c r="W18" s="463">
        <v>97028.533506760898</v>
      </c>
      <c r="X18" s="437">
        <v>30831.703077630831</v>
      </c>
      <c r="Y18" s="437">
        <v>509509.23251453118</v>
      </c>
      <c r="Z18" s="437">
        <v>213033.68001914676</v>
      </c>
      <c r="AA18" s="437">
        <v>828961.98933947331</v>
      </c>
      <c r="AB18" s="437">
        <v>52957.669691063398</v>
      </c>
      <c r="AC18" s="437">
        <v>89973.057853865161</v>
      </c>
      <c r="AD18" s="464">
        <v>1914929.7672124102</v>
      </c>
      <c r="AE18" s="463">
        <v>3197591.1269872924</v>
      </c>
      <c r="AF18" s="437">
        <v>528926.294971711</v>
      </c>
      <c r="AG18" s="437">
        <v>244655.98685666162</v>
      </c>
      <c r="AH18" s="437">
        <v>0</v>
      </c>
      <c r="AI18" s="437">
        <v>0</v>
      </c>
      <c r="AJ18" s="437">
        <v>0</v>
      </c>
      <c r="AK18" s="437">
        <v>107566.57105345896</v>
      </c>
      <c r="AL18" s="464">
        <v>234633.06965872055</v>
      </c>
      <c r="AM18" s="463">
        <v>192682.22125335669</v>
      </c>
      <c r="AN18" s="437">
        <v>5875.6933925839576</v>
      </c>
      <c r="AO18" s="437">
        <v>213956.2835368503</v>
      </c>
      <c r="AP18" s="437">
        <v>0</v>
      </c>
      <c r="AQ18" s="437">
        <v>0</v>
      </c>
      <c r="AR18" s="437">
        <v>0</v>
      </c>
      <c r="AS18" s="437">
        <v>0</v>
      </c>
      <c r="AT18" s="437">
        <v>0</v>
      </c>
      <c r="AU18" s="525">
        <f t="shared" si="1"/>
        <v>3882920.2719435762</v>
      </c>
      <c r="AV18" s="526">
        <f t="shared" si="2"/>
        <v>643096.55170230113</v>
      </c>
      <c r="AW18" s="526">
        <f t="shared" si="3"/>
        <v>968121.5029080431</v>
      </c>
      <c r="AX18" s="526">
        <f t="shared" si="4"/>
        <v>213033.68001914676</v>
      </c>
      <c r="AY18" s="526">
        <f t="shared" si="5"/>
        <v>828961.98933947331</v>
      </c>
      <c r="AZ18" s="526">
        <f t="shared" si="6"/>
        <v>52957.669691063398</v>
      </c>
      <c r="BA18" s="526">
        <f t="shared" si="7"/>
        <v>197539.62890732411</v>
      </c>
      <c r="BB18" s="527">
        <f t="shared" si="8"/>
        <v>2149562.8368711309</v>
      </c>
      <c r="BC18" s="498">
        <f t="shared" si="9"/>
        <v>8936194.1313820593</v>
      </c>
    </row>
    <row r="19" spans="1:55" outlineLevel="1">
      <c r="A19" s="427"/>
      <c r="B19" s="1408"/>
      <c r="C19" s="440" t="s">
        <v>1080</v>
      </c>
      <c r="D19" s="514">
        <f>SUMIF(tbl_pluto_2010[BldgArea 2010],Original!C19,tbl_pluto_2010[TOTAL])</f>
        <v>159459453</v>
      </c>
      <c r="E19" s="446">
        <v>24011211.693687584</v>
      </c>
      <c r="F19" s="500">
        <f t="shared" si="0"/>
        <v>4.3720818938284452E-2</v>
      </c>
      <c r="G19" s="519">
        <v>141.60461467912702</v>
      </c>
      <c r="H19" s="453">
        <v>914726.3200861417</v>
      </c>
      <c r="I19" s="442">
        <v>211761.0024418339</v>
      </c>
      <c r="J19" s="442">
        <v>118132.99355251009</v>
      </c>
      <c r="K19" s="442">
        <v>26530.901766842278</v>
      </c>
      <c r="L19" s="442">
        <v>10041782.274074188</v>
      </c>
      <c r="M19" s="454">
        <v>11589868.335821612</v>
      </c>
      <c r="N19" s="455">
        <v>1108409.8659444519</v>
      </c>
      <c r="O19" s="463">
        <v>1131949.9174419632</v>
      </c>
      <c r="P19" s="437">
        <v>139098.57423374013</v>
      </c>
      <c r="Q19" s="437">
        <v>0</v>
      </c>
      <c r="R19" s="437">
        <v>0</v>
      </c>
      <c r="S19" s="437">
        <v>0</v>
      </c>
      <c r="T19" s="437">
        <v>0</v>
      </c>
      <c r="U19" s="437">
        <v>0</v>
      </c>
      <c r="V19" s="437">
        <v>102.726171624389</v>
      </c>
      <c r="W19" s="463">
        <v>153017.35659252276</v>
      </c>
      <c r="X19" s="437">
        <v>120172.06843548569</v>
      </c>
      <c r="Y19" s="437">
        <v>2012264.5992783674</v>
      </c>
      <c r="Z19" s="437">
        <v>994494.46517966921</v>
      </c>
      <c r="AA19" s="437">
        <v>2503680.4403422363</v>
      </c>
      <c r="AB19" s="437">
        <v>839592.88373312552</v>
      </c>
      <c r="AC19" s="437">
        <v>352019.11322522914</v>
      </c>
      <c r="AD19" s="464">
        <v>3066541.3472875524</v>
      </c>
      <c r="AE19" s="463">
        <v>7344800.4364121938</v>
      </c>
      <c r="AF19" s="437">
        <v>2260162.9561243011</v>
      </c>
      <c r="AG19" s="437">
        <v>749953.92732611531</v>
      </c>
      <c r="AH19" s="437">
        <v>0</v>
      </c>
      <c r="AI19" s="437">
        <v>0</v>
      </c>
      <c r="AJ19" s="437">
        <v>0</v>
      </c>
      <c r="AK19" s="437">
        <v>596568.05628693546</v>
      </c>
      <c r="AL19" s="464">
        <v>638382.95967206685</v>
      </c>
      <c r="AM19" s="463">
        <v>999014.47815479594</v>
      </c>
      <c r="AN19" s="437">
        <v>104814.57861344973</v>
      </c>
      <c r="AO19" s="437">
        <v>0</v>
      </c>
      <c r="AP19" s="437">
        <v>0</v>
      </c>
      <c r="AQ19" s="437">
        <v>0</v>
      </c>
      <c r="AR19" s="437">
        <v>0</v>
      </c>
      <c r="AS19" s="437">
        <v>4558.5028501050792</v>
      </c>
      <c r="AT19" s="437">
        <v>22.30632610119752</v>
      </c>
      <c r="AU19" s="525">
        <f t="shared" si="1"/>
        <v>9628782.1886014752</v>
      </c>
      <c r="AV19" s="526">
        <f t="shared" si="2"/>
        <v>2624248.1774069769</v>
      </c>
      <c r="AW19" s="526">
        <f t="shared" si="3"/>
        <v>2762218.5266044829</v>
      </c>
      <c r="AX19" s="526">
        <f t="shared" si="4"/>
        <v>994494.46517966921</v>
      </c>
      <c r="AY19" s="526">
        <f t="shared" si="5"/>
        <v>2503680.4403422363</v>
      </c>
      <c r="AZ19" s="526">
        <f t="shared" si="6"/>
        <v>839592.88373312552</v>
      </c>
      <c r="BA19" s="526">
        <f t="shared" si="7"/>
        <v>953145.6723622696</v>
      </c>
      <c r="BB19" s="527">
        <f t="shared" si="8"/>
        <v>3705049.3394573447</v>
      </c>
      <c r="BC19" s="498">
        <f t="shared" si="9"/>
        <v>24011211.693687581</v>
      </c>
    </row>
    <row r="20" spans="1:55" outlineLevel="1">
      <c r="A20" s="427"/>
      <c r="B20" s="1408"/>
      <c r="C20" s="440" t="s">
        <v>1081</v>
      </c>
      <c r="D20" s="514">
        <f>SUMIF(tbl_pluto_2010[BldgArea 2010],Original!C20,tbl_pluto_2010[TOTAL])</f>
        <v>146796650</v>
      </c>
      <c r="E20" s="446">
        <v>23497676.752764527</v>
      </c>
      <c r="F20" s="500">
        <f t="shared" si="0"/>
        <v>4.2785748752864276E-2</v>
      </c>
      <c r="G20" s="519">
        <v>141.604614679127</v>
      </c>
      <c r="H20" s="453">
        <v>895162.79564852675</v>
      </c>
      <c r="I20" s="442">
        <v>207232.00676822683</v>
      </c>
      <c r="J20" s="442">
        <v>115606.44801041231</v>
      </c>
      <c r="K20" s="442">
        <v>25963.477463342733</v>
      </c>
      <c r="L20" s="442">
        <v>9827015.6836719811</v>
      </c>
      <c r="M20" s="454">
        <v>11341992.36741695</v>
      </c>
      <c r="N20" s="455">
        <v>1084703.9737850837</v>
      </c>
      <c r="O20" s="463">
        <v>1158807.005191087</v>
      </c>
      <c r="P20" s="437">
        <v>85157.722699421298</v>
      </c>
      <c r="Q20" s="437">
        <v>0</v>
      </c>
      <c r="R20" s="437">
        <v>0</v>
      </c>
      <c r="S20" s="437">
        <v>0</v>
      </c>
      <c r="T20" s="437">
        <v>0</v>
      </c>
      <c r="U20" s="437">
        <v>0</v>
      </c>
      <c r="V20" s="437">
        <v>0</v>
      </c>
      <c r="W20" s="463">
        <v>291635.70589098346</v>
      </c>
      <c r="X20" s="437">
        <v>164970.00243939218</v>
      </c>
      <c r="Y20" s="437">
        <v>1759308.9043014972</v>
      </c>
      <c r="Z20" s="437">
        <v>1019206.0227526488</v>
      </c>
      <c r="AA20" s="437">
        <v>2460315.9204310863</v>
      </c>
      <c r="AB20" s="437">
        <v>245311.52104428606</v>
      </c>
      <c r="AC20" s="437">
        <v>422349.8673212463</v>
      </c>
      <c r="AD20" s="464">
        <v>3463917.7394908406</v>
      </c>
      <c r="AE20" s="463">
        <v>8039578.3763451269</v>
      </c>
      <c r="AF20" s="437">
        <v>2185836.3867615601</v>
      </c>
      <c r="AG20" s="437">
        <v>582131.69165127375</v>
      </c>
      <c r="AH20" s="437">
        <v>0</v>
      </c>
      <c r="AI20" s="437">
        <v>0</v>
      </c>
      <c r="AJ20" s="437">
        <v>0</v>
      </c>
      <c r="AK20" s="437">
        <v>157972.42303074256</v>
      </c>
      <c r="AL20" s="464">
        <v>376473.48962824699</v>
      </c>
      <c r="AM20" s="463">
        <v>1084703.9737850837</v>
      </c>
      <c r="AN20" s="437">
        <v>0</v>
      </c>
      <c r="AO20" s="437">
        <v>0</v>
      </c>
      <c r="AP20" s="437">
        <v>0</v>
      </c>
      <c r="AQ20" s="437">
        <v>0</v>
      </c>
      <c r="AR20" s="437">
        <v>0</v>
      </c>
      <c r="AS20" s="437">
        <v>0</v>
      </c>
      <c r="AT20" s="437">
        <v>0</v>
      </c>
      <c r="AU20" s="525">
        <f t="shared" si="1"/>
        <v>10574725.061212281</v>
      </c>
      <c r="AV20" s="526">
        <f t="shared" si="2"/>
        <v>2435964.1119003734</v>
      </c>
      <c r="AW20" s="526">
        <f t="shared" si="3"/>
        <v>2341440.5959527707</v>
      </c>
      <c r="AX20" s="526">
        <f t="shared" si="4"/>
        <v>1019206.0227526488</v>
      </c>
      <c r="AY20" s="526">
        <f t="shared" si="5"/>
        <v>2460315.9204310863</v>
      </c>
      <c r="AZ20" s="526">
        <f t="shared" si="6"/>
        <v>245311.52104428606</v>
      </c>
      <c r="BA20" s="526">
        <f t="shared" si="7"/>
        <v>580322.29035198886</v>
      </c>
      <c r="BB20" s="527">
        <f t="shared" si="8"/>
        <v>3840391.2291190876</v>
      </c>
      <c r="BC20" s="498">
        <f t="shared" si="9"/>
        <v>23497676.752764527</v>
      </c>
    </row>
    <row r="21" spans="1:55" outlineLevel="1">
      <c r="A21" s="427"/>
      <c r="B21" s="1408"/>
      <c r="C21" s="440" t="s">
        <v>1082</v>
      </c>
      <c r="D21" s="514">
        <f>SUMIF(tbl_pluto_2010[BldgArea 2010],Original!C21,tbl_pluto_2010[TOTAL])</f>
        <v>372873702</v>
      </c>
      <c r="E21" s="446">
        <v>51321318.408548974</v>
      </c>
      <c r="F21" s="500">
        <f t="shared" si="0"/>
        <v>9.3448431442720567E-2</v>
      </c>
      <c r="G21" s="519">
        <v>141.60461467912702</v>
      </c>
      <c r="H21" s="453">
        <v>1955126.6853460269</v>
      </c>
      <c r="I21" s="442">
        <v>452615.80179595738</v>
      </c>
      <c r="J21" s="442">
        <v>252496.25275084699</v>
      </c>
      <c r="K21" s="442">
        <v>56706.87821223135</v>
      </c>
      <c r="L21" s="442">
        <v>21463202.77591693</v>
      </c>
      <c r="M21" s="454">
        <v>24772066.098281585</v>
      </c>
      <c r="N21" s="455">
        <v>2369103.9162453874</v>
      </c>
      <c r="O21" s="463">
        <v>2506828.8750806861</v>
      </c>
      <c r="P21" s="437">
        <v>210116.74302437637</v>
      </c>
      <c r="Q21" s="437">
        <v>0</v>
      </c>
      <c r="R21" s="437">
        <v>0</v>
      </c>
      <c r="S21" s="437">
        <v>0</v>
      </c>
      <c r="T21" s="437">
        <v>0</v>
      </c>
      <c r="U21" s="437">
        <v>0</v>
      </c>
      <c r="V21" s="437">
        <v>0</v>
      </c>
      <c r="W21" s="463">
        <v>673084.28741643659</v>
      </c>
      <c r="X21" s="437">
        <v>60820.114048518102</v>
      </c>
      <c r="Y21" s="437">
        <v>3280161.1701495843</v>
      </c>
      <c r="Z21" s="437">
        <v>3604871.3886736045</v>
      </c>
      <c r="AA21" s="437">
        <v>5236646.1461449815</v>
      </c>
      <c r="AB21" s="437">
        <v>725372.90503117221</v>
      </c>
      <c r="AC21" s="437">
        <v>1584772.7835169109</v>
      </c>
      <c r="AD21" s="464">
        <v>6297473.9809357198</v>
      </c>
      <c r="AE21" s="463">
        <v>12373881.452501521</v>
      </c>
      <c r="AF21" s="437">
        <v>3906258.9550083899</v>
      </c>
      <c r="AG21" s="437">
        <v>6906360.6437796028</v>
      </c>
      <c r="AH21" s="437">
        <v>294677.93651885045</v>
      </c>
      <c r="AI21" s="437">
        <v>0</v>
      </c>
      <c r="AJ21" s="437">
        <v>0</v>
      </c>
      <c r="AK21" s="437">
        <v>0</v>
      </c>
      <c r="AL21" s="464">
        <v>1290887.1104732179</v>
      </c>
      <c r="AM21" s="463">
        <v>1475986.3081733049</v>
      </c>
      <c r="AN21" s="437">
        <v>244963.4416785709</v>
      </c>
      <c r="AO21" s="437">
        <v>632755.26061532926</v>
      </c>
      <c r="AP21" s="437">
        <v>12282.438374665608</v>
      </c>
      <c r="AQ21" s="437">
        <v>49.074364351369518</v>
      </c>
      <c r="AR21" s="437">
        <v>0</v>
      </c>
      <c r="AS21" s="437">
        <v>28.040307127497094</v>
      </c>
      <c r="AT21" s="437">
        <v>3039.352732038014</v>
      </c>
      <c r="AU21" s="525">
        <f t="shared" si="1"/>
        <v>17029780.923171949</v>
      </c>
      <c r="AV21" s="526">
        <f t="shared" si="2"/>
        <v>4422159.2537598554</v>
      </c>
      <c r="AW21" s="526">
        <f t="shared" si="3"/>
        <v>10819277.074544515</v>
      </c>
      <c r="AX21" s="526">
        <f t="shared" si="4"/>
        <v>3911831.7635671203</v>
      </c>
      <c r="AY21" s="526">
        <f t="shared" si="5"/>
        <v>5236695.2205093326</v>
      </c>
      <c r="AZ21" s="526">
        <f t="shared" si="6"/>
        <v>725372.90503117221</v>
      </c>
      <c r="BA21" s="526">
        <f t="shared" si="7"/>
        <v>1584800.8238240383</v>
      </c>
      <c r="BB21" s="527">
        <f t="shared" si="8"/>
        <v>7591400.4441409763</v>
      </c>
      <c r="BC21" s="498">
        <f t="shared" si="9"/>
        <v>51321318.408548974</v>
      </c>
    </row>
    <row r="22" spans="1:55" outlineLevel="1">
      <c r="A22" s="427"/>
      <c r="B22" s="1405"/>
      <c r="C22" s="480" t="s">
        <v>1171</v>
      </c>
      <c r="D22" s="516">
        <f>SUMIF(tbl_pluto_2010[BldgArea 2010],Original!C22,tbl_pluto_2010[TOTAL])</f>
        <v>0</v>
      </c>
      <c r="E22" s="475">
        <v>24931224.521907061</v>
      </c>
      <c r="F22" s="502">
        <f t="shared" si="0"/>
        <v>4.5396024454633192E-2</v>
      </c>
      <c r="G22" s="521">
        <v>141.604614679127</v>
      </c>
      <c r="H22" s="469">
        <v>949774.94485048414</v>
      </c>
      <c r="I22" s="470">
        <v>219874.83031726431</v>
      </c>
      <c r="J22" s="470">
        <v>122659.37359908018</v>
      </c>
      <c r="K22" s="470">
        <v>27547.458960252996</v>
      </c>
      <c r="L22" s="470">
        <v>10426542.88624954</v>
      </c>
      <c r="M22" s="471">
        <v>12033945.364601204</v>
      </c>
      <c r="N22" s="487">
        <v>1150879.6633292299</v>
      </c>
      <c r="O22" s="472">
        <v>973904.63490867044</v>
      </c>
      <c r="P22" s="473">
        <v>337001.61196280218</v>
      </c>
      <c r="Q22" s="473">
        <v>8949.0782931108188</v>
      </c>
      <c r="R22" s="473">
        <v>0</v>
      </c>
      <c r="S22" s="473">
        <v>0</v>
      </c>
      <c r="T22" s="473">
        <v>0</v>
      </c>
      <c r="U22" s="473">
        <v>0</v>
      </c>
      <c r="V22" s="473">
        <v>1.2825624980479653</v>
      </c>
      <c r="W22" s="472">
        <v>361984.7096534723</v>
      </c>
      <c r="X22" s="473">
        <v>88025.140171856328</v>
      </c>
      <c r="Y22" s="473">
        <v>1780466.8304246203</v>
      </c>
      <c r="Z22" s="473">
        <v>1318812.1591436421</v>
      </c>
      <c r="AA22" s="473">
        <v>2475680.8443285008</v>
      </c>
      <c r="AB22" s="473">
        <v>442917.97398342739</v>
      </c>
      <c r="AC22" s="473">
        <v>466119.26334511384</v>
      </c>
      <c r="AD22" s="474">
        <v>3492535.9651989071</v>
      </c>
      <c r="AE22" s="472">
        <v>7916677.5939243371</v>
      </c>
      <c r="AF22" s="473">
        <v>3700405.4141291804</v>
      </c>
      <c r="AG22" s="473">
        <v>86146.768340725757</v>
      </c>
      <c r="AH22" s="473">
        <v>0</v>
      </c>
      <c r="AI22" s="473">
        <v>0</v>
      </c>
      <c r="AJ22" s="473">
        <v>0</v>
      </c>
      <c r="AK22" s="473">
        <v>43130.580079103951</v>
      </c>
      <c r="AL22" s="474">
        <v>287585.00812785729</v>
      </c>
      <c r="AM22" s="472">
        <v>827016.76545657613</v>
      </c>
      <c r="AN22" s="473">
        <v>294283.06470012647</v>
      </c>
      <c r="AO22" s="473">
        <v>29579.833172527276</v>
      </c>
      <c r="AP22" s="473">
        <v>0</v>
      </c>
      <c r="AQ22" s="473">
        <v>0</v>
      </c>
      <c r="AR22" s="473">
        <v>0</v>
      </c>
      <c r="AS22" s="473">
        <v>0</v>
      </c>
      <c r="AT22" s="473">
        <v>0</v>
      </c>
      <c r="AU22" s="528">
        <f t="shared" si="1"/>
        <v>10079583.703943055</v>
      </c>
      <c r="AV22" s="529">
        <f t="shared" si="2"/>
        <v>4419715.2309639649</v>
      </c>
      <c r="AW22" s="529">
        <f t="shared" si="3"/>
        <v>1905142.5102309841</v>
      </c>
      <c r="AX22" s="529">
        <f t="shared" si="4"/>
        <v>1318812.1591436421</v>
      </c>
      <c r="AY22" s="529">
        <f t="shared" si="5"/>
        <v>2475680.8443285008</v>
      </c>
      <c r="AZ22" s="529">
        <f t="shared" si="6"/>
        <v>442917.97398342739</v>
      </c>
      <c r="BA22" s="529">
        <f t="shared" si="7"/>
        <v>509249.84342421778</v>
      </c>
      <c r="BB22" s="530">
        <f t="shared" si="8"/>
        <v>3780122.2558892625</v>
      </c>
      <c r="BC22" s="497">
        <f t="shared" si="9"/>
        <v>24931224.52190705</v>
      </c>
    </row>
    <row r="23" spans="1:55" outlineLevel="1">
      <c r="A23" s="427"/>
      <c r="B23" s="1406" t="s">
        <v>633</v>
      </c>
      <c r="C23" s="479" t="s">
        <v>1172</v>
      </c>
      <c r="D23" s="517">
        <f>SUMIF(tbl_pluto_2010[BldgArea 2010],Original!C23,tbl_pluto_2010[TOTAL])</f>
        <v>0</v>
      </c>
      <c r="E23" s="1308">
        <v>9902317.5423552338</v>
      </c>
      <c r="F23" s="501">
        <f t="shared" si="0"/>
        <v>1.8030636598507351E-2</v>
      </c>
      <c r="G23" s="522">
        <v>199.94947393904599</v>
      </c>
      <c r="H23" s="1309">
        <v>385851.85027860606</v>
      </c>
      <c r="I23" s="482">
        <v>61543.993272008738</v>
      </c>
      <c r="J23" s="482">
        <v>12107.143179009014</v>
      </c>
      <c r="K23" s="482">
        <v>7619.98388694809</v>
      </c>
      <c r="L23" s="482">
        <v>4840100.3851558315</v>
      </c>
      <c r="M23" s="477">
        <v>4060971.9174332097</v>
      </c>
      <c r="N23" s="486">
        <v>534122.26914962009</v>
      </c>
      <c r="O23" s="1306">
        <v>441131.4379183859</v>
      </c>
      <c r="P23" s="483">
        <v>25991.532698185954</v>
      </c>
      <c r="Q23" s="428">
        <v>0</v>
      </c>
      <c r="R23" s="428">
        <v>0</v>
      </c>
      <c r="S23" s="428">
        <v>0</v>
      </c>
      <c r="T23" s="428">
        <v>0</v>
      </c>
      <c r="U23" s="428">
        <v>0</v>
      </c>
      <c r="V23" s="428">
        <v>0</v>
      </c>
      <c r="W23" s="1306">
        <v>194622.37668465578</v>
      </c>
      <c r="X23" s="428">
        <v>109952.30535100697</v>
      </c>
      <c r="Y23" s="428">
        <v>631958.44573241775</v>
      </c>
      <c r="Z23" s="428">
        <v>561009.82386927679</v>
      </c>
      <c r="AA23" s="428">
        <v>2312431.8372348463</v>
      </c>
      <c r="AB23" s="428">
        <v>401398.73698881723</v>
      </c>
      <c r="AC23" s="428">
        <v>75495.738740693938</v>
      </c>
      <c r="AD23" s="481">
        <v>553231.12055411609</v>
      </c>
      <c r="AE23" s="1306">
        <v>3975291.4974163952</v>
      </c>
      <c r="AF23" s="428">
        <v>68576.890584375215</v>
      </c>
      <c r="AG23" s="428">
        <v>0</v>
      </c>
      <c r="AH23" s="428">
        <v>0</v>
      </c>
      <c r="AI23" s="428">
        <v>0</v>
      </c>
      <c r="AJ23" s="428">
        <v>0</v>
      </c>
      <c r="AK23" s="428">
        <v>16990.025580756006</v>
      </c>
      <c r="AL23" s="481">
        <v>113.50385168295416</v>
      </c>
      <c r="AM23" s="1306">
        <v>357859.94429521344</v>
      </c>
      <c r="AN23" s="428">
        <v>176262.32485440664</v>
      </c>
      <c r="AO23" s="428">
        <v>0</v>
      </c>
      <c r="AP23" s="428">
        <v>0</v>
      </c>
      <c r="AQ23" s="428">
        <v>0</v>
      </c>
      <c r="AR23" s="428">
        <v>0</v>
      </c>
      <c r="AS23" s="428">
        <v>0</v>
      </c>
      <c r="AT23" s="428">
        <v>0</v>
      </c>
      <c r="AU23" s="525">
        <f t="shared" si="1"/>
        <v>4968905.2563146502</v>
      </c>
      <c r="AV23" s="526">
        <f t="shared" si="2"/>
        <v>380783.0534879748</v>
      </c>
      <c r="AW23" s="526">
        <f t="shared" si="3"/>
        <v>631958.44573241775</v>
      </c>
      <c r="AX23" s="526">
        <f t="shared" si="4"/>
        <v>561009.82386927679</v>
      </c>
      <c r="AY23" s="526">
        <f t="shared" si="5"/>
        <v>2312431.8372348463</v>
      </c>
      <c r="AZ23" s="526">
        <f t="shared" si="6"/>
        <v>401398.73698881723</v>
      </c>
      <c r="BA23" s="526">
        <f t="shared" si="7"/>
        <v>92485.76432144994</v>
      </c>
      <c r="BB23" s="527">
        <f t="shared" si="8"/>
        <v>553344.62440579908</v>
      </c>
      <c r="BC23" s="498">
        <f t="shared" si="9"/>
        <v>9902317.5423552319</v>
      </c>
    </row>
    <row r="24" spans="1:55" outlineLevel="1">
      <c r="A24" s="427"/>
      <c r="B24" s="1406"/>
      <c r="C24" s="440" t="s">
        <v>1083</v>
      </c>
      <c r="D24" s="517">
        <f>SUMIF(tbl_pluto_2010[BldgArea 2010],Original!C24,tbl_pluto_2010[TOTAL])</f>
        <v>158785779</v>
      </c>
      <c r="E24" s="448">
        <v>30432882.188917208</v>
      </c>
      <c r="F24" s="500">
        <f t="shared" si="0"/>
        <v>5.5413718762955456E-2</v>
      </c>
      <c r="G24" s="523">
        <v>199.94947393904596</v>
      </c>
      <c r="H24" s="458">
        <v>1185841.9861489926</v>
      </c>
      <c r="I24" s="443">
        <v>189143.71193120489</v>
      </c>
      <c r="J24" s="443">
        <v>37208.992787308453</v>
      </c>
      <c r="K24" s="443">
        <v>23418.56549449559</v>
      </c>
      <c r="L24" s="443">
        <v>14875124.350834122</v>
      </c>
      <c r="M24" s="454">
        <v>12480621.774360036</v>
      </c>
      <c r="N24" s="455">
        <v>1641522.8073610479</v>
      </c>
      <c r="O24" s="463">
        <v>1372869.00646488</v>
      </c>
      <c r="P24" s="437">
        <v>62744.249897121837</v>
      </c>
      <c r="Q24" s="437">
        <v>0</v>
      </c>
      <c r="R24" s="437">
        <v>0</v>
      </c>
      <c r="S24" s="437">
        <v>0</v>
      </c>
      <c r="T24" s="437">
        <v>0</v>
      </c>
      <c r="U24" s="437">
        <v>0</v>
      </c>
      <c r="V24" s="437">
        <v>0</v>
      </c>
      <c r="W24" s="463">
        <v>637653.94901640469</v>
      </c>
      <c r="X24" s="437">
        <v>409501.20531961956</v>
      </c>
      <c r="Y24" s="437">
        <v>2286383.1696376358</v>
      </c>
      <c r="Z24" s="437">
        <v>671721.33131731697</v>
      </c>
      <c r="AA24" s="437">
        <v>6293049.2566817803</v>
      </c>
      <c r="AB24" s="437">
        <v>583677.15450777567</v>
      </c>
      <c r="AC24" s="437">
        <v>2136992.0714683286</v>
      </c>
      <c r="AD24" s="464">
        <v>1856146.2128852627</v>
      </c>
      <c r="AE24" s="463">
        <v>11750552.236565653</v>
      </c>
      <c r="AF24" s="437">
        <v>364440.32317241572</v>
      </c>
      <c r="AG24" s="437">
        <v>0</v>
      </c>
      <c r="AH24" s="437">
        <v>0</v>
      </c>
      <c r="AI24" s="437">
        <v>0</v>
      </c>
      <c r="AJ24" s="437">
        <v>0</v>
      </c>
      <c r="AK24" s="437">
        <v>280955.02391743526</v>
      </c>
      <c r="AL24" s="464">
        <v>84674.190704532695</v>
      </c>
      <c r="AM24" s="463">
        <v>1099812.1699734535</v>
      </c>
      <c r="AN24" s="437">
        <v>541710.63738759444</v>
      </c>
      <c r="AO24" s="437">
        <v>0</v>
      </c>
      <c r="AP24" s="437">
        <v>0</v>
      </c>
      <c r="AQ24" s="437">
        <v>0</v>
      </c>
      <c r="AR24" s="437">
        <v>0</v>
      </c>
      <c r="AS24" s="437">
        <v>0</v>
      </c>
      <c r="AT24" s="437">
        <v>0</v>
      </c>
      <c r="AU24" s="525">
        <f t="shared" si="1"/>
        <v>14860887.362020392</v>
      </c>
      <c r="AV24" s="526">
        <f t="shared" si="2"/>
        <v>1378396.4157767515</v>
      </c>
      <c r="AW24" s="526">
        <f t="shared" si="3"/>
        <v>2286383.1696376358</v>
      </c>
      <c r="AX24" s="526">
        <f t="shared" si="4"/>
        <v>671721.33131731697</v>
      </c>
      <c r="AY24" s="526">
        <f t="shared" si="5"/>
        <v>6293049.2566817803</v>
      </c>
      <c r="AZ24" s="526">
        <f t="shared" si="6"/>
        <v>583677.15450777567</v>
      </c>
      <c r="BA24" s="526">
        <f t="shared" si="7"/>
        <v>2417947.0953857638</v>
      </c>
      <c r="BB24" s="527">
        <f t="shared" si="8"/>
        <v>1940820.4035897953</v>
      </c>
      <c r="BC24" s="498">
        <f t="shared" si="9"/>
        <v>30432882.188917212</v>
      </c>
    </row>
    <row r="25" spans="1:55" outlineLevel="1">
      <c r="A25" s="427"/>
      <c r="B25" s="1406"/>
      <c r="C25" s="480" t="s">
        <v>1085</v>
      </c>
      <c r="D25" s="518">
        <f>SUMIF(tbl_pluto_2010[BldgArea 2010],Original!C25,tbl_pluto_2010[TOTAL])</f>
        <v>112666708</v>
      </c>
      <c r="E25" s="512">
        <v>21772801.940473631</v>
      </c>
      <c r="F25" s="502">
        <f t="shared" si="0"/>
        <v>3.9645010154520099E-2</v>
      </c>
      <c r="G25" s="524">
        <v>199.94947393904599</v>
      </c>
      <c r="H25" s="484">
        <v>848394.92154714395</v>
      </c>
      <c r="I25" s="485">
        <v>135320.36014859777</v>
      </c>
      <c r="J25" s="485">
        <v>26620.68039870408</v>
      </c>
      <c r="K25" s="485">
        <v>16754.502090089551</v>
      </c>
      <c r="L25" s="485">
        <v>10642210.432785532</v>
      </c>
      <c r="M25" s="471">
        <v>8929095.3219693061</v>
      </c>
      <c r="N25" s="487">
        <v>1174405.7215342568</v>
      </c>
      <c r="O25" s="472">
        <v>836881.06564445246</v>
      </c>
      <c r="P25" s="473">
        <v>190209.39854008288</v>
      </c>
      <c r="Q25" s="473">
        <v>0</v>
      </c>
      <c r="R25" s="473">
        <v>0</v>
      </c>
      <c r="S25" s="473">
        <v>0</v>
      </c>
      <c r="T25" s="473">
        <v>0</v>
      </c>
      <c r="U25" s="473">
        <v>0</v>
      </c>
      <c r="V25" s="473">
        <v>0</v>
      </c>
      <c r="W25" s="472">
        <v>461930.86564221</v>
      </c>
      <c r="X25" s="473">
        <v>49996.448962243769</v>
      </c>
      <c r="Y25" s="473">
        <v>1004531.2533015115</v>
      </c>
      <c r="Z25" s="473">
        <v>1365548.5754430369</v>
      </c>
      <c r="AA25" s="473">
        <v>3640490.8666728758</v>
      </c>
      <c r="AB25" s="473">
        <v>862352.60792440909</v>
      </c>
      <c r="AC25" s="473">
        <v>1842260.5997807912</v>
      </c>
      <c r="AD25" s="474">
        <v>1415099.2150584534</v>
      </c>
      <c r="AE25" s="472">
        <v>8557564.0909695569</v>
      </c>
      <c r="AF25" s="473">
        <v>371531.23099974816</v>
      </c>
      <c r="AG25" s="473">
        <v>0</v>
      </c>
      <c r="AH25" s="473">
        <v>0</v>
      </c>
      <c r="AI25" s="473">
        <v>0</v>
      </c>
      <c r="AJ25" s="473">
        <v>0</v>
      </c>
      <c r="AK25" s="473">
        <v>0</v>
      </c>
      <c r="AL25" s="474">
        <v>0</v>
      </c>
      <c r="AM25" s="472">
        <v>1116028.8289433727</v>
      </c>
      <c r="AN25" s="473">
        <v>58376.892590884105</v>
      </c>
      <c r="AO25" s="473">
        <v>0</v>
      </c>
      <c r="AP25" s="473">
        <v>0</v>
      </c>
      <c r="AQ25" s="473">
        <v>0</v>
      </c>
      <c r="AR25" s="473">
        <v>0</v>
      </c>
      <c r="AS25" s="473">
        <v>0</v>
      </c>
      <c r="AT25" s="473">
        <v>0</v>
      </c>
      <c r="AU25" s="528">
        <f t="shared" si="1"/>
        <v>10972404.851199593</v>
      </c>
      <c r="AV25" s="529">
        <f t="shared" si="2"/>
        <v>670113.97109295893</v>
      </c>
      <c r="AW25" s="529">
        <f t="shared" si="3"/>
        <v>1004531.2533015115</v>
      </c>
      <c r="AX25" s="529">
        <f t="shared" si="4"/>
        <v>1365548.5754430369</v>
      </c>
      <c r="AY25" s="529">
        <f t="shared" si="5"/>
        <v>3640490.8666728758</v>
      </c>
      <c r="AZ25" s="529">
        <f t="shared" si="6"/>
        <v>862352.60792440909</v>
      </c>
      <c r="BA25" s="529">
        <f t="shared" si="7"/>
        <v>1842260.5997807912</v>
      </c>
      <c r="BB25" s="530">
        <f t="shared" si="8"/>
        <v>1415099.2150584534</v>
      </c>
      <c r="BC25" s="497">
        <f t="shared" si="9"/>
        <v>21772801.940473631</v>
      </c>
    </row>
    <row r="26" spans="1:55" outlineLevel="1">
      <c r="A26" s="427"/>
      <c r="B26" s="1405" t="s">
        <v>632</v>
      </c>
      <c r="C26" s="440" t="s">
        <v>1086</v>
      </c>
      <c r="D26" s="514">
        <f>SUMIF(tbl_pluto_2010[BldgArea 2010],Original!C26,tbl_pluto_2010[TOTAL])</f>
        <v>109754327</v>
      </c>
      <c r="E26" s="446">
        <v>16652838.725563886</v>
      </c>
      <c r="F26" s="500">
        <f t="shared" si="0"/>
        <v>3.03223242548912E-2</v>
      </c>
      <c r="G26" s="519">
        <v>117.9471648922992</v>
      </c>
      <c r="H26" s="453">
        <v>1252079.6222221514</v>
      </c>
      <c r="I26" s="442">
        <v>121098.82930076309</v>
      </c>
      <c r="J26" s="442">
        <v>63312.224735448239</v>
      </c>
      <c r="K26" s="442">
        <v>27001.096381752486</v>
      </c>
      <c r="L26" s="442">
        <v>5017909.5320062079</v>
      </c>
      <c r="M26" s="454">
        <v>9064746.4765921067</v>
      </c>
      <c r="N26" s="455">
        <v>1106690.9443254548</v>
      </c>
      <c r="O26" s="463">
        <v>1137241.6208800573</v>
      </c>
      <c r="P26" s="437">
        <v>326250.15176005766</v>
      </c>
      <c r="Q26" s="437">
        <v>0</v>
      </c>
      <c r="R26" s="437">
        <v>0</v>
      </c>
      <c r="S26" s="437">
        <v>0</v>
      </c>
      <c r="T26" s="437">
        <v>0</v>
      </c>
      <c r="U26" s="437">
        <v>0</v>
      </c>
      <c r="V26" s="437">
        <v>0</v>
      </c>
      <c r="W26" s="463">
        <v>97764.144303326044</v>
      </c>
      <c r="X26" s="437">
        <v>727.51236846662766</v>
      </c>
      <c r="Y26" s="437">
        <v>963798.38238488883</v>
      </c>
      <c r="Z26" s="437">
        <v>1022049.909877732</v>
      </c>
      <c r="AA26" s="437">
        <v>1538782.5607703717</v>
      </c>
      <c r="AB26" s="437">
        <v>140870.35090923795</v>
      </c>
      <c r="AC26" s="437">
        <v>242865.22076120335</v>
      </c>
      <c r="AD26" s="464">
        <v>1011051.4506309817</v>
      </c>
      <c r="AE26" s="463">
        <v>6885020.5946795009</v>
      </c>
      <c r="AF26" s="437">
        <v>1707030.8180027376</v>
      </c>
      <c r="AG26" s="437">
        <v>208611.30601009287</v>
      </c>
      <c r="AH26" s="437">
        <v>0</v>
      </c>
      <c r="AI26" s="437">
        <v>0</v>
      </c>
      <c r="AJ26" s="437">
        <v>0</v>
      </c>
      <c r="AK26" s="437">
        <v>0</v>
      </c>
      <c r="AL26" s="464">
        <v>264083.75789977412</v>
      </c>
      <c r="AM26" s="463">
        <v>1034927.2914073681</v>
      </c>
      <c r="AN26" s="437">
        <v>71763.652918086576</v>
      </c>
      <c r="AO26" s="437">
        <v>0</v>
      </c>
      <c r="AP26" s="437">
        <v>0</v>
      </c>
      <c r="AQ26" s="437">
        <v>0</v>
      </c>
      <c r="AR26" s="437">
        <v>0</v>
      </c>
      <c r="AS26" s="437">
        <v>0</v>
      </c>
      <c r="AT26" s="437">
        <v>0</v>
      </c>
      <c r="AU26" s="525">
        <f t="shared" si="1"/>
        <v>9154953.6512702517</v>
      </c>
      <c r="AV26" s="526">
        <f t="shared" si="2"/>
        <v>2105772.1350493482</v>
      </c>
      <c r="AW26" s="526">
        <f t="shared" si="3"/>
        <v>1172409.6883949817</v>
      </c>
      <c r="AX26" s="526">
        <f t="shared" si="4"/>
        <v>1022049.909877732</v>
      </c>
      <c r="AY26" s="526">
        <f t="shared" si="5"/>
        <v>1538782.5607703717</v>
      </c>
      <c r="AZ26" s="526">
        <f t="shared" si="6"/>
        <v>140870.35090923795</v>
      </c>
      <c r="BA26" s="526">
        <f t="shared" si="7"/>
        <v>242865.22076120335</v>
      </c>
      <c r="BB26" s="527">
        <f t="shared" si="8"/>
        <v>1275135.2085307557</v>
      </c>
      <c r="BC26" s="498">
        <f t="shared" si="9"/>
        <v>16652838.725563886</v>
      </c>
    </row>
    <row r="27" spans="1:55" outlineLevel="1">
      <c r="A27" s="427"/>
      <c r="B27" s="1406"/>
      <c r="C27" s="440" t="s">
        <v>1087</v>
      </c>
      <c r="D27" s="514">
        <f>SUMIF(tbl_pluto_2010[BldgArea 2010],Original!C27,tbl_pluto_2010[TOTAL])</f>
        <v>144576842</v>
      </c>
      <c r="E27" s="446">
        <v>12860737.708922133</v>
      </c>
      <c r="F27" s="500">
        <f t="shared" si="0"/>
        <v>2.3417476467144413E-2</v>
      </c>
      <c r="G27" s="519">
        <v>117.94716489229921</v>
      </c>
      <c r="H27" s="453">
        <v>966962.32260786183</v>
      </c>
      <c r="I27" s="442">
        <v>93522.810504604349</v>
      </c>
      <c r="J27" s="442">
        <v>48895.082064356</v>
      </c>
      <c r="K27" s="442">
        <v>20852.541968473706</v>
      </c>
      <c r="L27" s="442">
        <v>3875256.3092540759</v>
      </c>
      <c r="M27" s="454">
        <v>7000567.8163666734</v>
      </c>
      <c r="N27" s="455">
        <v>854680.8261560871</v>
      </c>
      <c r="O27" s="463">
        <v>688004.54177935363</v>
      </c>
      <c r="P27" s="437">
        <v>322722.6532152376</v>
      </c>
      <c r="Q27" s="437">
        <v>33417.193536069739</v>
      </c>
      <c r="R27" s="437">
        <v>0</v>
      </c>
      <c r="S27" s="437">
        <v>0</v>
      </c>
      <c r="T27" s="437">
        <v>0</v>
      </c>
      <c r="U27" s="437">
        <v>86088.368614634906</v>
      </c>
      <c r="V27" s="437">
        <v>0</v>
      </c>
      <c r="W27" s="463">
        <v>65064.754581072957</v>
      </c>
      <c r="X27" s="437">
        <v>9318.8608945401884</v>
      </c>
      <c r="Y27" s="437">
        <v>581162.77136905363</v>
      </c>
      <c r="Z27" s="437">
        <v>1268168.8604259379</v>
      </c>
      <c r="AA27" s="437">
        <v>773271.25068903773</v>
      </c>
      <c r="AB27" s="437">
        <v>98967.806109928933</v>
      </c>
      <c r="AC27" s="437">
        <v>141230.18782565679</v>
      </c>
      <c r="AD27" s="464">
        <v>938071.81735884701</v>
      </c>
      <c r="AE27" s="463">
        <v>5068799.7868632264</v>
      </c>
      <c r="AF27" s="437">
        <v>723209.57331364043</v>
      </c>
      <c r="AG27" s="437">
        <v>996808.51241349487</v>
      </c>
      <c r="AH27" s="437">
        <v>1314.391032362227</v>
      </c>
      <c r="AI27" s="437">
        <v>3019.5469662375485</v>
      </c>
      <c r="AJ27" s="437">
        <v>0</v>
      </c>
      <c r="AK27" s="437">
        <v>31302.586931957627</v>
      </c>
      <c r="AL27" s="464">
        <v>176113.41884575546</v>
      </c>
      <c r="AM27" s="463">
        <v>572755.3605694857</v>
      </c>
      <c r="AN27" s="437">
        <v>84023.989061219021</v>
      </c>
      <c r="AO27" s="437">
        <v>197887.44444926505</v>
      </c>
      <c r="AP27" s="437">
        <v>0</v>
      </c>
      <c r="AQ27" s="437">
        <v>0</v>
      </c>
      <c r="AR27" s="437">
        <v>0</v>
      </c>
      <c r="AS27" s="437">
        <v>0</v>
      </c>
      <c r="AT27" s="437">
        <v>14.032076117236551</v>
      </c>
      <c r="AU27" s="525">
        <f t="shared" si="1"/>
        <v>6394624.4437931385</v>
      </c>
      <c r="AV27" s="526">
        <f t="shared" si="2"/>
        <v>1139275.0764846371</v>
      </c>
      <c r="AW27" s="526">
        <f t="shared" si="3"/>
        <v>1809275.9217678832</v>
      </c>
      <c r="AX27" s="526">
        <f t="shared" si="4"/>
        <v>1269483.2514583</v>
      </c>
      <c r="AY27" s="526">
        <f t="shared" si="5"/>
        <v>776290.79765527532</v>
      </c>
      <c r="AZ27" s="526">
        <f t="shared" si="6"/>
        <v>98967.806109928933</v>
      </c>
      <c r="BA27" s="526">
        <f t="shared" si="7"/>
        <v>258621.14337224932</v>
      </c>
      <c r="BB27" s="527">
        <f t="shared" si="8"/>
        <v>1114199.2682807199</v>
      </c>
      <c r="BC27" s="498">
        <f t="shared" si="9"/>
        <v>12860737.708922133</v>
      </c>
    </row>
    <row r="28" spans="1:55" outlineLevel="1">
      <c r="A28" s="427"/>
      <c r="B28" s="1406"/>
      <c r="C28" s="440" t="s">
        <v>1088</v>
      </c>
      <c r="D28" s="514">
        <f>SUMIF(tbl_pluto_2010[BldgArea 2010],Original!C28,tbl_pluto_2010[TOTAL])</f>
        <v>178713100</v>
      </c>
      <c r="E28" s="446">
        <v>21495373.182532851</v>
      </c>
      <c r="F28" s="500">
        <f t="shared" si="0"/>
        <v>3.9139853952953198E-2</v>
      </c>
      <c r="G28" s="519">
        <v>117.94716489229921</v>
      </c>
      <c r="H28" s="453">
        <v>1616176.0272495858</v>
      </c>
      <c r="I28" s="442">
        <v>156313.56135045999</v>
      </c>
      <c r="J28" s="442">
        <v>81722.997510069545</v>
      </c>
      <c r="K28" s="442">
        <v>34852.835160910632</v>
      </c>
      <c r="L28" s="442">
        <v>6477084.1634995705</v>
      </c>
      <c r="M28" s="454">
        <v>11700714.306461239</v>
      </c>
      <c r="N28" s="455">
        <v>1428509.2913010134</v>
      </c>
      <c r="O28" s="463">
        <v>1727296.9976982796</v>
      </c>
      <c r="P28" s="437">
        <v>140724.40451368745</v>
      </c>
      <c r="Q28" s="437">
        <v>0</v>
      </c>
      <c r="R28" s="437">
        <v>0</v>
      </c>
      <c r="S28" s="437">
        <v>0</v>
      </c>
      <c r="T28" s="437">
        <v>0</v>
      </c>
      <c r="U28" s="437">
        <v>21044.019059059236</v>
      </c>
      <c r="V28" s="437">
        <v>0</v>
      </c>
      <c r="W28" s="463">
        <v>153249.38681561439</v>
      </c>
      <c r="X28" s="437">
        <v>52584.292991440074</v>
      </c>
      <c r="Y28" s="437">
        <v>791597.10343861347</v>
      </c>
      <c r="Z28" s="437">
        <v>1191254.7416245851</v>
      </c>
      <c r="AA28" s="437">
        <v>2720084.196566781</v>
      </c>
      <c r="AB28" s="437">
        <v>115857.15681572867</v>
      </c>
      <c r="AC28" s="437">
        <v>290443.87715331098</v>
      </c>
      <c r="AD28" s="464">
        <v>1162013.4080934967</v>
      </c>
      <c r="AE28" s="463">
        <v>8501405.3288375363</v>
      </c>
      <c r="AF28" s="437">
        <v>1153717.8386113357</v>
      </c>
      <c r="AG28" s="437">
        <v>1654240.5822657775</v>
      </c>
      <c r="AH28" s="437">
        <v>0</v>
      </c>
      <c r="AI28" s="437">
        <v>0</v>
      </c>
      <c r="AJ28" s="437">
        <v>0</v>
      </c>
      <c r="AK28" s="437">
        <v>206073.28874295353</v>
      </c>
      <c r="AL28" s="464">
        <v>185277.26800363557</v>
      </c>
      <c r="AM28" s="463">
        <v>918853.56360227533</v>
      </c>
      <c r="AN28" s="437">
        <v>52561.061541260911</v>
      </c>
      <c r="AO28" s="437">
        <v>457094.66615747707</v>
      </c>
      <c r="AP28" s="437">
        <v>0</v>
      </c>
      <c r="AQ28" s="437">
        <v>0</v>
      </c>
      <c r="AR28" s="437">
        <v>0</v>
      </c>
      <c r="AS28" s="437">
        <v>0</v>
      </c>
      <c r="AT28" s="437">
        <v>0</v>
      </c>
      <c r="AU28" s="525">
        <f t="shared" si="1"/>
        <v>11300805.276953707</v>
      </c>
      <c r="AV28" s="526">
        <f t="shared" si="2"/>
        <v>1399587.5976577241</v>
      </c>
      <c r="AW28" s="526">
        <f t="shared" si="3"/>
        <v>2902932.3518618681</v>
      </c>
      <c r="AX28" s="526">
        <f t="shared" si="4"/>
        <v>1191254.7416245851</v>
      </c>
      <c r="AY28" s="526">
        <f t="shared" si="5"/>
        <v>2720084.196566781</v>
      </c>
      <c r="AZ28" s="526">
        <f t="shared" si="6"/>
        <v>115857.15681572867</v>
      </c>
      <c r="BA28" s="526">
        <f t="shared" si="7"/>
        <v>517561.1849553237</v>
      </c>
      <c r="BB28" s="527">
        <f t="shared" si="8"/>
        <v>1347290.6760971323</v>
      </c>
      <c r="BC28" s="498">
        <f t="shared" si="9"/>
        <v>21495373.182532851</v>
      </c>
    </row>
    <row r="29" spans="1:55" outlineLevel="1">
      <c r="A29" s="427"/>
      <c r="B29" s="1406"/>
      <c r="C29" s="440" t="s">
        <v>1089</v>
      </c>
      <c r="D29" s="514">
        <f>SUMIF(tbl_pluto_2010[BldgArea 2010],Original!C29,tbl_pluto_2010[TOTAL])</f>
        <v>73689099</v>
      </c>
      <c r="E29" s="446">
        <v>6876260.3857971029</v>
      </c>
      <c r="F29" s="500">
        <f t="shared" si="0"/>
        <v>1.2520639905022729E-2</v>
      </c>
      <c r="G29" s="519">
        <v>117.9471648922992</v>
      </c>
      <c r="H29" s="453">
        <v>517006.47847704712</v>
      </c>
      <c r="I29" s="442">
        <v>50003.912030262349</v>
      </c>
      <c r="J29" s="442">
        <v>26142.770614642137</v>
      </c>
      <c r="K29" s="442">
        <v>11149.244431096069</v>
      </c>
      <c r="L29" s="442">
        <v>2071986.2302803635</v>
      </c>
      <c r="M29" s="454">
        <v>3742998.9043608867</v>
      </c>
      <c r="N29" s="455">
        <v>456972.84560280468</v>
      </c>
      <c r="O29" s="463">
        <v>600955.14942028385</v>
      </c>
      <c r="P29" s="437">
        <v>3347.25613276384</v>
      </c>
      <c r="Q29" s="437">
        <v>0</v>
      </c>
      <c r="R29" s="437">
        <v>0</v>
      </c>
      <c r="S29" s="437">
        <v>0</v>
      </c>
      <c r="T29" s="437">
        <v>0</v>
      </c>
      <c r="U29" s="437">
        <v>0</v>
      </c>
      <c r="V29" s="437">
        <v>0</v>
      </c>
      <c r="W29" s="463">
        <v>19448.008705862387</v>
      </c>
      <c r="X29" s="437">
        <v>91076.437859297759</v>
      </c>
      <c r="Y29" s="437">
        <v>426850.16670664586</v>
      </c>
      <c r="Z29" s="437">
        <v>11046.66703481667</v>
      </c>
      <c r="AA29" s="437">
        <v>765123.5958906489</v>
      </c>
      <c r="AB29" s="437">
        <v>102053.65361237312</v>
      </c>
      <c r="AC29" s="437">
        <v>122611.16922919739</v>
      </c>
      <c r="AD29" s="464">
        <v>533776.53124152112</v>
      </c>
      <c r="AE29" s="463">
        <v>3317646.6657707593</v>
      </c>
      <c r="AF29" s="437">
        <v>375471.70783975848</v>
      </c>
      <c r="AG29" s="437">
        <v>0</v>
      </c>
      <c r="AH29" s="437">
        <v>0</v>
      </c>
      <c r="AI29" s="437">
        <v>0</v>
      </c>
      <c r="AJ29" s="437">
        <v>0</v>
      </c>
      <c r="AK29" s="437">
        <v>0</v>
      </c>
      <c r="AL29" s="464">
        <v>49880.530750369129</v>
      </c>
      <c r="AM29" s="463">
        <v>306176.22874205688</v>
      </c>
      <c r="AN29" s="437">
        <v>150796.6168607478</v>
      </c>
      <c r="AO29" s="437">
        <v>0</v>
      </c>
      <c r="AP29" s="437">
        <v>0</v>
      </c>
      <c r="AQ29" s="437">
        <v>0</v>
      </c>
      <c r="AR29" s="437">
        <v>0</v>
      </c>
      <c r="AS29" s="437">
        <v>0</v>
      </c>
      <c r="AT29" s="437">
        <v>0</v>
      </c>
      <c r="AU29" s="525">
        <f t="shared" si="1"/>
        <v>4244226.0526389619</v>
      </c>
      <c r="AV29" s="526">
        <f t="shared" si="2"/>
        <v>620692.01869256794</v>
      </c>
      <c r="AW29" s="526">
        <f t="shared" si="3"/>
        <v>426850.16670664586</v>
      </c>
      <c r="AX29" s="526">
        <f t="shared" si="4"/>
        <v>11046.66703481667</v>
      </c>
      <c r="AY29" s="526">
        <f t="shared" si="5"/>
        <v>765123.5958906489</v>
      </c>
      <c r="AZ29" s="526">
        <f t="shared" si="6"/>
        <v>102053.65361237312</v>
      </c>
      <c r="BA29" s="526">
        <f t="shared" si="7"/>
        <v>122611.16922919739</v>
      </c>
      <c r="BB29" s="527">
        <f t="shared" si="8"/>
        <v>583657.06199189019</v>
      </c>
      <c r="BC29" s="498">
        <f t="shared" si="9"/>
        <v>6876260.385797102</v>
      </c>
    </row>
    <row r="30" spans="1:55" outlineLevel="1">
      <c r="A30" s="427"/>
      <c r="B30" s="1406"/>
      <c r="C30" s="440" t="s">
        <v>1090</v>
      </c>
      <c r="D30" s="516">
        <f>SUMIF(tbl_pluto_2010[BldgArea 2010],Original!C30,tbl_pluto_2010[TOTAL])</f>
        <v>47537003</v>
      </c>
      <c r="E30" s="446">
        <v>5126798.6831815643</v>
      </c>
      <c r="F30" s="500">
        <f t="shared" si="0"/>
        <v>9.3351322632061733E-3</v>
      </c>
      <c r="G30" s="519">
        <v>117.9471648922992</v>
      </c>
      <c r="H30" s="453">
        <v>385469.42441668519</v>
      </c>
      <c r="I30" s="442">
        <v>37281.891023235046</v>
      </c>
      <c r="J30" s="442">
        <v>19491.513474198993</v>
      </c>
      <c r="K30" s="442">
        <v>8312.6479308253656</v>
      </c>
      <c r="L30" s="442">
        <v>1544830.4283114073</v>
      </c>
      <c r="M30" s="454">
        <v>2790703.1987420809</v>
      </c>
      <c r="N30" s="455">
        <v>340709.57928313105</v>
      </c>
      <c r="O30" s="463">
        <v>204440.35371507867</v>
      </c>
      <c r="P30" s="437">
        <v>177393.17201983606</v>
      </c>
      <c r="Q30" s="437">
        <v>68721.95111002987</v>
      </c>
      <c r="R30" s="437">
        <v>0</v>
      </c>
      <c r="S30" s="437">
        <v>0</v>
      </c>
      <c r="T30" s="437">
        <v>0</v>
      </c>
      <c r="U30" s="437">
        <v>0</v>
      </c>
      <c r="V30" s="437">
        <v>0</v>
      </c>
      <c r="W30" s="463">
        <v>8158.4534701575558</v>
      </c>
      <c r="X30" s="437">
        <v>1625.3881428011216</v>
      </c>
      <c r="Y30" s="437">
        <v>212082.59326207239</v>
      </c>
      <c r="Z30" s="437">
        <v>228368.87887407714</v>
      </c>
      <c r="AA30" s="437">
        <v>235423.68693212038</v>
      </c>
      <c r="AB30" s="437">
        <v>30114.621958405838</v>
      </c>
      <c r="AC30" s="437">
        <v>0</v>
      </c>
      <c r="AD30" s="464">
        <v>829056.8056717728</v>
      </c>
      <c r="AE30" s="463">
        <v>1674732.0320913938</v>
      </c>
      <c r="AF30" s="437">
        <v>916723.35988154134</v>
      </c>
      <c r="AG30" s="437">
        <v>0</v>
      </c>
      <c r="AH30" s="437">
        <v>0</v>
      </c>
      <c r="AI30" s="437">
        <v>0</v>
      </c>
      <c r="AJ30" s="437">
        <v>0</v>
      </c>
      <c r="AK30" s="437">
        <v>5841.745182044363</v>
      </c>
      <c r="AL30" s="464">
        <v>193406.06158710134</v>
      </c>
      <c r="AM30" s="463">
        <v>340709.57928313105</v>
      </c>
      <c r="AN30" s="437">
        <v>0</v>
      </c>
      <c r="AO30" s="437">
        <v>0</v>
      </c>
      <c r="AP30" s="437">
        <v>0</v>
      </c>
      <c r="AQ30" s="437">
        <v>0</v>
      </c>
      <c r="AR30" s="437">
        <v>0</v>
      </c>
      <c r="AS30" s="437">
        <v>0</v>
      </c>
      <c r="AT30" s="437">
        <v>0</v>
      </c>
      <c r="AU30" s="528">
        <f t="shared" si="1"/>
        <v>2228040.4185597608</v>
      </c>
      <c r="AV30" s="529">
        <f t="shared" si="2"/>
        <v>1095741.9200441786</v>
      </c>
      <c r="AW30" s="529">
        <f t="shared" si="3"/>
        <v>280804.54437210225</v>
      </c>
      <c r="AX30" s="529">
        <f t="shared" si="4"/>
        <v>228368.87887407714</v>
      </c>
      <c r="AY30" s="529">
        <f t="shared" si="5"/>
        <v>235423.68693212038</v>
      </c>
      <c r="AZ30" s="529">
        <f t="shared" si="6"/>
        <v>30114.621958405838</v>
      </c>
      <c r="BA30" s="529">
        <f t="shared" si="7"/>
        <v>5841.745182044363</v>
      </c>
      <c r="BB30" s="530">
        <f t="shared" si="8"/>
        <v>1022462.8672588741</v>
      </c>
      <c r="BC30" s="497">
        <f t="shared" si="9"/>
        <v>5126798.6831815634</v>
      </c>
    </row>
    <row r="31" spans="1:55" ht="15" outlineLevel="1" thickBot="1">
      <c r="A31" s="427"/>
      <c r="B31" s="439"/>
      <c r="C31" s="441" t="s">
        <v>1173</v>
      </c>
      <c r="D31" s="515">
        <f>SUMIF(tbl_pluto_2010[BldgArea 2010],Original!C31,tbl_pluto_2010[TOTAL])</f>
        <v>0</v>
      </c>
      <c r="E31" s="449"/>
      <c r="F31" s="1310"/>
      <c r="G31" s="450"/>
      <c r="H31" s="459"/>
      <c r="I31" s="1311"/>
      <c r="J31" s="1311"/>
      <c r="K31" s="1311"/>
      <c r="L31" s="1311"/>
      <c r="M31" s="1312"/>
      <c r="N31" s="460"/>
      <c r="O31" s="465"/>
      <c r="P31" s="1313"/>
      <c r="Q31" s="1313"/>
      <c r="R31" s="1313"/>
      <c r="S31" s="1313"/>
      <c r="T31" s="1313"/>
      <c r="U31" s="1313"/>
      <c r="V31" s="1313"/>
      <c r="W31" s="465"/>
      <c r="X31" s="1313"/>
      <c r="Y31" s="1313"/>
      <c r="Z31" s="1313"/>
      <c r="AA31" s="1313"/>
      <c r="AB31" s="1313"/>
      <c r="AC31" s="1313"/>
      <c r="AD31" s="466"/>
      <c r="AE31" s="465"/>
      <c r="AF31" s="1313"/>
      <c r="AG31" s="1313"/>
      <c r="AH31" s="1313"/>
      <c r="AI31" s="1313"/>
      <c r="AJ31" s="1313"/>
      <c r="AK31" s="1313"/>
      <c r="AL31" s="466"/>
      <c r="AM31" s="465"/>
      <c r="AN31" s="1313"/>
      <c r="AO31" s="1313"/>
      <c r="AP31" s="1313"/>
      <c r="AQ31" s="1313"/>
      <c r="AR31" s="1313"/>
      <c r="AS31" s="1313"/>
      <c r="AT31" s="1313"/>
      <c r="AU31" s="493">
        <f t="shared" ref="AU31:BB31" si="10">SUM(AU5:AU30)</f>
        <v>277360574.75469786</v>
      </c>
      <c r="AV31" s="494">
        <f t="shared" si="10"/>
        <v>92254677.344063729</v>
      </c>
      <c r="AW31" s="494">
        <f t="shared" si="10"/>
        <v>41313813.038890824</v>
      </c>
      <c r="AX31" s="494">
        <f t="shared" si="10"/>
        <v>16201089.167262102</v>
      </c>
      <c r="AY31" s="494">
        <f t="shared" si="10"/>
        <v>46685130.031230643</v>
      </c>
      <c r="AZ31" s="494">
        <f t="shared" si="10"/>
        <v>7677771.5836991211</v>
      </c>
      <c r="BA31" s="494">
        <f t="shared" si="10"/>
        <v>10954205.783809591</v>
      </c>
      <c r="BB31" s="495">
        <f t="shared" si="10"/>
        <v>56746744.190457888</v>
      </c>
      <c r="BC31" s="499">
        <f t="shared" si="9"/>
        <v>549194005.89411175</v>
      </c>
    </row>
    <row r="32" spans="1:55" s="490" customFormat="1" outlineLevel="1">
      <c r="A32" s="489"/>
      <c r="B32" s="531"/>
      <c r="E32" s="491">
        <f>SUM(E5:E30)</f>
        <v>549194005.89411175</v>
      </c>
      <c r="F32" s="503">
        <f>SUM(F5:F30)</f>
        <v>1</v>
      </c>
      <c r="G32" s="492"/>
      <c r="H32" s="491">
        <f t="shared" ref="H32:AT32" si="11">SUM(H5:H30)</f>
        <v>31442366.979483519</v>
      </c>
      <c r="I32" s="491">
        <f t="shared" si="11"/>
        <v>12215822.909304457</v>
      </c>
      <c r="J32" s="491">
        <f t="shared" si="11"/>
        <v>9073419.1315349061</v>
      </c>
      <c r="K32" s="491">
        <f t="shared" si="11"/>
        <v>1386521.070841192</v>
      </c>
      <c r="L32" s="491">
        <f t="shared" si="11"/>
        <v>164319512.98655564</v>
      </c>
      <c r="M32" s="491">
        <f t="shared" si="11"/>
        <v>310284093.21955132</v>
      </c>
      <c r="N32" s="491">
        <f t="shared" si="11"/>
        <v>20472269.596840799</v>
      </c>
      <c r="O32" s="491">
        <f t="shared" si="11"/>
        <v>42234136.5516764</v>
      </c>
      <c r="P32" s="491">
        <f t="shared" si="11"/>
        <v>11496443.29520978</v>
      </c>
      <c r="Q32" s="491">
        <f t="shared" si="11"/>
        <v>280299.24179765861</v>
      </c>
      <c r="R32" s="491">
        <f t="shared" si="11"/>
        <v>0</v>
      </c>
      <c r="S32" s="491">
        <f t="shared" si="11"/>
        <v>0</v>
      </c>
      <c r="T32" s="491">
        <f t="shared" si="11"/>
        <v>0</v>
      </c>
      <c r="U32" s="491">
        <f t="shared" si="11"/>
        <v>107132.38767369415</v>
      </c>
      <c r="V32" s="491">
        <f t="shared" si="11"/>
        <v>118.61480654113046</v>
      </c>
      <c r="W32" s="491">
        <f t="shared" si="11"/>
        <v>6323724.8488462092</v>
      </c>
      <c r="X32" s="491">
        <f t="shared" si="11"/>
        <v>2489292.2223338792</v>
      </c>
      <c r="Y32" s="491">
        <f t="shared" si="11"/>
        <v>25853155.804372881</v>
      </c>
      <c r="Z32" s="491">
        <f t="shared" si="11"/>
        <v>15892814.401336223</v>
      </c>
      <c r="AA32" s="491">
        <f t="shared" si="11"/>
        <v>46682061.409900054</v>
      </c>
      <c r="AB32" s="491">
        <f t="shared" si="11"/>
        <v>7677771.5836991211</v>
      </c>
      <c r="AC32" s="491">
        <f t="shared" si="11"/>
        <v>8997092.189912755</v>
      </c>
      <c r="AD32" s="491">
        <f t="shared" si="11"/>
        <v>50403600.526154466</v>
      </c>
      <c r="AE32" s="491">
        <f t="shared" si="11"/>
        <v>213959832.08395457</v>
      </c>
      <c r="AF32" s="491">
        <f t="shared" si="11"/>
        <v>74439886.843752295</v>
      </c>
      <c r="AG32" s="491">
        <f t="shared" si="11"/>
        <v>13418286.489454409</v>
      </c>
      <c r="AH32" s="491">
        <f t="shared" si="11"/>
        <v>295992.32755121269</v>
      </c>
      <c r="AI32" s="491">
        <f t="shared" si="11"/>
        <v>3019.5469662375485</v>
      </c>
      <c r="AJ32" s="491">
        <f t="shared" si="11"/>
        <v>0</v>
      </c>
      <c r="AK32" s="491">
        <f t="shared" si="11"/>
        <v>1827126.5695099891</v>
      </c>
      <c r="AL32" s="491">
        <f t="shared" si="11"/>
        <v>6339949.3583626188</v>
      </c>
      <c r="AM32" s="491">
        <f t="shared" si="11"/>
        <v>14842881.270220721</v>
      </c>
      <c r="AN32" s="491">
        <f t="shared" si="11"/>
        <v>3829054.9827677817</v>
      </c>
      <c r="AO32" s="491">
        <f t="shared" si="11"/>
        <v>1762071.5032658756</v>
      </c>
      <c r="AP32" s="491">
        <f t="shared" si="11"/>
        <v>12282.438374665608</v>
      </c>
      <c r="AQ32" s="491">
        <f t="shared" si="11"/>
        <v>49.074364351369518</v>
      </c>
      <c r="AR32" s="491">
        <f t="shared" si="11"/>
        <v>0</v>
      </c>
      <c r="AS32" s="491">
        <f t="shared" si="11"/>
        <v>22854.636713152362</v>
      </c>
      <c r="AT32" s="491">
        <f t="shared" si="11"/>
        <v>3075.6911342564481</v>
      </c>
      <c r="AU32" s="488">
        <f t="shared" ref="AU32:BC32" si="12">AU31/$BC$31</f>
        <v>0.50503205020080799</v>
      </c>
      <c r="AV32" s="488">
        <f t="shared" si="12"/>
        <v>0.16798194509400935</v>
      </c>
      <c r="AW32" s="488">
        <f t="shared" si="12"/>
        <v>7.522626357079433E-2</v>
      </c>
      <c r="AX32" s="488">
        <f t="shared" si="12"/>
        <v>2.9499755994033518E-2</v>
      </c>
      <c r="AY32" s="488">
        <f t="shared" si="12"/>
        <v>8.500662703924676E-2</v>
      </c>
      <c r="AZ32" s="488">
        <f t="shared" si="12"/>
        <v>1.398007170744585E-2</v>
      </c>
      <c r="BA32" s="488">
        <f t="shared" si="12"/>
        <v>1.9945967483704901E-2</v>
      </c>
      <c r="BB32" s="488">
        <f t="shared" si="12"/>
        <v>0.10332731890995736</v>
      </c>
      <c r="BC32" s="488">
        <f t="shared" si="12"/>
        <v>1</v>
      </c>
    </row>
    <row r="33" spans="2:27" outlineLevel="1">
      <c r="B33" s="531"/>
    </row>
    <row r="36" spans="2:27" ht="15" thickBot="1">
      <c r="B36" s="1314" t="s">
        <v>1174</v>
      </c>
      <c r="C36" s="1314" t="s">
        <v>1175</v>
      </c>
      <c r="D36" s="1315" t="s">
        <v>1176</v>
      </c>
      <c r="E36" s="1315" t="s">
        <v>1177</v>
      </c>
      <c r="F36" s="1315" t="s">
        <v>1178</v>
      </c>
      <c r="G36" s="1315" t="s">
        <v>1134</v>
      </c>
      <c r="H36" s="1315" t="s">
        <v>636</v>
      </c>
      <c r="I36" s="1315" t="s">
        <v>740</v>
      </c>
      <c r="J36" s="1315" t="s">
        <v>1124</v>
      </c>
      <c r="M36" s="1315" t="s">
        <v>1179</v>
      </c>
      <c r="N36" s="1315" t="s">
        <v>629</v>
      </c>
      <c r="O36" s="1315" t="s">
        <v>630</v>
      </c>
      <c r="P36" s="1315" t="s">
        <v>631</v>
      </c>
      <c r="Q36" s="1315" t="s">
        <v>632</v>
      </c>
      <c r="R36" s="1315" t="s">
        <v>633</v>
      </c>
      <c r="S36" s="1315" t="s">
        <v>1180</v>
      </c>
      <c r="T36" s="131"/>
      <c r="U36" s="132"/>
      <c r="V36" s="132"/>
      <c r="W36" s="132"/>
      <c r="X36" s="132"/>
      <c r="Y36" s="132"/>
      <c r="Z36" s="131"/>
      <c r="AA36" s="134"/>
    </row>
    <row r="37" spans="2:27">
      <c r="B37" s="839" t="s">
        <v>629</v>
      </c>
      <c r="C37" s="839" t="s">
        <v>1072</v>
      </c>
      <c r="D37" s="840">
        <v>3139269.7531758077</v>
      </c>
      <c r="E37" s="840">
        <v>373088.3616361348</v>
      </c>
      <c r="F37" s="840">
        <v>93126.849293603183</v>
      </c>
      <c r="G37" s="840">
        <v>61486.808703047362</v>
      </c>
      <c r="H37" s="840">
        <v>8619051.6034933645</v>
      </c>
      <c r="I37" s="840">
        <v>22111256.241396647</v>
      </c>
      <c r="J37" s="840">
        <v>0</v>
      </c>
      <c r="M37" s="834" t="s">
        <v>635</v>
      </c>
      <c r="N37" s="835">
        <f>SUMIF(tbl_DEM2015_Fuel[Typology],N$36,tbl_DEM2015_Fuel[Fuel Oil 2])+SUMIF(tbl_DEM2015_Fuel[Typology],N$36,tbl_DEM2015_Fuel[Fuel Oil 4])+SUMIF(tbl_DEM2015_Fuel[Typology],N$36,tbl_DEM2015_Fuel[Fuel Oil 6])+SUMIF(tbl_DEM2015_Fuel[Typology],N$36,tbl_DEM2015_Fuel[Biofuel])</f>
        <v>8460295.6592598427</v>
      </c>
      <c r="O37" s="835">
        <f>SUMIF(tbl_DEM2015_Fuel[Typology],O$36,tbl_DEM2015_Fuel[Fuel Oil 2])+SUMIF(tbl_DEM2015_Fuel[Typology],O$36,tbl_DEM2015_Fuel[Fuel Oil 4])+SUMIF(tbl_DEM2015_Fuel[Typology],O$36,tbl_DEM2015_Fuel[Fuel Oil 6])+SUMIF(tbl_DEM2015_Fuel[Typology],O$36,tbl_DEM2015_Fuel[Biofuel])</f>
        <v>29186361.566191822</v>
      </c>
      <c r="P37" s="835">
        <f>SUMIF(tbl_DEM2015_Fuel[Typology],P$36,tbl_DEM2015_Fuel[Fuel Oil 2])+SUMIF(tbl_DEM2015_Fuel[Typology],P$36,tbl_DEM2015_Fuel[Fuel Oil 4])+SUMIF(tbl_DEM2015_Fuel[Typology],P$36,tbl_DEM2015_Fuel[Fuel Oil 6])+SUMIF(tbl_DEM2015_Fuel[Typology],P$36,tbl_DEM2015_Fuel[Biofuel])</f>
        <v>8003998.3410948757</v>
      </c>
      <c r="Q37" s="835">
        <f>SUMIF(tbl_DEM2015_Fuel[Typology],Q$36,tbl_DEM2015_Fuel[Fuel Oil 2])+SUMIF(tbl_DEM2015_Fuel[Typology],Q$36,tbl_DEM2015_Fuel[Fuel Oil 4])+SUMIF(tbl_DEM2015_Fuel[Typology],Q$36,tbl_DEM2015_Fuel[Fuel Oil 6])+SUMIF(tbl_DEM2015_Fuel[Typology],Q$36,tbl_DEM2015_Fuel[Biofuel])</f>
        <v>5537647.8334544292</v>
      </c>
      <c r="R37" s="835">
        <f>SUMIF(tbl_DEM2015_Fuel[Typology],R$36,tbl_DEM2015_Fuel[Fuel Oil 2])+SUMIF(tbl_DEM2015_Fuel[Typology],R$36,tbl_DEM2015_Fuel[Fuel Oil 4])+SUMIF(tbl_DEM2015_Fuel[Typology],R$36,tbl_DEM2015_Fuel[Fuel Oil 6])+SUMIF(tbl_DEM2015_Fuel[Typology],R$36,tbl_DEM2015_Fuel[Biofuel])</f>
        <v>2929826.6911631091</v>
      </c>
      <c r="S37" s="836">
        <f>SUM(tbl_DEM2015_FuelSum[[#This Row],[1 to 4]:[Industrial]])</f>
        <v>54118130.091164075</v>
      </c>
      <c r="T37" s="131"/>
      <c r="U37" s="135"/>
      <c r="V37" s="135"/>
      <c r="W37" s="135"/>
      <c r="X37" s="135"/>
      <c r="Y37" s="135"/>
      <c r="Z37" s="136"/>
      <c r="AA37" s="134"/>
    </row>
    <row r="38" spans="2:27">
      <c r="B38" s="837" t="s">
        <v>629</v>
      </c>
      <c r="C38" s="837" t="s">
        <v>1074</v>
      </c>
      <c r="D38" s="841">
        <v>4103532.1857376532</v>
      </c>
      <c r="E38" s="841">
        <v>487686.69801287673</v>
      </c>
      <c r="F38" s="841">
        <v>121731.82092620224</v>
      </c>
      <c r="G38" s="841">
        <v>80373.181774519093</v>
      </c>
      <c r="H38" s="841">
        <v>11266491.396506637</v>
      </c>
      <c r="I38" s="841">
        <v>28902980.243056018</v>
      </c>
      <c r="J38" s="841">
        <v>0</v>
      </c>
      <c r="M38" s="834" t="s">
        <v>636</v>
      </c>
      <c r="N38" s="835">
        <f>SUMIF(tbl_DEM2015_Fuel[Typology],N$36,tbl_DEM2015_Fuel[Electricity])</f>
        <v>19885543</v>
      </c>
      <c r="O38" s="835">
        <f>SUMIF(tbl_DEM2015_Fuel[Typology],O$36,tbl_DEM2015_Fuel[Electricity])</f>
        <v>31859848.000000004</v>
      </c>
      <c r="P38" s="835">
        <f>SUMIF(tbl_DEM2015_Fuel[Typology],P$36,tbl_DEM2015_Fuel[Electricity])</f>
        <v>63229620.154428482</v>
      </c>
      <c r="Q38" s="835">
        <f>SUMIF(tbl_DEM2015_Fuel[Typology],Q$36,tbl_DEM2015_Fuel[Electricity])</f>
        <v>18987066.663351625</v>
      </c>
      <c r="R38" s="835">
        <f>SUMIF(tbl_DEM2015_Fuel[Typology],R$36,tbl_DEM2015_Fuel[Electricity])</f>
        <v>30357435.168775484</v>
      </c>
      <c r="S38" s="836">
        <f>SUM(tbl_DEM2015_FuelSum[[#This Row],[1 to 4]:[Industrial]])</f>
        <v>164319512.98655558</v>
      </c>
      <c r="T38" s="132"/>
      <c r="U38" s="135"/>
      <c r="V38" s="135"/>
      <c r="W38" s="135"/>
      <c r="X38" s="135"/>
      <c r="Y38" s="135"/>
      <c r="Z38" s="136"/>
      <c r="AA38" s="134"/>
    </row>
    <row r="39" spans="2:27">
      <c r="B39" s="837" t="s">
        <v>630</v>
      </c>
      <c r="C39" s="837" t="s">
        <v>1170</v>
      </c>
      <c r="D39" s="841">
        <v>0</v>
      </c>
      <c r="E39" s="841">
        <v>0</v>
      </c>
      <c r="F39" s="841">
        <v>0</v>
      </c>
      <c r="G39" s="841">
        <v>0</v>
      </c>
      <c r="H39" s="841">
        <v>0</v>
      </c>
      <c r="I39" s="841">
        <v>0</v>
      </c>
      <c r="J39" s="841">
        <v>0</v>
      </c>
      <c r="M39" s="834" t="s">
        <v>637</v>
      </c>
      <c r="N39" s="835">
        <f>SUMIF(tbl_DEM2015_Fuel[Typology],N$36,tbl_DEM2015_Fuel[Natural Gas])</f>
        <v>51014236.484452665</v>
      </c>
      <c r="O39" s="835">
        <f>SUMIF(tbl_DEM2015_Fuel[Typology],O$36,tbl_DEM2015_Fuel[Natural Gas])</f>
        <v>126522055.86150233</v>
      </c>
      <c r="P39" s="835">
        <f>SUMIF(tbl_DEM2015_Fuel[Typology],P$36,tbl_DEM2015_Fuel[Natural Gas])</f>
        <v>72977381.157310739</v>
      </c>
      <c r="Q39" s="835">
        <f>SUMIF(tbl_DEM2015_Fuel[Typology],Q$36,tbl_DEM2015_Fuel[Natural Gas])</f>
        <v>34299730.702522986</v>
      </c>
      <c r="R39" s="835">
        <f>SUMIF(tbl_DEM2015_Fuel[Typology],R$36,tbl_DEM2015_Fuel[Natural Gas])</f>
        <v>25470689.013762552</v>
      </c>
      <c r="S39" s="836">
        <f>SUM(tbl_DEM2015_FuelSum[[#This Row],[1 to 4]:[Industrial]])</f>
        <v>310284093.21955127</v>
      </c>
      <c r="T39" s="132"/>
      <c r="U39" s="135"/>
      <c r="V39" s="135"/>
      <c r="W39" s="135"/>
      <c r="X39" s="135"/>
      <c r="Y39" s="135"/>
      <c r="Z39" s="136"/>
      <c r="AA39" s="134"/>
    </row>
    <row r="40" spans="2:27">
      <c r="B40" s="837" t="s">
        <v>630</v>
      </c>
      <c r="C40" s="837" t="s">
        <v>1091</v>
      </c>
      <c r="D40" s="841">
        <v>894733.86049749935</v>
      </c>
      <c r="E40" s="841">
        <v>727824.03106786753</v>
      </c>
      <c r="F40" s="841">
        <v>618523.40654032386</v>
      </c>
      <c r="G40" s="841">
        <v>73567.567150399409</v>
      </c>
      <c r="H40" s="841">
        <v>2526671.94755285</v>
      </c>
      <c r="I40" s="841">
        <v>10033937.678923406</v>
      </c>
      <c r="J40" s="841">
        <v>472296.62576550397</v>
      </c>
      <c r="M40" s="834" t="s">
        <v>1124</v>
      </c>
      <c r="N40" s="835">
        <f>SUMIF(tbl_DEM2015_Fuel[Typology],N$36,tbl_DEM2015_Fuel[Steam])</f>
        <v>0</v>
      </c>
      <c r="O40" s="835">
        <f>SUMIF(tbl_DEM2015_Fuel[Typology],O$36,tbl_DEM2015_Fuel[Steam])</f>
        <v>5955382.819829681</v>
      </c>
      <c r="P40" s="835">
        <f>SUMIF(tbl_DEM2015_Fuel[Typology],P$36,tbl_DEM2015_Fuel[Steam])</f>
        <v>6979272.4922977062</v>
      </c>
      <c r="Q40" s="835">
        <f>SUMIF(tbl_DEM2015_Fuel[Typology],Q$36,tbl_DEM2015_Fuel[Steam])</f>
        <v>4187563.4866684908</v>
      </c>
      <c r="R40" s="835">
        <f>SUMIF(tbl_DEM2015_Fuel[Typology],R$36,tbl_DEM2015_Fuel[Steam])</f>
        <v>3350050.7980449246</v>
      </c>
      <c r="S40" s="836">
        <f>SUM(tbl_DEM2015_FuelSum[[#This Row],[1 to 4]:[Industrial]])</f>
        <v>20472269.596840803</v>
      </c>
      <c r="T40" s="131"/>
      <c r="U40" s="131"/>
      <c r="V40" s="131"/>
      <c r="W40" s="136"/>
      <c r="X40" s="136"/>
      <c r="Y40" s="131"/>
      <c r="Z40" s="136"/>
      <c r="AA40" s="134"/>
    </row>
    <row r="41" spans="2:27">
      <c r="B41" s="837" t="s">
        <v>630</v>
      </c>
      <c r="C41" s="837" t="s">
        <v>1092</v>
      </c>
      <c r="D41" s="841">
        <v>569904.49216005963</v>
      </c>
      <c r="E41" s="841">
        <v>463590.57494145189</v>
      </c>
      <c r="F41" s="841">
        <v>393971.08286197303</v>
      </c>
      <c r="G41" s="841">
        <v>46859.171031022634</v>
      </c>
      <c r="H41" s="841">
        <v>1609374.3141949642</v>
      </c>
      <c r="I41" s="841">
        <v>6391158.7676953841</v>
      </c>
      <c r="J41" s="841">
        <v>300831.32039524679</v>
      </c>
      <c r="M41" s="372" t="s">
        <v>1181</v>
      </c>
      <c r="N41"/>
      <c r="O41"/>
      <c r="P41"/>
      <c r="Q41"/>
      <c r="T41" s="134"/>
      <c r="U41" s="134"/>
      <c r="V41" s="134"/>
      <c r="W41" s="134"/>
      <c r="X41" s="134"/>
      <c r="Y41" s="134"/>
      <c r="Z41" s="134"/>
      <c r="AA41" s="134"/>
    </row>
    <row r="42" spans="2:27">
      <c r="B42" s="837" t="s">
        <v>630</v>
      </c>
      <c r="C42" s="837" t="s">
        <v>1093</v>
      </c>
      <c r="D42" s="841">
        <v>1719101.5009276555</v>
      </c>
      <c r="E42" s="841">
        <v>1398408.4423990396</v>
      </c>
      <c r="F42" s="841">
        <v>1188403.1257642661</v>
      </c>
      <c r="G42" s="841">
        <v>141349.42321007777</v>
      </c>
      <c r="H42" s="841">
        <v>4854634.1310641011</v>
      </c>
      <c r="I42" s="841">
        <v>19278757.724068489</v>
      </c>
      <c r="J42" s="841">
        <v>907449.5490593029</v>
      </c>
      <c r="M42" s="372" t="s">
        <v>1182</v>
      </c>
      <c r="N42"/>
      <c r="O42"/>
      <c r="P42"/>
      <c r="Q42"/>
      <c r="T42" s="134"/>
      <c r="U42" s="134"/>
      <c r="V42" s="134"/>
      <c r="W42" s="134"/>
      <c r="X42" s="134"/>
      <c r="Y42" s="134"/>
      <c r="Z42" s="134"/>
      <c r="AA42" s="134"/>
    </row>
    <row r="43" spans="2:27">
      <c r="B43" s="837" t="s">
        <v>630</v>
      </c>
      <c r="C43" s="837" t="s">
        <v>1094</v>
      </c>
      <c r="D43" s="841">
        <v>1395366.1984292641</v>
      </c>
      <c r="E43" s="841">
        <v>1135064.9575192549</v>
      </c>
      <c r="F43" s="841">
        <v>964607.12232774834</v>
      </c>
      <c r="G43" s="841">
        <v>114730.98430103433</v>
      </c>
      <c r="H43" s="841">
        <v>3940426.0705796089</v>
      </c>
      <c r="I43" s="841">
        <v>15648248.14669528</v>
      </c>
      <c r="J43" s="841">
        <v>736561.7602299538</v>
      </c>
      <c r="M43" s="366" t="s">
        <v>1183</v>
      </c>
      <c r="T43" s="134"/>
      <c r="U43" s="134"/>
      <c r="V43" s="134"/>
      <c r="W43" s="134"/>
      <c r="X43" s="134"/>
      <c r="Y43" s="134"/>
      <c r="Z43" s="134"/>
      <c r="AA43" s="134"/>
    </row>
    <row r="44" spans="2:27">
      <c r="B44" s="837" t="s">
        <v>630</v>
      </c>
      <c r="C44" s="837" t="s">
        <v>1095</v>
      </c>
      <c r="D44" s="841">
        <v>968365.18902203196</v>
      </c>
      <c r="E44" s="841">
        <v>787719.66339568584</v>
      </c>
      <c r="F44" s="841">
        <v>669424.24103177851</v>
      </c>
      <c r="G44" s="841">
        <v>79621.744760923422</v>
      </c>
      <c r="H44" s="841">
        <v>2734602.171787953</v>
      </c>
      <c r="I44" s="841">
        <v>10859671.670057589</v>
      </c>
      <c r="J44" s="841">
        <v>511163.85718271171</v>
      </c>
      <c r="T44" s="134"/>
      <c r="U44" s="134"/>
      <c r="V44" s="134"/>
      <c r="W44" s="134"/>
      <c r="X44" s="134"/>
      <c r="Y44" s="134"/>
      <c r="Z44" s="134"/>
      <c r="AA44" s="134"/>
    </row>
    <row r="45" spans="2:27">
      <c r="B45" s="837" t="s">
        <v>630</v>
      </c>
      <c r="C45" s="837" t="s">
        <v>1096</v>
      </c>
      <c r="D45" s="841">
        <v>4569147.5489954576</v>
      </c>
      <c r="E45" s="841">
        <v>3716787.2307913341</v>
      </c>
      <c r="F45" s="841">
        <v>3158620.4923759447</v>
      </c>
      <c r="G45" s="841">
        <v>375688.32920205069</v>
      </c>
      <c r="H45" s="841">
        <v>12902984.279434174</v>
      </c>
      <c r="I45" s="841">
        <v>51240423.299654685</v>
      </c>
      <c r="J45" s="841">
        <v>2411882.5332209594</v>
      </c>
      <c r="T45" s="134"/>
      <c r="U45" s="134"/>
      <c r="V45" s="134"/>
      <c r="W45" s="134"/>
      <c r="X45" s="134"/>
      <c r="Y45" s="134"/>
      <c r="Z45" s="134"/>
      <c r="AA45" s="134"/>
    </row>
    <row r="46" spans="2:27" ht="15" thickBot="1">
      <c r="B46" s="837" t="s">
        <v>630</v>
      </c>
      <c r="C46" s="837" t="s">
        <v>1097</v>
      </c>
      <c r="D46" s="841">
        <v>1165449.2376407394</v>
      </c>
      <c r="E46" s="841">
        <v>948038.29339040269</v>
      </c>
      <c r="F46" s="841">
        <v>805667.09771613497</v>
      </c>
      <c r="G46" s="841">
        <v>95826.556740395681</v>
      </c>
      <c r="H46" s="841">
        <v>3291155.0853863554</v>
      </c>
      <c r="I46" s="841">
        <v>13069858.574407509</v>
      </c>
      <c r="J46" s="841">
        <v>615197.17397600214</v>
      </c>
      <c r="M46" s="1315" t="s">
        <v>1179</v>
      </c>
      <c r="N46" s="1315" t="s">
        <v>629</v>
      </c>
      <c r="O46" s="1315" t="s">
        <v>630</v>
      </c>
      <c r="P46" s="1315" t="s">
        <v>631</v>
      </c>
      <c r="Q46" s="1315" t="s">
        <v>632</v>
      </c>
      <c r="R46" s="1315" t="s">
        <v>633</v>
      </c>
      <c r="S46" s="1315" t="s">
        <v>1180</v>
      </c>
      <c r="T46" s="131"/>
      <c r="U46" s="131"/>
      <c r="V46" s="131"/>
      <c r="W46" s="131"/>
      <c r="X46" s="131"/>
      <c r="Y46" s="131"/>
      <c r="Z46" s="134"/>
      <c r="AA46" s="134"/>
    </row>
    <row r="47" spans="2:27">
      <c r="B47" s="837" t="s">
        <v>631</v>
      </c>
      <c r="C47" s="837" t="s">
        <v>1076</v>
      </c>
      <c r="D47" s="841">
        <v>169259.17517266417</v>
      </c>
      <c r="E47" s="841">
        <v>39183.843101471008</v>
      </c>
      <c r="F47" s="841">
        <v>21859.0988477215</v>
      </c>
      <c r="G47" s="841">
        <v>4909.2263456678638</v>
      </c>
      <c r="H47" s="841">
        <v>1858111.8173282866</v>
      </c>
      <c r="I47" s="841">
        <v>2144566.6444759206</v>
      </c>
      <c r="J47" s="841">
        <v>205098.00094670246</v>
      </c>
      <c r="M47" s="837" t="s">
        <v>635</v>
      </c>
      <c r="N47" s="838">
        <f t="shared" ref="N47:R50" si="13">N37/$S37</f>
        <v>0.15633015488539884</v>
      </c>
      <c r="O47" s="838">
        <f t="shared" si="13"/>
        <v>0.5393083892038818</v>
      </c>
      <c r="P47" s="838">
        <f t="shared" si="13"/>
        <v>0.14789864926248988</v>
      </c>
      <c r="Q47" s="838">
        <f t="shared" si="13"/>
        <v>0.10232518795690183</v>
      </c>
      <c r="R47" s="838">
        <f t="shared" si="13"/>
        <v>5.4137618691327716E-2</v>
      </c>
      <c r="S47" s="838">
        <f>SUM(Table16[[#This Row],[1 to 4]:[Industrial]])</f>
        <v>1</v>
      </c>
      <c r="T47" s="131"/>
      <c r="U47" s="131"/>
      <c r="V47" s="131"/>
      <c r="W47" s="131"/>
      <c r="X47" s="131"/>
      <c r="Y47" s="131"/>
      <c r="Z47" s="134"/>
      <c r="AA47" s="134"/>
    </row>
    <row r="48" spans="2:27">
      <c r="B48" s="837" t="s">
        <v>631</v>
      </c>
      <c r="C48" s="837" t="s">
        <v>1077</v>
      </c>
      <c r="D48" s="841">
        <v>311213.48681882425</v>
      </c>
      <c r="E48" s="841">
        <v>72046.554794625859</v>
      </c>
      <c r="F48" s="841">
        <v>40191.89130619981</v>
      </c>
      <c r="G48" s="841">
        <v>9026.4970691224134</v>
      </c>
      <c r="H48" s="841">
        <v>3416473.3284331309</v>
      </c>
      <c r="I48" s="841">
        <v>3943172.1350517781</v>
      </c>
      <c r="J48" s="841">
        <v>377109.6246279144</v>
      </c>
      <c r="M48" s="837" t="s">
        <v>636</v>
      </c>
      <c r="N48" s="838">
        <f t="shared" si="13"/>
        <v>0.12101753856601931</v>
      </c>
      <c r="O48" s="838">
        <f t="shared" si="13"/>
        <v>0.19388962041657667</v>
      </c>
      <c r="P48" s="838">
        <f t="shared" si="13"/>
        <v>0.38479678405328438</v>
      </c>
      <c r="Q48" s="838">
        <f t="shared" si="13"/>
        <v>0.11554967707885748</v>
      </c>
      <c r="R48" s="838">
        <f t="shared" si="13"/>
        <v>0.18474637988526227</v>
      </c>
      <c r="S48" s="838">
        <f>SUM(Table16[[#This Row],[1 to 4]:[Industrial]])</f>
        <v>1</v>
      </c>
      <c r="T48" s="131"/>
      <c r="U48" s="131"/>
      <c r="V48" s="131"/>
      <c r="W48" s="131"/>
      <c r="X48" s="131"/>
      <c r="Y48" s="131"/>
      <c r="Z48" s="134"/>
      <c r="AA48" s="134"/>
    </row>
    <row r="49" spans="2:27">
      <c r="B49" s="837" t="s">
        <v>631</v>
      </c>
      <c r="C49" s="837" t="s">
        <v>1078</v>
      </c>
      <c r="D49" s="841">
        <v>224019.50702381178</v>
      </c>
      <c r="E49" s="841">
        <v>51860.971235003315</v>
      </c>
      <c r="F49" s="841">
        <v>28931.161592013952</v>
      </c>
      <c r="G49" s="841">
        <v>6497.5057612264591</v>
      </c>
      <c r="H49" s="841">
        <v>2459265.755539543</v>
      </c>
      <c r="I49" s="841">
        <v>2838397.1621338488</v>
      </c>
      <c r="J49" s="841">
        <v>271453.24923614523</v>
      </c>
      <c r="M49" s="837" t="s">
        <v>637</v>
      </c>
      <c r="N49" s="838">
        <f t="shared" si="13"/>
        <v>0.16441138169579303</v>
      </c>
      <c r="O49" s="838">
        <f t="shared" si="13"/>
        <v>0.40776197886489035</v>
      </c>
      <c r="P49" s="838">
        <f t="shared" si="13"/>
        <v>0.23519536692998727</v>
      </c>
      <c r="Q49" s="838">
        <f t="shared" si="13"/>
        <v>0.11054298770724651</v>
      </c>
      <c r="R49" s="838">
        <f t="shared" si="13"/>
        <v>8.2088284802082856E-2</v>
      </c>
      <c r="S49" s="838">
        <f>SUM(Table16[[#This Row],[1 to 4]:[Industrial]])</f>
        <v>1</v>
      </c>
      <c r="T49" s="131"/>
      <c r="U49" s="425"/>
      <c r="V49" s="425"/>
      <c r="W49" s="425"/>
      <c r="X49" s="425"/>
      <c r="Y49" s="425"/>
      <c r="Z49" s="134"/>
      <c r="AA49" s="134"/>
    </row>
    <row r="50" spans="2:27">
      <c r="B50" s="837" t="s">
        <v>631</v>
      </c>
      <c r="C50" s="837" t="s">
        <v>1079</v>
      </c>
      <c r="D50" s="841">
        <v>340431.46500280255</v>
      </c>
      <c r="E50" s="841">
        <v>78810.576134888834</v>
      </c>
      <c r="F50" s="841">
        <v>43965.268274406262</v>
      </c>
      <c r="G50" s="841">
        <v>9873.9410444437653</v>
      </c>
      <c r="H50" s="841">
        <v>3737225.6332148821</v>
      </c>
      <c r="I50" s="841">
        <v>4313373.0495278444</v>
      </c>
      <c r="J50" s="841">
        <v>412514.19818279095</v>
      </c>
      <c r="M50" s="837" t="s">
        <v>1124</v>
      </c>
      <c r="N50" s="838">
        <f t="shared" si="13"/>
        <v>0</v>
      </c>
      <c r="O50" s="838">
        <f t="shared" si="13"/>
        <v>0.29089998017360474</v>
      </c>
      <c r="P50" s="838">
        <f t="shared" si="13"/>
        <v>0.34091347123402083</v>
      </c>
      <c r="Q50" s="838">
        <f t="shared" si="13"/>
        <v>0.20454808231495245</v>
      </c>
      <c r="R50" s="838">
        <f t="shared" si="13"/>
        <v>0.16363846627742196</v>
      </c>
      <c r="S50" s="838">
        <f>SUM(Table16[[#This Row],[1 to 4]:[Industrial]])</f>
        <v>1</v>
      </c>
      <c r="T50" s="131"/>
      <c r="U50" s="425"/>
      <c r="V50" s="425"/>
      <c r="W50" s="425"/>
      <c r="X50" s="425"/>
      <c r="Y50" s="425"/>
      <c r="Z50" s="134"/>
      <c r="AA50" s="131"/>
    </row>
    <row r="51" spans="2:27">
      <c r="B51" s="837" t="s">
        <v>631</v>
      </c>
      <c r="C51" s="837" t="s">
        <v>1080</v>
      </c>
      <c r="D51" s="841">
        <v>914726.3200861417</v>
      </c>
      <c r="E51" s="841">
        <v>211761.0024418339</v>
      </c>
      <c r="F51" s="841">
        <v>118132.99355251009</v>
      </c>
      <c r="G51" s="841">
        <v>26530.901766842278</v>
      </c>
      <c r="H51" s="841">
        <v>10041782.274074188</v>
      </c>
      <c r="I51" s="841">
        <v>11589868.335821612</v>
      </c>
      <c r="J51" s="841">
        <v>1108409.8659444519</v>
      </c>
      <c r="M51" s="372" t="s">
        <v>1184</v>
      </c>
      <c r="T51" s="131"/>
      <c r="U51" s="425"/>
      <c r="V51" s="425"/>
      <c r="W51" s="425"/>
      <c r="X51" s="425"/>
      <c r="Y51" s="425"/>
      <c r="Z51" s="134"/>
      <c r="AA51" s="131"/>
    </row>
    <row r="52" spans="2:27">
      <c r="B52" s="837" t="s">
        <v>631</v>
      </c>
      <c r="C52" s="837" t="s">
        <v>1081</v>
      </c>
      <c r="D52" s="841">
        <v>895162.79564852675</v>
      </c>
      <c r="E52" s="841">
        <v>207232.00676822683</v>
      </c>
      <c r="F52" s="841">
        <v>115606.44801041231</v>
      </c>
      <c r="G52" s="841">
        <v>25963.477463342733</v>
      </c>
      <c r="H52" s="841">
        <v>9827015.6836719811</v>
      </c>
      <c r="I52" s="841">
        <v>11341992.36741695</v>
      </c>
      <c r="J52" s="841">
        <v>1084703.9737850837</v>
      </c>
      <c r="M52" s="372" t="s">
        <v>1185</v>
      </c>
      <c r="T52" s="131"/>
      <c r="U52" s="425"/>
      <c r="V52" s="425"/>
      <c r="W52" s="425"/>
      <c r="X52" s="425"/>
      <c r="Y52" s="425"/>
      <c r="Z52" s="134"/>
      <c r="AA52" s="131"/>
    </row>
    <row r="53" spans="2:27">
      <c r="B53" s="837" t="s">
        <v>631</v>
      </c>
      <c r="C53" s="837" t="s">
        <v>1082</v>
      </c>
      <c r="D53" s="841">
        <v>1955126.6853460269</v>
      </c>
      <c r="E53" s="841">
        <v>452615.80179595738</v>
      </c>
      <c r="F53" s="841">
        <v>252496.25275084699</v>
      </c>
      <c r="G53" s="841">
        <v>56706.87821223135</v>
      </c>
      <c r="H53" s="841">
        <v>21463202.77591693</v>
      </c>
      <c r="I53" s="841">
        <v>24772066.098281585</v>
      </c>
      <c r="J53" s="841">
        <v>2369103.9162453874</v>
      </c>
      <c r="T53" s="131"/>
      <c r="U53" s="131"/>
      <c r="V53" s="131"/>
      <c r="W53" s="131"/>
      <c r="X53" s="131"/>
      <c r="Y53" s="131"/>
      <c r="Z53" s="131"/>
      <c r="AA53" s="131"/>
    </row>
    <row r="54" spans="2:27">
      <c r="B54" s="837" t="s">
        <v>631</v>
      </c>
      <c r="C54" s="837" t="s">
        <v>1171</v>
      </c>
      <c r="D54" s="841">
        <v>949774.94485048414</v>
      </c>
      <c r="E54" s="841">
        <v>219874.83031726431</v>
      </c>
      <c r="F54" s="841">
        <v>122659.37359908018</v>
      </c>
      <c r="G54" s="841">
        <v>27547.458960252996</v>
      </c>
      <c r="H54" s="841">
        <v>10426542.88624954</v>
      </c>
      <c r="I54" s="841">
        <v>12033945.364601204</v>
      </c>
      <c r="J54" s="841">
        <v>1150879.6633292299</v>
      </c>
      <c r="M54" s="372" t="s">
        <v>1186</v>
      </c>
      <c r="T54" s="131"/>
      <c r="U54" s="131"/>
      <c r="V54" s="131"/>
      <c r="W54" s="131"/>
      <c r="X54" s="131"/>
      <c r="Y54" s="131"/>
      <c r="Z54" s="131"/>
      <c r="AA54" s="131"/>
    </row>
    <row r="55" spans="2:27" ht="15" thickBot="1">
      <c r="B55" s="837" t="s">
        <v>633</v>
      </c>
      <c r="C55" s="837" t="s">
        <v>1187</v>
      </c>
      <c r="D55" s="841">
        <v>385851.85027860606</v>
      </c>
      <c r="E55" s="841">
        <v>61543.993272008738</v>
      </c>
      <c r="F55" s="841">
        <v>12107.143179009014</v>
      </c>
      <c r="G55" s="841">
        <v>7619.98388694809</v>
      </c>
      <c r="H55" s="841">
        <v>4840100.3851558315</v>
      </c>
      <c r="I55" s="841">
        <v>4060971.9174332097</v>
      </c>
      <c r="J55" s="841">
        <v>534122.26914962009</v>
      </c>
      <c r="M55" s="827" t="s">
        <v>1188</v>
      </c>
      <c r="N55" s="828" t="s">
        <v>260</v>
      </c>
      <c r="O55" s="828" t="s">
        <v>264</v>
      </c>
      <c r="P55" s="828" t="s">
        <v>262</v>
      </c>
      <c r="Q55" s="828" t="s">
        <v>266</v>
      </c>
      <c r="R55" s="828" t="s">
        <v>1189</v>
      </c>
      <c r="S55" s="828" t="s">
        <v>1190</v>
      </c>
      <c r="T55" s="828" t="s">
        <v>1191</v>
      </c>
      <c r="U55" s="828" t="s">
        <v>1192</v>
      </c>
      <c r="V55" s="828" t="s">
        <v>1180</v>
      </c>
      <c r="W55" s="532"/>
      <c r="X55" s="532"/>
      <c r="Y55" s="532"/>
      <c r="Z55" s="532"/>
      <c r="AA55" s="532"/>
    </row>
    <row r="56" spans="2:27">
      <c r="B56" s="837" t="s">
        <v>633</v>
      </c>
      <c r="C56" s="837" t="s">
        <v>1193</v>
      </c>
      <c r="D56" s="841">
        <v>1185841.9861489926</v>
      </c>
      <c r="E56" s="841">
        <v>189143.71193120489</v>
      </c>
      <c r="F56" s="841">
        <v>37208.992787308453</v>
      </c>
      <c r="G56" s="841">
        <v>23418.56549449559</v>
      </c>
      <c r="H56" s="841">
        <v>14875124.350834122</v>
      </c>
      <c r="I56" s="841">
        <v>12480621.774360036</v>
      </c>
      <c r="J56" s="841">
        <v>1641522.8073610479</v>
      </c>
      <c r="M56" s="831" t="s">
        <v>1194</v>
      </c>
      <c r="N56" s="831"/>
      <c r="O56" s="831"/>
      <c r="P56" s="831"/>
      <c r="Q56" s="831"/>
      <c r="R56" s="831"/>
      <c r="S56" s="831"/>
      <c r="T56" s="831"/>
      <c r="U56" s="831"/>
      <c r="V56" s="831"/>
      <c r="W56" s="131"/>
      <c r="X56" s="131"/>
      <c r="Y56" s="131"/>
      <c r="Z56" s="131"/>
      <c r="AA56" s="131"/>
    </row>
    <row r="57" spans="2:27">
      <c r="B57" s="837" t="s">
        <v>633</v>
      </c>
      <c r="C57" s="837" t="s">
        <v>1195</v>
      </c>
      <c r="D57" s="841">
        <v>848394.92154714395</v>
      </c>
      <c r="E57" s="841">
        <v>135320.36014859777</v>
      </c>
      <c r="F57" s="841">
        <v>26620.68039870408</v>
      </c>
      <c r="G57" s="841">
        <v>16754.502090089551</v>
      </c>
      <c r="H57" s="841">
        <v>10642210.432785532</v>
      </c>
      <c r="I57" s="841">
        <v>8929095.3219693061</v>
      </c>
      <c r="J57" s="841">
        <v>1174405.7215342568</v>
      </c>
      <c r="M57" s="829" t="s">
        <v>32</v>
      </c>
      <c r="N57" s="830">
        <f>SUM(W5:W14)</f>
        <v>2779171.9899073695</v>
      </c>
      <c r="O57" s="830">
        <f>SUM(X5:X14)</f>
        <v>1248960.2378018794</v>
      </c>
      <c r="P57" s="830">
        <f>SUM(Y5:Y14)</f>
        <v>8266519.0081287436</v>
      </c>
      <c r="Q57" s="830">
        <f>SUM(AA5:AA14)</f>
        <v>13081641.592428578</v>
      </c>
      <c r="R57" s="830">
        <f>SUM(Z5:Z14,AB5:AD14)</f>
        <v>26369098.171733439</v>
      </c>
      <c r="S57" s="830">
        <v>0</v>
      </c>
      <c r="T57" s="830">
        <v>0</v>
      </c>
      <c r="U57" s="830">
        <v>0</v>
      </c>
      <c r="V57" s="830">
        <f>SUM(N57:U57)</f>
        <v>51745391.000000007</v>
      </c>
      <c r="W57" s="131"/>
      <c r="X57" s="131"/>
      <c r="Y57" s="131"/>
      <c r="Z57" s="131"/>
      <c r="AA57" s="131"/>
    </row>
    <row r="58" spans="2:27">
      <c r="B58" s="837" t="s">
        <v>632</v>
      </c>
      <c r="C58" s="837" t="s">
        <v>1196</v>
      </c>
      <c r="D58" s="841">
        <v>1252079.6222221514</v>
      </c>
      <c r="E58" s="841">
        <v>121098.82930076309</v>
      </c>
      <c r="F58" s="841">
        <v>63312.224735448239</v>
      </c>
      <c r="G58" s="841">
        <v>27001.096381752486</v>
      </c>
      <c r="H58" s="841">
        <v>5017909.5320062079</v>
      </c>
      <c r="I58" s="841">
        <v>9064746.4765921067</v>
      </c>
      <c r="J58" s="841">
        <v>1106690.9443254548</v>
      </c>
      <c r="M58" s="829" t="s">
        <v>651</v>
      </c>
      <c r="N58" s="830">
        <f>SUM(AE5:AE14)</f>
        <v>119139569.63426682</v>
      </c>
      <c r="O58" s="830">
        <f>SUM(AF5:AF14)</f>
        <v>54193342.81639307</v>
      </c>
      <c r="P58" s="830">
        <f>SUM(AG5:AG14)</f>
        <v>1367253.6874679662</v>
      </c>
      <c r="Q58" s="830">
        <f>SUM(AI5:AI14)</f>
        <v>0</v>
      </c>
      <c r="R58" s="830">
        <v>0</v>
      </c>
      <c r="S58" s="830">
        <v>0</v>
      </c>
      <c r="T58" s="830">
        <f>SUM(AH5:AH14,AJ5:AL14)</f>
        <v>2836126.2078271499</v>
      </c>
      <c r="U58" s="830">
        <v>0</v>
      </c>
      <c r="V58" s="830">
        <f>SUM(N58:U58)</f>
        <v>177536292.34595501</v>
      </c>
      <c r="W58" s="532"/>
      <c r="X58" s="532"/>
      <c r="Y58" s="532"/>
      <c r="Z58" s="532"/>
      <c r="AA58" s="532"/>
    </row>
    <row r="59" spans="2:27">
      <c r="B59" s="837" t="s">
        <v>632</v>
      </c>
      <c r="C59" s="837" t="s">
        <v>1197</v>
      </c>
      <c r="D59" s="841">
        <v>966962.32260786183</v>
      </c>
      <c r="E59" s="841">
        <v>93522.810504604349</v>
      </c>
      <c r="F59" s="841">
        <v>48895.082064356</v>
      </c>
      <c r="G59" s="841">
        <v>20852.541968473706</v>
      </c>
      <c r="H59" s="841">
        <v>3875256.3092540759</v>
      </c>
      <c r="I59" s="841">
        <v>7000567.8163666734</v>
      </c>
      <c r="J59" s="841">
        <v>854680.8261560871</v>
      </c>
      <c r="M59" s="829" t="s">
        <v>652</v>
      </c>
      <c r="N59" s="830">
        <f>SUM(O5:O14)</f>
        <v>28271668.889221281</v>
      </c>
      <c r="O59" s="830">
        <f>SUM(P5:P14)</f>
        <v>9205762.7112995107</v>
      </c>
      <c r="P59" s="830">
        <f>SUM(Q5:Q14)</f>
        <v>169211.01885844817</v>
      </c>
      <c r="Q59" s="830">
        <f>SUM(S5:S14)</f>
        <v>0</v>
      </c>
      <c r="R59" s="830">
        <v>0</v>
      </c>
      <c r="S59" s="830">
        <f>SUM(R5:R14,T5:V14)</f>
        <v>14.606072418693502</v>
      </c>
      <c r="T59" s="830">
        <v>0</v>
      </c>
      <c r="U59" s="830">
        <v>0</v>
      </c>
      <c r="V59" s="830">
        <f>SUM(N59:U59)</f>
        <v>37646657.225451656</v>
      </c>
      <c r="W59" s="131"/>
      <c r="X59" s="131"/>
      <c r="Y59" s="131"/>
      <c r="Z59" s="131"/>
      <c r="AA59" s="131"/>
    </row>
    <row r="60" spans="2:27" ht="15" thickBot="1">
      <c r="B60" s="837" t="s">
        <v>632</v>
      </c>
      <c r="C60" s="837" t="s">
        <v>1198</v>
      </c>
      <c r="D60" s="841">
        <v>1616176.0272495858</v>
      </c>
      <c r="E60" s="841">
        <v>156313.56135045999</v>
      </c>
      <c r="F60" s="841">
        <v>81722.997510069545</v>
      </c>
      <c r="G60" s="841">
        <v>34852.835160910632</v>
      </c>
      <c r="H60" s="841">
        <v>6477084.1634995705</v>
      </c>
      <c r="I60" s="841">
        <v>11700714.306461239</v>
      </c>
      <c r="J60" s="841">
        <v>1428509.2913010134</v>
      </c>
      <c r="M60" s="829" t="s">
        <v>638</v>
      </c>
      <c r="N60" s="830">
        <f>SUM(AM5:AM14)</f>
        <v>4039910.0231668972</v>
      </c>
      <c r="O60" s="830">
        <f>SUM(AN5:AN14)</f>
        <v>1773052.3271444454</v>
      </c>
      <c r="P60" s="830">
        <f>SUM(AO5:AO14)</f>
        <v>142420.46951833781</v>
      </c>
      <c r="Q60" s="830">
        <f>SUM(AQ5:AQ14)</f>
        <v>0</v>
      </c>
      <c r="R60" s="845">
        <v>0</v>
      </c>
      <c r="S60" s="845">
        <v>0</v>
      </c>
      <c r="T60" s="830">
        <v>0</v>
      </c>
      <c r="U60" s="830">
        <f>SUM(AP5:AP14,AR5:AT14)</f>
        <v>0</v>
      </c>
      <c r="V60" s="830">
        <f>SUM(N60:U60)</f>
        <v>5955382.81982968</v>
      </c>
      <c r="W60" s="131"/>
      <c r="X60" s="131"/>
      <c r="Y60" s="131"/>
      <c r="Z60" s="131"/>
      <c r="AA60" s="131"/>
    </row>
    <row r="61" spans="2:27">
      <c r="B61" s="837" t="s">
        <v>632</v>
      </c>
      <c r="C61" s="837" t="s">
        <v>1199</v>
      </c>
      <c r="D61" s="841">
        <v>517006.47847704712</v>
      </c>
      <c r="E61" s="841">
        <v>50003.912030262349</v>
      </c>
      <c r="F61" s="841">
        <v>26142.770614642137</v>
      </c>
      <c r="G61" s="841">
        <v>11149.244431096069</v>
      </c>
      <c r="H61" s="841">
        <v>2071986.2302803635</v>
      </c>
      <c r="I61" s="841">
        <v>3742998.9043608867</v>
      </c>
      <c r="J61" s="841">
        <v>456972.84560280468</v>
      </c>
      <c r="M61" s="831" t="s">
        <v>631</v>
      </c>
      <c r="N61" s="831"/>
      <c r="O61" s="831"/>
      <c r="P61" s="831"/>
      <c r="Q61" s="831"/>
      <c r="R61" s="831"/>
      <c r="S61" s="831"/>
      <c r="T61" s="831"/>
      <c r="U61" s="831"/>
      <c r="V61" s="831"/>
      <c r="W61" s="532"/>
      <c r="X61" s="532"/>
      <c r="Y61" s="532"/>
      <c r="Z61" s="532"/>
      <c r="AA61" s="532"/>
    </row>
    <row r="62" spans="2:27">
      <c r="B62" s="837" t="s">
        <v>632</v>
      </c>
      <c r="C62" s="837" t="s">
        <v>1200</v>
      </c>
      <c r="D62" s="841">
        <v>385469.42441668519</v>
      </c>
      <c r="E62" s="841">
        <v>37281.891023235046</v>
      </c>
      <c r="F62" s="841">
        <v>19491.513474198993</v>
      </c>
      <c r="G62" s="841">
        <v>8312.6479308253656</v>
      </c>
      <c r="H62" s="841">
        <v>1544830.4283114073</v>
      </c>
      <c r="I62" s="841">
        <v>2790703.1987420809</v>
      </c>
      <c r="J62" s="841">
        <v>340709.57928313105</v>
      </c>
      <c r="M62" s="829" t="s">
        <v>32</v>
      </c>
      <c r="N62" s="830">
        <f>SUM(W15:W22,W26:W30)</f>
        <v>2250345.6675955681</v>
      </c>
      <c r="O62" s="830">
        <f>SUM(X15:X22,X26:X30)</f>
        <v>670882.02489912894</v>
      </c>
      <c r="P62" s="830">
        <f>SUM(Y15:Y22,Y26:Y30)</f>
        <v>13663763.927572571</v>
      </c>
      <c r="Q62" s="830">
        <f>SUM(AA15:AA22,AA26:AA30)</f>
        <v>21354447.85688198</v>
      </c>
      <c r="R62" s="830">
        <f>SUM(Z15:Z22,Z26:Z30,AB15:AD22,AB26:AD30)</f>
        <v>44277247.340830863</v>
      </c>
      <c r="S62" s="830">
        <v>0</v>
      </c>
      <c r="T62" s="830">
        <v>0</v>
      </c>
      <c r="U62" s="830">
        <v>0</v>
      </c>
      <c r="V62" s="830">
        <f>SUM(N62:U62)</f>
        <v>82216686.817780107</v>
      </c>
      <c r="W62" s="131"/>
      <c r="X62" s="131"/>
      <c r="Y62" s="131"/>
      <c r="Z62" s="131"/>
      <c r="AA62" s="131"/>
    </row>
    <row r="63" spans="2:27">
      <c r="B63" s="842"/>
      <c r="C63" s="842" t="s">
        <v>1173</v>
      </c>
      <c r="D63" s="843"/>
      <c r="E63" s="843"/>
      <c r="F63" s="843"/>
      <c r="G63" s="843"/>
      <c r="H63" s="843"/>
      <c r="I63" s="843"/>
      <c r="J63" s="843"/>
      <c r="M63" s="829" t="s">
        <v>651</v>
      </c>
      <c r="N63" s="830">
        <f>SUM(AE15:AE22,AE26:AE30)</f>
        <v>70536854.624736086</v>
      </c>
      <c r="O63" s="830">
        <f>SUM(AF15:AF22,AF26:AF30)</f>
        <v>19441995.582602695</v>
      </c>
      <c r="P63" s="830">
        <f>SUM(AG15:AG22,AG26:AG30)</f>
        <v>12051032.801986443</v>
      </c>
      <c r="Q63" s="830">
        <f>SUM(AI15:AI22,AI26:AI30)</f>
        <v>3019.5469662375485</v>
      </c>
      <c r="R63" s="830">
        <v>0</v>
      </c>
      <c r="S63" s="830">
        <v>0</v>
      </c>
      <c r="T63" s="830">
        <f>SUM(AH15:AH22,AH26:AH30,AJ15:AL22,AJ26:AL30)</f>
        <v>5244209.3035422657</v>
      </c>
      <c r="U63" s="830">
        <v>0</v>
      </c>
      <c r="V63" s="830">
        <f>SUM(N63:U63)</f>
        <v>107277111.85983373</v>
      </c>
      <c r="W63" s="131"/>
      <c r="X63" s="131"/>
      <c r="Y63" s="131"/>
      <c r="Z63" s="131"/>
      <c r="AA63" s="131"/>
    </row>
    <row r="64" spans="2:27">
      <c r="B64" s="531" t="s">
        <v>1201</v>
      </c>
      <c r="M64" s="829" t="s">
        <v>652</v>
      </c>
      <c r="N64" s="830">
        <f>SUM(O15:O22,O26:O30)</f>
        <v>11311586.1524274</v>
      </c>
      <c r="O64" s="830">
        <f>SUM(P15:P22,P26:P30)</f>
        <v>2011735.4027748767</v>
      </c>
      <c r="P64" s="830">
        <f>SUM(Q15:Q22,Q26:Q30)</f>
        <v>111088.22293921042</v>
      </c>
      <c r="Q64" s="830">
        <f>SUM(S15:S22,S26:S30)</f>
        <v>0</v>
      </c>
      <c r="R64" s="845">
        <v>0</v>
      </c>
      <c r="S64" s="830">
        <f>SUM(R15:R22,R26:R30,T15:V22,T26:V30)</f>
        <v>107236.39640781659</v>
      </c>
      <c r="T64" s="830">
        <v>0</v>
      </c>
      <c r="U64" s="830">
        <v>0</v>
      </c>
      <c r="V64" s="830">
        <f>SUM(N64:U64)</f>
        <v>13541646.174549302</v>
      </c>
    </row>
    <row r="65" spans="2:22" ht="15" thickBot="1">
      <c r="B65" s="372" t="s">
        <v>1123</v>
      </c>
      <c r="M65" s="829" t="s">
        <v>638</v>
      </c>
      <c r="N65" s="830">
        <f>SUM(AM15:AM22,AM26:AM30)</f>
        <v>8229270.3038417809</v>
      </c>
      <c r="O65" s="830">
        <f>SUM(AN15:AN22,AN26:AN30)</f>
        <v>1279652.8007904515</v>
      </c>
      <c r="P65" s="830">
        <f>SUM(AO15:AO22,AO26:AO30)</f>
        <v>1619651.0337475375</v>
      </c>
      <c r="Q65" s="830">
        <f>SUM(AQ15:AQ22,AQ26:AQ30)</f>
        <v>49.074364351369518</v>
      </c>
      <c r="R65" s="845">
        <v>0</v>
      </c>
      <c r="S65" s="845">
        <v>0</v>
      </c>
      <c r="T65" s="830">
        <v>0</v>
      </c>
      <c r="U65" s="830">
        <f>SUM(AP15:AP22,AP26:AP30,AR15:AT22,AR26:AT30)</f>
        <v>38212.766222074417</v>
      </c>
      <c r="V65" s="830">
        <f>SUM(N65:U65)</f>
        <v>11166835.978966195</v>
      </c>
    </row>
    <row r="66" spans="2:22">
      <c r="B66" s="372" t="s">
        <v>1202</v>
      </c>
      <c r="M66" s="831" t="s">
        <v>633</v>
      </c>
      <c r="N66" s="831"/>
      <c r="O66" s="831"/>
      <c r="P66" s="831"/>
      <c r="Q66" s="831"/>
      <c r="R66" s="831"/>
      <c r="S66" s="831"/>
      <c r="T66" s="831"/>
      <c r="U66" s="831"/>
      <c r="V66" s="831"/>
    </row>
    <row r="67" spans="2:22">
      <c r="M67" s="829" t="s">
        <v>32</v>
      </c>
      <c r="N67" s="830">
        <f>SUM(W23:W25)</f>
        <v>1294207.1913432705</v>
      </c>
      <c r="O67" s="830">
        <f>SUM(X23:X25)</f>
        <v>569449.95963287028</v>
      </c>
      <c r="P67" s="830">
        <f>SUM(Y23:Y25)</f>
        <v>3922872.8686715653</v>
      </c>
      <c r="Q67" s="830">
        <f>SUM(AA23:AA25)</f>
        <v>12245971.960589502</v>
      </c>
      <c r="R67" s="830">
        <f>SUM(Z23:Z25,AB23:AD25)</f>
        <v>12324933.188538278</v>
      </c>
      <c r="S67" s="830">
        <v>0</v>
      </c>
      <c r="T67" s="830">
        <v>0</v>
      </c>
      <c r="U67" s="830">
        <v>0</v>
      </c>
      <c r="V67" s="830">
        <f>SUM(N67:U67)</f>
        <v>30357435.168775484</v>
      </c>
    </row>
    <row r="68" spans="2:22">
      <c r="M68" s="829" t="s">
        <v>651</v>
      </c>
      <c r="N68" s="830">
        <f>SUM(AE23:AE25)</f>
        <v>24283407.824951604</v>
      </c>
      <c r="O68" s="830">
        <f>SUM(AF23:AF25)</f>
        <v>804548.44475653907</v>
      </c>
      <c r="P68" s="830">
        <f>SUM(AG23:AG25)</f>
        <v>0</v>
      </c>
      <c r="Q68" s="830">
        <f>SUM(AI23:AI25)</f>
        <v>0</v>
      </c>
      <c r="R68" s="830">
        <v>0</v>
      </c>
      <c r="S68" s="830">
        <v>0</v>
      </c>
      <c r="T68" s="830">
        <f>SUM(AH23:AH25,AJ23:AL25)</f>
        <v>382732.74405440688</v>
      </c>
      <c r="U68" s="830">
        <v>0</v>
      </c>
      <c r="V68" s="830">
        <f>SUM(N68:U68)</f>
        <v>25470689.013762549</v>
      </c>
    </row>
    <row r="69" spans="2:22" ht="15" thickBot="1">
      <c r="B69" s="1314" t="s">
        <v>1174</v>
      </c>
      <c r="C69" s="1314" t="s">
        <v>1175</v>
      </c>
      <c r="D69" s="1315" t="s">
        <v>260</v>
      </c>
      <c r="E69" s="1315" t="s">
        <v>264</v>
      </c>
      <c r="F69" s="1315" t="s">
        <v>262</v>
      </c>
      <c r="G69" s="1315" t="s">
        <v>269</v>
      </c>
      <c r="H69" s="1315" t="s">
        <v>1167</v>
      </c>
      <c r="I69" s="1315" t="s">
        <v>275</v>
      </c>
      <c r="J69" s="1315" t="s">
        <v>1168</v>
      </c>
      <c r="K69" s="1315" t="s">
        <v>286</v>
      </c>
      <c r="M69" s="829" t="s">
        <v>652</v>
      </c>
      <c r="N69" s="830">
        <f>SUM(O23:O25)</f>
        <v>2650881.5100277183</v>
      </c>
      <c r="O69" s="830">
        <f>SUM(P23:P25)</f>
        <v>278945.18113539065</v>
      </c>
      <c r="P69" s="830">
        <f>SUM(Q23:Q25)</f>
        <v>0</v>
      </c>
      <c r="Q69" s="830">
        <f>SUM(S23:S25)</f>
        <v>0</v>
      </c>
      <c r="R69" s="830">
        <v>0</v>
      </c>
      <c r="S69" s="830">
        <f>SUM(R23:R25,T23:V25)</f>
        <v>0</v>
      </c>
      <c r="T69" s="830">
        <v>0</v>
      </c>
      <c r="U69" s="830">
        <v>0</v>
      </c>
      <c r="V69" s="830">
        <f>SUM(N69:U69)</f>
        <v>2929826.6911631087</v>
      </c>
    </row>
    <row r="70" spans="2:22">
      <c r="B70" s="839" t="s">
        <v>629</v>
      </c>
      <c r="C70" s="839" t="s">
        <v>1072</v>
      </c>
      <c r="D70" s="844">
        <f t="shared" ref="D70:K79" si="14">SUM(D103,D135,D167,D1991)</f>
        <v>19061931.295350805</v>
      </c>
      <c r="E70" s="844">
        <f t="shared" si="14"/>
        <v>7147249.2990291016</v>
      </c>
      <c r="F70" s="844">
        <f t="shared" si="14"/>
        <v>1465238.7725938722</v>
      </c>
      <c r="G70" s="844">
        <f t="shared" si="14"/>
        <v>0</v>
      </c>
      <c r="H70" s="844">
        <f t="shared" si="14"/>
        <v>1637619.8046637392</v>
      </c>
      <c r="I70" s="844">
        <f t="shared" si="14"/>
        <v>0</v>
      </c>
      <c r="J70" s="844">
        <f t="shared" si="14"/>
        <v>0</v>
      </c>
      <c r="K70" s="844">
        <f t="shared" si="14"/>
        <v>5085240.446061085</v>
      </c>
      <c r="M70" s="829" t="s">
        <v>638</v>
      </c>
      <c r="N70" s="830">
        <f>SUM(AM23:AM25)</f>
        <v>2573700.9432120398</v>
      </c>
      <c r="O70" s="830">
        <f>SUM(AN23:AN25)</f>
        <v>776349.8548328852</v>
      </c>
      <c r="P70" s="830">
        <f>SUM(AO23:AO25)</f>
        <v>0</v>
      </c>
      <c r="Q70" s="830">
        <f>SUM(AQ23:AQ25)</f>
        <v>0</v>
      </c>
      <c r="R70" s="845">
        <v>0</v>
      </c>
      <c r="S70" s="845">
        <v>0</v>
      </c>
      <c r="T70" s="830">
        <v>0</v>
      </c>
      <c r="U70" s="830">
        <f>SUM(AP23:AP25,AR23:AT25)</f>
        <v>0</v>
      </c>
      <c r="V70" s="830">
        <f>SUM(N70:U70)</f>
        <v>3350050.7980449251</v>
      </c>
    </row>
    <row r="71" spans="2:22">
      <c r="B71" s="837" t="s">
        <v>629</v>
      </c>
      <c r="C71" s="837" t="s">
        <v>1074</v>
      </c>
      <c r="D71" s="844">
        <f t="shared" si="14"/>
        <v>24831450.084131025</v>
      </c>
      <c r="E71" s="844">
        <f t="shared" si="14"/>
        <v>9428178.615201572</v>
      </c>
      <c r="F71" s="844">
        <f t="shared" si="14"/>
        <v>1915303.5374061286</v>
      </c>
      <c r="G71" s="844">
        <f t="shared" si="14"/>
        <v>0</v>
      </c>
      <c r="H71" s="844">
        <f t="shared" si="14"/>
        <v>2140633.3653362612</v>
      </c>
      <c r="I71" s="844">
        <f t="shared" si="14"/>
        <v>0</v>
      </c>
      <c r="J71" s="844">
        <f t="shared" si="14"/>
        <v>0</v>
      </c>
      <c r="K71" s="844">
        <f t="shared" si="14"/>
        <v>6647229.9239389161</v>
      </c>
      <c r="M71" s="10"/>
      <c r="N71" s="10"/>
      <c r="O71" s="10"/>
      <c r="P71" s="10"/>
      <c r="Q71" s="10"/>
      <c r="R71" s="10"/>
      <c r="S71" s="10"/>
      <c r="T71" s="10"/>
      <c r="U71" s="10"/>
      <c r="V71" s="10"/>
    </row>
    <row r="72" spans="2:22">
      <c r="B72" s="837" t="s">
        <v>630</v>
      </c>
      <c r="C72" s="837" t="s">
        <v>1170</v>
      </c>
      <c r="D72" s="844">
        <f t="shared" si="14"/>
        <v>0</v>
      </c>
      <c r="E72" s="844">
        <f t="shared" si="14"/>
        <v>0</v>
      </c>
      <c r="F72" s="844">
        <f t="shared" si="14"/>
        <v>0</v>
      </c>
      <c r="G72" s="844">
        <f t="shared" si="14"/>
        <v>0</v>
      </c>
      <c r="H72" s="844">
        <f t="shared" si="14"/>
        <v>0</v>
      </c>
      <c r="I72" s="844">
        <f t="shared" si="14"/>
        <v>0</v>
      </c>
      <c r="J72" s="844">
        <f t="shared" si="14"/>
        <v>0</v>
      </c>
      <c r="K72" s="844">
        <f t="shared" si="14"/>
        <v>0</v>
      </c>
      <c r="M72" s="10"/>
      <c r="N72" s="10"/>
      <c r="O72" s="10"/>
      <c r="P72" s="10"/>
      <c r="Q72" s="10"/>
      <c r="R72" s="10"/>
      <c r="S72" s="10"/>
      <c r="T72" s="10"/>
      <c r="U72" s="10"/>
      <c r="V72" s="10"/>
    </row>
    <row r="73" spans="2:22">
      <c r="B73" s="837" t="s">
        <v>630</v>
      </c>
      <c r="C73" s="837" t="s">
        <v>1091</v>
      </c>
      <c r="D73" s="844">
        <f t="shared" si="14"/>
        <v>8398121.1513763759</v>
      </c>
      <c r="E73" s="844">
        <f t="shared" si="14"/>
        <v>3646107.3532934152</v>
      </c>
      <c r="F73" s="844">
        <f t="shared" si="14"/>
        <v>656745.96379421034</v>
      </c>
      <c r="G73" s="844">
        <f t="shared" si="14"/>
        <v>219597.21043935098</v>
      </c>
      <c r="H73" s="844">
        <f t="shared" si="14"/>
        <v>560848.0719143491</v>
      </c>
      <c r="I73" s="844">
        <f t="shared" si="14"/>
        <v>220104.12692545314</v>
      </c>
      <c r="J73" s="844">
        <f t="shared" si="14"/>
        <v>140338.12384587631</v>
      </c>
      <c r="K73" s="844">
        <f t="shared" si="14"/>
        <v>1033396.4901433131</v>
      </c>
      <c r="M73" s="846" t="s">
        <v>1203</v>
      </c>
      <c r="N73" s="10"/>
      <c r="O73" s="10"/>
      <c r="P73" s="826"/>
      <c r="Q73" s="10"/>
      <c r="R73" s="10"/>
      <c r="S73" s="10"/>
      <c r="T73" s="10"/>
      <c r="U73" s="10"/>
      <c r="V73" s="10"/>
    </row>
    <row r="74" spans="2:22" ht="15" thickBot="1">
      <c r="B74" s="837" t="s">
        <v>630</v>
      </c>
      <c r="C74" s="837" t="s">
        <v>1092</v>
      </c>
      <c r="D74" s="844">
        <f t="shared" si="14"/>
        <v>5302774.9509821422</v>
      </c>
      <c r="E74" s="844">
        <f t="shared" si="14"/>
        <v>2396613.2798445015</v>
      </c>
      <c r="F74" s="844">
        <f t="shared" si="14"/>
        <v>189737.63971004327</v>
      </c>
      <c r="G74" s="844">
        <f t="shared" si="14"/>
        <v>112144.01593266016</v>
      </c>
      <c r="H74" s="844">
        <f t="shared" si="14"/>
        <v>490099.47150866076</v>
      </c>
      <c r="I74" s="844">
        <f t="shared" si="14"/>
        <v>69103.167302520902</v>
      </c>
      <c r="J74" s="844">
        <f t="shared" si="14"/>
        <v>44811.899700335183</v>
      </c>
      <c r="K74" s="844">
        <f t="shared" si="14"/>
        <v>869573.97790399136</v>
      </c>
      <c r="M74" s="827" t="s">
        <v>1188</v>
      </c>
      <c r="N74" s="828" t="s">
        <v>260</v>
      </c>
      <c r="O74" s="828" t="s">
        <v>264</v>
      </c>
      <c r="P74" s="828" t="s">
        <v>262</v>
      </c>
      <c r="Q74" s="828" t="s">
        <v>266</v>
      </c>
      <c r="R74" s="828" t="s">
        <v>1189</v>
      </c>
      <c r="S74" s="828" t="s">
        <v>1190</v>
      </c>
      <c r="T74" s="828" t="s">
        <v>1191</v>
      </c>
      <c r="U74" s="828" t="s">
        <v>1192</v>
      </c>
      <c r="V74" s="828" t="s">
        <v>1180</v>
      </c>
    </row>
    <row r="75" spans="2:22">
      <c r="B75" s="837" t="s">
        <v>630</v>
      </c>
      <c r="C75" s="837" t="s">
        <v>1093</v>
      </c>
      <c r="D75" s="844">
        <f t="shared" si="14"/>
        <v>15541414.494608767</v>
      </c>
      <c r="E75" s="844">
        <f t="shared" si="14"/>
        <v>7467300.2428893913</v>
      </c>
      <c r="F75" s="844">
        <f t="shared" si="14"/>
        <v>1641836.7706617319</v>
      </c>
      <c r="G75" s="844">
        <f t="shared" si="14"/>
        <v>343545.64152403577</v>
      </c>
      <c r="H75" s="844">
        <f t="shared" si="14"/>
        <v>1044313.7465681074</v>
      </c>
      <c r="I75" s="844">
        <f t="shared" si="14"/>
        <v>411164.98442470666</v>
      </c>
      <c r="J75" s="844">
        <f t="shared" si="14"/>
        <v>249004.86089807784</v>
      </c>
      <c r="K75" s="844">
        <f t="shared" si="14"/>
        <v>1882073.6058588154</v>
      </c>
      <c r="M75" s="831" t="s">
        <v>1194</v>
      </c>
      <c r="N75" s="831"/>
      <c r="O75" s="831"/>
      <c r="P75" s="831"/>
      <c r="Q75" s="831"/>
      <c r="R75" s="831"/>
      <c r="S75" s="831"/>
      <c r="T75" s="831"/>
      <c r="U75" s="831"/>
      <c r="V75" s="831"/>
    </row>
    <row r="76" spans="2:22">
      <c r="B76" s="837" t="s">
        <v>630</v>
      </c>
      <c r="C76" s="837" t="s">
        <v>1094</v>
      </c>
      <c r="D76" s="844">
        <f t="shared" si="14"/>
        <v>13584127.914276861</v>
      </c>
      <c r="E76" s="844">
        <f t="shared" si="14"/>
        <v>5643305.9623536738</v>
      </c>
      <c r="F76" s="844">
        <f t="shared" si="14"/>
        <v>598957.29760639463</v>
      </c>
      <c r="G76" s="844">
        <f t="shared" si="14"/>
        <v>192001.24017173125</v>
      </c>
      <c r="H76" s="844">
        <f t="shared" si="14"/>
        <v>1294596.4116856148</v>
      </c>
      <c r="I76" s="844">
        <f t="shared" si="14"/>
        <v>357113.48479489156</v>
      </c>
      <c r="J76" s="844">
        <f t="shared" si="14"/>
        <v>163172.03454711798</v>
      </c>
      <c r="K76" s="844">
        <f t="shared" si="14"/>
        <v>1365169.1344159069</v>
      </c>
      <c r="M76" s="829" t="s">
        <v>32</v>
      </c>
      <c r="N76" s="832">
        <f>N57/$V57</f>
        <v>5.3708590005772092E-2</v>
      </c>
      <c r="O76" s="832">
        <f t="shared" ref="O76:U76" si="15">O57/$V57</f>
        <v>2.4136647026241995E-2</v>
      </c>
      <c r="P76" s="832">
        <f t="shared" si="15"/>
        <v>0.1597537258560621</v>
      </c>
      <c r="Q76" s="832">
        <f t="shared" si="15"/>
        <v>0.25280786055764032</v>
      </c>
      <c r="R76" s="832">
        <f t="shared" si="15"/>
        <v>0.5095931765542836</v>
      </c>
      <c r="S76" s="832">
        <f t="shared" si="15"/>
        <v>0</v>
      </c>
      <c r="T76" s="832">
        <f t="shared" si="15"/>
        <v>0</v>
      </c>
      <c r="U76" s="832">
        <f t="shared" si="15"/>
        <v>0</v>
      </c>
      <c r="V76" s="830">
        <f>SUM(N76:U76)</f>
        <v>1</v>
      </c>
    </row>
    <row r="77" spans="2:22">
      <c r="B77" s="837" t="s">
        <v>630</v>
      </c>
      <c r="C77" s="837" t="s">
        <v>1095</v>
      </c>
      <c r="D77" s="844">
        <f t="shared" si="14"/>
        <v>8985289.0553554595</v>
      </c>
      <c r="E77" s="844">
        <f t="shared" si="14"/>
        <v>4069715.3072549468</v>
      </c>
      <c r="F77" s="844">
        <f t="shared" si="14"/>
        <v>373327.47584755335</v>
      </c>
      <c r="G77" s="844">
        <f t="shared" si="14"/>
        <v>78583.143372521707</v>
      </c>
      <c r="H77" s="844">
        <f t="shared" si="14"/>
        <v>796593.03951106395</v>
      </c>
      <c r="I77" s="844">
        <f t="shared" si="14"/>
        <v>315192.95581559453</v>
      </c>
      <c r="J77" s="844">
        <f t="shared" si="14"/>
        <v>174736.98211847473</v>
      </c>
      <c r="K77" s="844">
        <f t="shared" si="14"/>
        <v>1305966.7207803456</v>
      </c>
      <c r="M77" s="829" t="s">
        <v>651</v>
      </c>
      <c r="N77" s="832">
        <f t="shared" ref="N77:P79" si="16">N58/$V58</f>
        <v>0.67107163307266904</v>
      </c>
      <c r="O77" s="832">
        <f t="shared" si="16"/>
        <v>0.30525219435578582</v>
      </c>
      <c r="P77" s="832">
        <f t="shared" si="16"/>
        <v>7.7012630454379189E-3</v>
      </c>
      <c r="Q77" s="832">
        <f t="shared" ref="Q77:Q79" si="17">Q58/$V58</f>
        <v>0</v>
      </c>
      <c r="R77" s="832">
        <f>Q58/$V58</f>
        <v>0</v>
      </c>
      <c r="S77" s="832">
        <f>S58/$V58</f>
        <v>0</v>
      </c>
      <c r="T77" s="832">
        <f t="shared" ref="T77:T79" si="18">T58/$V58</f>
        <v>1.5974909526107202E-2</v>
      </c>
      <c r="U77" s="832">
        <f>U58/$V58</f>
        <v>0</v>
      </c>
      <c r="V77" s="830">
        <f>SUM(N77:U77)</f>
        <v>1</v>
      </c>
    </row>
    <row r="78" spans="2:22">
      <c r="B78" s="837" t="s">
        <v>630</v>
      </c>
      <c r="C78" s="837" t="s">
        <v>1096</v>
      </c>
      <c r="D78" s="844">
        <f t="shared" si="14"/>
        <v>44876650.938581325</v>
      </c>
      <c r="E78" s="844">
        <f t="shared" si="14"/>
        <v>18640169.656653441</v>
      </c>
      <c r="F78" s="844">
        <f t="shared" si="14"/>
        <v>1757637.7710408673</v>
      </c>
      <c r="G78" s="844">
        <f t="shared" si="14"/>
        <v>203770.52842316352</v>
      </c>
      <c r="H78" s="844">
        <f t="shared" si="14"/>
        <v>4372867.9796338566</v>
      </c>
      <c r="I78" s="844">
        <f t="shared" si="14"/>
        <v>1094017.3979818092</v>
      </c>
      <c r="J78" s="844">
        <f t="shared" si="14"/>
        <v>353213.70580234431</v>
      </c>
      <c r="K78" s="844">
        <f t="shared" si="14"/>
        <v>4665323.202336845</v>
      </c>
      <c r="M78" s="829" t="s">
        <v>652</v>
      </c>
      <c r="N78" s="832">
        <f t="shared" si="16"/>
        <v>0.75097421584904345</v>
      </c>
      <c r="O78" s="832">
        <f t="shared" si="16"/>
        <v>0.24453068053744226</v>
      </c>
      <c r="P78" s="832">
        <f t="shared" si="16"/>
        <v>4.4947156355770734E-3</v>
      </c>
      <c r="Q78" s="832">
        <f t="shared" si="17"/>
        <v>0</v>
      </c>
      <c r="R78" s="832">
        <f>Q59/$V59</f>
        <v>0</v>
      </c>
      <c r="S78" s="832">
        <f>S59/$V59</f>
        <v>3.8797793735638291E-7</v>
      </c>
      <c r="T78" s="832">
        <f t="shared" si="18"/>
        <v>0</v>
      </c>
      <c r="U78" s="832">
        <f>U59/$V59</f>
        <v>0</v>
      </c>
      <c r="V78" s="830">
        <f>SUM(N78:U78)</f>
        <v>1</v>
      </c>
    </row>
    <row r="79" spans="2:22" ht="15" thickBot="1">
      <c r="B79" s="837" t="s">
        <v>630</v>
      </c>
      <c r="C79" s="837" t="s">
        <v>1097</v>
      </c>
      <c r="D79" s="844">
        <f t="shared" si="14"/>
        <v>9608650.6287327223</v>
      </c>
      <c r="E79" s="844">
        <f t="shared" si="14"/>
        <v>6209426.0489744116</v>
      </c>
      <c r="F79" s="844">
        <f t="shared" si="14"/>
        <v>1204198.485794357</v>
      </c>
      <c r="G79" s="844">
        <f t="shared" si="14"/>
        <v>134887.83931300163</v>
      </c>
      <c r="H79" s="844">
        <f t="shared" si="14"/>
        <v>744069.70160692558</v>
      </c>
      <c r="I79" s="844">
        <f t="shared" si="14"/>
        <v>203339.30652170378</v>
      </c>
      <c r="J79" s="844">
        <f t="shared" si="14"/>
        <v>105075.20886714339</v>
      </c>
      <c r="K79" s="844">
        <f t="shared" si="14"/>
        <v>1166347.6254712718</v>
      </c>
      <c r="M79" s="829" t="s">
        <v>638</v>
      </c>
      <c r="N79" s="832">
        <f t="shared" si="16"/>
        <v>0.67836277622912511</v>
      </c>
      <c r="O79" s="832">
        <f t="shared" si="16"/>
        <v>0.29772264534207615</v>
      </c>
      <c r="P79" s="832">
        <f t="shared" si="16"/>
        <v>2.3914578428798794E-2</v>
      </c>
      <c r="Q79" s="832">
        <f t="shared" si="17"/>
        <v>0</v>
      </c>
      <c r="R79" s="832">
        <f>Q60/$V60</f>
        <v>0</v>
      </c>
      <c r="S79" s="832">
        <f>S60/$V60</f>
        <v>0</v>
      </c>
      <c r="T79" s="832">
        <f t="shared" si="18"/>
        <v>0</v>
      </c>
      <c r="U79" s="832">
        <f>U60/$V60</f>
        <v>0</v>
      </c>
      <c r="V79" s="830">
        <f>SUM(N79:U79)</f>
        <v>1</v>
      </c>
    </row>
    <row r="80" spans="2:22">
      <c r="B80" s="837" t="s">
        <v>631</v>
      </c>
      <c r="C80" s="837" t="s">
        <v>1076</v>
      </c>
      <c r="D80" s="844">
        <f t="shared" ref="D80:K89" si="19">SUM(D113,D145,D177,D2001)</f>
        <v>1378863.8307727838</v>
      </c>
      <c r="E80" s="844">
        <f t="shared" si="19"/>
        <v>1120347.7479534128</v>
      </c>
      <c r="F80" s="844">
        <f t="shared" si="19"/>
        <v>373753.5530040476</v>
      </c>
      <c r="G80" s="844">
        <f t="shared" si="19"/>
        <v>359660.22444605251</v>
      </c>
      <c r="H80" s="844">
        <f t="shared" si="19"/>
        <v>401941.42184487538</v>
      </c>
      <c r="I80" s="844">
        <f t="shared" si="19"/>
        <v>70590.525001990201</v>
      </c>
      <c r="J80" s="844">
        <f t="shared" si="19"/>
        <v>134128.55826030154</v>
      </c>
      <c r="K80" s="844">
        <f t="shared" si="19"/>
        <v>398603.94398826797</v>
      </c>
      <c r="M80" s="831" t="s">
        <v>631</v>
      </c>
      <c r="N80" s="831"/>
      <c r="O80" s="831"/>
      <c r="P80" s="831"/>
      <c r="Q80" s="831"/>
      <c r="R80" s="831"/>
      <c r="S80" s="831"/>
      <c r="T80" s="831"/>
      <c r="U80" s="831"/>
      <c r="V80" s="831"/>
    </row>
    <row r="81" spans="2:22">
      <c r="B81" s="837" t="s">
        <v>631</v>
      </c>
      <c r="C81" s="837" t="s">
        <v>1077</v>
      </c>
      <c r="D81" s="844">
        <f t="shared" si="19"/>
        <v>4056037.0638783933</v>
      </c>
      <c r="E81" s="844">
        <f t="shared" si="19"/>
        <v>429189.76453270507</v>
      </c>
      <c r="F81" s="844">
        <f t="shared" si="19"/>
        <v>614021.9580951453</v>
      </c>
      <c r="G81" s="844">
        <f t="shared" si="19"/>
        <v>462107.20497227821</v>
      </c>
      <c r="H81" s="844">
        <f t="shared" si="19"/>
        <v>833042.08265726699</v>
      </c>
      <c r="I81" s="844">
        <f t="shared" si="19"/>
        <v>152820.74599377968</v>
      </c>
      <c r="J81" s="844">
        <f t="shared" si="19"/>
        <v>171015.17185279282</v>
      </c>
      <c r="K81" s="844">
        <f t="shared" si="19"/>
        <v>1073889.9014913195</v>
      </c>
      <c r="M81" s="829" t="s">
        <v>32</v>
      </c>
      <c r="N81" s="832">
        <f t="shared" ref="N81:U81" si="20">N62/$V62</f>
        <v>2.7370911608042447E-2</v>
      </c>
      <c r="O81" s="832">
        <f t="shared" si="20"/>
        <v>8.1599253249651088E-3</v>
      </c>
      <c r="P81" s="832">
        <f t="shared" si="20"/>
        <v>0.166192101098115</v>
      </c>
      <c r="Q81" s="832">
        <f t="shared" si="20"/>
        <v>0.25973374364027385</v>
      </c>
      <c r="R81" s="832">
        <f t="shared" si="20"/>
        <v>0.53854331832860358</v>
      </c>
      <c r="S81" s="832">
        <f t="shared" si="20"/>
        <v>0</v>
      </c>
      <c r="T81" s="832">
        <f t="shared" si="20"/>
        <v>0</v>
      </c>
      <c r="U81" s="832">
        <f t="shared" si="20"/>
        <v>0</v>
      </c>
      <c r="V81" s="830">
        <f>SUM(N81:U81)</f>
        <v>1</v>
      </c>
    </row>
    <row r="82" spans="2:22">
      <c r="B82" s="837" t="s">
        <v>631</v>
      </c>
      <c r="C82" s="837" t="s">
        <v>1078</v>
      </c>
      <c r="D82" s="844">
        <f t="shared" si="19"/>
        <v>1898269.3284471519</v>
      </c>
      <c r="E82" s="844">
        <f t="shared" si="19"/>
        <v>677905.52289470192</v>
      </c>
      <c r="F82" s="844">
        <f t="shared" si="19"/>
        <v>980910.04598620196</v>
      </c>
      <c r="G82" s="844">
        <f t="shared" si="19"/>
        <v>316930.84850593837</v>
      </c>
      <c r="H82" s="844">
        <f t="shared" si="19"/>
        <v>581493.72094460123</v>
      </c>
      <c r="I82" s="844">
        <f t="shared" si="19"/>
        <v>142879.84662692071</v>
      </c>
      <c r="J82" s="844">
        <f t="shared" si="19"/>
        <v>75188.962503344301</v>
      </c>
      <c r="K82" s="844">
        <f t="shared" si="19"/>
        <v>935393.78737658635</v>
      </c>
      <c r="M82" s="829" t="s">
        <v>651</v>
      </c>
      <c r="N82" s="832">
        <f t="shared" ref="N82:P84" si="21">N63/$V63</f>
        <v>0.65752007489629494</v>
      </c>
      <c r="O82" s="832">
        <f t="shared" si="21"/>
        <v>0.18123153434635006</v>
      </c>
      <c r="P82" s="832">
        <f t="shared" si="21"/>
        <v>0.11233554476869304</v>
      </c>
      <c r="Q82" s="832">
        <f t="shared" ref="Q82:Q84" si="22">Q63/$V63</f>
        <v>2.8147168709974519E-5</v>
      </c>
      <c r="R82" s="832">
        <f>Q63/$V63</f>
        <v>2.8147168709974519E-5</v>
      </c>
      <c r="S82" s="832">
        <f t="shared" ref="S82:U84" si="23">S63/$V63</f>
        <v>0</v>
      </c>
      <c r="T82" s="832">
        <f t="shared" si="23"/>
        <v>4.8884698819951937E-2</v>
      </c>
      <c r="U82" s="832">
        <f t="shared" si="23"/>
        <v>0</v>
      </c>
      <c r="V82" s="830">
        <f>SUM(N82:U82)</f>
        <v>1.00002814716871</v>
      </c>
    </row>
    <row r="83" spans="2:22">
      <c r="B83" s="837" t="s">
        <v>631</v>
      </c>
      <c r="C83" s="837" t="s">
        <v>1079</v>
      </c>
      <c r="D83" s="844">
        <f t="shared" si="19"/>
        <v>3690238.0506902193</v>
      </c>
      <c r="E83" s="844">
        <f t="shared" si="19"/>
        <v>637220.85830971715</v>
      </c>
      <c r="F83" s="844">
        <f t="shared" si="19"/>
        <v>754165.21937119286</v>
      </c>
      <c r="G83" s="844">
        <f t="shared" si="19"/>
        <v>213033.68001914676</v>
      </c>
      <c r="H83" s="844">
        <f t="shared" si="19"/>
        <v>828961.98933947331</v>
      </c>
      <c r="I83" s="844">
        <f t="shared" si="19"/>
        <v>52957.669691063398</v>
      </c>
      <c r="J83" s="844">
        <f t="shared" si="19"/>
        <v>197539.62890732411</v>
      </c>
      <c r="K83" s="844">
        <f t="shared" si="19"/>
        <v>2149562.8368711309</v>
      </c>
      <c r="M83" s="829" t="s">
        <v>652</v>
      </c>
      <c r="N83" s="832">
        <f t="shared" si="21"/>
        <v>0.8353183953134764</v>
      </c>
      <c r="O83" s="832">
        <f t="shared" si="21"/>
        <v>0.14855914686028429</v>
      </c>
      <c r="P83" s="832">
        <f t="shared" si="21"/>
        <v>8.2034504156513824E-3</v>
      </c>
      <c r="Q83" s="832">
        <f t="shared" si="22"/>
        <v>0</v>
      </c>
      <c r="R83" s="832">
        <f>Q64/$V64</f>
        <v>0</v>
      </c>
      <c r="S83" s="832">
        <f t="shared" si="23"/>
        <v>7.9190074105880016E-3</v>
      </c>
      <c r="T83" s="832">
        <f t="shared" si="23"/>
        <v>0</v>
      </c>
      <c r="U83" s="832">
        <f t="shared" si="23"/>
        <v>0</v>
      </c>
      <c r="V83" s="830">
        <f>SUM(N83:U83)</f>
        <v>1</v>
      </c>
    </row>
    <row r="84" spans="2:22" ht="15" thickBot="1">
      <c r="B84" s="837" t="s">
        <v>631</v>
      </c>
      <c r="C84" s="837" t="s">
        <v>1080</v>
      </c>
      <c r="D84" s="844">
        <f t="shared" si="19"/>
        <v>8629767.71044668</v>
      </c>
      <c r="E84" s="844">
        <f t="shared" si="19"/>
        <v>2519433.5987935271</v>
      </c>
      <c r="F84" s="844">
        <f t="shared" si="19"/>
        <v>2762218.5266044829</v>
      </c>
      <c r="G84" s="844">
        <f t="shared" si="19"/>
        <v>994494.46517966921</v>
      </c>
      <c r="H84" s="844">
        <f t="shared" si="19"/>
        <v>2503680.4403422363</v>
      </c>
      <c r="I84" s="844">
        <f t="shared" si="19"/>
        <v>839592.88373312552</v>
      </c>
      <c r="J84" s="844">
        <f t="shared" si="19"/>
        <v>948587.16951216455</v>
      </c>
      <c r="K84" s="844">
        <f t="shared" si="19"/>
        <v>3705027.0331312437</v>
      </c>
      <c r="M84" s="829" t="s">
        <v>638</v>
      </c>
      <c r="N84" s="832">
        <f t="shared" si="21"/>
        <v>0.73693840577065872</v>
      </c>
      <c r="O84" s="832">
        <f t="shared" si="21"/>
        <v>0.11459403569648556</v>
      </c>
      <c r="P84" s="832">
        <f t="shared" si="21"/>
        <v>0.14504117699931343</v>
      </c>
      <c r="Q84" s="832">
        <f t="shared" si="22"/>
        <v>4.3946525626243439E-6</v>
      </c>
      <c r="R84" s="832">
        <f>Q65/$V65</f>
        <v>4.3946525626243439E-6</v>
      </c>
      <c r="S84" s="832">
        <f t="shared" si="23"/>
        <v>0</v>
      </c>
      <c r="T84" s="832">
        <f t="shared" si="23"/>
        <v>0</v>
      </c>
      <c r="U84" s="832">
        <f t="shared" si="23"/>
        <v>3.4219868809796995E-3</v>
      </c>
      <c r="V84" s="830">
        <f>SUM(N84:U84)</f>
        <v>1.0000043946525625</v>
      </c>
    </row>
    <row r="85" spans="2:22">
      <c r="B85" s="837" t="s">
        <v>631</v>
      </c>
      <c r="C85" s="837" t="s">
        <v>1081</v>
      </c>
      <c r="D85" s="844">
        <f t="shared" si="19"/>
        <v>9490021.087427197</v>
      </c>
      <c r="E85" s="844">
        <f t="shared" si="19"/>
        <v>2435964.1119003734</v>
      </c>
      <c r="F85" s="844">
        <f t="shared" si="19"/>
        <v>2341440.5959527707</v>
      </c>
      <c r="G85" s="844">
        <f t="shared" si="19"/>
        <v>1019206.0227526488</v>
      </c>
      <c r="H85" s="844">
        <f t="shared" si="19"/>
        <v>2460315.9204310863</v>
      </c>
      <c r="I85" s="844">
        <f t="shared" si="19"/>
        <v>245311.52104428606</v>
      </c>
      <c r="J85" s="844">
        <f t="shared" si="19"/>
        <v>580322.29035198886</v>
      </c>
      <c r="K85" s="844">
        <f t="shared" si="19"/>
        <v>3840391.2291190876</v>
      </c>
      <c r="M85" s="831" t="s">
        <v>633</v>
      </c>
      <c r="N85" s="831"/>
      <c r="O85" s="831"/>
      <c r="P85" s="831"/>
      <c r="Q85" s="831"/>
      <c r="R85" s="831"/>
      <c r="S85" s="831"/>
      <c r="T85" s="831"/>
      <c r="U85" s="831"/>
      <c r="V85" s="831"/>
    </row>
    <row r="86" spans="2:22">
      <c r="B86" s="837" t="s">
        <v>631</v>
      </c>
      <c r="C86" s="837" t="s">
        <v>1082</v>
      </c>
      <c r="D86" s="844">
        <f t="shared" si="19"/>
        <v>15553794.614998642</v>
      </c>
      <c r="E86" s="844">
        <f t="shared" si="19"/>
        <v>4177195.8120812844</v>
      </c>
      <c r="F86" s="844">
        <f t="shared" si="19"/>
        <v>10186521.813929187</v>
      </c>
      <c r="G86" s="844">
        <f t="shared" si="19"/>
        <v>3899549.3251924547</v>
      </c>
      <c r="H86" s="844">
        <f t="shared" si="19"/>
        <v>5236646.1461449815</v>
      </c>
      <c r="I86" s="844">
        <f t="shared" si="19"/>
        <v>725372.90503117221</v>
      </c>
      <c r="J86" s="844">
        <f t="shared" si="19"/>
        <v>1584772.7835169109</v>
      </c>
      <c r="K86" s="844">
        <f t="shared" si="19"/>
        <v>7588361.0914089382</v>
      </c>
      <c r="M86" s="829" t="s">
        <v>32</v>
      </c>
      <c r="N86" s="832">
        <f t="shared" ref="N86:U89" si="24">N67/$V67</f>
        <v>4.2632296969358045E-2</v>
      </c>
      <c r="O86" s="832">
        <f t="shared" si="24"/>
        <v>1.8758170987336412E-2</v>
      </c>
      <c r="P86" s="832">
        <f t="shared" si="24"/>
        <v>0.1292228031407108</v>
      </c>
      <c r="Q86" s="832">
        <f t="shared" si="24"/>
        <v>0.40339283910207435</v>
      </c>
      <c r="R86" s="832">
        <f t="shared" si="24"/>
        <v>0.40599388980052042</v>
      </c>
      <c r="S86" s="832">
        <f t="shared" si="24"/>
        <v>0</v>
      </c>
      <c r="T86" s="832">
        <f t="shared" si="24"/>
        <v>0</v>
      </c>
      <c r="U86" s="832">
        <f t="shared" si="24"/>
        <v>0</v>
      </c>
      <c r="V86" s="830">
        <f>SUM(N86:U86)</f>
        <v>1</v>
      </c>
    </row>
    <row r="87" spans="2:22">
      <c r="B87" s="837" t="s">
        <v>631</v>
      </c>
      <c r="C87" s="837" t="s">
        <v>1171</v>
      </c>
      <c r="D87" s="844">
        <f t="shared" si="19"/>
        <v>9252566.9384864792</v>
      </c>
      <c r="E87" s="844">
        <f t="shared" si="19"/>
        <v>4125432.1662638388</v>
      </c>
      <c r="F87" s="844">
        <f t="shared" si="19"/>
        <v>1875562.6770584567</v>
      </c>
      <c r="G87" s="844">
        <f t="shared" si="19"/>
        <v>1318812.1591436421</v>
      </c>
      <c r="H87" s="844">
        <f t="shared" si="19"/>
        <v>2475680.8443285008</v>
      </c>
      <c r="I87" s="844">
        <f t="shared" si="19"/>
        <v>442917.97398342739</v>
      </c>
      <c r="J87" s="844">
        <f t="shared" si="19"/>
        <v>509249.84342421778</v>
      </c>
      <c r="K87" s="844">
        <f t="shared" si="19"/>
        <v>3780122.2558892625</v>
      </c>
      <c r="M87" s="829" t="s">
        <v>651</v>
      </c>
      <c r="N87" s="832">
        <f t="shared" si="24"/>
        <v>0.95338637332624088</v>
      </c>
      <c r="O87" s="832">
        <f t="shared" si="24"/>
        <v>3.1587227354619982E-2</v>
      </c>
      <c r="P87" s="832">
        <f t="shared" si="24"/>
        <v>0</v>
      </c>
      <c r="Q87" s="832">
        <f t="shared" si="24"/>
        <v>0</v>
      </c>
      <c r="R87" s="832">
        <f t="shared" si="24"/>
        <v>0</v>
      </c>
      <c r="S87" s="832">
        <f t="shared" si="24"/>
        <v>0</v>
      </c>
      <c r="T87" s="832">
        <f t="shared" si="24"/>
        <v>1.5026399319139162E-2</v>
      </c>
      <c r="U87" s="832">
        <f t="shared" si="24"/>
        <v>0</v>
      </c>
      <c r="V87" s="830">
        <f>SUM(N87:U87)</f>
        <v>1</v>
      </c>
    </row>
    <row r="88" spans="2:22">
      <c r="B88" s="837" t="s">
        <v>633</v>
      </c>
      <c r="C88" s="837" t="s">
        <v>1187</v>
      </c>
      <c r="D88" s="844">
        <f t="shared" si="19"/>
        <v>4611045.3120194366</v>
      </c>
      <c r="E88" s="844">
        <f t="shared" si="19"/>
        <v>204520.72863356813</v>
      </c>
      <c r="F88" s="844">
        <f t="shared" si="19"/>
        <v>631958.44573241775</v>
      </c>
      <c r="G88" s="844">
        <f t="shared" si="19"/>
        <v>561009.82386927679</v>
      </c>
      <c r="H88" s="844">
        <f t="shared" si="19"/>
        <v>2312431.8372348463</v>
      </c>
      <c r="I88" s="844">
        <f t="shared" si="19"/>
        <v>401398.73698881723</v>
      </c>
      <c r="J88" s="844">
        <f t="shared" si="19"/>
        <v>92485.76432144994</v>
      </c>
      <c r="K88" s="844">
        <f t="shared" si="19"/>
        <v>553344.62440579908</v>
      </c>
      <c r="M88" s="829" t="s">
        <v>652</v>
      </c>
      <c r="N88" s="832">
        <f t="shared" si="24"/>
        <v>0.90479123492978619</v>
      </c>
      <c r="O88" s="832">
        <f t="shared" si="24"/>
        <v>9.5208765070213933E-2</v>
      </c>
      <c r="P88" s="832">
        <f t="shared" si="24"/>
        <v>0</v>
      </c>
      <c r="Q88" s="832">
        <f t="shared" si="24"/>
        <v>0</v>
      </c>
      <c r="R88" s="832">
        <f t="shared" si="24"/>
        <v>0</v>
      </c>
      <c r="S88" s="832">
        <f t="shared" si="24"/>
        <v>0</v>
      </c>
      <c r="T88" s="832">
        <f t="shared" si="24"/>
        <v>0</v>
      </c>
      <c r="U88" s="832">
        <f t="shared" si="24"/>
        <v>0</v>
      </c>
      <c r="V88" s="830">
        <f>SUM(N88:U88)</f>
        <v>1.0000000000000002</v>
      </c>
    </row>
    <row r="89" spans="2:22">
      <c r="B89" s="837" t="s">
        <v>633</v>
      </c>
      <c r="C89" s="837" t="s">
        <v>1193</v>
      </c>
      <c r="D89" s="844">
        <f t="shared" si="19"/>
        <v>13761075.192046938</v>
      </c>
      <c r="E89" s="844">
        <f t="shared" si="19"/>
        <v>836685.77838915715</v>
      </c>
      <c r="F89" s="844">
        <f t="shared" si="19"/>
        <v>2286383.1696376358</v>
      </c>
      <c r="G89" s="844">
        <f t="shared" si="19"/>
        <v>671721.33131731697</v>
      </c>
      <c r="H89" s="844">
        <f t="shared" si="19"/>
        <v>6293049.2566817803</v>
      </c>
      <c r="I89" s="844">
        <f t="shared" si="19"/>
        <v>583677.15450777567</v>
      </c>
      <c r="J89" s="844">
        <f t="shared" si="19"/>
        <v>2417947.0953857638</v>
      </c>
      <c r="K89" s="844">
        <f t="shared" si="19"/>
        <v>1940820.4035897953</v>
      </c>
      <c r="M89" s="829" t="s">
        <v>638</v>
      </c>
      <c r="N89" s="832">
        <f t="shared" si="24"/>
        <v>0.7682572887294844</v>
      </c>
      <c r="O89" s="832">
        <f t="shared" si="24"/>
        <v>0.23174271127051552</v>
      </c>
      <c r="P89" s="832">
        <f t="shared" si="24"/>
        <v>0</v>
      </c>
      <c r="Q89" s="832">
        <f t="shared" si="24"/>
        <v>0</v>
      </c>
      <c r="R89" s="832">
        <f t="shared" si="24"/>
        <v>0</v>
      </c>
      <c r="S89" s="832">
        <f t="shared" si="24"/>
        <v>0</v>
      </c>
      <c r="T89" s="832">
        <f t="shared" si="24"/>
        <v>0</v>
      </c>
      <c r="U89" s="832">
        <f t="shared" si="24"/>
        <v>0</v>
      </c>
      <c r="V89" s="830">
        <f>SUM(N89:U89)</f>
        <v>0.99999999999999989</v>
      </c>
    </row>
    <row r="90" spans="2:22">
      <c r="B90" s="837" t="s">
        <v>633</v>
      </c>
      <c r="C90" s="837" t="s">
        <v>1195</v>
      </c>
      <c r="D90" s="844">
        <f t="shared" ref="D90:K95" si="25">SUM(D123,D155,D187,D2011)</f>
        <v>9856376.0222562198</v>
      </c>
      <c r="E90" s="844">
        <f t="shared" si="25"/>
        <v>611737.07850207482</v>
      </c>
      <c r="F90" s="844">
        <f t="shared" si="25"/>
        <v>1004531.2533015115</v>
      </c>
      <c r="G90" s="844">
        <f t="shared" si="25"/>
        <v>1365548.5754430369</v>
      </c>
      <c r="H90" s="844">
        <f t="shared" si="25"/>
        <v>3640490.8666728758</v>
      </c>
      <c r="I90" s="844">
        <f t="shared" si="25"/>
        <v>862352.60792440909</v>
      </c>
      <c r="J90" s="844">
        <f t="shared" si="25"/>
        <v>1842260.5997807912</v>
      </c>
      <c r="K90" s="844">
        <f t="shared" si="25"/>
        <v>1415099.2150584534</v>
      </c>
    </row>
    <row r="91" spans="2:22">
      <c r="B91" s="837" t="s">
        <v>632</v>
      </c>
      <c r="C91" s="837" t="s">
        <v>1196</v>
      </c>
      <c r="D91" s="844">
        <f t="shared" si="25"/>
        <v>8120026.3598628845</v>
      </c>
      <c r="E91" s="844">
        <f t="shared" si="25"/>
        <v>2034008.4821312618</v>
      </c>
      <c r="F91" s="844">
        <f t="shared" si="25"/>
        <v>1172409.6883949817</v>
      </c>
      <c r="G91" s="844">
        <f t="shared" si="25"/>
        <v>1022049.909877732</v>
      </c>
      <c r="H91" s="844">
        <f t="shared" si="25"/>
        <v>1538782.5607703717</v>
      </c>
      <c r="I91" s="844">
        <f t="shared" si="25"/>
        <v>140870.35090923795</v>
      </c>
      <c r="J91" s="844">
        <f t="shared" si="25"/>
        <v>242865.22076120335</v>
      </c>
      <c r="K91" s="844">
        <f t="shared" si="25"/>
        <v>1275135.2085307557</v>
      </c>
    </row>
    <row r="92" spans="2:22">
      <c r="B92" s="837" t="s">
        <v>632</v>
      </c>
      <c r="C92" s="837" t="s">
        <v>1197</v>
      </c>
      <c r="D92" s="844">
        <f t="shared" si="25"/>
        <v>5821869.083223653</v>
      </c>
      <c r="E92" s="844">
        <f t="shared" si="25"/>
        <v>1055251.0874234182</v>
      </c>
      <c r="F92" s="844">
        <f t="shared" si="25"/>
        <v>1611388.4773186182</v>
      </c>
      <c r="G92" s="844">
        <f t="shared" si="25"/>
        <v>1269483.2514583</v>
      </c>
      <c r="H92" s="844">
        <f t="shared" si="25"/>
        <v>776290.79765527532</v>
      </c>
      <c r="I92" s="844">
        <f t="shared" si="25"/>
        <v>98967.806109928933</v>
      </c>
      <c r="J92" s="844">
        <f t="shared" si="25"/>
        <v>258621.14337224932</v>
      </c>
      <c r="K92" s="844">
        <f t="shared" si="25"/>
        <v>1114185.2362046025</v>
      </c>
      <c r="M92" s="846" t="s">
        <v>1204</v>
      </c>
      <c r="N92" s="10"/>
      <c r="O92" s="10"/>
      <c r="P92" s="826"/>
      <c r="Q92" s="10"/>
      <c r="R92" s="10"/>
      <c r="S92" s="10"/>
      <c r="T92" s="10"/>
      <c r="U92" s="10"/>
      <c r="V92" s="10"/>
    </row>
    <row r="93" spans="2:22">
      <c r="B93" s="837" t="s">
        <v>632</v>
      </c>
      <c r="C93" s="837" t="s">
        <v>1198</v>
      </c>
      <c r="D93" s="844">
        <f t="shared" si="25"/>
        <v>10381951.71335143</v>
      </c>
      <c r="E93" s="844">
        <f t="shared" si="25"/>
        <v>1347026.5361164631</v>
      </c>
      <c r="F93" s="844">
        <f t="shared" si="25"/>
        <v>2445837.685704391</v>
      </c>
      <c r="G93" s="844">
        <f t="shared" si="25"/>
        <v>1191254.7416245851</v>
      </c>
      <c r="H93" s="844">
        <f t="shared" si="25"/>
        <v>2720084.196566781</v>
      </c>
      <c r="I93" s="844">
        <f t="shared" si="25"/>
        <v>115857.15681572867</v>
      </c>
      <c r="J93" s="844">
        <f t="shared" si="25"/>
        <v>517561.1849553237</v>
      </c>
      <c r="K93" s="844">
        <f t="shared" si="25"/>
        <v>1347290.6760971323</v>
      </c>
      <c r="M93" s="827" t="s">
        <v>722</v>
      </c>
      <c r="N93" s="828" t="s">
        <v>260</v>
      </c>
      <c r="O93" s="828" t="s">
        <v>264</v>
      </c>
      <c r="P93" s="828" t="s">
        <v>262</v>
      </c>
      <c r="Q93" s="828" t="s">
        <v>269</v>
      </c>
      <c r="R93" s="828" t="s">
        <v>266</v>
      </c>
      <c r="S93" s="828" t="s">
        <v>275</v>
      </c>
      <c r="T93" s="828" t="s">
        <v>280</v>
      </c>
      <c r="U93" s="828" t="s">
        <v>286</v>
      </c>
      <c r="V93" s="828" t="s">
        <v>1180</v>
      </c>
    </row>
    <row r="94" spans="2:22">
      <c r="B94" s="837" t="s">
        <v>632</v>
      </c>
      <c r="C94" s="837" t="s">
        <v>1199</v>
      </c>
      <c r="D94" s="844">
        <f t="shared" si="25"/>
        <v>3938049.8238969054</v>
      </c>
      <c r="E94" s="844">
        <f t="shared" si="25"/>
        <v>469895.40183182008</v>
      </c>
      <c r="F94" s="844">
        <f t="shared" si="25"/>
        <v>426850.16670664586</v>
      </c>
      <c r="G94" s="844">
        <f t="shared" si="25"/>
        <v>11046.66703481667</v>
      </c>
      <c r="H94" s="844">
        <f t="shared" si="25"/>
        <v>765123.5958906489</v>
      </c>
      <c r="I94" s="844">
        <f t="shared" si="25"/>
        <v>102053.65361237312</v>
      </c>
      <c r="J94" s="844">
        <f t="shared" si="25"/>
        <v>122611.16922919739</v>
      </c>
      <c r="K94" s="844">
        <f t="shared" si="25"/>
        <v>583657.06199189019</v>
      </c>
      <c r="M94" s="829" t="s">
        <v>32</v>
      </c>
      <c r="N94" s="832">
        <f>N86</f>
        <v>4.2632296969358045E-2</v>
      </c>
      <c r="O94" s="832">
        <f t="shared" ref="O94:P94" si="26">O86</f>
        <v>1.8758170987336412E-2</v>
      </c>
      <c r="P94" s="832">
        <f t="shared" si="26"/>
        <v>0.1292228031407108</v>
      </c>
      <c r="Q94" s="832">
        <f>SUM(Z23:Z25)/$V67</f>
        <v>8.5589566977058829E-2</v>
      </c>
      <c r="R94" s="832">
        <f>Q86</f>
        <v>0.40339283910207435</v>
      </c>
      <c r="S94" s="832">
        <f>SUM(AB23:AB25)/$V67</f>
        <v>6.0855882229510529E-2</v>
      </c>
      <c r="T94" s="832">
        <f>SUM(AC23:AC25)/$V67</f>
        <v>0.13356689678976488</v>
      </c>
      <c r="U94" s="832">
        <f>SUM(AD23:AD25)/$V67</f>
        <v>0.12598154380418625</v>
      </c>
      <c r="V94" s="830">
        <f>SUM(N94:U94)</f>
        <v>1</v>
      </c>
    </row>
    <row r="95" spans="2:22">
      <c r="B95" s="837" t="s">
        <v>632</v>
      </c>
      <c r="C95" s="837" t="s">
        <v>1200</v>
      </c>
      <c r="D95" s="844">
        <f t="shared" si="25"/>
        <v>1887330.83927663</v>
      </c>
      <c r="E95" s="844">
        <f t="shared" si="25"/>
        <v>1095741.9200441786</v>
      </c>
      <c r="F95" s="844">
        <f t="shared" si="25"/>
        <v>280804.54437210225</v>
      </c>
      <c r="G95" s="844">
        <f t="shared" si="25"/>
        <v>228368.87887407714</v>
      </c>
      <c r="H95" s="844">
        <f t="shared" si="25"/>
        <v>235423.68693212038</v>
      </c>
      <c r="I95" s="844">
        <f t="shared" si="25"/>
        <v>30114.621958405838</v>
      </c>
      <c r="J95" s="844">
        <f t="shared" si="25"/>
        <v>5841.745182044363</v>
      </c>
      <c r="K95" s="844">
        <f t="shared" si="25"/>
        <v>1022462.8672588741</v>
      </c>
      <c r="M95" s="829" t="s">
        <v>651</v>
      </c>
      <c r="N95" s="832">
        <f t="shared" ref="N95:P97" si="27">N87</f>
        <v>0.95338637332624088</v>
      </c>
      <c r="O95" s="832">
        <f t="shared" si="27"/>
        <v>3.1587227354619982E-2</v>
      </c>
      <c r="P95" s="832">
        <f t="shared" si="27"/>
        <v>0</v>
      </c>
      <c r="Q95" s="832">
        <f>SUM(AH23:AH25)/$V68</f>
        <v>0</v>
      </c>
      <c r="R95" s="832">
        <f>Q87</f>
        <v>0</v>
      </c>
      <c r="S95" s="832">
        <f>SUM(AJ23:AJ25)/$V68</f>
        <v>0</v>
      </c>
      <c r="T95" s="832">
        <f>SUM(AK23:AK25)/$V68</f>
        <v>1.1697565359822146E-2</v>
      </c>
      <c r="U95" s="832">
        <f>SUM(AL23:AL25)/$V68</f>
        <v>3.3288339593170175E-3</v>
      </c>
      <c r="V95" s="830">
        <f>SUM(N95:U95)</f>
        <v>1</v>
      </c>
    </row>
    <row r="96" spans="2:22">
      <c r="B96" s="842"/>
      <c r="C96" s="842" t="s">
        <v>1173</v>
      </c>
      <c r="D96" s="843">
        <v>277360574.75469786</v>
      </c>
      <c r="E96" s="843">
        <v>92254677.344063729</v>
      </c>
      <c r="F96" s="843">
        <v>41313813.038890824</v>
      </c>
      <c r="G96" s="843">
        <v>16201089.167262102</v>
      </c>
      <c r="H96" s="843">
        <v>46685130.031230643</v>
      </c>
      <c r="I96" s="843">
        <v>7677771.5836991211</v>
      </c>
      <c r="J96" s="843">
        <v>10954205.783809591</v>
      </c>
      <c r="K96" s="843">
        <v>56746744.190457888</v>
      </c>
      <c r="M96" s="829" t="s">
        <v>652</v>
      </c>
      <c r="N96" s="832">
        <f t="shared" si="27"/>
        <v>0.90479123492978619</v>
      </c>
      <c r="O96" s="832">
        <f t="shared" si="27"/>
        <v>9.5208765070213933E-2</v>
      </c>
      <c r="P96" s="832">
        <f t="shared" si="27"/>
        <v>0</v>
      </c>
      <c r="Q96" s="832">
        <f>SUM(R25:R27)/$V69</f>
        <v>0</v>
      </c>
      <c r="R96" s="832">
        <f>Q88</f>
        <v>0</v>
      </c>
      <c r="S96" s="832">
        <f>SUM(T25:T27)/$V69</f>
        <v>0</v>
      </c>
      <c r="T96" s="832">
        <f>SUM(U25:U27)/$V69</f>
        <v>2.9383433796372024E-2</v>
      </c>
      <c r="U96" s="832">
        <f>SUM(V25:V27)/$V69</f>
        <v>0</v>
      </c>
      <c r="V96" s="830">
        <f>SUM(N96:U96)</f>
        <v>1.0293834337963723</v>
      </c>
    </row>
    <row r="97" spans="2:22">
      <c r="B97" s="531" t="s">
        <v>1205</v>
      </c>
      <c r="M97" s="829" t="s">
        <v>638</v>
      </c>
      <c r="N97" s="832">
        <f t="shared" si="27"/>
        <v>0.7682572887294844</v>
      </c>
      <c r="O97" s="832">
        <f t="shared" si="27"/>
        <v>0.23174271127051552</v>
      </c>
      <c r="P97" s="832">
        <f t="shared" si="27"/>
        <v>0</v>
      </c>
      <c r="Q97" s="832">
        <f>SUM(AP26:AP28)/$V70</f>
        <v>0</v>
      </c>
      <c r="R97" s="832">
        <f>Q89</f>
        <v>0</v>
      </c>
      <c r="S97" s="832">
        <f>SUM(AR26:AR28)/$V70</f>
        <v>0</v>
      </c>
      <c r="T97" s="832">
        <f>SUM(AS26:AS28)/$V70</f>
        <v>0</v>
      </c>
      <c r="U97" s="832">
        <f>SUM(AT26:AT28)/$V70</f>
        <v>4.1886159235034911E-6</v>
      </c>
      <c r="V97" s="830">
        <f>SUM(N97:U97)</f>
        <v>1.0000041886159234</v>
      </c>
    </row>
    <row r="98" spans="2:22">
      <c r="B98" s="372" t="s">
        <v>1206</v>
      </c>
    </row>
    <row r="99" spans="2:22">
      <c r="B99" s="372" t="s">
        <v>1202</v>
      </c>
    </row>
    <row r="102" spans="2:22" ht="15" hidden="1" outlineLevel="1" thickBot="1">
      <c r="B102" s="1226" t="s">
        <v>1174</v>
      </c>
      <c r="C102" s="1226" t="s">
        <v>1175</v>
      </c>
      <c r="D102" s="1316" t="s">
        <v>260</v>
      </c>
      <c r="E102" s="1316" t="s">
        <v>264</v>
      </c>
      <c r="F102" s="1316" t="s">
        <v>262</v>
      </c>
      <c r="G102" s="1316" t="s">
        <v>269</v>
      </c>
      <c r="H102" s="1316" t="s">
        <v>1167</v>
      </c>
      <c r="I102" s="1316" t="s">
        <v>275</v>
      </c>
      <c r="J102" s="1316" t="s">
        <v>1168</v>
      </c>
      <c r="K102" s="1316" t="s">
        <v>286</v>
      </c>
    </row>
    <row r="103" spans="2:22" hidden="1" outlineLevel="1">
      <c r="B103" s="429" t="s">
        <v>629</v>
      </c>
      <c r="C103" s="429" t="s">
        <v>1072</v>
      </c>
      <c r="D103" s="434">
        <v>3060305.6636657752</v>
      </c>
      <c r="E103" s="434">
        <v>606666.10914281721</v>
      </c>
      <c r="F103" s="434">
        <v>0</v>
      </c>
      <c r="G103" s="434">
        <v>0</v>
      </c>
      <c r="H103" s="434">
        <v>0</v>
      </c>
      <c r="I103" s="434">
        <v>0</v>
      </c>
      <c r="J103" s="434">
        <v>0</v>
      </c>
      <c r="K103" s="434">
        <v>0</v>
      </c>
    </row>
    <row r="104" spans="2:22" hidden="1" outlineLevel="1">
      <c r="B104" s="430" t="s">
        <v>629</v>
      </c>
      <c r="C104" s="430" t="s">
        <v>1074</v>
      </c>
      <c r="D104" s="435">
        <v>3920530.1320734117</v>
      </c>
      <c r="E104" s="435">
        <v>872793.75437784009</v>
      </c>
      <c r="F104" s="435">
        <v>0</v>
      </c>
      <c r="G104" s="435">
        <v>0</v>
      </c>
      <c r="H104" s="435">
        <v>0</v>
      </c>
      <c r="I104" s="435">
        <v>0</v>
      </c>
      <c r="J104" s="435">
        <v>0</v>
      </c>
      <c r="K104" s="435">
        <v>0</v>
      </c>
    </row>
    <row r="105" spans="2:22" hidden="1" outlineLevel="1">
      <c r="B105" s="430" t="s">
        <v>630</v>
      </c>
      <c r="C105" s="430" t="s">
        <v>1170</v>
      </c>
      <c r="D105" s="435">
        <v>0</v>
      </c>
      <c r="E105" s="435">
        <v>0</v>
      </c>
      <c r="F105" s="435">
        <v>0</v>
      </c>
      <c r="G105" s="435">
        <v>0</v>
      </c>
      <c r="H105" s="435">
        <v>0</v>
      </c>
      <c r="I105" s="435">
        <v>0</v>
      </c>
      <c r="J105" s="435">
        <v>0</v>
      </c>
      <c r="K105" s="435">
        <v>0</v>
      </c>
    </row>
    <row r="106" spans="2:22" hidden="1" outlineLevel="1">
      <c r="B106" s="430" t="s">
        <v>630</v>
      </c>
      <c r="C106" s="430" t="s">
        <v>1091</v>
      </c>
      <c r="D106" s="435">
        <v>1674553.9025025198</v>
      </c>
      <c r="E106" s="435">
        <v>640094.96275357017</v>
      </c>
      <c r="F106" s="435">
        <v>0</v>
      </c>
      <c r="G106" s="435">
        <v>0</v>
      </c>
      <c r="H106" s="435">
        <v>0</v>
      </c>
      <c r="I106" s="435">
        <v>0</v>
      </c>
      <c r="J106" s="435">
        <v>0</v>
      </c>
      <c r="K106" s="435">
        <v>0</v>
      </c>
    </row>
    <row r="107" spans="2:22" hidden="1" outlineLevel="1">
      <c r="B107" s="430" t="s">
        <v>630</v>
      </c>
      <c r="C107" s="430" t="s">
        <v>1092</v>
      </c>
      <c r="D107" s="435">
        <v>1087319.1817228743</v>
      </c>
      <c r="E107" s="435">
        <v>387006.139271633</v>
      </c>
      <c r="F107" s="435">
        <v>0</v>
      </c>
      <c r="G107" s="435">
        <v>0</v>
      </c>
      <c r="H107" s="435">
        <v>0</v>
      </c>
      <c r="I107" s="435">
        <v>0</v>
      </c>
      <c r="J107" s="435">
        <v>0</v>
      </c>
      <c r="K107" s="435">
        <v>0</v>
      </c>
    </row>
    <row r="108" spans="2:22" hidden="1" outlineLevel="1">
      <c r="B108" s="430" t="s">
        <v>630</v>
      </c>
      <c r="C108" s="430" t="s">
        <v>1093</v>
      </c>
      <c r="D108" s="435">
        <v>3367038.5104097067</v>
      </c>
      <c r="E108" s="435">
        <v>961497.24186536227</v>
      </c>
      <c r="F108" s="435">
        <v>118726.74002596918</v>
      </c>
      <c r="G108" s="435">
        <v>0</v>
      </c>
      <c r="H108" s="435">
        <v>0</v>
      </c>
      <c r="I108" s="435">
        <v>0</v>
      </c>
      <c r="J108" s="435">
        <v>0</v>
      </c>
      <c r="K108" s="435">
        <v>0</v>
      </c>
    </row>
    <row r="109" spans="2:22" hidden="1" outlineLevel="1">
      <c r="B109" s="430" t="s">
        <v>630</v>
      </c>
      <c r="C109" s="430" t="s">
        <v>1094</v>
      </c>
      <c r="D109" s="435">
        <v>2624514.1567053339</v>
      </c>
      <c r="E109" s="435">
        <v>934770.82703948882</v>
      </c>
      <c r="F109" s="435">
        <v>50484.27883247898</v>
      </c>
      <c r="G109" s="435">
        <v>0</v>
      </c>
      <c r="H109" s="435">
        <v>0</v>
      </c>
      <c r="I109" s="435">
        <v>0</v>
      </c>
      <c r="J109" s="435">
        <v>0</v>
      </c>
      <c r="K109" s="435">
        <v>0</v>
      </c>
    </row>
    <row r="110" spans="2:22" hidden="1" outlineLevel="1">
      <c r="B110" s="430" t="s">
        <v>630</v>
      </c>
      <c r="C110" s="430" t="s">
        <v>1095</v>
      </c>
      <c r="D110" s="435">
        <v>1879371.1136497634</v>
      </c>
      <c r="E110" s="435">
        <v>625745.11848823749</v>
      </c>
      <c r="F110" s="435">
        <v>0</v>
      </c>
      <c r="G110" s="435">
        <v>0</v>
      </c>
      <c r="H110" s="435">
        <v>0</v>
      </c>
      <c r="I110" s="435">
        <v>0</v>
      </c>
      <c r="J110" s="435">
        <v>0</v>
      </c>
      <c r="K110" s="435">
        <v>14.606072418693502</v>
      </c>
    </row>
    <row r="111" spans="2:22" hidden="1" outlineLevel="1">
      <c r="B111" s="430" t="s">
        <v>630</v>
      </c>
      <c r="C111" s="430" t="s">
        <v>1096</v>
      </c>
      <c r="D111" s="435">
        <v>8652265.4779239111</v>
      </c>
      <c r="E111" s="435">
        <v>3167978.1234408752</v>
      </c>
      <c r="F111" s="435">
        <v>0</v>
      </c>
      <c r="G111" s="435">
        <v>0</v>
      </c>
      <c r="H111" s="435">
        <v>0</v>
      </c>
      <c r="I111" s="435">
        <v>0</v>
      </c>
      <c r="J111" s="435">
        <v>0</v>
      </c>
      <c r="K111" s="435">
        <v>0</v>
      </c>
    </row>
    <row r="112" spans="2:22" hidden="1" outlineLevel="1">
      <c r="B112" s="430" t="s">
        <v>630</v>
      </c>
      <c r="C112" s="430" t="s">
        <v>1097</v>
      </c>
      <c r="D112" s="435">
        <v>2005770.7505679845</v>
      </c>
      <c r="E112" s="435">
        <v>1009210.4349196877</v>
      </c>
      <c r="F112" s="435">
        <v>0</v>
      </c>
      <c r="G112" s="435">
        <v>0</v>
      </c>
      <c r="H112" s="435">
        <v>0</v>
      </c>
      <c r="I112" s="435">
        <v>0</v>
      </c>
      <c r="J112" s="435">
        <v>0</v>
      </c>
      <c r="K112" s="435">
        <v>0</v>
      </c>
    </row>
    <row r="113" spans="2:11" hidden="1" outlineLevel="1">
      <c r="B113" s="430" t="s">
        <v>631</v>
      </c>
      <c r="C113" s="430" t="s">
        <v>1076</v>
      </c>
      <c r="D113" s="435">
        <v>137934.02680676509</v>
      </c>
      <c r="E113" s="435">
        <v>97277.31666075949</v>
      </c>
      <c r="F113" s="435">
        <v>0</v>
      </c>
      <c r="G113" s="435">
        <v>0</v>
      </c>
      <c r="H113" s="435">
        <v>0</v>
      </c>
      <c r="I113" s="435">
        <v>0</v>
      </c>
      <c r="J113" s="435">
        <v>0</v>
      </c>
      <c r="K113" s="435">
        <v>0</v>
      </c>
    </row>
    <row r="114" spans="2:11" hidden="1" outlineLevel="1">
      <c r="B114" s="430" t="s">
        <v>631</v>
      </c>
      <c r="C114" s="430" t="s">
        <v>1077</v>
      </c>
      <c r="D114" s="435">
        <v>432478.42998877232</v>
      </c>
      <c r="E114" s="435">
        <v>0</v>
      </c>
      <c r="F114" s="435">
        <v>0</v>
      </c>
      <c r="G114" s="435">
        <v>0</v>
      </c>
      <c r="H114" s="435">
        <v>0</v>
      </c>
      <c r="I114" s="435">
        <v>0</v>
      </c>
      <c r="J114" s="435">
        <v>0</v>
      </c>
      <c r="K114" s="435">
        <v>0</v>
      </c>
    </row>
    <row r="115" spans="2:11" hidden="1" outlineLevel="1">
      <c r="B115" s="430" t="s">
        <v>631</v>
      </c>
      <c r="C115" s="430" t="s">
        <v>1078</v>
      </c>
      <c r="D115" s="435">
        <v>216126.20932023617</v>
      </c>
      <c r="E115" s="435">
        <v>95182.936291819351</v>
      </c>
      <c r="F115" s="435">
        <v>0</v>
      </c>
      <c r="G115" s="435">
        <v>0</v>
      </c>
      <c r="H115" s="435">
        <v>0</v>
      </c>
      <c r="I115" s="435">
        <v>0</v>
      </c>
      <c r="J115" s="435">
        <v>0</v>
      </c>
      <c r="K115" s="435">
        <v>0</v>
      </c>
    </row>
    <row r="116" spans="2:11" hidden="1" outlineLevel="1">
      <c r="B116" s="430" t="s">
        <v>631</v>
      </c>
      <c r="C116" s="430" t="s">
        <v>1079</v>
      </c>
      <c r="D116" s="435">
        <v>395618.39019616606</v>
      </c>
      <c r="E116" s="435">
        <v>77462.860260375324</v>
      </c>
      <c r="F116" s="435">
        <v>0</v>
      </c>
      <c r="G116" s="435">
        <v>0</v>
      </c>
      <c r="H116" s="435">
        <v>0</v>
      </c>
      <c r="I116" s="435">
        <v>0</v>
      </c>
      <c r="J116" s="435">
        <v>0</v>
      </c>
      <c r="K116" s="435">
        <v>0</v>
      </c>
    </row>
    <row r="117" spans="2:11" hidden="1" outlineLevel="1">
      <c r="B117" s="430" t="s">
        <v>631</v>
      </c>
      <c r="C117" s="430" t="s">
        <v>1080</v>
      </c>
      <c r="D117" s="435">
        <v>1131949.9174419632</v>
      </c>
      <c r="E117" s="435">
        <v>139098.57423374013</v>
      </c>
      <c r="F117" s="435">
        <v>0</v>
      </c>
      <c r="G117" s="435">
        <v>0</v>
      </c>
      <c r="H117" s="435">
        <v>0</v>
      </c>
      <c r="I117" s="435">
        <v>0</v>
      </c>
      <c r="J117" s="435">
        <v>0</v>
      </c>
      <c r="K117" s="435">
        <v>102.726171624389</v>
      </c>
    </row>
    <row r="118" spans="2:11" hidden="1" outlineLevel="1">
      <c r="B118" s="430" t="s">
        <v>631</v>
      </c>
      <c r="C118" s="430" t="s">
        <v>1081</v>
      </c>
      <c r="D118" s="435">
        <v>1158807.005191087</v>
      </c>
      <c r="E118" s="435">
        <v>85157.722699421298</v>
      </c>
      <c r="F118" s="435">
        <v>0</v>
      </c>
      <c r="G118" s="435">
        <v>0</v>
      </c>
      <c r="H118" s="435">
        <v>0</v>
      </c>
      <c r="I118" s="435">
        <v>0</v>
      </c>
      <c r="J118" s="435">
        <v>0</v>
      </c>
      <c r="K118" s="435">
        <v>0</v>
      </c>
    </row>
    <row r="119" spans="2:11" hidden="1" outlineLevel="1">
      <c r="B119" s="430" t="s">
        <v>631</v>
      </c>
      <c r="C119" s="430" t="s">
        <v>1082</v>
      </c>
      <c r="D119" s="435">
        <v>2506828.8750806861</v>
      </c>
      <c r="E119" s="435">
        <v>210116.74302437637</v>
      </c>
      <c r="F119" s="435">
        <v>0</v>
      </c>
      <c r="G119" s="435">
        <v>0</v>
      </c>
      <c r="H119" s="435">
        <v>0</v>
      </c>
      <c r="I119" s="435">
        <v>0</v>
      </c>
      <c r="J119" s="435">
        <v>0</v>
      </c>
      <c r="K119" s="435">
        <v>0</v>
      </c>
    </row>
    <row r="120" spans="2:11" hidden="1" outlineLevel="1">
      <c r="B120" s="430" t="s">
        <v>631</v>
      </c>
      <c r="C120" s="430" t="s">
        <v>1171</v>
      </c>
      <c r="D120" s="435">
        <v>973904.63490867044</v>
      </c>
      <c r="E120" s="435">
        <v>337001.61196280218</v>
      </c>
      <c r="F120" s="435">
        <v>8949.0782931108188</v>
      </c>
      <c r="G120" s="435">
        <v>0</v>
      </c>
      <c r="H120" s="435">
        <v>0</v>
      </c>
      <c r="I120" s="435">
        <v>0</v>
      </c>
      <c r="J120" s="435">
        <v>0</v>
      </c>
      <c r="K120" s="435">
        <v>1.2825624980479653</v>
      </c>
    </row>
    <row r="121" spans="2:11" hidden="1" outlineLevel="1">
      <c r="B121" s="430" t="s">
        <v>633</v>
      </c>
      <c r="C121" s="430" t="s">
        <v>1187</v>
      </c>
      <c r="D121" s="435">
        <v>441131.4379183859</v>
      </c>
      <c r="E121" s="435">
        <v>25991.532698185954</v>
      </c>
      <c r="F121" s="435">
        <v>0</v>
      </c>
      <c r="G121" s="435">
        <v>0</v>
      </c>
      <c r="H121" s="435">
        <v>0</v>
      </c>
      <c r="I121" s="435">
        <v>0</v>
      </c>
      <c r="J121" s="435">
        <v>0</v>
      </c>
      <c r="K121" s="435">
        <v>0</v>
      </c>
    </row>
    <row r="122" spans="2:11" hidden="1" outlineLevel="1">
      <c r="B122" s="430" t="s">
        <v>633</v>
      </c>
      <c r="C122" s="430" t="s">
        <v>1193</v>
      </c>
      <c r="D122" s="435">
        <v>1372869.00646488</v>
      </c>
      <c r="E122" s="435">
        <v>62744.249897121837</v>
      </c>
      <c r="F122" s="435">
        <v>0</v>
      </c>
      <c r="G122" s="435">
        <v>0</v>
      </c>
      <c r="H122" s="435">
        <v>0</v>
      </c>
      <c r="I122" s="435">
        <v>0</v>
      </c>
      <c r="J122" s="435">
        <v>0</v>
      </c>
      <c r="K122" s="435">
        <v>0</v>
      </c>
    </row>
    <row r="123" spans="2:11" hidden="1" outlineLevel="1">
      <c r="B123" s="430" t="s">
        <v>633</v>
      </c>
      <c r="C123" s="430" t="s">
        <v>1195</v>
      </c>
      <c r="D123" s="435">
        <v>836881.06564445246</v>
      </c>
      <c r="E123" s="435">
        <v>190209.39854008288</v>
      </c>
      <c r="F123" s="435">
        <v>0</v>
      </c>
      <c r="G123" s="435">
        <v>0</v>
      </c>
      <c r="H123" s="435">
        <v>0</v>
      </c>
      <c r="I123" s="435">
        <v>0</v>
      </c>
      <c r="J123" s="435">
        <v>0</v>
      </c>
      <c r="K123" s="435">
        <v>0</v>
      </c>
    </row>
    <row r="124" spans="2:11" hidden="1" outlineLevel="1">
      <c r="B124" s="430" t="s">
        <v>632</v>
      </c>
      <c r="C124" s="430" t="s">
        <v>1196</v>
      </c>
      <c r="D124" s="435">
        <v>1137241.6208800573</v>
      </c>
      <c r="E124" s="435">
        <v>326250.15176005766</v>
      </c>
      <c r="F124" s="435">
        <v>0</v>
      </c>
      <c r="G124" s="435">
        <v>0</v>
      </c>
      <c r="H124" s="435">
        <v>0</v>
      </c>
      <c r="I124" s="435">
        <v>0</v>
      </c>
      <c r="J124" s="435">
        <v>0</v>
      </c>
      <c r="K124" s="435">
        <v>0</v>
      </c>
    </row>
    <row r="125" spans="2:11" hidden="1" outlineLevel="1">
      <c r="B125" s="430" t="s">
        <v>632</v>
      </c>
      <c r="C125" s="430" t="s">
        <v>1197</v>
      </c>
      <c r="D125" s="435">
        <v>688004.54177935363</v>
      </c>
      <c r="E125" s="435">
        <v>322722.6532152376</v>
      </c>
      <c r="F125" s="435">
        <v>33417.193536069739</v>
      </c>
      <c r="G125" s="435">
        <v>0</v>
      </c>
      <c r="H125" s="435">
        <v>0</v>
      </c>
      <c r="I125" s="435">
        <v>0</v>
      </c>
      <c r="J125" s="435">
        <v>86088.368614634906</v>
      </c>
      <c r="K125" s="435">
        <v>0</v>
      </c>
    </row>
    <row r="126" spans="2:11" hidden="1" outlineLevel="1">
      <c r="B126" s="430" t="s">
        <v>632</v>
      </c>
      <c r="C126" s="430" t="s">
        <v>1198</v>
      </c>
      <c r="D126" s="435">
        <v>1727296.9976982796</v>
      </c>
      <c r="E126" s="435">
        <v>140724.40451368745</v>
      </c>
      <c r="F126" s="435">
        <v>0</v>
      </c>
      <c r="G126" s="435">
        <v>0</v>
      </c>
      <c r="H126" s="435">
        <v>0</v>
      </c>
      <c r="I126" s="435">
        <v>0</v>
      </c>
      <c r="J126" s="435">
        <v>21044.019059059236</v>
      </c>
      <c r="K126" s="435">
        <v>0</v>
      </c>
    </row>
    <row r="127" spans="2:11" hidden="1" outlineLevel="1">
      <c r="B127" s="430" t="s">
        <v>632</v>
      </c>
      <c r="C127" s="430" t="s">
        <v>1199</v>
      </c>
      <c r="D127" s="435">
        <v>600955.14942028385</v>
      </c>
      <c r="E127" s="435">
        <v>3347.25613276384</v>
      </c>
      <c r="F127" s="435">
        <v>0</v>
      </c>
      <c r="G127" s="435">
        <v>0</v>
      </c>
      <c r="H127" s="435">
        <v>0</v>
      </c>
      <c r="I127" s="435">
        <v>0</v>
      </c>
      <c r="J127" s="435">
        <v>0</v>
      </c>
      <c r="K127" s="435">
        <v>0</v>
      </c>
    </row>
    <row r="128" spans="2:11" hidden="1" outlineLevel="1">
      <c r="B128" s="430" t="s">
        <v>632</v>
      </c>
      <c r="C128" s="430" t="s">
        <v>1200</v>
      </c>
      <c r="D128" s="435">
        <v>204440.35371507867</v>
      </c>
      <c r="E128" s="435">
        <v>177393.17201983606</v>
      </c>
      <c r="F128" s="435">
        <v>68721.95111002987</v>
      </c>
      <c r="G128" s="435">
        <v>0</v>
      </c>
      <c r="H128" s="435">
        <v>0</v>
      </c>
      <c r="I128" s="435">
        <v>0</v>
      </c>
      <c r="J128" s="435">
        <v>0</v>
      </c>
      <c r="K128" s="435">
        <v>0</v>
      </c>
    </row>
    <row r="129" spans="2:11" hidden="1" outlineLevel="1">
      <c r="B129" s="431"/>
      <c r="C129" s="431" t="s">
        <v>1173</v>
      </c>
      <c r="D129" s="436"/>
      <c r="E129" s="436"/>
      <c r="F129" s="436"/>
      <c r="G129" s="436"/>
      <c r="H129" s="436"/>
      <c r="I129" s="436"/>
      <c r="J129" s="436"/>
      <c r="K129" s="436"/>
    </row>
    <row r="130" spans="2:11" hidden="1" outlineLevel="1"/>
    <row r="131" spans="2:11" hidden="1" outlineLevel="1">
      <c r="B131" s="372" t="s">
        <v>1202</v>
      </c>
    </row>
    <row r="132" spans="2:11" hidden="1" outlineLevel="1"/>
    <row r="133" spans="2:11" hidden="1" outlineLevel="1"/>
    <row r="134" spans="2:11" ht="15" hidden="1" outlineLevel="1" thickBot="1">
      <c r="B134" s="1226" t="s">
        <v>1174</v>
      </c>
      <c r="C134" s="1226" t="s">
        <v>1175</v>
      </c>
      <c r="D134" s="1316" t="s">
        <v>260</v>
      </c>
      <c r="E134" s="1316" t="s">
        <v>264</v>
      </c>
      <c r="F134" s="1316" t="s">
        <v>262</v>
      </c>
      <c r="G134" s="1316" t="s">
        <v>269</v>
      </c>
      <c r="H134" s="1316" t="s">
        <v>1167</v>
      </c>
      <c r="I134" s="1316" t="s">
        <v>275</v>
      </c>
      <c r="J134" s="1316" t="s">
        <v>1168</v>
      </c>
      <c r="K134" s="1316" t="s">
        <v>286</v>
      </c>
    </row>
    <row r="135" spans="2:11" hidden="1" outlineLevel="1">
      <c r="B135" s="429" t="s">
        <v>629</v>
      </c>
      <c r="C135" s="429" t="s">
        <v>1072</v>
      </c>
      <c r="D135" s="434">
        <v>172381.0320698673</v>
      </c>
      <c r="E135" s="434">
        <v>258571.54810480092</v>
      </c>
      <c r="F135" s="434">
        <v>1465238.7725938722</v>
      </c>
      <c r="G135" s="434">
        <v>0</v>
      </c>
      <c r="H135" s="434">
        <v>1637619.8046637392</v>
      </c>
      <c r="I135" s="434">
        <v>0</v>
      </c>
      <c r="J135" s="434">
        <v>0</v>
      </c>
      <c r="K135" s="434">
        <v>5085240.446061085</v>
      </c>
    </row>
    <row r="136" spans="2:11" hidden="1" outlineLevel="1">
      <c r="B136" s="430" t="s">
        <v>629</v>
      </c>
      <c r="C136" s="430" t="s">
        <v>1074</v>
      </c>
      <c r="D136" s="435">
        <v>225329.82793013274</v>
      </c>
      <c r="E136" s="435">
        <v>337994.74189519911</v>
      </c>
      <c r="F136" s="435">
        <v>1915303.5374061286</v>
      </c>
      <c r="G136" s="435">
        <v>0</v>
      </c>
      <c r="H136" s="435">
        <v>2140633.3653362612</v>
      </c>
      <c r="I136" s="435">
        <v>0</v>
      </c>
      <c r="J136" s="435">
        <v>0</v>
      </c>
      <c r="K136" s="435">
        <v>6647229.9239389161</v>
      </c>
    </row>
    <row r="137" spans="2:11" hidden="1" outlineLevel="1">
      <c r="B137" s="430" t="s">
        <v>630</v>
      </c>
      <c r="C137" s="430" t="s">
        <v>1170</v>
      </c>
      <c r="D137" s="435">
        <v>0</v>
      </c>
      <c r="E137" s="435">
        <v>0</v>
      </c>
      <c r="F137" s="435">
        <v>0</v>
      </c>
      <c r="G137" s="435">
        <v>0</v>
      </c>
      <c r="H137" s="435">
        <v>0</v>
      </c>
      <c r="I137" s="435">
        <v>0</v>
      </c>
      <c r="J137" s="435">
        <v>0</v>
      </c>
      <c r="K137" s="435">
        <v>0</v>
      </c>
    </row>
    <row r="138" spans="2:11" hidden="1" outlineLevel="1">
      <c r="B138" s="430" t="s">
        <v>630</v>
      </c>
      <c r="C138" s="430" t="s">
        <v>1091</v>
      </c>
      <c r="D138" s="435">
        <v>101687.83633791166</v>
      </c>
      <c r="E138" s="435">
        <v>15651.09262169853</v>
      </c>
      <c r="F138" s="435">
        <v>510031.84203062457</v>
      </c>
      <c r="G138" s="435">
        <v>219597.21043935098</v>
      </c>
      <c r="H138" s="435">
        <v>560848.0719143491</v>
      </c>
      <c r="I138" s="435">
        <v>220104.12692545314</v>
      </c>
      <c r="J138" s="435">
        <v>80459.316654335707</v>
      </c>
      <c r="K138" s="435">
        <v>818292.45062912616</v>
      </c>
    </row>
    <row r="139" spans="2:11" hidden="1" outlineLevel="1">
      <c r="B139" s="430" t="s">
        <v>630</v>
      </c>
      <c r="C139" s="430" t="s">
        <v>1092</v>
      </c>
      <c r="D139" s="435">
        <v>52744.268481620151</v>
      </c>
      <c r="E139" s="435">
        <v>7833.6524910942162</v>
      </c>
      <c r="F139" s="435">
        <v>189737.63971004327</v>
      </c>
      <c r="G139" s="435">
        <v>112144.01593266016</v>
      </c>
      <c r="H139" s="435">
        <v>490099.47150866076</v>
      </c>
      <c r="I139" s="435">
        <v>69103.167302520902</v>
      </c>
      <c r="J139" s="435">
        <v>44811.899700335183</v>
      </c>
      <c r="K139" s="435">
        <v>642900.19906802976</v>
      </c>
    </row>
    <row r="140" spans="2:11" hidden="1" outlineLevel="1">
      <c r="B140" s="430" t="s">
        <v>630</v>
      </c>
      <c r="C140" s="430" t="s">
        <v>1093</v>
      </c>
      <c r="D140" s="435">
        <v>458100.47299010138</v>
      </c>
      <c r="E140" s="435">
        <v>90534.00245193622</v>
      </c>
      <c r="F140" s="435">
        <v>997559.45935597096</v>
      </c>
      <c r="G140" s="435">
        <v>343545.64152403577</v>
      </c>
      <c r="H140" s="435">
        <v>1044313.7465681074</v>
      </c>
      <c r="I140" s="435">
        <v>411164.98442470666</v>
      </c>
      <c r="J140" s="435">
        <v>157665.95797598618</v>
      </c>
      <c r="K140" s="435">
        <v>1351749.8657732559</v>
      </c>
    </row>
    <row r="141" spans="2:11" hidden="1" outlineLevel="1">
      <c r="B141" s="430" t="s">
        <v>630</v>
      </c>
      <c r="C141" s="430" t="s">
        <v>1094</v>
      </c>
      <c r="D141" s="435">
        <v>169716.87899562062</v>
      </c>
      <c r="E141" s="435">
        <v>48736.791878293101</v>
      </c>
      <c r="F141" s="435">
        <v>531778.82693040872</v>
      </c>
      <c r="G141" s="435">
        <v>192001.24017173125</v>
      </c>
      <c r="H141" s="435">
        <v>1294596.4116856148</v>
      </c>
      <c r="I141" s="435">
        <v>357113.48479489156</v>
      </c>
      <c r="J141" s="435">
        <v>143757.11261244744</v>
      </c>
      <c r="K141" s="435">
        <v>1202725.3235106007</v>
      </c>
    </row>
    <row r="142" spans="2:11" hidden="1" outlineLevel="1">
      <c r="B142" s="430" t="s">
        <v>630</v>
      </c>
      <c r="C142" s="430" t="s">
        <v>1095</v>
      </c>
      <c r="D142" s="435">
        <v>56223.717307023922</v>
      </c>
      <c r="E142" s="435">
        <v>127817.40295091413</v>
      </c>
      <c r="F142" s="435">
        <v>373327.47584755335</v>
      </c>
      <c r="G142" s="435">
        <v>78583.143372521707</v>
      </c>
      <c r="H142" s="435">
        <v>796593.03951106395</v>
      </c>
      <c r="I142" s="435">
        <v>315192.95581559453</v>
      </c>
      <c r="J142" s="435">
        <v>84312.192576945221</v>
      </c>
      <c r="K142" s="435">
        <v>902552.2444063361</v>
      </c>
    </row>
    <row r="143" spans="2:11" hidden="1" outlineLevel="1">
      <c r="B143" s="430" t="s">
        <v>630</v>
      </c>
      <c r="C143" s="430" t="s">
        <v>1096</v>
      </c>
      <c r="D143" s="435">
        <v>895064.58898701216</v>
      </c>
      <c r="E143" s="435">
        <v>210870.66491157387</v>
      </c>
      <c r="F143" s="435">
        <v>1757502.0345002031</v>
      </c>
      <c r="G143" s="435">
        <v>203770.52842316352</v>
      </c>
      <c r="H143" s="435">
        <v>4372867.9796338566</v>
      </c>
      <c r="I143" s="435">
        <v>1094017.3979818092</v>
      </c>
      <c r="J143" s="435">
        <v>290102.83154979203</v>
      </c>
      <c r="K143" s="435">
        <v>4078788.2534467643</v>
      </c>
    </row>
    <row r="144" spans="2:11" hidden="1" outlineLevel="1">
      <c r="B144" s="430" t="s">
        <v>630</v>
      </c>
      <c r="C144" s="430" t="s">
        <v>1097</v>
      </c>
      <c r="D144" s="435">
        <v>647923.36680807953</v>
      </c>
      <c r="E144" s="435">
        <v>150950.34049636943</v>
      </c>
      <c r="F144" s="435">
        <v>526039.41975393961</v>
      </c>
      <c r="G144" s="435">
        <v>134887.83931300163</v>
      </c>
      <c r="H144" s="435">
        <v>744069.70160692558</v>
      </c>
      <c r="I144" s="435">
        <v>203339.30652170378</v>
      </c>
      <c r="J144" s="435">
        <v>87693.058411811988</v>
      </c>
      <c r="K144" s="435">
        <v>796252.05247452366</v>
      </c>
    </row>
    <row r="145" spans="2:11" hidden="1" outlineLevel="1">
      <c r="B145" s="430" t="s">
        <v>631</v>
      </c>
      <c r="C145" s="430" t="s">
        <v>1076</v>
      </c>
      <c r="D145" s="435">
        <v>140576.72146277488</v>
      </c>
      <c r="E145" s="435">
        <v>12443.728007353993</v>
      </c>
      <c r="F145" s="435">
        <v>373753.5530040476</v>
      </c>
      <c r="G145" s="435">
        <v>359660.22444605251</v>
      </c>
      <c r="H145" s="435">
        <v>401941.42184487538</v>
      </c>
      <c r="I145" s="435">
        <v>70590.525001990201</v>
      </c>
      <c r="J145" s="435">
        <v>116825.66934066512</v>
      </c>
      <c r="K145" s="435">
        <v>382319.97422052693</v>
      </c>
    </row>
    <row r="146" spans="2:11" hidden="1" outlineLevel="1">
      <c r="B146" s="430" t="s">
        <v>631</v>
      </c>
      <c r="C146" s="430" t="s">
        <v>1077</v>
      </c>
      <c r="D146" s="435">
        <v>104084.03433983016</v>
      </c>
      <c r="E146" s="435">
        <v>26391.464520370548</v>
      </c>
      <c r="F146" s="435">
        <v>614021.9580951453</v>
      </c>
      <c r="G146" s="435">
        <v>462107.20497227821</v>
      </c>
      <c r="H146" s="435">
        <v>833042.08265726699</v>
      </c>
      <c r="I146" s="435">
        <v>152820.74599377968</v>
      </c>
      <c r="J146" s="435">
        <v>150115.93636314021</v>
      </c>
      <c r="K146" s="435">
        <v>1073889.9014913195</v>
      </c>
    </row>
    <row r="147" spans="2:11" hidden="1" outlineLevel="1">
      <c r="B147" s="430" t="s">
        <v>631</v>
      </c>
      <c r="C147" s="430" t="s">
        <v>1078</v>
      </c>
      <c r="D147" s="435">
        <v>85249.57085675378</v>
      </c>
      <c r="E147" s="435">
        <v>11895.311941975517</v>
      </c>
      <c r="F147" s="435">
        <v>358786.66264350328</v>
      </c>
      <c r="G147" s="435">
        <v>316930.84850593837</v>
      </c>
      <c r="H147" s="435">
        <v>581493.72094460123</v>
      </c>
      <c r="I147" s="435">
        <v>142879.84662692071</v>
      </c>
      <c r="J147" s="435">
        <v>74215.264505747691</v>
      </c>
      <c r="K147" s="435">
        <v>887814.52951410215</v>
      </c>
    </row>
    <row r="148" spans="2:11" hidden="1" outlineLevel="1">
      <c r="B148" s="430" t="s">
        <v>631</v>
      </c>
      <c r="C148" s="430" t="s">
        <v>1079</v>
      </c>
      <c r="D148" s="435">
        <v>97028.533506760898</v>
      </c>
      <c r="E148" s="435">
        <v>30831.703077630831</v>
      </c>
      <c r="F148" s="435">
        <v>509509.23251453118</v>
      </c>
      <c r="G148" s="435">
        <v>213033.68001914676</v>
      </c>
      <c r="H148" s="435">
        <v>828961.98933947331</v>
      </c>
      <c r="I148" s="435">
        <v>52957.669691063398</v>
      </c>
      <c r="J148" s="435">
        <v>89973.057853865161</v>
      </c>
      <c r="K148" s="435">
        <v>1914929.7672124102</v>
      </c>
    </row>
    <row r="149" spans="2:11" hidden="1" outlineLevel="1">
      <c r="B149" s="430" t="s">
        <v>631</v>
      </c>
      <c r="C149" s="430" t="s">
        <v>1080</v>
      </c>
      <c r="D149" s="435">
        <v>153017.35659252276</v>
      </c>
      <c r="E149" s="435">
        <v>120172.06843548569</v>
      </c>
      <c r="F149" s="435">
        <v>2012264.5992783674</v>
      </c>
      <c r="G149" s="435">
        <v>994494.46517966921</v>
      </c>
      <c r="H149" s="435">
        <v>2503680.4403422363</v>
      </c>
      <c r="I149" s="435">
        <v>839592.88373312552</v>
      </c>
      <c r="J149" s="435">
        <v>352019.11322522914</v>
      </c>
      <c r="K149" s="435">
        <v>3066541.3472875524</v>
      </c>
    </row>
    <row r="150" spans="2:11" hidden="1" outlineLevel="1">
      <c r="B150" s="430" t="s">
        <v>631</v>
      </c>
      <c r="C150" s="430" t="s">
        <v>1081</v>
      </c>
      <c r="D150" s="435">
        <v>291635.70589098346</v>
      </c>
      <c r="E150" s="435">
        <v>164970.00243939218</v>
      </c>
      <c r="F150" s="435">
        <v>1759308.9043014972</v>
      </c>
      <c r="G150" s="435">
        <v>1019206.0227526488</v>
      </c>
      <c r="H150" s="435">
        <v>2460315.9204310863</v>
      </c>
      <c r="I150" s="435">
        <v>245311.52104428606</v>
      </c>
      <c r="J150" s="435">
        <v>422349.8673212463</v>
      </c>
      <c r="K150" s="435">
        <v>3463917.7394908406</v>
      </c>
    </row>
    <row r="151" spans="2:11" hidden="1" outlineLevel="1">
      <c r="B151" s="430" t="s">
        <v>631</v>
      </c>
      <c r="C151" s="430" t="s">
        <v>1082</v>
      </c>
      <c r="D151" s="435">
        <v>673084.28741643659</v>
      </c>
      <c r="E151" s="435">
        <v>60820.114048518102</v>
      </c>
      <c r="F151" s="435">
        <v>3280161.1701495843</v>
      </c>
      <c r="G151" s="435">
        <v>3604871.3886736045</v>
      </c>
      <c r="H151" s="435">
        <v>5236646.1461449815</v>
      </c>
      <c r="I151" s="435">
        <v>725372.90503117221</v>
      </c>
      <c r="J151" s="435">
        <v>1584772.7835169109</v>
      </c>
      <c r="K151" s="435">
        <v>6297473.9809357198</v>
      </c>
    </row>
    <row r="152" spans="2:11" hidden="1" outlineLevel="1">
      <c r="B152" s="430" t="s">
        <v>631</v>
      </c>
      <c r="C152" s="430" t="s">
        <v>1171</v>
      </c>
      <c r="D152" s="435">
        <v>361984.7096534723</v>
      </c>
      <c r="E152" s="435">
        <v>88025.140171856328</v>
      </c>
      <c r="F152" s="435">
        <v>1780466.8304246203</v>
      </c>
      <c r="G152" s="435">
        <v>1318812.1591436421</v>
      </c>
      <c r="H152" s="435">
        <v>2475680.8443285008</v>
      </c>
      <c r="I152" s="435">
        <v>442917.97398342739</v>
      </c>
      <c r="J152" s="435">
        <v>466119.26334511384</v>
      </c>
      <c r="K152" s="435">
        <v>3492535.9651989071</v>
      </c>
    </row>
    <row r="153" spans="2:11" hidden="1" outlineLevel="1">
      <c r="B153" s="430" t="s">
        <v>633</v>
      </c>
      <c r="C153" s="430" t="s">
        <v>1187</v>
      </c>
      <c r="D153" s="435">
        <v>194622.37668465578</v>
      </c>
      <c r="E153" s="435">
        <v>109952.30535100697</v>
      </c>
      <c r="F153" s="435">
        <v>631958.44573241775</v>
      </c>
      <c r="G153" s="435">
        <v>561009.82386927679</v>
      </c>
      <c r="H153" s="435">
        <v>2312431.8372348463</v>
      </c>
      <c r="I153" s="435">
        <v>401398.73698881723</v>
      </c>
      <c r="J153" s="435">
        <v>75495.738740693938</v>
      </c>
      <c r="K153" s="435">
        <v>553231.12055411609</v>
      </c>
    </row>
    <row r="154" spans="2:11" hidden="1" outlineLevel="1">
      <c r="B154" s="430" t="s">
        <v>633</v>
      </c>
      <c r="C154" s="430" t="s">
        <v>1193</v>
      </c>
      <c r="D154" s="435">
        <v>637653.94901640469</v>
      </c>
      <c r="E154" s="435">
        <v>409501.20531961956</v>
      </c>
      <c r="F154" s="435">
        <v>2286383.1696376358</v>
      </c>
      <c r="G154" s="435">
        <v>671721.33131731697</v>
      </c>
      <c r="H154" s="435">
        <v>6293049.2566817803</v>
      </c>
      <c r="I154" s="435">
        <v>583677.15450777567</v>
      </c>
      <c r="J154" s="435">
        <v>2136992.0714683286</v>
      </c>
      <c r="K154" s="435">
        <v>1856146.2128852627</v>
      </c>
    </row>
    <row r="155" spans="2:11" hidden="1" outlineLevel="1">
      <c r="B155" s="430" t="s">
        <v>633</v>
      </c>
      <c r="C155" s="430" t="s">
        <v>1195</v>
      </c>
      <c r="D155" s="435">
        <v>461930.86564221</v>
      </c>
      <c r="E155" s="435">
        <v>49996.448962243769</v>
      </c>
      <c r="F155" s="435">
        <v>1004531.2533015115</v>
      </c>
      <c r="G155" s="435">
        <v>1365548.5754430369</v>
      </c>
      <c r="H155" s="435">
        <v>3640490.8666728758</v>
      </c>
      <c r="I155" s="435">
        <v>862352.60792440909</v>
      </c>
      <c r="J155" s="435">
        <v>1842260.5997807912</v>
      </c>
      <c r="K155" s="435">
        <v>1415099.2150584534</v>
      </c>
    </row>
    <row r="156" spans="2:11" hidden="1" outlineLevel="1">
      <c r="B156" s="430" t="s">
        <v>632</v>
      </c>
      <c r="C156" s="430" t="s">
        <v>1196</v>
      </c>
      <c r="D156" s="435">
        <v>97764.144303326044</v>
      </c>
      <c r="E156" s="435">
        <v>727.51236846662766</v>
      </c>
      <c r="F156" s="435">
        <v>963798.38238488883</v>
      </c>
      <c r="G156" s="435">
        <v>1022049.909877732</v>
      </c>
      <c r="H156" s="435">
        <v>1538782.5607703717</v>
      </c>
      <c r="I156" s="435">
        <v>140870.35090923795</v>
      </c>
      <c r="J156" s="435">
        <v>242865.22076120335</v>
      </c>
      <c r="K156" s="435">
        <v>1011051.4506309817</v>
      </c>
    </row>
    <row r="157" spans="2:11" hidden="1" outlineLevel="1">
      <c r="B157" s="430" t="s">
        <v>632</v>
      </c>
      <c r="C157" s="430" t="s">
        <v>1197</v>
      </c>
      <c r="D157" s="435">
        <v>65064.754581072957</v>
      </c>
      <c r="E157" s="435">
        <v>9318.8608945401884</v>
      </c>
      <c r="F157" s="435">
        <v>581162.77136905363</v>
      </c>
      <c r="G157" s="435">
        <v>1268168.8604259379</v>
      </c>
      <c r="H157" s="435">
        <v>773271.25068903773</v>
      </c>
      <c r="I157" s="435">
        <v>98967.806109928933</v>
      </c>
      <c r="J157" s="435">
        <v>141230.18782565679</v>
      </c>
      <c r="K157" s="435">
        <v>938071.81735884701</v>
      </c>
    </row>
    <row r="158" spans="2:11" hidden="1" outlineLevel="1">
      <c r="B158" s="430" t="s">
        <v>632</v>
      </c>
      <c r="C158" s="430" t="s">
        <v>1198</v>
      </c>
      <c r="D158" s="435">
        <v>153249.38681561439</v>
      </c>
      <c r="E158" s="435">
        <v>52584.292991440074</v>
      </c>
      <c r="F158" s="435">
        <v>791597.10343861347</v>
      </c>
      <c r="G158" s="435">
        <v>1191254.7416245851</v>
      </c>
      <c r="H158" s="435">
        <v>2720084.196566781</v>
      </c>
      <c r="I158" s="435">
        <v>115857.15681572867</v>
      </c>
      <c r="J158" s="435">
        <v>290443.87715331098</v>
      </c>
      <c r="K158" s="435">
        <v>1162013.4080934967</v>
      </c>
    </row>
    <row r="159" spans="2:11" hidden="1" outlineLevel="1">
      <c r="B159" s="430" t="s">
        <v>632</v>
      </c>
      <c r="C159" s="430" t="s">
        <v>1199</v>
      </c>
      <c r="D159" s="435">
        <v>19448.008705862387</v>
      </c>
      <c r="E159" s="435">
        <v>91076.437859297759</v>
      </c>
      <c r="F159" s="435">
        <v>426850.16670664586</v>
      </c>
      <c r="G159" s="435">
        <v>11046.66703481667</v>
      </c>
      <c r="H159" s="435">
        <v>765123.5958906489</v>
      </c>
      <c r="I159" s="435">
        <v>102053.65361237312</v>
      </c>
      <c r="J159" s="435">
        <v>122611.16922919739</v>
      </c>
      <c r="K159" s="435">
        <v>533776.53124152112</v>
      </c>
    </row>
    <row r="160" spans="2:11" hidden="1" outlineLevel="1">
      <c r="B160" s="430" t="s">
        <v>632</v>
      </c>
      <c r="C160" s="430" t="s">
        <v>1200</v>
      </c>
      <c r="D160" s="435">
        <v>8158.4534701575558</v>
      </c>
      <c r="E160" s="435">
        <v>1625.3881428011216</v>
      </c>
      <c r="F160" s="435">
        <v>212082.59326207239</v>
      </c>
      <c r="G160" s="435">
        <v>228368.87887407714</v>
      </c>
      <c r="H160" s="435">
        <v>235423.68693212038</v>
      </c>
      <c r="I160" s="435">
        <v>30114.621958405838</v>
      </c>
      <c r="J160" s="435">
        <v>0</v>
      </c>
      <c r="K160" s="435">
        <v>829056.8056717728</v>
      </c>
    </row>
    <row r="161" spans="2:11" hidden="1" outlineLevel="1">
      <c r="B161" s="431"/>
      <c r="C161" s="431" t="s">
        <v>1173</v>
      </c>
      <c r="D161" s="436"/>
      <c r="E161" s="436"/>
      <c r="F161" s="436"/>
      <c r="G161" s="436"/>
      <c r="H161" s="436"/>
      <c r="I161" s="436"/>
      <c r="J161" s="436"/>
      <c r="K161" s="436"/>
    </row>
    <row r="162" spans="2:11" hidden="1" outlineLevel="1"/>
    <row r="163" spans="2:11" hidden="1" outlineLevel="1">
      <c r="B163" s="372" t="s">
        <v>1202</v>
      </c>
    </row>
    <row r="164" spans="2:11" hidden="1" outlineLevel="1"/>
    <row r="165" spans="2:11" hidden="1" outlineLevel="1"/>
    <row r="166" spans="2:11" ht="15" hidden="1" outlineLevel="1" thickBot="1">
      <c r="B166" s="1226" t="s">
        <v>1174</v>
      </c>
      <c r="C166" s="1226" t="s">
        <v>1175</v>
      </c>
      <c r="D166" s="1316" t="s">
        <v>260</v>
      </c>
      <c r="E166" s="1316" t="s">
        <v>264</v>
      </c>
      <c r="F166" s="1316" t="s">
        <v>262</v>
      </c>
      <c r="G166" s="1316" t="s">
        <v>269</v>
      </c>
      <c r="H166" s="1316" t="s">
        <v>1167</v>
      </c>
      <c r="I166" s="1316" t="s">
        <v>275</v>
      </c>
      <c r="J166" s="1316" t="s">
        <v>1168</v>
      </c>
      <c r="K166" s="1316" t="s">
        <v>286</v>
      </c>
    </row>
    <row r="167" spans="2:11" hidden="1" outlineLevel="1">
      <c r="B167" s="429" t="s">
        <v>629</v>
      </c>
      <c r="C167" s="429" t="s">
        <v>1072</v>
      </c>
      <c r="D167" s="434">
        <v>15829244.599615162</v>
      </c>
      <c r="E167" s="434">
        <v>6282011.6417814838</v>
      </c>
      <c r="F167" s="434">
        <v>0</v>
      </c>
      <c r="G167" s="434">
        <v>0</v>
      </c>
      <c r="H167" s="434">
        <v>0</v>
      </c>
      <c r="I167" s="434">
        <v>0</v>
      </c>
      <c r="J167" s="434">
        <v>0</v>
      </c>
      <c r="K167" s="434">
        <v>0</v>
      </c>
    </row>
    <row r="168" spans="2:11" hidden="1" outlineLevel="1">
      <c r="B168" s="430" t="s">
        <v>629</v>
      </c>
      <c r="C168" s="430" t="s">
        <v>1074</v>
      </c>
      <c r="D168" s="435">
        <v>20685590.124127481</v>
      </c>
      <c r="E168" s="435">
        <v>8217390.1189285321</v>
      </c>
      <c r="F168" s="435">
        <v>0</v>
      </c>
      <c r="G168" s="435">
        <v>0</v>
      </c>
      <c r="H168" s="435">
        <v>0</v>
      </c>
      <c r="I168" s="435">
        <v>0</v>
      </c>
      <c r="J168" s="435">
        <v>0</v>
      </c>
      <c r="K168" s="435">
        <v>0</v>
      </c>
    </row>
    <row r="169" spans="2:11" hidden="1" outlineLevel="1">
      <c r="B169" s="430" t="s">
        <v>630</v>
      </c>
      <c r="C169" s="430" t="s">
        <v>1170</v>
      </c>
      <c r="D169" s="435">
        <v>0</v>
      </c>
      <c r="E169" s="435">
        <v>0</v>
      </c>
      <c r="F169" s="435">
        <v>0</v>
      </c>
      <c r="G169" s="435">
        <v>0</v>
      </c>
      <c r="H169" s="435">
        <v>0</v>
      </c>
      <c r="I169" s="435">
        <v>0</v>
      </c>
      <c r="J169" s="435">
        <v>0</v>
      </c>
      <c r="K169" s="435">
        <v>0</v>
      </c>
    </row>
    <row r="170" spans="2:11" hidden="1" outlineLevel="1">
      <c r="B170" s="430" t="s">
        <v>630</v>
      </c>
      <c r="C170" s="430" t="s">
        <v>1091</v>
      </c>
      <c r="D170" s="435">
        <v>6621879.412535945</v>
      </c>
      <c r="E170" s="435">
        <v>2990361.2979181465</v>
      </c>
      <c r="F170" s="435">
        <v>146714.12176358575</v>
      </c>
      <c r="G170" s="435">
        <v>0</v>
      </c>
      <c r="H170" s="435">
        <v>0</v>
      </c>
      <c r="I170" s="435">
        <v>0</v>
      </c>
      <c r="J170" s="435">
        <v>59878.807191540611</v>
      </c>
      <c r="K170" s="435">
        <v>215104.03951418691</v>
      </c>
    </row>
    <row r="171" spans="2:11" hidden="1" outlineLevel="1">
      <c r="B171" s="430" t="s">
        <v>630</v>
      </c>
      <c r="C171" s="430" t="s">
        <v>1092</v>
      </c>
      <c r="D171" s="435">
        <v>4162711.5007776478</v>
      </c>
      <c r="E171" s="435">
        <v>2001773.4880817742</v>
      </c>
      <c r="F171" s="435">
        <v>0</v>
      </c>
      <c r="G171" s="435">
        <v>0</v>
      </c>
      <c r="H171" s="435">
        <v>0</v>
      </c>
      <c r="I171" s="435">
        <v>0</v>
      </c>
      <c r="J171" s="435">
        <v>0</v>
      </c>
      <c r="K171" s="435">
        <v>226673.7788359616</v>
      </c>
    </row>
    <row r="172" spans="2:11" hidden="1" outlineLevel="1">
      <c r="B172" s="430" t="s">
        <v>630</v>
      </c>
      <c r="C172" s="430" t="s">
        <v>1093</v>
      </c>
      <c r="D172" s="435">
        <v>11716275.511208959</v>
      </c>
      <c r="E172" s="435">
        <v>6415268.9985720925</v>
      </c>
      <c r="F172" s="435">
        <v>525550.57127979188</v>
      </c>
      <c r="G172" s="435">
        <v>0</v>
      </c>
      <c r="H172" s="435">
        <v>0</v>
      </c>
      <c r="I172" s="435">
        <v>0</v>
      </c>
      <c r="J172" s="435">
        <v>91338.902922091656</v>
      </c>
      <c r="K172" s="435">
        <v>530323.74008555943</v>
      </c>
    </row>
    <row r="173" spans="2:11" hidden="1" outlineLevel="1">
      <c r="B173" s="430" t="s">
        <v>630</v>
      </c>
      <c r="C173" s="430" t="s">
        <v>1094</v>
      </c>
      <c r="D173" s="435">
        <v>10789896.878575906</v>
      </c>
      <c r="E173" s="435">
        <v>4659798.3434358919</v>
      </c>
      <c r="F173" s="435">
        <v>16694.191843506916</v>
      </c>
      <c r="G173" s="435">
        <v>0</v>
      </c>
      <c r="H173" s="435">
        <v>0</v>
      </c>
      <c r="I173" s="435">
        <v>0</v>
      </c>
      <c r="J173" s="435">
        <v>19414.921934670536</v>
      </c>
      <c r="K173" s="435">
        <v>162443.81090530622</v>
      </c>
    </row>
    <row r="174" spans="2:11" hidden="1" outlineLevel="1">
      <c r="B174" s="430" t="s">
        <v>630</v>
      </c>
      <c r="C174" s="430" t="s">
        <v>1095</v>
      </c>
      <c r="D174" s="435">
        <v>7049694.2243986726</v>
      </c>
      <c r="E174" s="435">
        <v>3316152.785815795</v>
      </c>
      <c r="F174" s="435">
        <v>0</v>
      </c>
      <c r="G174" s="435">
        <v>0</v>
      </c>
      <c r="H174" s="435">
        <v>0</v>
      </c>
      <c r="I174" s="435">
        <v>0</v>
      </c>
      <c r="J174" s="435">
        <v>90424.789541529521</v>
      </c>
      <c r="K174" s="435">
        <v>403399.87030159082</v>
      </c>
    </row>
    <row r="175" spans="2:11" hidden="1" outlineLevel="1">
      <c r="B175" s="430" t="s">
        <v>630</v>
      </c>
      <c r="C175" s="430" t="s">
        <v>1096</v>
      </c>
      <c r="D175" s="435">
        <v>35329320.871670403</v>
      </c>
      <c r="E175" s="435">
        <v>15261320.868300993</v>
      </c>
      <c r="F175" s="435">
        <v>135.73654066432192</v>
      </c>
      <c r="G175" s="435">
        <v>0</v>
      </c>
      <c r="H175" s="435">
        <v>0</v>
      </c>
      <c r="I175" s="435">
        <v>0</v>
      </c>
      <c r="J175" s="435">
        <v>63110.874252552305</v>
      </c>
      <c r="K175" s="435">
        <v>586534.94889008068</v>
      </c>
    </row>
    <row r="176" spans="2:11" hidden="1" outlineLevel="1">
      <c r="B176" s="430" t="s">
        <v>630</v>
      </c>
      <c r="C176" s="430" t="s">
        <v>1097</v>
      </c>
      <c r="D176" s="435">
        <v>6954956.5113566583</v>
      </c>
      <c r="E176" s="435">
        <v>5049265.2735583549</v>
      </c>
      <c r="F176" s="435">
        <v>678159.06604041741</v>
      </c>
      <c r="G176" s="435">
        <v>0</v>
      </c>
      <c r="H176" s="435">
        <v>0</v>
      </c>
      <c r="I176" s="435">
        <v>0</v>
      </c>
      <c r="J176" s="435">
        <v>17382.150455331401</v>
      </c>
      <c r="K176" s="435">
        <v>370095.57299674809</v>
      </c>
    </row>
    <row r="177" spans="2:11" hidden="1" outlineLevel="1">
      <c r="B177" s="430" t="s">
        <v>631</v>
      </c>
      <c r="C177" s="430" t="s">
        <v>1076</v>
      </c>
      <c r="D177" s="435">
        <v>1100353.0825032438</v>
      </c>
      <c r="E177" s="435">
        <v>1010626.7032852992</v>
      </c>
      <c r="F177" s="435">
        <v>0</v>
      </c>
      <c r="G177" s="435">
        <v>0</v>
      </c>
      <c r="H177" s="435">
        <v>0</v>
      </c>
      <c r="I177" s="435">
        <v>0</v>
      </c>
      <c r="J177" s="435">
        <v>17302.888919636429</v>
      </c>
      <c r="K177" s="435">
        <v>16283.96976774107</v>
      </c>
    </row>
    <row r="178" spans="2:11" hidden="1" outlineLevel="1">
      <c r="B178" s="430" t="s">
        <v>631</v>
      </c>
      <c r="C178" s="430" t="s">
        <v>1077</v>
      </c>
      <c r="D178" s="435">
        <v>3519474.5995497908</v>
      </c>
      <c r="E178" s="435">
        <v>402798.30001233454</v>
      </c>
      <c r="F178" s="435">
        <v>0</v>
      </c>
      <c r="G178" s="435">
        <v>0</v>
      </c>
      <c r="H178" s="435">
        <v>0</v>
      </c>
      <c r="I178" s="435">
        <v>0</v>
      </c>
      <c r="J178" s="435">
        <v>20899.235489652616</v>
      </c>
      <c r="K178" s="435">
        <v>0</v>
      </c>
    </row>
    <row r="179" spans="2:11" hidden="1" outlineLevel="1">
      <c r="B179" s="430" t="s">
        <v>631</v>
      </c>
      <c r="C179" s="430" t="s">
        <v>1078</v>
      </c>
      <c r="D179" s="435">
        <v>1596893.548270162</v>
      </c>
      <c r="E179" s="435">
        <v>570827.27466090699</v>
      </c>
      <c r="F179" s="435">
        <v>622123.38334269868</v>
      </c>
      <c r="G179" s="435">
        <v>0</v>
      </c>
      <c r="H179" s="435">
        <v>0</v>
      </c>
      <c r="I179" s="435">
        <v>0</v>
      </c>
      <c r="J179" s="435">
        <v>973.69799759660907</v>
      </c>
      <c r="K179" s="435">
        <v>47579.25786248425</v>
      </c>
    </row>
    <row r="180" spans="2:11" hidden="1" outlineLevel="1">
      <c r="B180" s="430" t="s">
        <v>631</v>
      </c>
      <c r="C180" s="430" t="s">
        <v>1079</v>
      </c>
      <c r="D180" s="435">
        <v>3197591.1269872924</v>
      </c>
      <c r="E180" s="435">
        <v>528926.294971711</v>
      </c>
      <c r="F180" s="435">
        <v>244655.98685666162</v>
      </c>
      <c r="G180" s="435">
        <v>0</v>
      </c>
      <c r="H180" s="435">
        <v>0</v>
      </c>
      <c r="I180" s="435">
        <v>0</v>
      </c>
      <c r="J180" s="435">
        <v>107566.57105345896</v>
      </c>
      <c r="K180" s="435">
        <v>234633.06965872055</v>
      </c>
    </row>
    <row r="181" spans="2:11" hidden="1" outlineLevel="1">
      <c r="B181" s="430" t="s">
        <v>631</v>
      </c>
      <c r="C181" s="430" t="s">
        <v>1080</v>
      </c>
      <c r="D181" s="435">
        <v>7344800.4364121938</v>
      </c>
      <c r="E181" s="435">
        <v>2260162.9561243011</v>
      </c>
      <c r="F181" s="435">
        <v>749953.92732611531</v>
      </c>
      <c r="G181" s="435">
        <v>0</v>
      </c>
      <c r="H181" s="435">
        <v>0</v>
      </c>
      <c r="I181" s="435">
        <v>0</v>
      </c>
      <c r="J181" s="435">
        <v>596568.05628693546</v>
      </c>
      <c r="K181" s="435">
        <v>638382.95967206685</v>
      </c>
    </row>
    <row r="182" spans="2:11" hidden="1" outlineLevel="1">
      <c r="B182" s="430" t="s">
        <v>631</v>
      </c>
      <c r="C182" s="430" t="s">
        <v>1081</v>
      </c>
      <c r="D182" s="435">
        <v>8039578.3763451269</v>
      </c>
      <c r="E182" s="435">
        <v>2185836.3867615601</v>
      </c>
      <c r="F182" s="435">
        <v>582131.69165127375</v>
      </c>
      <c r="G182" s="435">
        <v>0</v>
      </c>
      <c r="H182" s="435">
        <v>0</v>
      </c>
      <c r="I182" s="435">
        <v>0</v>
      </c>
      <c r="J182" s="435">
        <v>157972.42303074256</v>
      </c>
      <c r="K182" s="435">
        <v>376473.48962824699</v>
      </c>
    </row>
    <row r="183" spans="2:11" hidden="1" outlineLevel="1">
      <c r="B183" s="430" t="s">
        <v>631</v>
      </c>
      <c r="C183" s="430" t="s">
        <v>1082</v>
      </c>
      <c r="D183" s="435">
        <v>12373881.452501521</v>
      </c>
      <c r="E183" s="435">
        <v>3906258.9550083899</v>
      </c>
      <c r="F183" s="435">
        <v>6906360.6437796028</v>
      </c>
      <c r="G183" s="435">
        <v>294677.93651885045</v>
      </c>
      <c r="H183" s="435">
        <v>0</v>
      </c>
      <c r="I183" s="435">
        <v>0</v>
      </c>
      <c r="J183" s="435">
        <v>0</v>
      </c>
      <c r="K183" s="435">
        <v>1290887.1104732179</v>
      </c>
    </row>
    <row r="184" spans="2:11" hidden="1" outlineLevel="1">
      <c r="B184" s="430" t="s">
        <v>631</v>
      </c>
      <c r="C184" s="430" t="s">
        <v>1171</v>
      </c>
      <c r="D184" s="435">
        <v>7916677.5939243371</v>
      </c>
      <c r="E184" s="435">
        <v>3700405.4141291804</v>
      </c>
      <c r="F184" s="435">
        <v>86146.768340725757</v>
      </c>
      <c r="G184" s="435">
        <v>0</v>
      </c>
      <c r="H184" s="435">
        <v>0</v>
      </c>
      <c r="I184" s="435">
        <v>0</v>
      </c>
      <c r="J184" s="435">
        <v>43130.580079103951</v>
      </c>
      <c r="K184" s="435">
        <v>287585.00812785729</v>
      </c>
    </row>
    <row r="185" spans="2:11" hidden="1" outlineLevel="1">
      <c r="B185" s="430" t="s">
        <v>633</v>
      </c>
      <c r="C185" s="430" t="s">
        <v>1187</v>
      </c>
      <c r="D185" s="435">
        <v>3975291.4974163952</v>
      </c>
      <c r="E185" s="435">
        <v>68576.890584375215</v>
      </c>
      <c r="F185" s="435">
        <v>0</v>
      </c>
      <c r="G185" s="435">
        <v>0</v>
      </c>
      <c r="H185" s="435">
        <v>0</v>
      </c>
      <c r="I185" s="435">
        <v>0</v>
      </c>
      <c r="J185" s="435">
        <v>16990.025580756006</v>
      </c>
      <c r="K185" s="435">
        <v>113.50385168295416</v>
      </c>
    </row>
    <row r="186" spans="2:11" hidden="1" outlineLevel="1">
      <c r="B186" s="430" t="s">
        <v>633</v>
      </c>
      <c r="C186" s="430" t="s">
        <v>1193</v>
      </c>
      <c r="D186" s="435">
        <v>11750552.236565653</v>
      </c>
      <c r="E186" s="435">
        <v>364440.32317241572</v>
      </c>
      <c r="F186" s="435">
        <v>0</v>
      </c>
      <c r="G186" s="435">
        <v>0</v>
      </c>
      <c r="H186" s="435">
        <v>0</v>
      </c>
      <c r="I186" s="435">
        <v>0</v>
      </c>
      <c r="J186" s="435">
        <v>280955.02391743526</v>
      </c>
      <c r="K186" s="435">
        <v>84674.190704532695</v>
      </c>
    </row>
    <row r="187" spans="2:11" hidden="1" outlineLevel="1">
      <c r="B187" s="430" t="s">
        <v>633</v>
      </c>
      <c r="C187" s="430" t="s">
        <v>1195</v>
      </c>
      <c r="D187" s="435">
        <v>8557564.0909695569</v>
      </c>
      <c r="E187" s="435">
        <v>371531.23099974816</v>
      </c>
      <c r="F187" s="435">
        <v>0</v>
      </c>
      <c r="G187" s="435">
        <v>0</v>
      </c>
      <c r="H187" s="435">
        <v>0</v>
      </c>
      <c r="I187" s="435">
        <v>0</v>
      </c>
      <c r="J187" s="435">
        <v>0</v>
      </c>
      <c r="K187" s="435">
        <v>0</v>
      </c>
    </row>
    <row r="188" spans="2:11" hidden="1" outlineLevel="1">
      <c r="B188" s="430" t="s">
        <v>632</v>
      </c>
      <c r="C188" s="430" t="s">
        <v>1196</v>
      </c>
      <c r="D188" s="435">
        <v>6885020.5946795009</v>
      </c>
      <c r="E188" s="435">
        <v>1707030.8180027376</v>
      </c>
      <c r="F188" s="435">
        <v>208611.30601009287</v>
      </c>
      <c r="G188" s="435">
        <v>0</v>
      </c>
      <c r="H188" s="435">
        <v>0</v>
      </c>
      <c r="I188" s="435">
        <v>0</v>
      </c>
      <c r="J188" s="435">
        <v>0</v>
      </c>
      <c r="K188" s="435">
        <v>264083.75789977412</v>
      </c>
    </row>
    <row r="189" spans="2:11" hidden="1" outlineLevel="1">
      <c r="B189" s="430" t="s">
        <v>632</v>
      </c>
      <c r="C189" s="430" t="s">
        <v>1197</v>
      </c>
      <c r="D189" s="435">
        <v>5068799.7868632264</v>
      </c>
      <c r="E189" s="435">
        <v>723209.57331364043</v>
      </c>
      <c r="F189" s="435">
        <v>996808.51241349487</v>
      </c>
      <c r="G189" s="435">
        <v>1314.391032362227</v>
      </c>
      <c r="H189" s="435">
        <v>3019.5469662375485</v>
      </c>
      <c r="I189" s="435">
        <v>0</v>
      </c>
      <c r="J189" s="435">
        <v>31302.586931957627</v>
      </c>
      <c r="K189" s="435">
        <v>176113.41884575546</v>
      </c>
    </row>
    <row r="190" spans="2:11" hidden="1" outlineLevel="1">
      <c r="B190" s="430" t="s">
        <v>632</v>
      </c>
      <c r="C190" s="430" t="s">
        <v>1198</v>
      </c>
      <c r="D190" s="435">
        <v>8501405.3288375363</v>
      </c>
      <c r="E190" s="435">
        <v>1153717.8386113357</v>
      </c>
      <c r="F190" s="435">
        <v>1654240.5822657775</v>
      </c>
      <c r="G190" s="435">
        <v>0</v>
      </c>
      <c r="H190" s="435">
        <v>0</v>
      </c>
      <c r="I190" s="435">
        <v>0</v>
      </c>
      <c r="J190" s="435">
        <v>206073.28874295353</v>
      </c>
      <c r="K190" s="435">
        <v>185277.26800363557</v>
      </c>
    </row>
    <row r="191" spans="2:11" hidden="1" outlineLevel="1">
      <c r="B191" s="430" t="s">
        <v>632</v>
      </c>
      <c r="C191" s="430" t="s">
        <v>1199</v>
      </c>
      <c r="D191" s="435">
        <v>3317646.6657707593</v>
      </c>
      <c r="E191" s="435">
        <v>375471.70783975848</v>
      </c>
      <c r="F191" s="435">
        <v>0</v>
      </c>
      <c r="G191" s="435">
        <v>0</v>
      </c>
      <c r="H191" s="435">
        <v>0</v>
      </c>
      <c r="I191" s="435">
        <v>0</v>
      </c>
      <c r="J191" s="435">
        <v>0</v>
      </c>
      <c r="K191" s="435">
        <v>49880.530750369129</v>
      </c>
    </row>
    <row r="192" spans="2:11" hidden="1" outlineLevel="1">
      <c r="B192" s="430" t="s">
        <v>632</v>
      </c>
      <c r="C192" s="430" t="s">
        <v>1200</v>
      </c>
      <c r="D192" s="435">
        <v>1674732.0320913938</v>
      </c>
      <c r="E192" s="435">
        <v>916723.35988154134</v>
      </c>
      <c r="F192" s="435">
        <v>0</v>
      </c>
      <c r="G192" s="435">
        <v>0</v>
      </c>
      <c r="H192" s="435">
        <v>0</v>
      </c>
      <c r="I192" s="435">
        <v>0</v>
      </c>
      <c r="J192" s="435">
        <v>5841.745182044363</v>
      </c>
      <c r="K192" s="435">
        <v>193406.06158710134</v>
      </c>
    </row>
    <row r="193" spans="2:11" hidden="1" outlineLevel="1">
      <c r="B193" s="431"/>
      <c r="C193" s="431" t="s">
        <v>1173</v>
      </c>
      <c r="D193" s="436"/>
      <c r="E193" s="436"/>
      <c r="F193" s="436"/>
      <c r="G193" s="436"/>
      <c r="H193" s="436"/>
      <c r="I193" s="436"/>
      <c r="J193" s="436"/>
      <c r="K193" s="436"/>
    </row>
    <row r="194" spans="2:11" hidden="1" outlineLevel="1"/>
    <row r="195" spans="2:11" hidden="1" outlineLevel="1">
      <c r="B195" s="372" t="s">
        <v>1202</v>
      </c>
    </row>
    <row r="196" spans="2:11" hidden="1" outlineLevel="1"/>
    <row r="197" spans="2:11" hidden="1" outlineLevel="1"/>
    <row r="198" spans="2:11" hidden="1" outlineLevel="1"/>
    <row r="199" spans="2:11" ht="15" hidden="1" outlineLevel="1" thickBot="1">
      <c r="B199" s="1226" t="s">
        <v>1174</v>
      </c>
      <c r="C199" s="1226" t="s">
        <v>1175</v>
      </c>
      <c r="D199" s="1316" t="s">
        <v>260</v>
      </c>
      <c r="E199" s="1316" t="s">
        <v>264</v>
      </c>
      <c r="F199" s="1316" t="s">
        <v>262</v>
      </c>
      <c r="G199" s="1316" t="s">
        <v>269</v>
      </c>
      <c r="H199" s="1316" t="s">
        <v>1167</v>
      </c>
      <c r="I199" s="1316" t="s">
        <v>275</v>
      </c>
      <c r="J199" s="1316" t="s">
        <v>1168</v>
      </c>
      <c r="K199" s="1316" t="s">
        <v>286</v>
      </c>
    </row>
    <row r="200" spans="2:11" hidden="1" outlineLevel="1">
      <c r="B200" s="429" t="s">
        <v>629</v>
      </c>
      <c r="C200" s="429" t="s">
        <v>1072</v>
      </c>
      <c r="D200" s="434">
        <v>0</v>
      </c>
      <c r="E200" s="434">
        <v>0</v>
      </c>
      <c r="F200" s="434">
        <v>0</v>
      </c>
      <c r="G200" s="434">
        <v>0</v>
      </c>
      <c r="H200" s="434">
        <v>0</v>
      </c>
      <c r="I200" s="434">
        <v>0</v>
      </c>
      <c r="J200" s="434">
        <v>0</v>
      </c>
      <c r="K200" s="434"/>
    </row>
    <row r="201" spans="2:11" hidden="1" outlineLevel="1">
      <c r="B201" s="430" t="s">
        <v>629</v>
      </c>
      <c r="C201" s="430" t="s">
        <v>1074</v>
      </c>
      <c r="D201" s="435">
        <v>0</v>
      </c>
      <c r="E201" s="435">
        <v>0</v>
      </c>
      <c r="F201" s="435">
        <v>0</v>
      </c>
      <c r="G201" s="435">
        <v>0</v>
      </c>
      <c r="H201" s="435">
        <v>0</v>
      </c>
      <c r="I201" s="435">
        <v>0</v>
      </c>
      <c r="J201" s="435">
        <v>0</v>
      </c>
      <c r="K201" s="435">
        <v>0</v>
      </c>
    </row>
    <row r="202" spans="2:11" hidden="1" outlineLevel="1">
      <c r="B202" s="430" t="s">
        <v>630</v>
      </c>
      <c r="C202" s="430" t="s">
        <v>1170</v>
      </c>
      <c r="D202" s="435">
        <v>0</v>
      </c>
      <c r="E202" s="435">
        <v>0</v>
      </c>
      <c r="F202" s="435">
        <v>0</v>
      </c>
      <c r="G202" s="435">
        <v>0</v>
      </c>
      <c r="H202" s="435">
        <v>0</v>
      </c>
      <c r="I202" s="435">
        <v>0</v>
      </c>
      <c r="J202" s="435">
        <v>0</v>
      </c>
      <c r="K202" s="435">
        <v>0</v>
      </c>
    </row>
    <row r="203" spans="2:11" hidden="1" outlineLevel="1">
      <c r="B203" s="430" t="s">
        <v>630</v>
      </c>
      <c r="C203" s="430" t="s">
        <v>1091</v>
      </c>
      <c r="D203" s="435">
        <v>335837.66814836051</v>
      </c>
      <c r="E203" s="435">
        <v>136458.95761714349</v>
      </c>
      <c r="F203" s="435">
        <v>0</v>
      </c>
      <c r="G203" s="435">
        <v>0</v>
      </c>
      <c r="H203" s="435">
        <v>0</v>
      </c>
      <c r="I203" s="435">
        <v>0</v>
      </c>
      <c r="J203" s="435">
        <v>0</v>
      </c>
      <c r="K203" s="435">
        <v>0</v>
      </c>
    </row>
    <row r="204" spans="2:11" hidden="1" outlineLevel="1">
      <c r="B204" s="430" t="s">
        <v>630</v>
      </c>
      <c r="C204" s="430" t="s">
        <v>1092</v>
      </c>
      <c r="D204" s="435">
        <v>300831.32039524679</v>
      </c>
      <c r="E204" s="435">
        <v>0</v>
      </c>
      <c r="F204" s="435">
        <v>0</v>
      </c>
      <c r="G204" s="435">
        <v>0</v>
      </c>
      <c r="H204" s="435">
        <v>0</v>
      </c>
      <c r="I204" s="435">
        <v>0</v>
      </c>
      <c r="J204" s="435">
        <v>0</v>
      </c>
      <c r="K204" s="435">
        <v>0</v>
      </c>
    </row>
    <row r="205" spans="2:11" hidden="1" outlineLevel="1">
      <c r="B205" s="430" t="s">
        <v>630</v>
      </c>
      <c r="C205" s="430" t="s">
        <v>1093</v>
      </c>
      <c r="D205" s="435">
        <v>515834.88510496251</v>
      </c>
      <c r="E205" s="435">
        <v>251675.41333271962</v>
      </c>
      <c r="F205" s="435">
        <v>139939.25062162083</v>
      </c>
      <c r="G205" s="435">
        <v>0</v>
      </c>
      <c r="H205" s="435">
        <v>0</v>
      </c>
      <c r="I205" s="435">
        <v>0</v>
      </c>
      <c r="J205" s="435">
        <v>0</v>
      </c>
      <c r="K205" s="435">
        <v>0</v>
      </c>
    </row>
    <row r="206" spans="2:11" hidden="1" outlineLevel="1">
      <c r="B206" s="430" t="s">
        <v>630</v>
      </c>
      <c r="C206" s="430" t="s">
        <v>1094</v>
      </c>
      <c r="D206" s="435">
        <v>504583.62257053575</v>
      </c>
      <c r="E206" s="435">
        <v>231978.13765941796</v>
      </c>
      <c r="F206" s="435">
        <v>0</v>
      </c>
      <c r="G206" s="435">
        <v>0</v>
      </c>
      <c r="H206" s="435">
        <v>0</v>
      </c>
      <c r="I206" s="435">
        <v>0</v>
      </c>
      <c r="J206" s="435">
        <v>0</v>
      </c>
      <c r="K206" s="435">
        <v>0</v>
      </c>
    </row>
    <row r="207" spans="2:11" hidden="1" outlineLevel="1">
      <c r="B207" s="430" t="s">
        <v>630</v>
      </c>
      <c r="C207" s="430" t="s">
        <v>1095</v>
      </c>
      <c r="D207" s="435">
        <v>342864.0435004913</v>
      </c>
      <c r="E207" s="435">
        <v>168299.81368222041</v>
      </c>
      <c r="F207" s="435">
        <v>0</v>
      </c>
      <c r="G207" s="435">
        <v>0</v>
      </c>
      <c r="H207" s="435">
        <v>0</v>
      </c>
      <c r="I207" s="435">
        <v>0</v>
      </c>
      <c r="J207" s="435">
        <v>0</v>
      </c>
      <c r="K207" s="435">
        <v>0</v>
      </c>
    </row>
    <row r="208" spans="2:11" hidden="1" outlineLevel="1">
      <c r="B208" s="430" t="s">
        <v>630</v>
      </c>
      <c r="C208" s="430" t="s">
        <v>1096</v>
      </c>
      <c r="D208" s="435">
        <v>1631033.893329449</v>
      </c>
      <c r="E208" s="435">
        <v>780848.63989151036</v>
      </c>
      <c r="F208" s="435">
        <v>0</v>
      </c>
      <c r="G208" s="435">
        <v>0</v>
      </c>
      <c r="H208" s="435">
        <v>0</v>
      </c>
      <c r="I208" s="435">
        <v>0</v>
      </c>
      <c r="J208" s="435">
        <v>0</v>
      </c>
      <c r="K208" s="435">
        <v>0</v>
      </c>
    </row>
    <row r="209" spans="2:11" hidden="1" outlineLevel="1">
      <c r="B209" s="430" t="s">
        <v>630</v>
      </c>
      <c r="C209" s="430" t="s">
        <v>1097</v>
      </c>
      <c r="D209" s="435">
        <v>408924.59011785145</v>
      </c>
      <c r="E209" s="435">
        <v>203791.36496143378</v>
      </c>
      <c r="F209" s="435">
        <v>2481.2188967169814</v>
      </c>
      <c r="G209" s="435">
        <v>0</v>
      </c>
      <c r="H209" s="435">
        <v>0</v>
      </c>
      <c r="I209" s="435">
        <v>0</v>
      </c>
      <c r="J209" s="435">
        <v>0</v>
      </c>
      <c r="K209" s="435">
        <v>0</v>
      </c>
    </row>
    <row r="210" spans="2:11" hidden="1" outlineLevel="1">
      <c r="B210" s="430" t="s">
        <v>631</v>
      </c>
      <c r="C210" s="430" t="s">
        <v>1076</v>
      </c>
      <c r="D210" s="435">
        <v>132025.25969283318</v>
      </c>
      <c r="E210" s="435">
        <v>54804.647697949513</v>
      </c>
      <c r="F210" s="435">
        <v>0</v>
      </c>
      <c r="G210" s="435">
        <v>0</v>
      </c>
      <c r="H210" s="435">
        <v>0</v>
      </c>
      <c r="I210" s="435">
        <v>0</v>
      </c>
      <c r="J210" s="435">
        <v>18268.093555919786</v>
      </c>
      <c r="K210" s="435">
        <v>0</v>
      </c>
    </row>
    <row r="211" spans="2:11" hidden="1" outlineLevel="1">
      <c r="B211" s="430" t="s">
        <v>631</v>
      </c>
      <c r="C211" s="430" t="s">
        <v>1077</v>
      </c>
      <c r="D211" s="435">
        <v>186238.18526236436</v>
      </c>
      <c r="E211" s="435">
        <v>190871.43936555003</v>
      </c>
      <c r="F211" s="435">
        <v>0</v>
      </c>
      <c r="G211" s="435">
        <v>0</v>
      </c>
      <c r="H211" s="435">
        <v>0</v>
      </c>
      <c r="I211" s="435">
        <v>0</v>
      </c>
      <c r="J211" s="435">
        <v>0</v>
      </c>
      <c r="K211" s="435">
        <v>0</v>
      </c>
    </row>
    <row r="212" spans="2:11" hidden="1" outlineLevel="1">
      <c r="B212" s="430" t="s">
        <v>631</v>
      </c>
      <c r="C212" s="430" t="s">
        <v>1078</v>
      </c>
      <c r="D212" s="435">
        <v>158181.08845915002</v>
      </c>
      <c r="E212" s="435">
        <v>24894.61496090658</v>
      </c>
      <c r="F212" s="435">
        <v>88377.545816088648</v>
      </c>
      <c r="G212" s="435">
        <v>0</v>
      </c>
      <c r="H212" s="435">
        <v>0</v>
      </c>
      <c r="I212" s="435">
        <v>0</v>
      </c>
      <c r="J212" s="435">
        <v>0</v>
      </c>
      <c r="K212" s="435">
        <v>0</v>
      </c>
    </row>
    <row r="213" spans="2:11" hidden="1" outlineLevel="1">
      <c r="B213" s="430" t="s">
        <v>631</v>
      </c>
      <c r="C213" s="430" t="s">
        <v>1079</v>
      </c>
      <c r="D213" s="435">
        <v>192682.22125335669</v>
      </c>
      <c r="E213" s="435">
        <v>5875.6933925839576</v>
      </c>
      <c r="F213" s="435">
        <v>213956.2835368503</v>
      </c>
      <c r="G213" s="435">
        <v>0</v>
      </c>
      <c r="H213" s="435">
        <v>0</v>
      </c>
      <c r="I213" s="435">
        <v>0</v>
      </c>
      <c r="J213" s="435">
        <v>0</v>
      </c>
      <c r="K213" s="435">
        <v>0</v>
      </c>
    </row>
    <row r="214" spans="2:11" hidden="1" outlineLevel="1">
      <c r="B214" s="430" t="s">
        <v>631</v>
      </c>
      <c r="C214" s="430" t="s">
        <v>1080</v>
      </c>
      <c r="D214" s="435">
        <v>999014.47815479594</v>
      </c>
      <c r="E214" s="435">
        <v>104814.57861344973</v>
      </c>
      <c r="F214" s="435">
        <v>0</v>
      </c>
      <c r="G214" s="435">
        <v>0</v>
      </c>
      <c r="H214" s="435">
        <v>0</v>
      </c>
      <c r="I214" s="435">
        <v>0</v>
      </c>
      <c r="J214" s="435">
        <v>4558.5028501050792</v>
      </c>
      <c r="K214" s="435">
        <v>22.30632610119752</v>
      </c>
    </row>
    <row r="215" spans="2:11" hidden="1" outlineLevel="1">
      <c r="B215" s="430" t="s">
        <v>631</v>
      </c>
      <c r="C215" s="430" t="s">
        <v>1081</v>
      </c>
      <c r="D215" s="435">
        <v>1084703.9737850837</v>
      </c>
      <c r="E215" s="435">
        <v>0</v>
      </c>
      <c r="F215" s="435">
        <v>0</v>
      </c>
      <c r="G215" s="435">
        <v>0</v>
      </c>
      <c r="H215" s="435">
        <v>0</v>
      </c>
      <c r="I215" s="435">
        <v>0</v>
      </c>
      <c r="J215" s="435">
        <v>0</v>
      </c>
      <c r="K215" s="435">
        <v>0</v>
      </c>
    </row>
    <row r="216" spans="2:11" hidden="1" outlineLevel="1">
      <c r="B216" s="430" t="s">
        <v>631</v>
      </c>
      <c r="C216" s="430" t="s">
        <v>1082</v>
      </c>
      <c r="D216" s="435">
        <v>1475986.3081733049</v>
      </c>
      <c r="E216" s="435">
        <v>244963.4416785709</v>
      </c>
      <c r="F216" s="435">
        <v>632755.26061532926</v>
      </c>
      <c r="G216" s="435">
        <v>12282.438374665608</v>
      </c>
      <c r="H216" s="435">
        <v>49.074364351369518</v>
      </c>
      <c r="I216" s="435">
        <v>0</v>
      </c>
      <c r="J216" s="435">
        <v>28.040307127497094</v>
      </c>
      <c r="K216" s="435">
        <v>3039.352732038014</v>
      </c>
    </row>
    <row r="217" spans="2:11" hidden="1" outlineLevel="1">
      <c r="B217" s="430" t="s">
        <v>631</v>
      </c>
      <c r="C217" s="430" t="s">
        <v>1171</v>
      </c>
      <c r="D217" s="435">
        <v>827016.76545657613</v>
      </c>
      <c r="E217" s="435">
        <v>294283.06470012647</v>
      </c>
      <c r="F217" s="435">
        <v>29579.833172527276</v>
      </c>
      <c r="G217" s="435">
        <v>0</v>
      </c>
      <c r="H217" s="435">
        <v>0</v>
      </c>
      <c r="I217" s="435">
        <v>0</v>
      </c>
      <c r="J217" s="435">
        <v>0</v>
      </c>
      <c r="K217" s="435">
        <v>0</v>
      </c>
    </row>
    <row r="218" spans="2:11" hidden="1" outlineLevel="1">
      <c r="B218" s="430" t="s">
        <v>633</v>
      </c>
      <c r="C218" s="430" t="s">
        <v>1187</v>
      </c>
      <c r="D218" s="435">
        <v>357859.94429521344</v>
      </c>
      <c r="E218" s="435">
        <v>176262.32485440664</v>
      </c>
      <c r="F218" s="435">
        <v>0</v>
      </c>
      <c r="G218" s="435">
        <v>0</v>
      </c>
      <c r="H218" s="435">
        <v>0</v>
      </c>
      <c r="I218" s="435">
        <v>0</v>
      </c>
      <c r="J218" s="435">
        <v>0</v>
      </c>
      <c r="K218" s="435">
        <v>0</v>
      </c>
    </row>
    <row r="219" spans="2:11" hidden="1" outlineLevel="1">
      <c r="B219" s="430" t="s">
        <v>633</v>
      </c>
      <c r="C219" s="430" t="s">
        <v>1193</v>
      </c>
      <c r="D219" s="435">
        <v>1099812.1699734535</v>
      </c>
      <c r="E219" s="435">
        <v>541710.63738759444</v>
      </c>
      <c r="F219" s="435">
        <v>0</v>
      </c>
      <c r="G219" s="435">
        <v>0</v>
      </c>
      <c r="H219" s="435">
        <v>0</v>
      </c>
      <c r="I219" s="435">
        <v>0</v>
      </c>
      <c r="J219" s="435">
        <v>0</v>
      </c>
      <c r="K219" s="435">
        <v>0</v>
      </c>
    </row>
    <row r="220" spans="2:11" hidden="1" outlineLevel="1">
      <c r="B220" s="430" t="s">
        <v>633</v>
      </c>
      <c r="C220" s="430" t="s">
        <v>1195</v>
      </c>
      <c r="D220" s="435">
        <v>1116028.8289433727</v>
      </c>
      <c r="E220" s="435">
        <v>58376.892590884105</v>
      </c>
      <c r="F220" s="435">
        <v>0</v>
      </c>
      <c r="G220" s="435">
        <v>0</v>
      </c>
      <c r="H220" s="435">
        <v>0</v>
      </c>
      <c r="I220" s="435">
        <v>0</v>
      </c>
      <c r="J220" s="435">
        <v>0</v>
      </c>
      <c r="K220" s="435">
        <v>0</v>
      </c>
    </row>
    <row r="221" spans="2:11" hidden="1" outlineLevel="1">
      <c r="B221" s="430" t="s">
        <v>632</v>
      </c>
      <c r="C221" s="430" t="s">
        <v>1196</v>
      </c>
      <c r="D221" s="435">
        <v>1034927.2914073681</v>
      </c>
      <c r="E221" s="435">
        <v>71763.652918086576</v>
      </c>
      <c r="F221" s="435">
        <v>0</v>
      </c>
      <c r="G221" s="435">
        <v>0</v>
      </c>
      <c r="H221" s="435">
        <v>0</v>
      </c>
      <c r="I221" s="435">
        <v>0</v>
      </c>
      <c r="J221" s="435">
        <v>0</v>
      </c>
      <c r="K221" s="435">
        <v>0</v>
      </c>
    </row>
    <row r="222" spans="2:11" hidden="1" outlineLevel="1">
      <c r="B222" s="430" t="s">
        <v>632</v>
      </c>
      <c r="C222" s="430" t="s">
        <v>1197</v>
      </c>
      <c r="D222" s="435">
        <v>572755.3605694857</v>
      </c>
      <c r="E222" s="435">
        <v>84023.989061219021</v>
      </c>
      <c r="F222" s="435">
        <v>197887.44444926505</v>
      </c>
      <c r="G222" s="435">
        <v>0</v>
      </c>
      <c r="H222" s="435">
        <v>0</v>
      </c>
      <c r="I222" s="435">
        <v>0</v>
      </c>
      <c r="J222" s="435">
        <v>0</v>
      </c>
      <c r="K222" s="435">
        <v>14.032076117236551</v>
      </c>
    </row>
    <row r="223" spans="2:11" hidden="1" outlineLevel="1">
      <c r="B223" s="430" t="s">
        <v>632</v>
      </c>
      <c r="C223" s="430" t="s">
        <v>1198</v>
      </c>
      <c r="D223" s="435">
        <v>918853.56360227533</v>
      </c>
      <c r="E223" s="435">
        <v>52561.061541260911</v>
      </c>
      <c r="F223" s="435">
        <v>457094.66615747707</v>
      </c>
      <c r="G223" s="435">
        <v>0</v>
      </c>
      <c r="H223" s="435">
        <v>0</v>
      </c>
      <c r="I223" s="435">
        <v>0</v>
      </c>
      <c r="J223" s="435">
        <v>0</v>
      </c>
      <c r="K223" s="435">
        <v>0</v>
      </c>
    </row>
    <row r="224" spans="2:11" hidden="1" outlineLevel="1">
      <c r="B224" s="430" t="s">
        <v>632</v>
      </c>
      <c r="C224" s="430" t="s">
        <v>1199</v>
      </c>
      <c r="D224" s="435">
        <v>306176.22874205688</v>
      </c>
      <c r="E224" s="435">
        <v>150796.6168607478</v>
      </c>
      <c r="F224" s="435">
        <v>0</v>
      </c>
      <c r="G224" s="435">
        <v>0</v>
      </c>
      <c r="H224" s="435">
        <v>0</v>
      </c>
      <c r="I224" s="435">
        <v>0</v>
      </c>
      <c r="J224" s="435">
        <v>0</v>
      </c>
      <c r="K224" s="435">
        <v>0</v>
      </c>
    </row>
    <row r="225" spans="2:11" hidden="1" outlineLevel="1">
      <c r="B225" s="430" t="s">
        <v>632</v>
      </c>
      <c r="C225" s="430" t="s">
        <v>1200</v>
      </c>
      <c r="D225" s="435">
        <v>340709.57928313105</v>
      </c>
      <c r="E225" s="435">
        <v>0</v>
      </c>
      <c r="F225" s="435">
        <v>0</v>
      </c>
      <c r="G225" s="435">
        <v>0</v>
      </c>
      <c r="H225" s="435">
        <v>0</v>
      </c>
      <c r="I225" s="435">
        <v>0</v>
      </c>
      <c r="J225" s="435">
        <v>0</v>
      </c>
      <c r="K225" s="435">
        <v>0</v>
      </c>
    </row>
    <row r="226" spans="2:11" hidden="1" outlineLevel="1">
      <c r="B226" s="431"/>
      <c r="C226" s="431" t="s">
        <v>1173</v>
      </c>
      <c r="D226" s="436"/>
      <c r="E226" s="436"/>
      <c r="F226" s="436"/>
      <c r="G226" s="436"/>
      <c r="H226" s="436"/>
      <c r="I226" s="436"/>
      <c r="J226" s="436"/>
      <c r="K226" s="436"/>
    </row>
    <row r="227" spans="2:11" hidden="1" outlineLevel="1"/>
    <row r="228" spans="2:11" hidden="1" outlineLevel="1">
      <c r="B228" s="372" t="s">
        <v>1202</v>
      </c>
    </row>
    <row r="229" spans="2:11" collapsed="1"/>
  </sheetData>
  <mergeCells count="12">
    <mergeCell ref="AM3:AT3"/>
    <mergeCell ref="AU3:BC3"/>
    <mergeCell ref="E3:G3"/>
    <mergeCell ref="H3:N3"/>
    <mergeCell ref="O3:V3"/>
    <mergeCell ref="W3:AD3"/>
    <mergeCell ref="AE3:AL3"/>
    <mergeCell ref="B26:B30"/>
    <mergeCell ref="B15:B22"/>
    <mergeCell ref="B5:B6"/>
    <mergeCell ref="B7:B14"/>
    <mergeCell ref="B23:B25"/>
  </mergeCells>
  <phoneticPr fontId="68" type="noConversion"/>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EDADE-5EA4-4489-A3A1-F8ABA2971635}">
  <sheetPr>
    <tabColor theme="5" tint="0.59999389629810485"/>
  </sheetPr>
  <dimension ref="B2:O114"/>
  <sheetViews>
    <sheetView topLeftCell="I7" workbookViewId="0">
      <selection activeCell="L19" sqref="L19:L22"/>
    </sheetView>
  </sheetViews>
  <sheetFormatPr defaultColWidth="9" defaultRowHeight="14.45"/>
  <cols>
    <col min="1" max="1" width="3.625" style="1198" customWidth="1"/>
    <col min="2" max="2" width="15.5" style="1198" bestFit="1" customWidth="1"/>
    <col min="3" max="3" width="26.125" style="1198" bestFit="1" customWidth="1"/>
    <col min="4" max="4" width="30.875" style="1198" bestFit="1" customWidth="1"/>
    <col min="5" max="6" width="20.125" style="1198" bestFit="1" customWidth="1"/>
    <col min="7" max="7" width="22.875" style="1198" bestFit="1" customWidth="1"/>
    <col min="8" max="8" width="20.875" style="1198" bestFit="1" customWidth="1"/>
    <col min="9" max="9" width="22.875" style="1198" bestFit="1" customWidth="1"/>
    <col min="10" max="10" width="20.75" style="1198" bestFit="1" customWidth="1"/>
    <col min="11" max="11" width="22.875" style="1198" bestFit="1" customWidth="1"/>
    <col min="12" max="12" width="19.5" style="1198" bestFit="1" customWidth="1"/>
    <col min="13" max="13" width="22.875" style="1198" bestFit="1" customWidth="1"/>
    <col min="14" max="14" width="19.5" style="1198" bestFit="1" customWidth="1"/>
    <col min="15" max="15" width="26.75" style="1198" bestFit="1" customWidth="1"/>
    <col min="16" max="16" width="16.375" style="1198" bestFit="1" customWidth="1"/>
    <col min="17" max="17" width="12" style="1198" customWidth="1"/>
    <col min="18" max="18" width="9.125" style="1198" customWidth="1"/>
    <col min="19" max="16384" width="9" style="1198"/>
  </cols>
  <sheetData>
    <row r="2" spans="2:14">
      <c r="B2" s="1197" t="s">
        <v>1207</v>
      </c>
    </row>
    <row r="3" spans="2:14">
      <c r="B3" s="1197" t="s">
        <v>1208</v>
      </c>
    </row>
    <row r="4" spans="2:14">
      <c r="B4" s="1201" t="s">
        <v>1209</v>
      </c>
      <c r="C4" s="1201" t="s">
        <v>1210</v>
      </c>
      <c r="D4" s="1201" t="s">
        <v>778</v>
      </c>
      <c r="E4" s="1201" t="s">
        <v>1211</v>
      </c>
      <c r="F4" s="1201" t="s">
        <v>1212</v>
      </c>
      <c r="G4" s="1201" t="s">
        <v>1213</v>
      </c>
      <c r="H4" s="1201" t="s">
        <v>1214</v>
      </c>
      <c r="I4" s="1201" t="s">
        <v>1215</v>
      </c>
      <c r="J4" s="1201" t="s">
        <v>1216</v>
      </c>
      <c r="K4" s="1201" t="s">
        <v>1217</v>
      </c>
      <c r="L4" s="1201" t="s">
        <v>1218</v>
      </c>
      <c r="M4" s="1201" t="s">
        <v>1219</v>
      </c>
      <c r="N4" s="1202" t="s">
        <v>1220</v>
      </c>
    </row>
    <row r="5" spans="2:14">
      <c r="B5" s="430" t="s">
        <v>1221</v>
      </c>
      <c r="C5" s="1203" t="s">
        <v>1194</v>
      </c>
      <c r="D5" s="430" t="s">
        <v>1131</v>
      </c>
      <c r="E5" s="430" t="s">
        <v>1222</v>
      </c>
      <c r="F5" s="1204">
        <v>146645995.87</v>
      </c>
      <c r="G5" s="1204">
        <v>20439518.899999999</v>
      </c>
      <c r="H5" s="1204">
        <v>141176974.44</v>
      </c>
      <c r="I5" s="1204">
        <v>19677246.699999999</v>
      </c>
      <c r="J5" s="1204">
        <v>160363033.90000001</v>
      </c>
      <c r="K5" s="1204">
        <v>22351399.66</v>
      </c>
      <c r="L5" s="1204">
        <v>97015873.569999993</v>
      </c>
      <c r="M5" s="1204">
        <v>13522072.460000001</v>
      </c>
      <c r="N5" s="1205">
        <v>90526881.459999993</v>
      </c>
    </row>
    <row r="6" spans="2:14">
      <c r="B6" s="430" t="s">
        <v>1221</v>
      </c>
      <c r="C6" s="430" t="s">
        <v>1194</v>
      </c>
      <c r="D6" s="430" t="s">
        <v>1132</v>
      </c>
      <c r="E6" s="430" t="s">
        <v>1222</v>
      </c>
      <c r="F6" s="1204">
        <v>77860780.310000002</v>
      </c>
      <c r="G6" s="1204">
        <v>11481350.66</v>
      </c>
      <c r="H6" s="1204">
        <v>76167717.239999995</v>
      </c>
      <c r="I6" s="1204">
        <v>11231691.58</v>
      </c>
      <c r="J6" s="1204">
        <v>94126768.829999998</v>
      </c>
      <c r="K6" s="1204">
        <v>13879933.33</v>
      </c>
      <c r="L6" s="1204">
        <v>37052732.590000004</v>
      </c>
      <c r="M6" s="1204">
        <v>5463795.9500000002</v>
      </c>
      <c r="N6" s="1205">
        <v>28961810.949999999</v>
      </c>
    </row>
    <row r="7" spans="2:14">
      <c r="B7" s="430" t="s">
        <v>1221</v>
      </c>
      <c r="C7" s="430" t="s">
        <v>1194</v>
      </c>
      <c r="D7" s="430" t="s">
        <v>1133</v>
      </c>
      <c r="E7" s="430" t="s">
        <v>1222</v>
      </c>
      <c r="F7" s="1204">
        <v>193846082.80000001</v>
      </c>
      <c r="G7" s="1204">
        <v>29367681.539999999</v>
      </c>
      <c r="H7" s="1204">
        <v>192084422.87</v>
      </c>
      <c r="I7" s="1204">
        <v>29100790.059999999</v>
      </c>
      <c r="J7" s="1204">
        <v>12693209.119999999</v>
      </c>
      <c r="K7" s="1204">
        <v>1923021.18</v>
      </c>
      <c r="L7" s="1204">
        <v>0</v>
      </c>
      <c r="M7" s="1204">
        <v>0</v>
      </c>
      <c r="N7" s="1205">
        <v>0</v>
      </c>
    </row>
    <row r="8" spans="2:14">
      <c r="B8" s="430" t="s">
        <v>1221</v>
      </c>
      <c r="C8" s="430" t="s">
        <v>1194</v>
      </c>
      <c r="D8" s="430" t="s">
        <v>1134</v>
      </c>
      <c r="E8" s="430" t="s">
        <v>1222</v>
      </c>
      <c r="F8" s="1204">
        <v>719495.07</v>
      </c>
      <c r="G8" s="1204">
        <v>93016.320000000007</v>
      </c>
      <c r="H8" s="1204">
        <v>1433903.4</v>
      </c>
      <c r="I8" s="1204">
        <v>185375.03</v>
      </c>
      <c r="J8" s="1204">
        <v>8794187.2599999998</v>
      </c>
      <c r="K8" s="1204">
        <v>1136912.53</v>
      </c>
      <c r="L8" s="1204">
        <v>14509638.810000001</v>
      </c>
      <c r="M8" s="1204">
        <v>1875806.11</v>
      </c>
      <c r="N8" s="1205">
        <v>10860701.640000001</v>
      </c>
    </row>
    <row r="9" spans="2:14">
      <c r="B9" s="430" t="s">
        <v>1221</v>
      </c>
      <c r="C9" s="430" t="s">
        <v>1194</v>
      </c>
      <c r="D9" s="430" t="s">
        <v>636</v>
      </c>
      <c r="E9" s="430" t="s">
        <v>1223</v>
      </c>
      <c r="F9" s="1204">
        <v>14168364733.940001</v>
      </c>
      <c r="G9" s="1204">
        <v>123273274.2</v>
      </c>
      <c r="H9" s="1204">
        <v>16246085145.17</v>
      </c>
      <c r="I9" s="1204">
        <v>141350688.41</v>
      </c>
      <c r="J9" s="1204">
        <v>15705500653.280001</v>
      </c>
      <c r="K9" s="1204">
        <v>136647278.97999999</v>
      </c>
      <c r="L9" s="1204">
        <v>14577247613.58</v>
      </c>
      <c r="M9" s="1204">
        <v>126830800.59</v>
      </c>
      <c r="N9" s="1205">
        <v>14214533568.309999</v>
      </c>
    </row>
    <row r="10" spans="2:14">
      <c r="B10" s="430" t="s">
        <v>1221</v>
      </c>
      <c r="C10" s="430" t="s">
        <v>1194</v>
      </c>
      <c r="D10" s="430" t="s">
        <v>637</v>
      </c>
      <c r="E10" s="430" t="s">
        <v>1224</v>
      </c>
      <c r="F10" s="1204">
        <v>164840051823.53</v>
      </c>
      <c r="G10" s="1204">
        <v>177582187.83000001</v>
      </c>
      <c r="H10" s="1204">
        <v>156854670084.42001</v>
      </c>
      <c r="I10" s="1204">
        <v>168979536.08000001</v>
      </c>
      <c r="J10" s="1204">
        <v>177354752086.89999</v>
      </c>
      <c r="K10" s="1204">
        <v>191064274.41999999</v>
      </c>
      <c r="L10" s="1204">
        <v>179289161755.73001</v>
      </c>
      <c r="M10" s="1204">
        <v>193148213.96000001</v>
      </c>
      <c r="N10" s="1205">
        <v>228307193527.51999</v>
      </c>
    </row>
    <row r="11" spans="2:14">
      <c r="B11" s="430" t="s">
        <v>1221</v>
      </c>
      <c r="C11" s="430" t="s">
        <v>1194</v>
      </c>
      <c r="D11" s="430" t="s">
        <v>1124</v>
      </c>
      <c r="E11" s="430" t="s">
        <v>1225</v>
      </c>
      <c r="F11" s="1204">
        <v>1998982583.6700001</v>
      </c>
      <c r="G11" s="1204">
        <v>6314357.9400000004</v>
      </c>
      <c r="H11" s="1204">
        <v>2684576093.9200001</v>
      </c>
      <c r="I11" s="1204">
        <v>8480001.0299999993</v>
      </c>
      <c r="J11" s="1204">
        <v>2671762179.8800001</v>
      </c>
      <c r="K11" s="1204">
        <v>8439524.6199999992</v>
      </c>
      <c r="L11" s="1204">
        <v>2405299009.1599998</v>
      </c>
      <c r="M11" s="1204">
        <v>7597824.5199999996</v>
      </c>
      <c r="N11" s="1205">
        <v>2061282884.6300001</v>
      </c>
    </row>
    <row r="12" spans="2:14">
      <c r="B12" s="430" t="s">
        <v>1221</v>
      </c>
      <c r="C12" s="1203" t="s">
        <v>1226</v>
      </c>
      <c r="D12" s="430" t="s">
        <v>1131</v>
      </c>
      <c r="E12" s="430" t="s">
        <v>1222</v>
      </c>
      <c r="F12" s="1204">
        <v>83099254.700000003</v>
      </c>
      <c r="G12" s="1204">
        <v>11582374.119999999</v>
      </c>
      <c r="H12" s="1204">
        <v>80000147.890000001</v>
      </c>
      <c r="I12" s="1204">
        <v>11150420.609999999</v>
      </c>
      <c r="J12" s="1204">
        <v>90872229.540000007</v>
      </c>
      <c r="K12" s="1204">
        <v>12665771.35</v>
      </c>
      <c r="L12" s="1204">
        <v>54975567.109999999</v>
      </c>
      <c r="M12" s="1204">
        <v>7662494.54</v>
      </c>
      <c r="N12" s="1205">
        <v>51298477.909999996</v>
      </c>
    </row>
    <row r="13" spans="2:14">
      <c r="B13" s="430" t="s">
        <v>1221</v>
      </c>
      <c r="C13" s="430" t="s">
        <v>1226</v>
      </c>
      <c r="D13" s="430" t="s">
        <v>1132</v>
      </c>
      <c r="E13" s="430" t="s">
        <v>1222</v>
      </c>
      <c r="F13" s="1204">
        <v>13896492.65</v>
      </c>
      <c r="G13" s="1204">
        <v>2049176.81</v>
      </c>
      <c r="H13" s="1204">
        <v>13594316.91</v>
      </c>
      <c r="I13" s="1204">
        <v>2004617.97</v>
      </c>
      <c r="J13" s="1204">
        <v>16799625.510000002</v>
      </c>
      <c r="K13" s="1204">
        <v>2477272.7799999998</v>
      </c>
      <c r="L13" s="1204">
        <v>6613124.4000000004</v>
      </c>
      <c r="M13" s="1204">
        <v>975171.32</v>
      </c>
      <c r="N13" s="1205">
        <v>5169067.04</v>
      </c>
    </row>
    <row r="14" spans="2:14">
      <c r="B14" s="430" t="s">
        <v>1221</v>
      </c>
      <c r="C14" s="430" t="s">
        <v>1226</v>
      </c>
      <c r="D14" s="430" t="s">
        <v>1133</v>
      </c>
      <c r="E14" s="430" t="s">
        <v>1222</v>
      </c>
      <c r="F14" s="1204">
        <v>23786850.489999998</v>
      </c>
      <c r="G14" s="1204">
        <v>3603707.85</v>
      </c>
      <c r="H14" s="1204">
        <v>23570677.219999999</v>
      </c>
      <c r="I14" s="1204">
        <v>3570957.6</v>
      </c>
      <c r="J14" s="1204">
        <v>1557583.54</v>
      </c>
      <c r="K14" s="1204">
        <v>235973.91</v>
      </c>
      <c r="L14" s="1204">
        <v>0</v>
      </c>
      <c r="M14" s="1204">
        <v>0</v>
      </c>
      <c r="N14" s="1205">
        <v>0</v>
      </c>
    </row>
    <row r="15" spans="2:14">
      <c r="B15" s="430" t="s">
        <v>1221</v>
      </c>
      <c r="C15" s="430" t="s">
        <v>1226</v>
      </c>
      <c r="D15" s="430" t="s">
        <v>1134</v>
      </c>
      <c r="E15" s="430" t="s">
        <v>1222</v>
      </c>
      <c r="F15" s="1204">
        <v>181117.2</v>
      </c>
      <c r="G15" s="1204">
        <v>23414.83</v>
      </c>
      <c r="H15" s="1204">
        <v>360953.92</v>
      </c>
      <c r="I15" s="1204">
        <v>46664.12</v>
      </c>
      <c r="J15" s="1204">
        <v>2213744.88</v>
      </c>
      <c r="K15" s="1204">
        <v>286192.94</v>
      </c>
      <c r="L15" s="1204">
        <v>3652485.18</v>
      </c>
      <c r="M15" s="1204">
        <v>472193.28000000003</v>
      </c>
      <c r="N15" s="1205">
        <v>2733944.82</v>
      </c>
    </row>
    <row r="16" spans="2:14">
      <c r="B16" s="430" t="s">
        <v>1221</v>
      </c>
      <c r="C16" s="430" t="s">
        <v>1226</v>
      </c>
      <c r="D16" s="430" t="s">
        <v>636</v>
      </c>
      <c r="E16" s="430" t="s">
        <v>1223</v>
      </c>
      <c r="F16" s="1204">
        <v>26226076079.279999</v>
      </c>
      <c r="G16" s="1204">
        <v>228182597.53999999</v>
      </c>
      <c r="H16" s="1204">
        <v>25179409288.110001</v>
      </c>
      <c r="I16" s="1204">
        <v>219075968.44999999</v>
      </c>
      <c r="J16" s="1204">
        <v>24309477657.299999</v>
      </c>
      <c r="K16" s="1204">
        <v>211507041.31</v>
      </c>
      <c r="L16" s="1204">
        <v>20264309990.41</v>
      </c>
      <c r="M16" s="1204">
        <v>176311655.5</v>
      </c>
      <c r="N16" s="1205">
        <v>21949763750.82</v>
      </c>
    </row>
    <row r="17" spans="2:14">
      <c r="B17" s="430" t="s">
        <v>1221</v>
      </c>
      <c r="C17" s="430" t="s">
        <v>1226</v>
      </c>
      <c r="D17" s="430" t="s">
        <v>637</v>
      </c>
      <c r="E17" s="430" t="s">
        <v>1224</v>
      </c>
      <c r="F17" s="1204">
        <v>55128302373.379997</v>
      </c>
      <c r="G17" s="1204">
        <v>59389720.149999999</v>
      </c>
      <c r="H17" s="1204">
        <v>88813852860.940002</v>
      </c>
      <c r="I17" s="1204">
        <v>95679163.689999998</v>
      </c>
      <c r="J17" s="1204">
        <v>104250511239.56</v>
      </c>
      <c r="K17" s="1204">
        <v>112309075.76000001</v>
      </c>
      <c r="L17" s="1204">
        <v>110565351429.25</v>
      </c>
      <c r="M17" s="1204">
        <v>119112053.09</v>
      </c>
      <c r="N17" s="1205">
        <v>74392294420.139999</v>
      </c>
    </row>
    <row r="18" spans="2:14" ht="13.5" customHeight="1">
      <c r="B18" s="430" t="s">
        <v>1221</v>
      </c>
      <c r="C18" s="430" t="s">
        <v>1226</v>
      </c>
      <c r="D18" s="430" t="s">
        <v>1124</v>
      </c>
      <c r="E18" s="430" t="s">
        <v>1225</v>
      </c>
      <c r="F18" s="1204">
        <v>7457786325.7200003</v>
      </c>
      <c r="G18" s="1204">
        <v>23557550.059999999</v>
      </c>
      <c r="H18" s="1204">
        <v>6065635918.1099997</v>
      </c>
      <c r="I18" s="1204">
        <v>19160045.030000001</v>
      </c>
      <c r="J18" s="1204">
        <v>5318470946.7799997</v>
      </c>
      <c r="K18" s="1204">
        <v>16799910.870000001</v>
      </c>
      <c r="L18" s="1204">
        <v>3936440178.23</v>
      </c>
      <c r="M18" s="1204">
        <v>12434371.609999999</v>
      </c>
      <c r="N18" s="1205">
        <v>3793819497.71</v>
      </c>
    </row>
    <row r="19" spans="2:14">
      <c r="B19" s="430" t="s">
        <v>1221</v>
      </c>
      <c r="C19" s="430" t="s">
        <v>1227</v>
      </c>
      <c r="D19" s="430" t="s">
        <v>1131</v>
      </c>
      <c r="E19" s="430" t="s">
        <v>1222</v>
      </c>
      <c r="F19" s="1204">
        <v>19157830.890000001</v>
      </c>
      <c r="G19" s="1204">
        <v>2670218.4700000002</v>
      </c>
      <c r="H19" s="1204">
        <v>18443358</v>
      </c>
      <c r="I19" s="1204">
        <v>2570635.2400000002</v>
      </c>
      <c r="J19" s="1204">
        <v>20949824.550000001</v>
      </c>
      <c r="K19" s="1204">
        <v>2919986.55</v>
      </c>
      <c r="L19" s="1204">
        <v>12674152.390000001</v>
      </c>
      <c r="M19" s="1204">
        <v>1766523.36</v>
      </c>
      <c r="N19" s="1205">
        <v>11826430.550000001</v>
      </c>
    </row>
    <row r="20" spans="2:14">
      <c r="B20" s="430" t="s">
        <v>1221</v>
      </c>
      <c r="C20" s="430" t="s">
        <v>1227</v>
      </c>
      <c r="D20" s="430" t="s">
        <v>1132</v>
      </c>
      <c r="E20" s="430" t="s">
        <v>1222</v>
      </c>
      <c r="F20" s="1204">
        <v>2994049.18</v>
      </c>
      <c r="G20" s="1204">
        <v>441502.49</v>
      </c>
      <c r="H20" s="1204">
        <v>2928944.33</v>
      </c>
      <c r="I20" s="1204">
        <v>431902.13</v>
      </c>
      <c r="J20" s="1204">
        <v>3619539.56</v>
      </c>
      <c r="K20" s="1204">
        <v>533737.30000000005</v>
      </c>
      <c r="L20" s="1204">
        <v>1424821.37</v>
      </c>
      <c r="M20" s="1204">
        <v>210104.16</v>
      </c>
      <c r="N20" s="1205">
        <v>1113694.03</v>
      </c>
    </row>
    <row r="21" spans="2:14">
      <c r="B21" s="430" t="s">
        <v>1221</v>
      </c>
      <c r="C21" s="430" t="s">
        <v>1227</v>
      </c>
      <c r="D21" s="430" t="s">
        <v>1133</v>
      </c>
      <c r="E21" s="430" t="s">
        <v>1222</v>
      </c>
      <c r="F21" s="1204">
        <v>1836775.17</v>
      </c>
      <c r="G21" s="1204">
        <v>278271.44</v>
      </c>
      <c r="H21" s="1204">
        <v>1820082.68</v>
      </c>
      <c r="I21" s="1204">
        <v>275742.53000000003</v>
      </c>
      <c r="J21" s="1204">
        <v>120273.63</v>
      </c>
      <c r="K21" s="1204">
        <v>18221.45</v>
      </c>
      <c r="L21" s="1204">
        <v>0</v>
      </c>
      <c r="M21" s="1204">
        <v>0</v>
      </c>
      <c r="N21" s="1205">
        <v>0</v>
      </c>
    </row>
    <row r="22" spans="2:14">
      <c r="B22" s="430" t="s">
        <v>1221</v>
      </c>
      <c r="C22" s="1203" t="s">
        <v>1227</v>
      </c>
      <c r="D22" s="430" t="s">
        <v>1134</v>
      </c>
      <c r="E22" s="430" t="s">
        <v>1222</v>
      </c>
      <c r="F22" s="1204">
        <v>32152.17</v>
      </c>
      <c r="G22" s="1204">
        <v>4156.63</v>
      </c>
      <c r="H22" s="1204">
        <v>64077.02</v>
      </c>
      <c r="I22" s="1204">
        <v>8283.8799999999992</v>
      </c>
      <c r="J22" s="1204">
        <v>392986.97</v>
      </c>
      <c r="K22" s="1204">
        <v>50805.36</v>
      </c>
      <c r="L22" s="1204">
        <v>648394.07999999996</v>
      </c>
      <c r="M22" s="1204">
        <v>83824.39</v>
      </c>
      <c r="N22" s="1205">
        <v>485333.56</v>
      </c>
    </row>
    <row r="23" spans="2:14">
      <c r="B23" s="430" t="s">
        <v>1221</v>
      </c>
      <c r="C23" s="430" t="s">
        <v>1227</v>
      </c>
      <c r="D23" s="430" t="s">
        <v>636</v>
      </c>
      <c r="E23" s="430" t="s">
        <v>1223</v>
      </c>
      <c r="F23" s="1204">
        <v>8779889925.8299999</v>
      </c>
      <c r="G23" s="1204">
        <v>76390310.290000007</v>
      </c>
      <c r="H23" s="1204">
        <v>8873552676.7099991</v>
      </c>
      <c r="I23" s="1204">
        <v>77205232.420000002</v>
      </c>
      <c r="J23" s="1204">
        <v>9025316596.5</v>
      </c>
      <c r="K23" s="1204">
        <v>78525669.579999998</v>
      </c>
      <c r="L23" s="1204">
        <v>7358075557.3599997</v>
      </c>
      <c r="M23" s="1204">
        <v>64019672.189999998</v>
      </c>
      <c r="N23" s="1205">
        <v>7978124434.7600002</v>
      </c>
    </row>
    <row r="24" spans="2:14">
      <c r="B24" s="430" t="s">
        <v>1221</v>
      </c>
      <c r="C24" s="430" t="s">
        <v>1227</v>
      </c>
      <c r="D24" s="430" t="s">
        <v>637</v>
      </c>
      <c r="E24" s="430" t="s">
        <v>1224</v>
      </c>
      <c r="F24" s="1204">
        <v>16538490712.01</v>
      </c>
      <c r="G24" s="1204">
        <v>17816916.039999999</v>
      </c>
      <c r="H24" s="1204">
        <v>21058714673.400002</v>
      </c>
      <c r="I24" s="1204">
        <v>22686553.32</v>
      </c>
      <c r="J24" s="1204">
        <v>24884990545.43</v>
      </c>
      <c r="K24" s="1204">
        <v>26808600.309999999</v>
      </c>
      <c r="L24" s="1204">
        <v>25680997378.540001</v>
      </c>
      <c r="M24" s="1204">
        <v>27666138.48</v>
      </c>
      <c r="N24" s="1205">
        <v>14314567952.51</v>
      </c>
    </row>
    <row r="25" spans="2:14">
      <c r="B25" s="430" t="s">
        <v>1221</v>
      </c>
      <c r="C25" s="430" t="s">
        <v>1227</v>
      </c>
      <c r="D25" s="430" t="s">
        <v>1124</v>
      </c>
      <c r="E25" s="430" t="s">
        <v>1225</v>
      </c>
      <c r="F25" s="1204">
        <v>2237335897.71</v>
      </c>
      <c r="G25" s="1204">
        <v>7067265.0199999996</v>
      </c>
      <c r="H25" s="1204">
        <v>1819690775.4300001</v>
      </c>
      <c r="I25" s="1204">
        <v>5748013.5099999998</v>
      </c>
      <c r="J25" s="1204">
        <v>1595541286.1099999</v>
      </c>
      <c r="K25" s="1204">
        <v>5039973.2699999996</v>
      </c>
      <c r="L25" s="1204">
        <v>1180932055</v>
      </c>
      <c r="M25" s="1204">
        <v>3730311.49</v>
      </c>
      <c r="N25" s="1205">
        <v>1138145850.79</v>
      </c>
    </row>
    <row r="26" spans="2:14">
      <c r="B26" s="430" t="s">
        <v>1221</v>
      </c>
      <c r="C26" s="430" t="s">
        <v>1228</v>
      </c>
      <c r="D26" s="430" t="s">
        <v>1229</v>
      </c>
      <c r="E26" s="430" t="s">
        <v>1230</v>
      </c>
      <c r="F26" s="1204">
        <v>442833</v>
      </c>
      <c r="G26" s="1204">
        <v>0</v>
      </c>
      <c r="H26" s="1204">
        <v>877897.81</v>
      </c>
      <c r="I26" s="1204">
        <v>0</v>
      </c>
      <c r="J26" s="1204">
        <v>1008772.58</v>
      </c>
      <c r="K26" s="1204">
        <v>0</v>
      </c>
      <c r="L26" s="1204">
        <v>1038543.86</v>
      </c>
      <c r="M26" s="1204">
        <v>0</v>
      </c>
      <c r="N26" s="1205">
        <v>1039033.24</v>
      </c>
    </row>
    <row r="27" spans="2:14">
      <c r="B27" s="430" t="s">
        <v>1231</v>
      </c>
      <c r="C27" s="430" t="s">
        <v>1232</v>
      </c>
      <c r="D27" s="430" t="s">
        <v>1233</v>
      </c>
      <c r="E27" s="430" t="s">
        <v>1234</v>
      </c>
      <c r="F27" s="1204">
        <v>0</v>
      </c>
      <c r="G27" s="1204">
        <v>0</v>
      </c>
      <c r="H27" s="1204">
        <v>0</v>
      </c>
      <c r="I27" s="1204">
        <v>0</v>
      </c>
      <c r="J27" s="1204">
        <v>0</v>
      </c>
      <c r="K27" s="1204">
        <v>0</v>
      </c>
      <c r="L27" s="1204">
        <v>0</v>
      </c>
      <c r="M27" s="1204">
        <v>0</v>
      </c>
      <c r="N27" s="1205">
        <v>19255462446.580002</v>
      </c>
    </row>
    <row r="28" spans="2:14">
      <c r="B28" s="430" t="s">
        <v>1231</v>
      </c>
      <c r="C28" s="430" t="s">
        <v>1232</v>
      </c>
      <c r="D28" s="430" t="s">
        <v>1235</v>
      </c>
      <c r="E28" s="430"/>
      <c r="F28" s="1204">
        <v>91007294.349999994</v>
      </c>
      <c r="G28" s="1204">
        <v>1027050.23</v>
      </c>
      <c r="H28" s="1204">
        <v>151349440.19999999</v>
      </c>
      <c r="I28" s="1204">
        <v>1726344.2</v>
      </c>
      <c r="J28" s="1204">
        <v>206935151.69</v>
      </c>
      <c r="K28" s="1204">
        <v>2385410.17</v>
      </c>
      <c r="L28" s="1204">
        <v>149583613.43000001</v>
      </c>
      <c r="M28" s="1204">
        <v>1719793.2</v>
      </c>
      <c r="N28" s="1205">
        <v>177597929.69999999</v>
      </c>
    </row>
    <row r="29" spans="2:14">
      <c r="B29" s="430" t="s">
        <v>1231</v>
      </c>
      <c r="C29" s="430" t="s">
        <v>1232</v>
      </c>
      <c r="D29" s="430" t="s">
        <v>636</v>
      </c>
      <c r="E29" s="430" t="s">
        <v>1234</v>
      </c>
      <c r="F29" s="1204">
        <v>0</v>
      </c>
      <c r="G29" s="1204">
        <v>0</v>
      </c>
      <c r="H29" s="1204">
        <v>909382.11</v>
      </c>
      <c r="I29" s="1204">
        <v>2373.65</v>
      </c>
      <c r="J29" s="1204">
        <v>1813721.5</v>
      </c>
      <c r="K29" s="1204">
        <v>4734.1400000000003</v>
      </c>
      <c r="L29" s="1204">
        <v>159102026.52000001</v>
      </c>
      <c r="M29" s="1204">
        <v>415284.93</v>
      </c>
      <c r="N29" s="1205">
        <v>0</v>
      </c>
    </row>
    <row r="30" spans="2:14">
      <c r="B30" s="430" t="s">
        <v>1231</v>
      </c>
      <c r="C30" s="430" t="s">
        <v>1232</v>
      </c>
      <c r="D30" s="430" t="s">
        <v>1236</v>
      </c>
      <c r="E30" s="430" t="s">
        <v>1234</v>
      </c>
      <c r="F30" s="1204">
        <v>17241220767.810001</v>
      </c>
      <c r="G30" s="1204">
        <v>171946107.41</v>
      </c>
      <c r="H30" s="1204">
        <v>17519851145.209999</v>
      </c>
      <c r="I30" s="1204">
        <v>169251777.53</v>
      </c>
      <c r="J30" s="1204">
        <v>17213569780.41</v>
      </c>
      <c r="K30" s="1204">
        <v>160863235.5</v>
      </c>
      <c r="L30" s="1204">
        <v>14951063606.389999</v>
      </c>
      <c r="M30" s="1204">
        <v>137922422.46000001</v>
      </c>
      <c r="N30" s="1205">
        <v>389504965.45999998</v>
      </c>
    </row>
    <row r="31" spans="2:14">
      <c r="B31" s="430" t="s">
        <v>1231</v>
      </c>
      <c r="C31" s="430" t="s">
        <v>1232</v>
      </c>
      <c r="D31" s="430" t="s">
        <v>909</v>
      </c>
      <c r="E31" s="430" t="s">
        <v>1234</v>
      </c>
      <c r="F31" s="1204">
        <v>0</v>
      </c>
      <c r="G31" s="1204">
        <v>0</v>
      </c>
      <c r="H31" s="1204">
        <v>0</v>
      </c>
      <c r="I31" s="1204">
        <v>0</v>
      </c>
      <c r="J31" s="1204">
        <v>0</v>
      </c>
      <c r="K31" s="1204">
        <v>0</v>
      </c>
      <c r="L31" s="1204">
        <v>0</v>
      </c>
      <c r="M31" s="1204">
        <v>0</v>
      </c>
      <c r="N31" s="1205">
        <v>0</v>
      </c>
    </row>
    <row r="32" spans="2:14">
      <c r="B32" s="430" t="s">
        <v>1231</v>
      </c>
      <c r="C32" s="430" t="s">
        <v>1237</v>
      </c>
      <c r="D32" s="430" t="s">
        <v>1233</v>
      </c>
      <c r="E32" s="430" t="s">
        <v>1234</v>
      </c>
      <c r="F32" s="1204">
        <v>0</v>
      </c>
      <c r="G32" s="1204">
        <v>0</v>
      </c>
      <c r="H32" s="1204">
        <v>1000274.46</v>
      </c>
      <c r="I32" s="1204">
        <v>11235.05</v>
      </c>
      <c r="J32" s="1204">
        <v>2186329.15</v>
      </c>
      <c r="K32" s="1204">
        <v>20914.57</v>
      </c>
      <c r="L32" s="1204">
        <v>1319045.8600000001</v>
      </c>
      <c r="M32" s="1204">
        <v>12726.17</v>
      </c>
      <c r="N32" s="1205">
        <v>283718319.01999998</v>
      </c>
    </row>
    <row r="33" spans="2:14">
      <c r="B33" s="430" t="s">
        <v>1231</v>
      </c>
      <c r="C33" s="430" t="s">
        <v>1237</v>
      </c>
      <c r="D33" s="430" t="s">
        <v>1235</v>
      </c>
      <c r="E33" s="430"/>
      <c r="F33" s="1204">
        <v>121490182.95999999</v>
      </c>
      <c r="G33" s="1204">
        <v>1542980.94</v>
      </c>
      <c r="H33" s="1204">
        <v>134173331.36</v>
      </c>
      <c r="I33" s="1204">
        <v>1802902.77</v>
      </c>
      <c r="J33" s="1204">
        <v>158455606.87</v>
      </c>
      <c r="K33" s="1204">
        <v>2246238.52</v>
      </c>
      <c r="L33" s="1204">
        <v>222027267.41</v>
      </c>
      <c r="M33" s="1204">
        <v>3147983.91</v>
      </c>
      <c r="N33" s="1205">
        <v>293678805.57999998</v>
      </c>
    </row>
    <row r="34" spans="2:14">
      <c r="B34" s="430" t="s">
        <v>1231</v>
      </c>
      <c r="C34" s="430" t="s">
        <v>1237</v>
      </c>
      <c r="D34" s="430" t="s">
        <v>636</v>
      </c>
      <c r="E34" s="430" t="s">
        <v>1234</v>
      </c>
      <c r="F34" s="1204">
        <v>0</v>
      </c>
      <c r="G34" s="1204">
        <v>0</v>
      </c>
      <c r="H34" s="1204">
        <v>0</v>
      </c>
      <c r="I34" s="1204">
        <v>0</v>
      </c>
      <c r="J34" s="1204">
        <v>0</v>
      </c>
      <c r="K34" s="1204">
        <v>0</v>
      </c>
      <c r="L34" s="1204">
        <v>2252897.2999999998</v>
      </c>
      <c r="M34" s="1204">
        <v>18229.45</v>
      </c>
      <c r="N34" s="1205">
        <v>1039662.15</v>
      </c>
    </row>
    <row r="35" spans="2:14">
      <c r="B35" s="430" t="s">
        <v>1231</v>
      </c>
      <c r="C35" s="430" t="s">
        <v>1237</v>
      </c>
      <c r="D35" s="430" t="s">
        <v>1236</v>
      </c>
      <c r="E35" s="430" t="s">
        <v>1234</v>
      </c>
      <c r="F35" s="1204">
        <v>366138397.18000001</v>
      </c>
      <c r="G35" s="1204">
        <v>4127988.42</v>
      </c>
      <c r="H35" s="1204">
        <v>360312238.20999998</v>
      </c>
      <c r="I35" s="1204">
        <v>3944807.84</v>
      </c>
      <c r="J35" s="1204">
        <v>380207020.16000003</v>
      </c>
      <c r="K35" s="1204">
        <v>4038660.85</v>
      </c>
      <c r="L35" s="1204">
        <v>270466790.97000003</v>
      </c>
      <c r="M35" s="1204">
        <v>2869851.89</v>
      </c>
      <c r="N35" s="1205">
        <v>10614688.92</v>
      </c>
    </row>
    <row r="36" spans="2:14">
      <c r="B36" s="430" t="s">
        <v>1231</v>
      </c>
      <c r="C36" s="430" t="s">
        <v>1238</v>
      </c>
      <c r="D36" s="430" t="s">
        <v>1134</v>
      </c>
      <c r="E36" s="430" t="s">
        <v>1234</v>
      </c>
      <c r="F36" s="1204">
        <v>0</v>
      </c>
      <c r="G36" s="1204">
        <v>0</v>
      </c>
      <c r="H36" s="1204">
        <v>0</v>
      </c>
      <c r="I36" s="1204">
        <v>0</v>
      </c>
      <c r="J36" s="1204">
        <v>0</v>
      </c>
      <c r="K36" s="1204">
        <v>0</v>
      </c>
      <c r="L36" s="1204">
        <v>0</v>
      </c>
      <c r="M36" s="1204">
        <v>0</v>
      </c>
      <c r="N36" s="1205">
        <v>89828310.769999996</v>
      </c>
    </row>
    <row r="37" spans="2:14">
      <c r="B37" s="430" t="s">
        <v>1231</v>
      </c>
      <c r="C37" s="430" t="s">
        <v>1238</v>
      </c>
      <c r="D37" s="430" t="s">
        <v>1233</v>
      </c>
      <c r="E37" s="430" t="s">
        <v>1234</v>
      </c>
      <c r="F37" s="1204">
        <v>0</v>
      </c>
      <c r="G37" s="1204">
        <v>0</v>
      </c>
      <c r="H37" s="1204">
        <v>0</v>
      </c>
      <c r="I37" s="1204">
        <v>0</v>
      </c>
      <c r="J37" s="1204">
        <v>0</v>
      </c>
      <c r="K37" s="1204">
        <v>0</v>
      </c>
      <c r="L37" s="1204">
        <v>3252536.62</v>
      </c>
      <c r="M37" s="1204">
        <v>119188.22</v>
      </c>
      <c r="N37" s="1205">
        <v>470515589.18000001</v>
      </c>
    </row>
    <row r="38" spans="2:14">
      <c r="B38" s="430" t="s">
        <v>1231</v>
      </c>
      <c r="C38" s="430" t="s">
        <v>1238</v>
      </c>
      <c r="D38" s="430" t="s">
        <v>1235</v>
      </c>
      <c r="E38" s="430"/>
      <c r="F38" s="1204">
        <v>593693069.88</v>
      </c>
      <c r="G38" s="1204">
        <v>18831026.43</v>
      </c>
      <c r="H38" s="1204">
        <v>594082417.63999999</v>
      </c>
      <c r="I38" s="1204">
        <v>18796934.739999998</v>
      </c>
      <c r="J38" s="1204">
        <v>581505836.88999999</v>
      </c>
      <c r="K38" s="1204">
        <v>18354096.18</v>
      </c>
      <c r="L38" s="1204">
        <v>535183019.85000002</v>
      </c>
      <c r="M38" s="1204">
        <v>16884955.760000002</v>
      </c>
      <c r="N38" s="1205">
        <v>4977564.3099999996</v>
      </c>
    </row>
    <row r="39" spans="2:14">
      <c r="B39" s="430" t="s">
        <v>1231</v>
      </c>
      <c r="C39" s="430" t="s">
        <v>1238</v>
      </c>
      <c r="D39" s="430" t="s">
        <v>636</v>
      </c>
      <c r="E39" s="430" t="s">
        <v>1234</v>
      </c>
      <c r="F39" s="1204">
        <v>0</v>
      </c>
      <c r="G39" s="1204">
        <v>0</v>
      </c>
      <c r="H39" s="1204">
        <v>0</v>
      </c>
      <c r="I39" s="1204">
        <v>0</v>
      </c>
      <c r="J39" s="1204">
        <v>0</v>
      </c>
      <c r="K39" s="1204">
        <v>0</v>
      </c>
      <c r="L39" s="1204">
        <v>1084192.45</v>
      </c>
      <c r="M39" s="1204">
        <v>21111.33</v>
      </c>
      <c r="N39" s="1205">
        <v>1894752.86</v>
      </c>
    </row>
    <row r="40" spans="2:14">
      <c r="B40" s="430" t="s">
        <v>1231</v>
      </c>
      <c r="C40" s="430" t="s">
        <v>1238</v>
      </c>
      <c r="D40" s="430" t="s">
        <v>1236</v>
      </c>
      <c r="E40" s="430" t="s">
        <v>1234</v>
      </c>
      <c r="F40" s="1204">
        <v>0</v>
      </c>
      <c r="G40" s="1204">
        <v>0</v>
      </c>
      <c r="H40" s="1204">
        <v>0</v>
      </c>
      <c r="I40" s="1204">
        <v>0</v>
      </c>
      <c r="J40" s="1204">
        <v>0</v>
      </c>
      <c r="K40" s="1204">
        <v>0</v>
      </c>
      <c r="L40" s="1204">
        <v>58688461.590000004</v>
      </c>
      <c r="M40" s="1204">
        <v>1387147.16</v>
      </c>
      <c r="N40" s="1205">
        <v>86727091.159999996</v>
      </c>
    </row>
    <row r="41" spans="2:14">
      <c r="B41" s="430" t="s">
        <v>1231</v>
      </c>
      <c r="C41" s="430" t="s">
        <v>1239</v>
      </c>
      <c r="D41" s="430" t="s">
        <v>1233</v>
      </c>
      <c r="E41" s="430" t="s">
        <v>1234</v>
      </c>
      <c r="F41" s="1204">
        <v>0</v>
      </c>
      <c r="G41" s="1204">
        <v>0</v>
      </c>
      <c r="H41" s="1204">
        <v>0</v>
      </c>
      <c r="I41" s="1204">
        <v>0</v>
      </c>
      <c r="J41" s="1204">
        <v>0</v>
      </c>
      <c r="K41" s="1204">
        <v>0</v>
      </c>
      <c r="L41" s="1204">
        <v>222492.62</v>
      </c>
      <c r="M41" s="1204">
        <v>6465.13</v>
      </c>
      <c r="N41" s="1205">
        <v>38808980.890000001</v>
      </c>
    </row>
    <row r="42" spans="2:14">
      <c r="B42" s="430" t="s">
        <v>1231</v>
      </c>
      <c r="C42" s="430" t="s">
        <v>1239</v>
      </c>
      <c r="D42" s="430" t="s">
        <v>1235</v>
      </c>
      <c r="E42" s="430"/>
      <c r="F42" s="1204">
        <v>38600985.119999997</v>
      </c>
      <c r="G42" s="1204">
        <v>941745.16</v>
      </c>
      <c r="H42" s="1204">
        <v>39307734</v>
      </c>
      <c r="I42" s="1204">
        <v>954557.87</v>
      </c>
      <c r="J42" s="1204">
        <v>40020902.659999996</v>
      </c>
      <c r="K42" s="1204">
        <v>967366.46</v>
      </c>
      <c r="L42" s="1204">
        <v>39040620.799999997</v>
      </c>
      <c r="M42" s="1204">
        <v>943329.75</v>
      </c>
      <c r="N42" s="1205">
        <v>262467.25</v>
      </c>
    </row>
    <row r="43" spans="2:14">
      <c r="B43" s="430" t="s">
        <v>1231</v>
      </c>
      <c r="C43" s="430" t="s">
        <v>1239</v>
      </c>
      <c r="D43" s="430" t="s">
        <v>1236</v>
      </c>
      <c r="E43" s="430" t="s">
        <v>1234</v>
      </c>
      <c r="F43" s="1204">
        <v>0</v>
      </c>
      <c r="G43" s="1204">
        <v>0</v>
      </c>
      <c r="H43" s="1204">
        <v>0</v>
      </c>
      <c r="I43" s="1204">
        <v>0</v>
      </c>
      <c r="J43" s="1204">
        <v>0</v>
      </c>
      <c r="K43" s="1204">
        <v>0</v>
      </c>
      <c r="L43" s="1204">
        <v>1381971.18</v>
      </c>
      <c r="M43" s="1204">
        <v>31114.82</v>
      </c>
      <c r="N43" s="1205">
        <v>1952808.75</v>
      </c>
    </row>
    <row r="44" spans="2:14">
      <c r="B44" s="430" t="s">
        <v>1231</v>
      </c>
      <c r="C44" s="430" t="s">
        <v>1240</v>
      </c>
      <c r="D44" s="430" t="s">
        <v>1235</v>
      </c>
      <c r="E44" s="430"/>
      <c r="F44" s="1204">
        <v>0</v>
      </c>
      <c r="G44" s="1204">
        <v>0</v>
      </c>
      <c r="H44" s="1204">
        <v>0</v>
      </c>
      <c r="I44" s="1204">
        <v>0</v>
      </c>
      <c r="J44" s="1204">
        <v>0</v>
      </c>
      <c r="K44" s="1204">
        <v>0</v>
      </c>
      <c r="L44" s="1204">
        <v>0</v>
      </c>
      <c r="M44" s="1204">
        <v>0</v>
      </c>
      <c r="N44" s="1205">
        <v>2096321271.8299999</v>
      </c>
    </row>
    <row r="45" spans="2:14">
      <c r="B45" s="430" t="s">
        <v>1231</v>
      </c>
      <c r="C45" s="430" t="s">
        <v>1240</v>
      </c>
      <c r="D45" s="430" t="s">
        <v>636</v>
      </c>
      <c r="E45" s="430" t="s">
        <v>1234</v>
      </c>
      <c r="F45" s="1204">
        <v>0</v>
      </c>
      <c r="G45" s="1204">
        <v>0</v>
      </c>
      <c r="H45" s="1204">
        <v>0</v>
      </c>
      <c r="I45" s="1204">
        <v>0</v>
      </c>
      <c r="J45" s="1204">
        <v>0</v>
      </c>
      <c r="K45" s="1204">
        <v>0</v>
      </c>
      <c r="L45" s="1204">
        <v>1335714.76</v>
      </c>
      <c r="M45" s="1204">
        <v>3486.46</v>
      </c>
      <c r="N45" s="1205">
        <v>2163386.25</v>
      </c>
    </row>
    <row r="46" spans="2:14">
      <c r="B46" s="430" t="s">
        <v>1231</v>
      </c>
      <c r="C46" s="430" t="s">
        <v>1240</v>
      </c>
      <c r="D46" s="430" t="s">
        <v>1236</v>
      </c>
      <c r="E46" s="430" t="s">
        <v>1234</v>
      </c>
      <c r="F46" s="1204">
        <v>1985823083</v>
      </c>
      <c r="G46" s="1204">
        <v>19787676.370000001</v>
      </c>
      <c r="H46" s="1204">
        <v>1985823083</v>
      </c>
      <c r="I46" s="1204">
        <v>18823076.210000001</v>
      </c>
      <c r="J46" s="1204">
        <v>2239086423</v>
      </c>
      <c r="K46" s="1204">
        <v>19602925.579999998</v>
      </c>
      <c r="L46" s="1204">
        <v>1334379043.5999999</v>
      </c>
      <c r="M46" s="1204">
        <v>11459431.85</v>
      </c>
      <c r="N46" s="1205">
        <v>64901587.359999999</v>
      </c>
    </row>
    <row r="47" spans="2:14">
      <c r="B47" s="430" t="s">
        <v>1231</v>
      </c>
      <c r="C47" s="430" t="s">
        <v>1241</v>
      </c>
      <c r="D47" s="430" t="s">
        <v>1235</v>
      </c>
      <c r="E47" s="430"/>
      <c r="F47" s="1204">
        <v>51309025</v>
      </c>
      <c r="G47" s="1204">
        <v>650953.34</v>
      </c>
      <c r="H47" s="1204">
        <v>58082186.93</v>
      </c>
      <c r="I47" s="1204">
        <v>780302.92</v>
      </c>
      <c r="J47" s="1204">
        <v>64855348.869999997</v>
      </c>
      <c r="K47" s="1204">
        <v>919778.99</v>
      </c>
      <c r="L47" s="1204">
        <v>38277048.259999998</v>
      </c>
      <c r="M47" s="1204">
        <v>542845.35</v>
      </c>
      <c r="N47" s="1205">
        <v>53771088.789999999</v>
      </c>
    </row>
    <row r="48" spans="2:14">
      <c r="B48" s="430" t="s">
        <v>1231</v>
      </c>
      <c r="C48" s="430" t="s">
        <v>1241</v>
      </c>
      <c r="D48" s="430" t="s">
        <v>636</v>
      </c>
      <c r="E48" s="430" t="s">
        <v>1234</v>
      </c>
      <c r="F48" s="1204">
        <v>0</v>
      </c>
      <c r="G48" s="1204">
        <v>0</v>
      </c>
      <c r="H48" s="1204">
        <v>0</v>
      </c>
      <c r="I48" s="1204">
        <v>0</v>
      </c>
      <c r="J48" s="1204">
        <v>0</v>
      </c>
      <c r="K48" s="1204">
        <v>0</v>
      </c>
      <c r="L48" s="1204">
        <v>0</v>
      </c>
      <c r="M48" s="1204">
        <v>0</v>
      </c>
      <c r="N48" s="1205">
        <v>28693179.390000001</v>
      </c>
    </row>
    <row r="49" spans="2:14">
      <c r="B49" s="430" t="s">
        <v>1231</v>
      </c>
      <c r="C49" s="430" t="s">
        <v>1241</v>
      </c>
      <c r="D49" s="430" t="s">
        <v>1236</v>
      </c>
      <c r="E49" s="430" t="s">
        <v>1234</v>
      </c>
      <c r="F49" s="1204">
        <v>0</v>
      </c>
      <c r="G49" s="1204">
        <v>0</v>
      </c>
      <c r="H49" s="1204">
        <v>0</v>
      </c>
      <c r="I49" s="1204">
        <v>0</v>
      </c>
      <c r="J49" s="1204">
        <v>0</v>
      </c>
      <c r="K49" s="1204">
        <v>0</v>
      </c>
      <c r="L49" s="1204">
        <v>33352434.649999999</v>
      </c>
      <c r="M49" s="1204">
        <v>354104.15</v>
      </c>
      <c r="N49" s="1205">
        <v>0</v>
      </c>
    </row>
    <row r="50" spans="2:14">
      <c r="B50" s="430" t="s">
        <v>1231</v>
      </c>
      <c r="C50" s="430" t="s">
        <v>1242</v>
      </c>
      <c r="D50" s="430" t="s">
        <v>1233</v>
      </c>
      <c r="E50" s="430" t="s">
        <v>1234</v>
      </c>
      <c r="F50" s="1204">
        <v>6523813.1399999997</v>
      </c>
      <c r="G50" s="1204">
        <v>247859.85</v>
      </c>
      <c r="H50" s="1204">
        <v>37590231.829999998</v>
      </c>
      <c r="I50" s="1204">
        <v>1413841.49</v>
      </c>
      <c r="J50" s="1204">
        <v>40318337.229999997</v>
      </c>
      <c r="K50" s="1204">
        <v>1353506.32</v>
      </c>
      <c r="L50" s="1204">
        <v>21419168.25</v>
      </c>
      <c r="M50" s="1204">
        <v>719051.96</v>
      </c>
      <c r="N50" s="1205">
        <v>217598675.84999999</v>
      </c>
    </row>
    <row r="51" spans="2:14">
      <c r="B51" s="430" t="s">
        <v>1231</v>
      </c>
      <c r="C51" s="430" t="s">
        <v>1242</v>
      </c>
      <c r="D51" s="430" t="s">
        <v>1235</v>
      </c>
      <c r="E51" s="430"/>
      <c r="F51" s="1204">
        <v>339477973.55000001</v>
      </c>
      <c r="G51" s="1204">
        <v>9300446.9800000004</v>
      </c>
      <c r="H51" s="1204">
        <v>266429810.18000001</v>
      </c>
      <c r="I51" s="1204">
        <v>7259441.75</v>
      </c>
      <c r="J51" s="1204">
        <v>250565731.63</v>
      </c>
      <c r="K51" s="1204">
        <v>6790209.2199999997</v>
      </c>
      <c r="L51" s="1204">
        <v>173681281.78</v>
      </c>
      <c r="M51" s="1204">
        <v>4706678.09</v>
      </c>
      <c r="N51" s="1205">
        <v>45325026.960000001</v>
      </c>
    </row>
    <row r="52" spans="2:14">
      <c r="B52" s="430" t="s">
        <v>1231</v>
      </c>
      <c r="C52" s="430" t="s">
        <v>1243</v>
      </c>
      <c r="D52" s="430" t="s">
        <v>1244</v>
      </c>
      <c r="E52" s="430" t="s">
        <v>1222</v>
      </c>
      <c r="F52" s="1204">
        <v>1375601.3</v>
      </c>
      <c r="G52" s="1204">
        <v>191731.31</v>
      </c>
      <c r="H52" s="1204">
        <v>1337774.1299999999</v>
      </c>
      <c r="I52" s="1204">
        <v>186458.96</v>
      </c>
      <c r="J52" s="1204">
        <v>1440318.85</v>
      </c>
      <c r="K52" s="1204">
        <v>200751.64</v>
      </c>
      <c r="L52" s="1204">
        <v>1291342.3700000001</v>
      </c>
      <c r="M52" s="1204">
        <v>179987.3</v>
      </c>
      <c r="N52" s="1205">
        <v>1994719603.03</v>
      </c>
    </row>
    <row r="53" spans="2:14">
      <c r="B53" s="430" t="s">
        <v>1231</v>
      </c>
      <c r="C53" s="430" t="s">
        <v>1243</v>
      </c>
      <c r="D53" s="430" t="s">
        <v>1245</v>
      </c>
      <c r="E53" s="430" t="s">
        <v>1223</v>
      </c>
      <c r="F53" s="1204">
        <v>2223041707.6500001</v>
      </c>
      <c r="G53" s="1204">
        <v>19341796.68</v>
      </c>
      <c r="H53" s="1204">
        <v>2218898721.6199999</v>
      </c>
      <c r="I53" s="1204">
        <v>19305750.219999999</v>
      </c>
      <c r="J53" s="1204">
        <v>2163557443.1700001</v>
      </c>
      <c r="K53" s="1204">
        <v>18824247.890000001</v>
      </c>
      <c r="L53" s="1204">
        <v>1851196246.6199999</v>
      </c>
      <c r="M53" s="1204">
        <v>16106518.060000001</v>
      </c>
      <c r="N53" s="1205">
        <v>1582281.99</v>
      </c>
    </row>
    <row r="54" spans="2:14">
      <c r="B54" s="430" t="s">
        <v>1231</v>
      </c>
      <c r="C54" s="430" t="s">
        <v>1246</v>
      </c>
      <c r="D54" s="430" t="s">
        <v>1134</v>
      </c>
      <c r="E54" s="430" t="s">
        <v>1222</v>
      </c>
      <c r="F54" s="1204">
        <v>0</v>
      </c>
      <c r="G54" s="1204">
        <v>0</v>
      </c>
      <c r="H54" s="1204">
        <v>0</v>
      </c>
      <c r="I54" s="1204">
        <v>0</v>
      </c>
      <c r="J54" s="1204">
        <v>55</v>
      </c>
      <c r="K54" s="1204">
        <v>7.11</v>
      </c>
      <c r="L54" s="1204">
        <v>300.10000000000002</v>
      </c>
      <c r="M54" s="1204">
        <v>0.01</v>
      </c>
      <c r="N54" s="1205">
        <v>9388172.0999999996</v>
      </c>
    </row>
    <row r="55" spans="2:14">
      <c r="B55" s="430" t="s">
        <v>1231</v>
      </c>
      <c r="C55" s="430" t="s">
        <v>1246</v>
      </c>
      <c r="D55" s="430" t="s">
        <v>1247</v>
      </c>
      <c r="E55" s="430" t="s">
        <v>1222</v>
      </c>
      <c r="F55" s="1204">
        <v>4820479.6100000003</v>
      </c>
      <c r="G55" s="1204">
        <v>671878.45</v>
      </c>
      <c r="H55" s="1204">
        <v>4979305.3</v>
      </c>
      <c r="I55" s="1204">
        <v>694015.57</v>
      </c>
      <c r="J55" s="1204">
        <v>5377481</v>
      </c>
      <c r="K55" s="1204">
        <v>749513.3</v>
      </c>
      <c r="L55" s="1204">
        <v>7946576.2000000002</v>
      </c>
      <c r="M55" s="1204">
        <v>1247176.97</v>
      </c>
      <c r="N55" s="1205">
        <v>0</v>
      </c>
    </row>
    <row r="56" spans="2:14">
      <c r="B56" s="430" t="s">
        <v>1231</v>
      </c>
      <c r="C56" s="430" t="s">
        <v>1248</v>
      </c>
      <c r="D56" s="430" t="s">
        <v>1249</v>
      </c>
      <c r="E56" s="430" t="s">
        <v>1222</v>
      </c>
      <c r="F56" s="1204">
        <v>246497.04</v>
      </c>
      <c r="G56" s="1204">
        <v>29875.439999999999</v>
      </c>
      <c r="H56" s="1204">
        <v>226287.35999999999</v>
      </c>
      <c r="I56" s="1204">
        <v>27426.03</v>
      </c>
      <c r="J56" s="1204">
        <v>268598</v>
      </c>
      <c r="K56" s="1204">
        <v>32554.080000000002</v>
      </c>
      <c r="L56" s="1204">
        <v>190426.9</v>
      </c>
      <c r="M56" s="1204">
        <v>20293.330000000002</v>
      </c>
      <c r="N56" s="1205">
        <v>248090.9</v>
      </c>
    </row>
    <row r="57" spans="2:14">
      <c r="B57" s="430" t="s">
        <v>1250</v>
      </c>
      <c r="C57" s="430" t="s">
        <v>1251</v>
      </c>
      <c r="D57" s="430" t="s">
        <v>1252</v>
      </c>
      <c r="E57" s="430" t="s">
        <v>1253</v>
      </c>
      <c r="F57" s="1204">
        <v>7420036.1100000003</v>
      </c>
      <c r="G57" s="1204">
        <v>0</v>
      </c>
      <c r="H57" s="1204">
        <v>6163776.9400000004</v>
      </c>
      <c r="I57" s="1204">
        <v>0</v>
      </c>
      <c r="J57" s="1204">
        <v>6166621.3899999997</v>
      </c>
      <c r="K57" s="1204">
        <v>0</v>
      </c>
      <c r="L57" s="1204">
        <v>6423022.5</v>
      </c>
      <c r="M57" s="1204">
        <v>0</v>
      </c>
      <c r="N57" s="1205">
        <v>6091930.0099999998</v>
      </c>
    </row>
    <row r="58" spans="2:14">
      <c r="B58" s="430" t="s">
        <v>1250</v>
      </c>
      <c r="C58" s="430" t="s">
        <v>1254</v>
      </c>
      <c r="D58" s="430" t="s">
        <v>1255</v>
      </c>
      <c r="E58" s="430" t="s">
        <v>1253</v>
      </c>
      <c r="F58" s="1204">
        <v>26351</v>
      </c>
      <c r="G58" s="1204">
        <v>0</v>
      </c>
      <c r="H58" s="1204">
        <v>21730.67</v>
      </c>
      <c r="I58" s="1204">
        <v>0</v>
      </c>
      <c r="J58" s="1204">
        <v>36807.660000000003</v>
      </c>
      <c r="K58" s="1204">
        <v>0</v>
      </c>
      <c r="L58" s="1204">
        <v>44652.3</v>
      </c>
      <c r="M58" s="1204">
        <v>0</v>
      </c>
      <c r="N58" s="1205">
        <v>49247.49</v>
      </c>
    </row>
    <row r="59" spans="2:14">
      <c r="B59" s="430" t="s">
        <v>1250</v>
      </c>
      <c r="C59" s="430" t="s">
        <v>1256</v>
      </c>
      <c r="D59" s="430" t="s">
        <v>1257</v>
      </c>
      <c r="E59" s="430" t="s">
        <v>1253</v>
      </c>
      <c r="F59" s="1204">
        <v>6536.09</v>
      </c>
      <c r="G59" s="1204">
        <v>0</v>
      </c>
      <c r="H59" s="1204">
        <v>9217.0499999999993</v>
      </c>
      <c r="I59" s="1204">
        <v>0</v>
      </c>
      <c r="J59" s="1204">
        <v>6118.91</v>
      </c>
      <c r="K59" s="1204">
        <v>0</v>
      </c>
      <c r="L59" s="1204">
        <v>2645.06</v>
      </c>
      <c r="M59" s="1204">
        <v>0</v>
      </c>
      <c r="N59" s="1205">
        <v>1316.5</v>
      </c>
    </row>
    <row r="60" spans="2:14">
      <c r="B60" s="430" t="s">
        <v>1250</v>
      </c>
      <c r="C60" s="430" t="s">
        <v>1256</v>
      </c>
      <c r="D60" s="430" t="s">
        <v>1258</v>
      </c>
      <c r="E60" s="430" t="s">
        <v>1253</v>
      </c>
      <c r="F60" s="1204">
        <v>285.64</v>
      </c>
      <c r="G60" s="1204">
        <v>0</v>
      </c>
      <c r="H60" s="1204">
        <v>279.61</v>
      </c>
      <c r="I60" s="1204">
        <v>0</v>
      </c>
      <c r="J60" s="1204">
        <v>251.31</v>
      </c>
      <c r="K60" s="1204">
        <v>0</v>
      </c>
      <c r="L60" s="1204">
        <v>213.21</v>
      </c>
      <c r="M60" s="1204">
        <v>0</v>
      </c>
      <c r="N60" s="1205">
        <v>225.6</v>
      </c>
    </row>
    <row r="63" spans="2:14">
      <c r="I63" s="1206"/>
      <c r="J63" s="1207"/>
    </row>
    <row r="64" spans="2:14">
      <c r="B64" s="1197"/>
    </row>
    <row r="65" spans="2:15">
      <c r="B65" s="1197" t="s">
        <v>1259</v>
      </c>
      <c r="C65" s="1208"/>
      <c r="D65" s="1208"/>
      <c r="E65" s="1208"/>
      <c r="F65" s="1208"/>
      <c r="G65" s="1208"/>
      <c r="H65" s="1208"/>
      <c r="L65" s="1197" t="s">
        <v>1260</v>
      </c>
    </row>
    <row r="66" spans="2:15">
      <c r="B66" s="1209" t="s">
        <v>764</v>
      </c>
      <c r="C66" s="1209" t="s">
        <v>1261</v>
      </c>
      <c r="D66" s="1209" t="s">
        <v>1194</v>
      </c>
      <c r="E66" s="1209" t="s">
        <v>1262</v>
      </c>
      <c r="F66" s="1209" t="s">
        <v>631</v>
      </c>
      <c r="G66" s="1209" t="s">
        <v>1263</v>
      </c>
      <c r="H66" s="1209" t="s">
        <v>633</v>
      </c>
      <c r="I66" s="1209" t="s">
        <v>1264</v>
      </c>
      <c r="J66" s="1209" t="s">
        <v>1265</v>
      </c>
      <c r="L66" s="1210" t="s">
        <v>764</v>
      </c>
      <c r="M66" s="1210" t="s">
        <v>1266</v>
      </c>
      <c r="N66" s="1210" t="s">
        <v>1267</v>
      </c>
      <c r="O66" s="1210" t="s">
        <v>1268</v>
      </c>
    </row>
    <row r="67" spans="2:15">
      <c r="B67" s="1211" t="s">
        <v>1131</v>
      </c>
      <c r="C67" s="1211" t="s">
        <v>652</v>
      </c>
      <c r="D67" s="1212">
        <f>SUMIFS(GHG_INV[CY 2010 Consumed],GHG_INV[Category],"Residential",GHG_INV[Source],GHG_Inv!$B67)</f>
        <v>141176974.44</v>
      </c>
      <c r="E67" s="1213">
        <f>GHG_Inv!D67*gal_to_liter*FO2_l_to_gj*GJ_to_PJ</f>
        <v>20.555143814947733</v>
      </c>
      <c r="F67" s="1212">
        <f>SUMIFS(GHG_INV[CY 2010 Consumed],GHG_INV[Category],"Commercial and Institutional",GHG_INV[Source],GHG_Inv!$B67)</f>
        <v>80000147.890000001</v>
      </c>
      <c r="G67" s="1213">
        <f>GHG_Inv!F67*gal_to_liter*FO2_l_to_gj*GJ_to_PJ</f>
        <v>11.64789479034282</v>
      </c>
      <c r="H67" s="1212">
        <f>SUMIFS(GHG_INV[CY 2010 Consumed],GHG_INV[Category],"Manufacturing and Construction",GHG_INV[Source],GHG_Inv!$B67)</f>
        <v>18443358</v>
      </c>
      <c r="I67" s="1213">
        <f>GHG_Inv!H67*gal_to_liter*FO2_l_to_gj*GJ_to_PJ</f>
        <v>2.6853237054013102</v>
      </c>
      <c r="J67" s="1212">
        <f>SUM(E67,G67,I67)</f>
        <v>34.888362310691861</v>
      </c>
      <c r="L67" s="834" t="s">
        <v>1131</v>
      </c>
      <c r="M67" s="1214">
        <f>J67/SUM($J$67:$J$69)</f>
        <v>0.41740681333637802</v>
      </c>
      <c r="N67" s="1215">
        <f>J77/SUM($J$77:$J$79)</f>
        <v>0.6655041396007696</v>
      </c>
      <c r="O67" s="1216">
        <f ca="1">K87/SUM($K$87:$K$89)</f>
        <v>0.77537220328521783</v>
      </c>
    </row>
    <row r="68" spans="2:15">
      <c r="B68" s="837" t="s">
        <v>1132</v>
      </c>
      <c r="C68" s="837" t="s">
        <v>652</v>
      </c>
      <c r="D68" s="1217">
        <f>SUMIFS(GHG_INV[CY 2010 Consumed],GHG_INV[Category],"Residential",GHG_INV[Source],GHG_Inv!$B68)</f>
        <v>76167717.239999995</v>
      </c>
      <c r="E68" s="1217">
        <f>GHG_Inv!D68*gal_to_liter*FO4_l_to_gj*GJ_to_PJ</f>
        <v>11.732672618023399</v>
      </c>
      <c r="F68" s="1217">
        <f>SUMIFS(GHG_INV[CY 2010 Consumed],GHG_INV[Category],"Commercial and Institutional",GHG_INV[Source],GHG_Inv!$B68)</f>
        <v>13594316.91</v>
      </c>
      <c r="G68" s="1217">
        <f>GHG_Inv!F68*gal_to_liter*FO4_l_to_gj*GJ_to_PJ</f>
        <v>2.0940324267316779</v>
      </c>
      <c r="H68" s="1217">
        <f>SUMIFS(GHG_INV[CY 2010 Consumed],GHG_INV[Category],"Manufacturing and Construction",GHG_INV[Source],GHG_Inv!$B68)</f>
        <v>2928944.33</v>
      </c>
      <c r="I68" s="1217">
        <f>GHG_Inv!H68*gal_to_liter*FO4_l_to_gj*GJ_to_PJ</f>
        <v>0.45116679592780567</v>
      </c>
      <c r="J68" s="1216">
        <f t="shared" ref="J68:J73" si="0">SUM(E68,G68,I68)</f>
        <v>14.277871840682883</v>
      </c>
      <c r="L68" s="834" t="s">
        <v>1132</v>
      </c>
      <c r="M68" s="1214">
        <f>J68/SUM($J$67:$J$69)</f>
        <v>0.17082145998060358</v>
      </c>
      <c r="N68" s="1215">
        <f>J78/SUM($J$77:$J$79)</f>
        <v>0.29630260777934136</v>
      </c>
      <c r="O68" s="1216">
        <f t="shared" ref="O68:O69" ca="1" si="1">K88/SUM($K$87:$K$89)</f>
        <v>0.22462779671478222</v>
      </c>
    </row>
    <row r="69" spans="2:15">
      <c r="B69" s="1211" t="s">
        <v>1133</v>
      </c>
      <c r="C69" s="1211" t="s">
        <v>652</v>
      </c>
      <c r="D69" s="1212">
        <f>SUMIFS(GHG_INV[CY 2010 Consumed],GHG_INV[Category],"Residential",GHG_INV[Source],GHG_Inv!$B69)</f>
        <v>192084422.87</v>
      </c>
      <c r="E69" s="1212">
        <f>GHG_Inv!D69*gal_to_liter*FO6_l_to_gj*GJ_to_PJ</f>
        <v>30.399050307497909</v>
      </c>
      <c r="F69" s="1212">
        <f>SUMIFS(GHG_INV[CY 2010 Consumed],GHG_INV[Category],"Commercial and Institutional",GHG_INV[Source],GHG_Inv!$B69)</f>
        <v>23570677.219999999</v>
      </c>
      <c r="G69" s="1212">
        <f>GHG_Inv!F69*gal_to_liter*FO6_l_to_gj*GJ_to_PJ</f>
        <v>3.730267097595465</v>
      </c>
      <c r="H69" s="1212">
        <f>SUMIFS(GHG_INV[CY 2010 Consumed],GHG_INV[Category],"Manufacturing and Construction",GHG_INV[Source],GHG_Inv!$B69)</f>
        <v>1820082.68</v>
      </c>
      <c r="I69" s="1212">
        <f>GHG_Inv!H69*gal_to_liter*FO6_l_to_gj*GJ_to_PJ</f>
        <v>0.28804410126776053</v>
      </c>
      <c r="J69" s="1212">
        <f t="shared" si="0"/>
        <v>34.417361506361132</v>
      </c>
      <c r="L69" s="834" t="s">
        <v>1133</v>
      </c>
      <c r="M69" s="1214">
        <f>J69/SUM($J$67:$J$69)</f>
        <v>0.41177172668301826</v>
      </c>
      <c r="N69" s="1215">
        <f>J79/SUM($J$77:$J$79)</f>
        <v>3.8193252619889012E-2</v>
      </c>
      <c r="O69" s="1216">
        <f t="shared" ca="1" si="1"/>
        <v>0</v>
      </c>
    </row>
    <row r="70" spans="2:15">
      <c r="B70" s="837" t="s">
        <v>1134</v>
      </c>
      <c r="C70" s="837" t="s">
        <v>652</v>
      </c>
      <c r="D70" s="1217">
        <f>SUMIFS(GHG_INV[CY 2010 Consumed],GHG_INV[Category],"Residential",GHG_INV[Source],GHG_Inv!$B70)</f>
        <v>1433903.4</v>
      </c>
      <c r="E70" s="1217">
        <f>GHG_Inv!D70*gal_to_liter*FO4_l_to_gj*GJ_to_PJ</f>
        <v>0.22087466669193628</v>
      </c>
      <c r="F70" s="1217">
        <f>SUMIFS(GHG_INV[CY 2010 Consumed],GHG_INV[Category],"Commercial and Institutional",GHG_INV[Source],GHG_Inv!$B70)</f>
        <v>360953.92</v>
      </c>
      <c r="G70" s="1217">
        <f>GHG_Inv!F70*gal_to_liter*FO4_l_to_gj*GJ_to_PJ</f>
        <v>5.5600381986086259E-2</v>
      </c>
      <c r="H70" s="1217">
        <f>SUMIFS(GHG_INV[CY 2010 Consumed],GHG_INV[Category],"Manufacturing and Construction",GHG_INV[Source],GHG_Inv!$B70)</f>
        <v>64077.02</v>
      </c>
      <c r="I70" s="1217">
        <f>GHG_Inv!H70*gal_to_liter*FO4_l_to_gj*GJ_to_PJ</f>
        <v>9.8702537668245542E-3</v>
      </c>
      <c r="J70" s="1216">
        <f t="shared" si="0"/>
        <v>0.28634530244484707</v>
      </c>
      <c r="L70" s="1218"/>
      <c r="M70" s="1206"/>
      <c r="N70" s="1219"/>
    </row>
    <row r="71" spans="2:15">
      <c r="B71" s="1211" t="s">
        <v>636</v>
      </c>
      <c r="C71" s="1211" t="s">
        <v>32</v>
      </c>
      <c r="D71" s="1212">
        <f>SUMIFS(GHG_INV[CY 2010 Consumed],GHG_INV[Category],"Residential",GHG_INV[Source],GHG_Inv!$B71)</f>
        <v>16246085145.17</v>
      </c>
      <c r="E71" s="1212">
        <f>GHG_Inv!D71*kwh_to_gj*GJ_to_PJ</f>
        <v>58.483486279862078</v>
      </c>
      <c r="F71" s="1212">
        <f>SUMIFS(GHG_INV[CY 2010 Consumed],GHG_INV[Category],"Commercial and Institutional",GHG_INV[Source],GHG_Inv!$B71)</f>
        <v>25179409288.110001</v>
      </c>
      <c r="G71" s="1212">
        <f>GHG_Inv!F71*kwh_to_gj*GJ_to_PJ</f>
        <v>90.64212236226119</v>
      </c>
      <c r="H71" s="1212">
        <f>SUMIFS(GHG_INV[CY 2010 Consumed],GHG_INV[Category],"Manufacturing and Construction",GHG_INV[Source],GHG_Inv!$B71)</f>
        <v>8873552676.7099991</v>
      </c>
      <c r="I71" s="1212">
        <f>GHG_Inv!H71*kwh_to_gj*GJ_to_PJ</f>
        <v>31.943467708359858</v>
      </c>
      <c r="J71" s="1212">
        <f>SUM(E71,G71,I71)</f>
        <v>181.06907635048313</v>
      </c>
    </row>
    <row r="72" spans="2:15">
      <c r="B72" s="837" t="s">
        <v>637</v>
      </c>
      <c r="C72" s="837" t="s">
        <v>651</v>
      </c>
      <c r="D72" s="1217">
        <f>SUMIFS(GHG_INV[CY 2010 Consumed],GHG_INV[Category],"Residential",GHG_INV[Source],GHG_Inv!$B72)</f>
        <v>156854670084.42001</v>
      </c>
      <c r="E72" s="1217">
        <f>GHG_Inv!D72*scf_to_gj*GJ_to_PJ</f>
        <v>169.7932106162001</v>
      </c>
      <c r="F72" s="1217">
        <f>SUMIFS(GHG_INV[CY 2010 Consumed],GHG_INV[Category],"Commercial and Institutional",GHG_INV[Source],GHG_Inv!$B72)</f>
        <v>88813852860.940002</v>
      </c>
      <c r="G72" s="1217">
        <f>GHG_Inv!F72*scf_to_gj*GJ_to_PJ</f>
        <v>96.139880415021523</v>
      </c>
      <c r="H72" s="1217">
        <f>SUMIFS(GHG_INV[CY 2010 Consumed],GHG_INV[Category],"Manufacturing and Construction",GHG_INV[Source],GHG_Inv!$B72)</f>
        <v>21058714673.400002</v>
      </c>
      <c r="I72" s="1217">
        <f>GHG_Inv!H72*scf_to_gj*GJ_to_PJ</f>
        <v>22.795794182746675</v>
      </c>
      <c r="J72" s="1216">
        <f>SUM(E72,G72,I72)</f>
        <v>288.72888521396828</v>
      </c>
    </row>
    <row r="73" spans="2:15">
      <c r="B73" s="1211" t="s">
        <v>1124</v>
      </c>
      <c r="C73" s="1211" t="s">
        <v>638</v>
      </c>
      <c r="D73" s="1212">
        <f>SUMIFS(GHG_INV[CY 2010 Consumed],GHG_INV[Category],"Residential",GHG_INV[Source],GHG_Inv!$B73)</f>
        <v>2684576093.9200001</v>
      </c>
      <c r="E73" s="1212">
        <f>GHG_Inv!D73*kgs_to_gj*GJ_to_PJ</f>
        <v>7.4548191045290819</v>
      </c>
      <c r="F73" s="1212">
        <f>SUMIFS(GHG_INV[CY 2010 Consumed],GHG_INV[Category],"Commercial and Institutional",GHG_INV[Source],GHG_Inv!$B73)</f>
        <v>6065635918.1099997</v>
      </c>
      <c r="G73" s="1212">
        <f>GHG_Inv!F73*kgs_to_gj*GJ_to_PJ</f>
        <v>16.843709003389389</v>
      </c>
      <c r="H73" s="1212">
        <f>SUMIFS(GHG_INV[CY 2010 Consumed],GHG_INV[Category],"Manufacturing and Construction",GHG_INV[Source],GHG_Inv!$B73)</f>
        <v>1819690775.4300001</v>
      </c>
      <c r="I73" s="1212">
        <f>GHG_Inv!H73*kgs_to_gj*GJ_to_PJ</f>
        <v>5.0531127010084864</v>
      </c>
      <c r="J73" s="1212">
        <f t="shared" si="0"/>
        <v>29.351640808926959</v>
      </c>
    </row>
    <row r="74" spans="2:15">
      <c r="B74" s="1220"/>
      <c r="C74" s="1220"/>
      <c r="D74" s="1220"/>
      <c r="E74" s="1220"/>
      <c r="F74" s="1220"/>
      <c r="G74" s="1220"/>
      <c r="H74" s="1220"/>
      <c r="I74" s="1221"/>
    </row>
    <row r="75" spans="2:15">
      <c r="B75" s="1197" t="s">
        <v>1269</v>
      </c>
      <c r="C75" s="1208"/>
      <c r="D75" s="1208"/>
      <c r="E75" s="1208"/>
      <c r="F75" s="1208"/>
      <c r="G75" s="1208"/>
      <c r="H75" s="1208"/>
    </row>
    <row r="76" spans="2:15">
      <c r="B76" s="1209" t="s">
        <v>764</v>
      </c>
      <c r="C76" s="1209" t="s">
        <v>1261</v>
      </c>
      <c r="D76" s="1209" t="s">
        <v>1194</v>
      </c>
      <c r="E76" s="1209" t="s">
        <v>1262</v>
      </c>
      <c r="F76" s="1209" t="s">
        <v>631</v>
      </c>
      <c r="G76" s="1209" t="s">
        <v>1263</v>
      </c>
      <c r="H76" s="1209" t="s">
        <v>633</v>
      </c>
      <c r="I76" s="1209" t="s">
        <v>1264</v>
      </c>
      <c r="J76" s="1209" t="s">
        <v>1265</v>
      </c>
      <c r="M76" s="1218"/>
      <c r="N76" s="1218"/>
    </row>
    <row r="77" spans="2:15">
      <c r="B77" s="1211" t="s">
        <v>1131</v>
      </c>
      <c r="C77" s="1211" t="s">
        <v>652</v>
      </c>
      <c r="D77" s="1212">
        <f>SUMIFS(GHG_INV[CY 2015 Consumed],GHG_INV[Category],"Residential",GHG_INV[Source],GHG_Inv!$B77)</f>
        <v>160363033.90000001</v>
      </c>
      <c r="E77" s="1213">
        <f>GHG_Inv!D77*gal_to_liter*FO2_l_to_gj*GJ_to_PJ</f>
        <v>23.348603676279769</v>
      </c>
      <c r="F77" s="1212">
        <f>SUMIFS(GHG_INV[CY 2015 Consumed],GHG_INV[Category],"Commercial and Institutional",GHG_INV[Source],GHG_Inv!$B77)</f>
        <v>90872229.540000007</v>
      </c>
      <c r="G77" s="1213">
        <f>GHG_Inv!F77*gal_to_liter*FO2_l_to_gj*GJ_to_PJ</f>
        <v>13.230852654187551</v>
      </c>
      <c r="H77" s="1212">
        <f>SUMIFS(GHG_INV[CY 2015 Consumed],GHG_INV[Category],"Manufacturing and Construction",GHG_INV[Source],GHG_Inv!$B77)</f>
        <v>20949824.550000001</v>
      </c>
      <c r="I77" s="1213">
        <f>GHG_Inv!H77*gal_to_liter*FO2_l_to_gj*GJ_to_PJ</f>
        <v>3.0502612641425348</v>
      </c>
      <c r="J77" s="1212">
        <f>SUM(E77,G77,I77)</f>
        <v>39.629717594609858</v>
      </c>
      <c r="M77" s="1218"/>
      <c r="N77" s="1218"/>
    </row>
    <row r="78" spans="2:15">
      <c r="B78" s="837" t="s">
        <v>1132</v>
      </c>
      <c r="C78" s="837" t="s">
        <v>652</v>
      </c>
      <c r="D78" s="1217">
        <f>SUMIFS(GHG_INV[CY 2015 Consumed],GHG_INV[Category],"Residential",GHG_INV[Source],GHG_Inv!$B78)</f>
        <v>94126768.829999998</v>
      </c>
      <c r="E78" s="1217">
        <f>GHG_Inv!D78*gal_to_liter*FO4_l_to_gj*GJ_to_PJ</f>
        <v>14.499037168135031</v>
      </c>
      <c r="F78" s="1217">
        <f>SUMIFS(GHG_INV[CY 2015 Consumed],GHG_INV[Category],"Commercial and Institutional",GHG_INV[Source],GHG_Inv!$B78)</f>
        <v>16799625.510000002</v>
      </c>
      <c r="G78" s="1217">
        <f>GHG_Inv!F78*gal_to_liter*FO4_l_to_gj*GJ_to_PJ</f>
        <v>2.5877696399008476</v>
      </c>
      <c r="H78" s="1217">
        <f>SUMIFS(GHG_INV[CY 2015 Consumed],GHG_INV[Category],"Manufacturing and Construction",GHG_INV[Source],GHG_Inv!$B78)</f>
        <v>3619539.56</v>
      </c>
      <c r="I78" s="1217">
        <f>GHG_Inv!H78*gal_to_liter*FO4_l_to_gj*GJ_to_PJ</f>
        <v>0.55754424872224861</v>
      </c>
      <c r="J78" s="1216">
        <f t="shared" ref="J78:J80" si="2">SUM(E78,G78,I78)</f>
        <v>17.644351056758126</v>
      </c>
      <c r="M78" s="1218"/>
      <c r="N78" s="1218"/>
    </row>
    <row r="79" spans="2:15">
      <c r="B79" s="1211" t="s">
        <v>1133</v>
      </c>
      <c r="C79" s="1211" t="s">
        <v>652</v>
      </c>
      <c r="D79" s="1212">
        <f>SUMIFS(GHG_INV[CY 2015 Consumed],GHG_INV[Category],"Residential",GHG_INV[Source],GHG_Inv!$B79)</f>
        <v>12693209.119999999</v>
      </c>
      <c r="E79" s="1212">
        <f>GHG_Inv!D79*gal_to_liter*FO6_l_to_gj*GJ_to_PJ</f>
        <v>2.0088120464802954</v>
      </c>
      <c r="F79" s="1212">
        <f>SUMIFS(GHG_INV[CY 2015 Consumed],GHG_INV[Category],"Commercial and Institutional",GHG_INV[Source],GHG_Inv!$B79)</f>
        <v>1557583.54</v>
      </c>
      <c r="G79" s="1212">
        <f>GHG_Inv!F79*gal_to_liter*FO6_l_to_gj*GJ_to_PJ</f>
        <v>0.24650130230828687</v>
      </c>
      <c r="H79" s="1212">
        <f>SUMIFS(GHG_INV[CY 2015 Consumed],GHG_INV[Category],"Manufacturing and Construction",GHG_INV[Source],GHG_Inv!$B79)</f>
        <v>120273.63</v>
      </c>
      <c r="I79" s="1212">
        <f>GHG_Inv!H79*gal_to_liter*FO6_l_to_gj*GJ_to_PJ</f>
        <v>1.9034360383870672E-2</v>
      </c>
      <c r="J79" s="1212">
        <f t="shared" si="2"/>
        <v>2.2743477091724529</v>
      </c>
      <c r="M79" s="1218"/>
      <c r="N79" s="1218"/>
    </row>
    <row r="80" spans="2:15">
      <c r="B80" s="837" t="s">
        <v>1134</v>
      </c>
      <c r="C80" s="837" t="s">
        <v>652</v>
      </c>
      <c r="D80" s="1217">
        <f>SUMIFS(GHG_INV[CY 2015 Consumed],GHG_INV[Category],"Residential",GHG_INV[Source],GHG_Inv!$B80)</f>
        <v>8794187.2599999998</v>
      </c>
      <c r="E80" s="1217">
        <f>GHG_Inv!D80*gal_to_liter*FO4_l_to_gj*GJ_to_PJ</f>
        <v>1.3546332199777005</v>
      </c>
      <c r="F80" s="1217">
        <f>SUMIFS(GHG_INV[CY 2015 Consumed],GHG_INV[Category],"Commercial and Institutional",GHG_INV[Source],GHG_Inv!$B80)</f>
        <v>2213744.88</v>
      </c>
      <c r="G80" s="1217">
        <f>GHG_Inv!F80*gal_to_liter*FO4_l_to_gj*GJ_to_PJ</f>
        <v>0.34099937451224444</v>
      </c>
      <c r="H80" s="1217">
        <f>SUMIFS(GHG_INV[CY 2015 Consumed],GHG_INV[Category],"Manufacturing and Construction",GHG_INV[Source],GHG_Inv!$B80)</f>
        <v>392986.97</v>
      </c>
      <c r="I80" s="1217">
        <f>GHG_Inv!H80*gal_to_liter*FO4_l_to_gj*GJ_to_PJ</f>
        <v>6.0534667825617804E-2</v>
      </c>
      <c r="J80" s="1216">
        <f t="shared" si="2"/>
        <v>1.7561672623155626</v>
      </c>
      <c r="M80" s="1218"/>
      <c r="N80" s="1218"/>
    </row>
    <row r="81" spans="2:15">
      <c r="B81" s="1211" t="s">
        <v>636</v>
      </c>
      <c r="C81" s="1211" t="s">
        <v>32</v>
      </c>
      <c r="D81" s="1212">
        <f>SUMIFS(GHG_INV[CY 2015 Consumed],GHG_INV[Category],"Residential",GHG_INV[Source],GHG_Inv!$B81)</f>
        <v>15705500653.280001</v>
      </c>
      <c r="E81" s="1212">
        <f>GHG_Inv!D81*kwh_to_gj*GJ_to_PJ</f>
        <v>56.537462642040978</v>
      </c>
      <c r="F81" s="1212">
        <f>SUMIFS(GHG_INV[CY 2015 Consumed],GHG_INV[Category],"Commercial and Institutional",GHG_INV[Source],GHG_Inv!$B81)</f>
        <v>24309477657.299999</v>
      </c>
      <c r="G81" s="1212">
        <f>GHG_Inv!F81*kwh_to_gj*GJ_to_PJ</f>
        <v>87.510498088457567</v>
      </c>
      <c r="H81" s="1212">
        <f>SUMIFS(GHG_INV[CY 2015 Consumed],GHG_INV[Category],"Manufacturing and Construction",GHG_INV[Source],GHG_Inv!$B81)</f>
        <v>9025316596.5</v>
      </c>
      <c r="I81" s="1212">
        <f>GHG_Inv!H81*kwh_to_gj*GJ_to_PJ</f>
        <v>32.489795210740049</v>
      </c>
      <c r="J81" s="1212">
        <f>SUM(E81,G81,I81)</f>
        <v>176.5377559412386</v>
      </c>
      <c r="K81" s="1220"/>
      <c r="M81" s="1218"/>
      <c r="N81" s="1218"/>
    </row>
    <row r="82" spans="2:15">
      <c r="B82" s="837" t="s">
        <v>637</v>
      </c>
      <c r="C82" s="837" t="s">
        <v>651</v>
      </c>
      <c r="D82" s="1217">
        <f>SUMIFS(GHG_INV[CY 2015 Consumed],GHG_INV[Category],"Residential",GHG_INV[Source],GHG_Inv!$B82)</f>
        <v>177354752086.89999</v>
      </c>
      <c r="E82" s="1217">
        <f>GHG_Inv!D82*scf_to_gj*GJ_to_PJ</f>
        <v>191.98429194787536</v>
      </c>
      <c r="F82" s="1217">
        <f>SUMIFS(GHG_INV[CY 2015 Consumed],GHG_INV[Category],"Commercial and Institutional",GHG_INV[Source],GHG_Inv!$B82)</f>
        <v>104250511239.56</v>
      </c>
      <c r="G82" s="1217">
        <f>GHG_Inv!F82*scf_to_gj*GJ_to_PJ</f>
        <v>112.84986925934918</v>
      </c>
      <c r="H82" s="1217">
        <f>SUMIFS(GHG_INV[CY 2015 Consumed],GHG_INV[Category],"Manufacturing and Construction",GHG_INV[Source],GHG_Inv!$B82)</f>
        <v>24884990545.43</v>
      </c>
      <c r="I82" s="1217">
        <f>GHG_Inv!H82*scf_to_gj*GJ_to_PJ</f>
        <v>26.937689764597152</v>
      </c>
      <c r="J82" s="1216">
        <f>SUM(E82,G82,I82)</f>
        <v>331.77185097182172</v>
      </c>
      <c r="M82" s="1218"/>
      <c r="N82" s="1218"/>
    </row>
    <row r="83" spans="2:15">
      <c r="B83" s="1211" t="s">
        <v>1124</v>
      </c>
      <c r="C83" s="1211" t="s">
        <v>638</v>
      </c>
      <c r="D83" s="1212">
        <f>SUMIFS(GHG_INV[CY 2015 Consumed],GHG_INV[Category],"Residential",GHG_INV[Source],GHG_Inv!$B83)</f>
        <v>2671762179.8800001</v>
      </c>
      <c r="E83" s="1212">
        <f>GHG_Inv!D83*kgs_to_gj*GJ_to_PJ</f>
        <v>7.4192360523647087</v>
      </c>
      <c r="F83" s="1212">
        <f>SUMIFS(GHG_INV[CY 2015 Consumed],GHG_INV[Category],"Commercial and Institutional",GHG_INV[Source],GHG_Inv!$B83)</f>
        <v>5318470946.7799997</v>
      </c>
      <c r="G83" s="1212">
        <f>GHG_Inv!F83*kgs_to_gj*GJ_to_PJ</f>
        <v>14.768901097917594</v>
      </c>
      <c r="H83" s="1212">
        <f>SUMIFS(GHG_INV[CY 2015 Consumed],GHG_INV[Category],"Manufacturing and Construction",GHG_INV[Source],GHG_Inv!$B83)</f>
        <v>1595541286.1099999</v>
      </c>
      <c r="I83" s="1212">
        <f>GHG_Inv!H83*kgs_to_gj*GJ_to_PJ</f>
        <v>4.430670335140138</v>
      </c>
      <c r="J83" s="1212">
        <f t="shared" ref="J83" si="3">SUM(E83,G83,I83)</f>
        <v>26.61880748542244</v>
      </c>
      <c r="M83" s="1218"/>
      <c r="N83" s="1218"/>
    </row>
    <row r="84" spans="2:15">
      <c r="B84" s="1220"/>
      <c r="C84" s="1220"/>
      <c r="D84" s="1220"/>
      <c r="E84" s="1220"/>
      <c r="F84" s="1220"/>
      <c r="G84" s="1220"/>
      <c r="H84" s="1220"/>
      <c r="I84" s="1221"/>
      <c r="L84" s="1218"/>
      <c r="M84" s="1218"/>
    </row>
    <row r="85" spans="2:15">
      <c r="B85" s="1197" t="s">
        <v>1270</v>
      </c>
      <c r="C85" s="1208"/>
      <c r="D85" s="1208"/>
      <c r="E85" s="1208"/>
      <c r="F85" s="1208"/>
      <c r="G85" s="1208"/>
      <c r="H85" s="1208"/>
      <c r="L85" s="1218"/>
      <c r="M85" s="1218"/>
    </row>
    <row r="86" spans="2:15">
      <c r="B86" s="1209" t="s">
        <v>764</v>
      </c>
      <c r="C86" s="1209" t="s">
        <v>1271</v>
      </c>
      <c r="D86" s="1209" t="s">
        <v>1272</v>
      </c>
      <c r="E86" s="1209" t="s">
        <v>1194</v>
      </c>
      <c r="F86" s="1209" t="s">
        <v>1262</v>
      </c>
      <c r="G86" s="1209" t="s">
        <v>631</v>
      </c>
      <c r="H86" s="1209" t="s">
        <v>1263</v>
      </c>
      <c r="I86" s="1209" t="s">
        <v>633</v>
      </c>
      <c r="J86" s="1209" t="s">
        <v>1264</v>
      </c>
      <c r="K86" s="1209" t="s">
        <v>1265</v>
      </c>
      <c r="N86" s="1218"/>
      <c r="O86" s="1218"/>
    </row>
    <row r="87" spans="2:15">
      <c r="B87" s="1211" t="s">
        <v>1131</v>
      </c>
      <c r="C87" s="1211" t="s">
        <v>652</v>
      </c>
      <c r="D87" s="1211">
        <v>2020</v>
      </c>
      <c r="E87" s="1212">
        <f ca="1">SUMIFS(INDIRECT("GHG_INV[CY "&amp;FuelBySector[[#This Row],[Year Match]]&amp;" Consumed]"),GHG_INV[Category],"Residential",GHG_INV[Source],GHG_Inv!$B87)</f>
        <v>97015873.569999993</v>
      </c>
      <c r="F87" s="1213">
        <f ca="1">FuelBySector[[#This Row],[Residential]]*_xlfn.XLOOKUP(FuelBySector[[#This Row],[Fuel Type]],tbl_ActivityToPJ[Fuel],tbl_ActivityToPJ[Factor])</f>
        <v>14.125357491718015</v>
      </c>
      <c r="G87" s="1212">
        <f ca="1">SUMIFS(INDIRECT("GHG_INV[CY "&amp;FuelBySector[[#This Row],[Year Match]]&amp;" Consumed]"),GHG_INV[Category],"Commercial and Institutional",GHG_INV[Source],GHG_Inv!$B87)</f>
        <v>54975567.109999999</v>
      </c>
      <c r="H87" s="1213">
        <f ca="1">FuelBySector[[#This Row],[Commercial]]*_xlfn.XLOOKUP(FuelBySector[[#This Row],[Fuel Type]],tbl_ActivityToPJ[Fuel],tbl_ActivityToPJ[Factor])</f>
        <v>8.0043554746572489</v>
      </c>
      <c r="I87" s="1212">
        <f ca="1">SUMIFS(INDIRECT("GHG_INV[CY "&amp;FuelBySector[[#This Row],[Year Match]]&amp;" Consumed]"),GHG_INV[Category],"Manufacturing and Construction",GHG_INV[Source],GHG_Inv!$B87)</f>
        <v>12674152.390000001</v>
      </c>
      <c r="J87" s="1213">
        <f ca="1">FuelBySector[[#This Row],[Industrial]]*_xlfn.XLOOKUP(FuelBySector[[#This Row],[Fuel Type]],tbl_ActivityToPJ[Fuel],tbl_ActivityToPJ[Factor])</f>
        <v>1.845336508608447</v>
      </c>
      <c r="K87" s="1212">
        <f ca="1">SUM(F87,H87,J87)</f>
        <v>23.975049474983713</v>
      </c>
      <c r="N87" s="1218"/>
      <c r="O87" s="1218"/>
    </row>
    <row r="88" spans="2:15">
      <c r="B88" s="837" t="s">
        <v>1132</v>
      </c>
      <c r="C88" s="837" t="s">
        <v>652</v>
      </c>
      <c r="D88" s="1211">
        <v>2020</v>
      </c>
      <c r="E88" s="1217">
        <f ca="1">SUMIFS(INDIRECT("GHG_INV[CY "&amp;FuelBySector[[#This Row],[Year Match]]&amp;" Consumed]"),GHG_INV[Category],"Residential",GHG_INV[Source],GHG_Inv!$B88)</f>
        <v>37052732.590000004</v>
      </c>
      <c r="F88" s="1217">
        <f ca="1">FuelBySector[[#This Row],[Residential]]*_xlfn.XLOOKUP(FuelBySector[[#This Row],[Fuel Type]],tbl_ActivityToPJ[Fuel],tbl_ActivityToPJ[Factor])</f>
        <v>5.7075043973266935</v>
      </c>
      <c r="G88" s="1217">
        <f ca="1">SUMIFS(INDIRECT("GHG_INV[CY "&amp;FuelBySector[[#This Row],[Year Match]]&amp;" Consumed]"),GHG_INV[Category],"Commercial and Institutional",GHG_INV[Source],GHG_Inv!$B88)</f>
        <v>6613124.4000000004</v>
      </c>
      <c r="H88" s="1217">
        <f ca="1">FuelBySector[[#This Row],[Commercial]]*_xlfn.XLOOKUP(FuelBySector[[#This Row],[Fuel Type]],tbl_ActivityToPJ[Fuel],tbl_ActivityToPJ[Factor])</f>
        <v>1.0186680969180431</v>
      </c>
      <c r="I88" s="1217">
        <f ca="1">SUMIFS(INDIRECT("GHG_INV[CY "&amp;FuelBySector[[#This Row],[Year Match]]&amp;" Consumed]"),GHG_INV[Category],"Manufacturing and Construction",GHG_INV[Source],GHG_Inv!$B88)</f>
        <v>1424821.37</v>
      </c>
      <c r="J88" s="1217">
        <f ca="1">FuelBySector[[#This Row],[Industrial]]*_xlfn.XLOOKUP(FuelBySector[[#This Row],[Fuel Type]],tbl_ActivityToPJ[Fuel],tbl_ActivityToPJ[Factor])</f>
        <v>0.21947569494172209</v>
      </c>
      <c r="K88" s="1216">
        <f t="shared" ref="K88:K90" ca="1" si="4">SUM(F88,H88,J88)</f>
        <v>6.9456481891864588</v>
      </c>
    </row>
    <row r="89" spans="2:15">
      <c r="B89" s="1211" t="s">
        <v>1133</v>
      </c>
      <c r="C89" s="1211" t="s">
        <v>652</v>
      </c>
      <c r="D89" s="1211">
        <v>2020</v>
      </c>
      <c r="E89" s="1212">
        <f ca="1">SUMIFS(INDIRECT("GHG_INV[CY "&amp;FuelBySector[[#This Row],[Year Match]]&amp;" Consumed]"),GHG_INV[Category],"Residential",GHG_INV[Source],GHG_Inv!$B89)</f>
        <v>0</v>
      </c>
      <c r="F89" s="1212">
        <f ca="1">FuelBySector[[#This Row],[Residential]]*_xlfn.XLOOKUP(FuelBySector[[#This Row],[Fuel Type]],tbl_ActivityToPJ[Fuel],tbl_ActivityToPJ[Factor])</f>
        <v>0</v>
      </c>
      <c r="G89" s="1212">
        <f ca="1">SUMIFS(INDIRECT("GHG_INV[CY "&amp;FuelBySector[[#This Row],[Year Match]]&amp;" Consumed]"),GHG_INV[Category],"Commercial and Institutional",GHG_INV[Source],GHG_Inv!$B89)</f>
        <v>0</v>
      </c>
      <c r="H89" s="1212">
        <f ca="1">FuelBySector[[#This Row],[Commercial]]*_xlfn.XLOOKUP(FuelBySector[[#This Row],[Fuel Type]],tbl_ActivityToPJ[Fuel],tbl_ActivityToPJ[Factor])</f>
        <v>0</v>
      </c>
      <c r="I89" s="1212">
        <f ca="1">SUMIFS(INDIRECT("GHG_INV[CY "&amp;FuelBySector[[#This Row],[Year Match]]&amp;" Consumed]"),GHG_INV[Category],"Manufacturing and Construction",GHG_INV[Source],GHG_Inv!$B89)</f>
        <v>0</v>
      </c>
      <c r="J89" s="1212">
        <f ca="1">FuelBySector[[#This Row],[Industrial]]*_xlfn.XLOOKUP(FuelBySector[[#This Row],[Fuel Type]],tbl_ActivityToPJ[Fuel],tbl_ActivityToPJ[Factor])</f>
        <v>0</v>
      </c>
      <c r="K89" s="1212">
        <f t="shared" ca="1" si="4"/>
        <v>0</v>
      </c>
      <c r="L89" s="1220"/>
    </row>
    <row r="90" spans="2:15">
      <c r="B90" s="837" t="s">
        <v>1134</v>
      </c>
      <c r="C90" s="837" t="s">
        <v>652</v>
      </c>
      <c r="D90" s="1211">
        <v>2020</v>
      </c>
      <c r="E90" s="1217">
        <f ca="1">SUMIFS(INDIRECT("GHG_INV[CY "&amp;FuelBySector[[#This Row],[Year Match]]&amp;" Consumed]"),GHG_INV[Category],"Residential",GHG_INV[Source],GHG_Inv!$B90)</f>
        <v>14509638.810000001</v>
      </c>
      <c r="F90" s="1217">
        <f ca="1">FuelBySector[[#This Row],[Residential]]*_xlfn.XLOOKUP(FuelBySector[[#This Row],[Fuel Type]],tbl_ActivityToPJ[Fuel],tbl_ActivityToPJ[Factor])</f>
        <v>2.2350261781784839</v>
      </c>
      <c r="G90" s="1217">
        <f ca="1">SUMIFS(INDIRECT("GHG_INV[CY "&amp;FuelBySector[[#This Row],[Year Match]]&amp;" Consumed]"),GHG_INV[Category],"Commercial and Institutional",GHG_INV[Source],GHG_Inv!$B90)</f>
        <v>3652485.18</v>
      </c>
      <c r="H90" s="1217">
        <f ca="1">FuelBySector[[#This Row],[Commercial]]*_xlfn.XLOOKUP(FuelBySector[[#This Row],[Fuel Type]],tbl_ActivityToPJ[Fuel],tbl_ActivityToPJ[Factor])</f>
        <v>0.56261910441786878</v>
      </c>
      <c r="I90" s="1217">
        <f ca="1">SUMIFS(INDIRECT("GHG_INV[CY "&amp;FuelBySector[[#This Row],[Year Match]]&amp;" Consumed]"),GHG_INV[Category],"Manufacturing and Construction",GHG_INV[Source],GHG_Inv!$B90)</f>
        <v>648394.07999999996</v>
      </c>
      <c r="J90" s="1217">
        <f ca="1">FuelBySector[[#This Row],[Industrial]]*_xlfn.XLOOKUP(FuelBySector[[#This Row],[Fuel Type]],tbl_ActivityToPJ[Fuel],tbl_ActivityToPJ[Factor])</f>
        <v>9.9876899869980565E-2</v>
      </c>
      <c r="K90" s="1216">
        <f t="shared" ca="1" si="4"/>
        <v>2.8975221824663331</v>
      </c>
      <c r="L90" s="1220"/>
    </row>
    <row r="91" spans="2:15">
      <c r="B91" s="1211" t="s">
        <v>636</v>
      </c>
      <c r="C91" s="1211" t="s">
        <v>32</v>
      </c>
      <c r="D91" s="1211">
        <v>2020</v>
      </c>
      <c r="E91" s="1212">
        <f ca="1">SUMIFS(INDIRECT("GHG_INV[CY "&amp;FuelBySector[[#This Row],[Year Match]]&amp;" Consumed]"),GHG_INV[Category],"Residential",GHG_INV[Source],GHG_Inv!$B91)</f>
        <v>14577247613.58</v>
      </c>
      <c r="F91" s="1212">
        <f ca="1">FuelBySector[[#This Row],[Residential]]*_xlfn.XLOOKUP(FuelBySector[[#This Row],[Fuel Type]],tbl_ActivityToPJ[Fuel],tbl_ActivityToPJ[Factor])</f>
        <v>52.475919779382473</v>
      </c>
      <c r="G91" s="1212">
        <f ca="1">SUMIFS(INDIRECT("GHG_INV[CY "&amp;FuelBySector[[#This Row],[Year Match]]&amp;" Consumed]"),GHG_INV[Category],"Commercial and Institutional",GHG_INV[Source],GHG_Inv!$B91)</f>
        <v>20264309990.41</v>
      </c>
      <c r="H91" s="1212">
        <f ca="1">FuelBySector[[#This Row],[Commercial]]*_xlfn.XLOOKUP(FuelBySector[[#This Row],[Fuel Type]],tbl_ActivityToPJ[Fuel],tbl_ActivityToPJ[Factor])</f>
        <v>72.948497112078513</v>
      </c>
      <c r="I91" s="1212">
        <f ca="1">SUMIFS(INDIRECT("GHG_INV[CY "&amp;FuelBySector[[#This Row],[Year Match]]&amp;" Consumed]"),GHG_INV[Category],"Manufacturing and Construction",GHG_INV[Source],GHG_Inv!$B91)</f>
        <v>7358075557.3599997</v>
      </c>
      <c r="J91" s="1212">
        <f ca="1">FuelBySector[[#This Row],[Industrial]]*_xlfn.XLOOKUP(FuelBySector[[#This Row],[Fuel Type]],tbl_ActivityToPJ[Fuel],tbl_ActivityToPJ[Factor])</f>
        <v>26.487975845244723</v>
      </c>
      <c r="K91" s="1212">
        <f ca="1">SUM(F91,H91,J91)</f>
        <v>151.91239273670573</v>
      </c>
      <c r="L91" s="1220"/>
    </row>
    <row r="92" spans="2:15">
      <c r="B92" s="837" t="s">
        <v>637</v>
      </c>
      <c r="C92" s="837" t="s">
        <v>651</v>
      </c>
      <c r="D92" s="1211">
        <v>2020</v>
      </c>
      <c r="E92" s="1217">
        <f ca="1">SUMIFS(INDIRECT("GHG_INV[CY "&amp;FuelBySector[[#This Row],[Year Match]]&amp;" Consumed]"),GHG_INV[Category],"Residential",GHG_INV[Source],GHG_Inv!$B92)</f>
        <v>179289161755.73001</v>
      </c>
      <c r="F92" s="1217">
        <f ca="1">FuelBySector[[#This Row],[Residential]]*_xlfn.XLOOKUP(FuelBySector[[#This Row],[Fuel Type]],tbl_ActivityToPJ[Fuel],tbl_ActivityToPJ[Factor])</f>
        <v>194.07826612244665</v>
      </c>
      <c r="G92" s="1217">
        <f ca="1">SUMIFS(INDIRECT("GHG_INV[CY "&amp;FuelBySector[[#This Row],[Year Match]]&amp;" Consumed]"),GHG_INV[Category],"Commercial and Institutional",GHG_INV[Source],GHG_Inv!$B92)</f>
        <v>110565351429.25</v>
      </c>
      <c r="H92" s="1217">
        <f ca="1">FuelBySector[[#This Row],[Commercial]]*_xlfn.XLOOKUP(FuelBySector[[#This Row],[Fuel Type]],tbl_ActivityToPJ[Fuel],tbl_ActivityToPJ[Factor])</f>
        <v>119.68560446416399</v>
      </c>
      <c r="I92" s="1217">
        <f ca="1">SUMIFS(INDIRECT("GHG_INV[CY "&amp;FuelBySector[[#This Row],[Year Match]]&amp;" Consumed]"),GHG_INV[Category],"Manufacturing and Construction",GHG_INV[Source],GHG_Inv!$B92)</f>
        <v>25680997378.540001</v>
      </c>
      <c r="J92" s="1217">
        <f ca="1">FuelBySector[[#This Row],[Industrial]]*_xlfn.XLOOKUP(FuelBySector[[#This Row],[Fuel Type]],tbl_ActivityToPJ[Fuel],tbl_ActivityToPJ[Factor])</f>
        <v>27.799357165341036</v>
      </c>
      <c r="K92" s="1216">
        <f ca="1">SUM(F92,H92,J92)</f>
        <v>341.56322775195167</v>
      </c>
    </row>
    <row r="93" spans="2:15">
      <c r="B93" s="1211" t="s">
        <v>1124</v>
      </c>
      <c r="C93" s="1211" t="s">
        <v>638</v>
      </c>
      <c r="D93" s="1211">
        <v>2020</v>
      </c>
      <c r="E93" s="1212">
        <f ca="1">SUMIFS(INDIRECT("GHG_INV[CY "&amp;FuelBySector[[#This Row],[Year Match]]&amp;" Consumed]"),GHG_INV[Category],"Residential",GHG_INV[Source],GHG_Inv!$B93)</f>
        <v>2405299009.1599998</v>
      </c>
      <c r="F93" s="1212">
        <f ca="1">FuelBySector[[#This Row],[Residential]]*_xlfn.XLOOKUP(FuelBySector[[#This Row],[Fuel Type]],tbl_ActivityToPJ[Fuel],tbl_ActivityToPJ[Factor])</f>
        <v>6.6792925133323413</v>
      </c>
      <c r="G93" s="1212">
        <f ca="1">SUMIFS(INDIRECT("GHG_INV[CY "&amp;FuelBySector[[#This Row],[Year Match]]&amp;" Consumed]"),GHG_INV[Category],"Commercial and Institutional",GHG_INV[Source],GHG_Inv!$B93)</f>
        <v>3936440178.23</v>
      </c>
      <c r="H93" s="1212">
        <f ca="1">FuelBySector[[#This Row],[Commercial]]*_xlfn.XLOOKUP(FuelBySector[[#This Row],[Fuel Type]],tbl_ActivityToPJ[Fuel],tbl_ActivityToPJ[Factor])</f>
        <v>10.931129689698919</v>
      </c>
      <c r="I93" s="1212">
        <f ca="1">SUMIFS(INDIRECT("GHG_INV[CY "&amp;FuelBySector[[#This Row],[Year Match]]&amp;" Consumed]"),GHG_INV[Category],"Manufacturing and Construction",GHG_INV[Source],GHG_Inv!$B93)</f>
        <v>1180932055</v>
      </c>
      <c r="J93" s="1212">
        <f ca="1">FuelBySector[[#This Row],[Industrial]]*_xlfn.XLOOKUP(FuelBySector[[#This Row],[Fuel Type]],tbl_ActivityToPJ[Fuel],tbl_ActivityToPJ[Factor])</f>
        <v>3.2793389111611209</v>
      </c>
      <c r="K93" s="1212">
        <f t="shared" ref="K93" ca="1" si="5">SUM(F93,H93,J93)</f>
        <v>20.889761114192382</v>
      </c>
    </row>
    <row r="94" spans="2:15">
      <c r="B94" s="1211" t="s">
        <v>1131</v>
      </c>
      <c r="C94" s="1211" t="s">
        <v>652</v>
      </c>
      <c r="D94" s="1211">
        <v>2015</v>
      </c>
      <c r="E94" s="1222">
        <f ca="1">SUMIFS(INDIRECT("GHG_INV[CY "&amp;FuelBySector[[#This Row],[Year Match]]&amp;" Consumed]"),GHG_INV[Category],"Residential",GHG_INV[Source],GHG_Inv!$B94)</f>
        <v>160363033.90000001</v>
      </c>
      <c r="F94" s="1213">
        <f ca="1">FuelBySector[[#This Row],[Residential]]*_xlfn.XLOOKUP(FuelBySector[[#This Row],[Fuel Type]],tbl_ActivityToPJ[Fuel],tbl_ActivityToPJ[Factor])</f>
        <v>23.348603676279769</v>
      </c>
      <c r="G94" s="1222">
        <f ca="1">SUMIFS(INDIRECT("GHG_INV[CY "&amp;FuelBySector[[#This Row],[Year Match]]&amp;" Consumed]"),GHG_INV[Category],"Commercial and Institutional",GHG_INV[Source],GHG_Inv!$B94)</f>
        <v>90872229.540000007</v>
      </c>
      <c r="H94" s="1222">
        <f ca="1">FuelBySector[[#This Row],[Commercial]]*_xlfn.XLOOKUP(FuelBySector[[#This Row],[Fuel Type]],tbl_ActivityToPJ[Fuel],tbl_ActivityToPJ[Factor])</f>
        <v>13.230852654187551</v>
      </c>
      <c r="I94" s="1222">
        <f ca="1">SUMIFS(INDIRECT("GHG_INV[CY "&amp;FuelBySector[[#This Row],[Year Match]]&amp;" Consumed]"),GHG_INV[Category],"Manufacturing and Construction",GHG_INV[Source],GHG_Inv!$B94)</f>
        <v>20949824.550000001</v>
      </c>
      <c r="J94" s="1222">
        <f ca="1">FuelBySector[[#This Row],[Industrial]]*_xlfn.XLOOKUP(FuelBySector[[#This Row],[Fuel Type]],tbl_ActivityToPJ[Fuel],tbl_ActivityToPJ[Factor])</f>
        <v>3.0502612641425348</v>
      </c>
      <c r="K94" s="1222">
        <f t="shared" ref="K94:K100" ca="1" si="6">SUM(F94,H94,J94)</f>
        <v>39.629717594609858</v>
      </c>
    </row>
    <row r="95" spans="2:15">
      <c r="B95" s="837" t="s">
        <v>1132</v>
      </c>
      <c r="C95" s="837" t="s">
        <v>652</v>
      </c>
      <c r="D95" s="1211">
        <v>2015</v>
      </c>
      <c r="E95" s="1222">
        <f ca="1">SUMIFS(INDIRECT("GHG_INV[CY "&amp;FuelBySector[[#This Row],[Year Match]]&amp;" Consumed]"),GHG_INV[Category],"Residential",GHG_INV[Source],GHG_Inv!$B95)</f>
        <v>94126768.829999998</v>
      </c>
      <c r="F95" s="1217">
        <f ca="1">FuelBySector[[#This Row],[Residential]]*_xlfn.XLOOKUP(FuelBySector[[#This Row],[Fuel Type]],tbl_ActivityToPJ[Fuel],tbl_ActivityToPJ[Factor])</f>
        <v>14.499037168135029</v>
      </c>
      <c r="G95" s="1222">
        <f ca="1">SUMIFS(INDIRECT("GHG_INV[CY "&amp;FuelBySector[[#This Row],[Year Match]]&amp;" Consumed]"),GHG_INV[Category],"Commercial and Institutional",GHG_INV[Source],GHG_Inv!$B95)</f>
        <v>16799625.510000002</v>
      </c>
      <c r="H95" s="1222">
        <f ca="1">FuelBySector[[#This Row],[Commercial]]*_xlfn.XLOOKUP(FuelBySector[[#This Row],[Fuel Type]],tbl_ActivityToPJ[Fuel],tbl_ActivityToPJ[Factor])</f>
        <v>2.5877696399008476</v>
      </c>
      <c r="I95" s="1222">
        <f ca="1">SUMIFS(INDIRECT("GHG_INV[CY "&amp;FuelBySector[[#This Row],[Year Match]]&amp;" Consumed]"),GHG_INV[Category],"Manufacturing and Construction",GHG_INV[Source],GHG_Inv!$B95)</f>
        <v>3619539.56</v>
      </c>
      <c r="J95" s="1222">
        <f ca="1">FuelBySector[[#This Row],[Industrial]]*_xlfn.XLOOKUP(FuelBySector[[#This Row],[Fuel Type]],tbl_ActivityToPJ[Fuel],tbl_ActivityToPJ[Factor])</f>
        <v>0.5575442487222485</v>
      </c>
      <c r="K95" s="1222">
        <f t="shared" ca="1" si="6"/>
        <v>17.644351056758126</v>
      </c>
    </row>
    <row r="96" spans="2:15">
      <c r="B96" s="1211" t="s">
        <v>1133</v>
      </c>
      <c r="C96" s="1211" t="s">
        <v>652</v>
      </c>
      <c r="D96" s="1211">
        <v>2015</v>
      </c>
      <c r="E96" s="1222">
        <f ca="1">SUMIFS(INDIRECT("GHG_INV[CY "&amp;FuelBySector[[#This Row],[Year Match]]&amp;" Consumed]"),GHG_INV[Category],"Residential",GHG_INV[Source],GHG_Inv!$B96)</f>
        <v>12693209.119999999</v>
      </c>
      <c r="F96" s="1212">
        <f ca="1">FuelBySector[[#This Row],[Residential]]*_xlfn.XLOOKUP(FuelBySector[[#This Row],[Fuel Type]],tbl_ActivityToPJ[Fuel],tbl_ActivityToPJ[Factor])</f>
        <v>2.0088120464802959</v>
      </c>
      <c r="G96" s="1222">
        <f ca="1">SUMIFS(INDIRECT("GHG_INV[CY "&amp;FuelBySector[[#This Row],[Year Match]]&amp;" Consumed]"),GHG_INV[Category],"Commercial and Institutional",GHG_INV[Source],GHG_Inv!$B96)</f>
        <v>1557583.54</v>
      </c>
      <c r="H96" s="1222">
        <f ca="1">FuelBySector[[#This Row],[Commercial]]*_xlfn.XLOOKUP(FuelBySector[[#This Row],[Fuel Type]],tbl_ActivityToPJ[Fuel],tbl_ActivityToPJ[Factor])</f>
        <v>0.24650130230828685</v>
      </c>
      <c r="I96" s="1222">
        <f ca="1">SUMIFS(INDIRECT("GHG_INV[CY "&amp;FuelBySector[[#This Row],[Year Match]]&amp;" Consumed]"),GHG_INV[Category],"Manufacturing and Construction",GHG_INV[Source],GHG_Inv!$B96)</f>
        <v>120273.63</v>
      </c>
      <c r="J96" s="1222">
        <f ca="1">FuelBySector[[#This Row],[Industrial]]*_xlfn.XLOOKUP(FuelBySector[[#This Row],[Fuel Type]],tbl_ActivityToPJ[Fuel],tbl_ActivityToPJ[Factor])</f>
        <v>1.9034360383870672E-2</v>
      </c>
      <c r="K96" s="1222">
        <f t="shared" ca="1" si="6"/>
        <v>2.2743477091724533</v>
      </c>
    </row>
    <row r="97" spans="2:11">
      <c r="B97" s="837" t="s">
        <v>1134</v>
      </c>
      <c r="C97" s="837" t="s">
        <v>652</v>
      </c>
      <c r="D97" s="1211">
        <v>2015</v>
      </c>
      <c r="E97" s="1222">
        <f ca="1">SUMIFS(INDIRECT("GHG_INV[CY "&amp;FuelBySector[[#This Row],[Year Match]]&amp;" Consumed]"),GHG_INV[Category],"Residential",GHG_INV[Source],GHG_Inv!$B97)</f>
        <v>8794187.2599999998</v>
      </c>
      <c r="F97" s="1217">
        <f ca="1">FuelBySector[[#This Row],[Residential]]*_xlfn.XLOOKUP(FuelBySector[[#This Row],[Fuel Type]],tbl_ActivityToPJ[Fuel],tbl_ActivityToPJ[Factor])</f>
        <v>1.3546332199777005</v>
      </c>
      <c r="G97" s="1222">
        <f ca="1">SUMIFS(INDIRECT("GHG_INV[CY "&amp;FuelBySector[[#This Row],[Year Match]]&amp;" Consumed]"),GHG_INV[Category],"Commercial and Institutional",GHG_INV[Source],GHG_Inv!$B97)</f>
        <v>2213744.88</v>
      </c>
      <c r="H97" s="1222">
        <f ca="1">FuelBySector[[#This Row],[Commercial]]*_xlfn.XLOOKUP(FuelBySector[[#This Row],[Fuel Type]],tbl_ActivityToPJ[Fuel],tbl_ActivityToPJ[Factor])</f>
        <v>0.34099937451224438</v>
      </c>
      <c r="I97" s="1222">
        <f ca="1">SUMIFS(INDIRECT("GHG_INV[CY "&amp;FuelBySector[[#This Row],[Year Match]]&amp;" Consumed]"),GHG_INV[Category],"Manufacturing and Construction",GHG_INV[Source],GHG_Inv!$B97)</f>
        <v>392986.97</v>
      </c>
      <c r="J97" s="1222">
        <f ca="1">FuelBySector[[#This Row],[Industrial]]*_xlfn.XLOOKUP(FuelBySector[[#This Row],[Fuel Type]],tbl_ActivityToPJ[Fuel],tbl_ActivityToPJ[Factor])</f>
        <v>6.0534667825617797E-2</v>
      </c>
      <c r="K97" s="1222">
        <f t="shared" ca="1" si="6"/>
        <v>1.7561672623155626</v>
      </c>
    </row>
    <row r="98" spans="2:11">
      <c r="B98" s="1211" t="s">
        <v>636</v>
      </c>
      <c r="C98" s="1211" t="s">
        <v>32</v>
      </c>
      <c r="D98" s="1211">
        <v>2015</v>
      </c>
      <c r="E98" s="1222">
        <f ca="1">SUMIFS(INDIRECT("GHG_INV[CY "&amp;FuelBySector[[#This Row],[Year Match]]&amp;" Consumed]"),GHG_INV[Category],"Residential",GHG_INV[Source],GHG_Inv!$B98)</f>
        <v>15705500653.280001</v>
      </c>
      <c r="F98" s="1212">
        <f ca="1">FuelBySector[[#This Row],[Residential]]*_xlfn.XLOOKUP(FuelBySector[[#This Row],[Fuel Type]],tbl_ActivityToPJ[Fuel],tbl_ActivityToPJ[Factor])</f>
        <v>56.537462642040985</v>
      </c>
      <c r="G98" s="1222">
        <f ca="1">SUMIFS(INDIRECT("GHG_INV[CY "&amp;FuelBySector[[#This Row],[Year Match]]&amp;" Consumed]"),GHG_INV[Category],"Commercial and Institutional",GHG_INV[Source],GHG_Inv!$B98)</f>
        <v>24309477657.299999</v>
      </c>
      <c r="H98" s="1222">
        <f ca="1">FuelBySector[[#This Row],[Commercial]]*_xlfn.XLOOKUP(FuelBySector[[#This Row],[Fuel Type]],tbl_ActivityToPJ[Fuel],tbl_ActivityToPJ[Factor])</f>
        <v>87.510498088457581</v>
      </c>
      <c r="I98" s="1222">
        <f ca="1">SUMIFS(INDIRECT("GHG_INV[CY "&amp;FuelBySector[[#This Row],[Year Match]]&amp;" Consumed]"),GHG_INV[Category],"Manufacturing and Construction",GHG_INV[Source],GHG_Inv!$B98)</f>
        <v>9025316596.5</v>
      </c>
      <c r="J98" s="1222">
        <f ca="1">FuelBySector[[#This Row],[Industrial]]*_xlfn.XLOOKUP(FuelBySector[[#This Row],[Fuel Type]],tbl_ActivityToPJ[Fuel],tbl_ActivityToPJ[Factor])</f>
        <v>32.489795210740049</v>
      </c>
      <c r="K98" s="1222">
        <f t="shared" ca="1" si="6"/>
        <v>176.53775594123863</v>
      </c>
    </row>
    <row r="99" spans="2:11">
      <c r="B99" s="837" t="s">
        <v>637</v>
      </c>
      <c r="C99" s="837" t="s">
        <v>651</v>
      </c>
      <c r="D99" s="1211">
        <v>2015</v>
      </c>
      <c r="E99" s="1222">
        <f ca="1">SUMIFS(INDIRECT("GHG_INV[CY "&amp;FuelBySector[[#This Row],[Year Match]]&amp;" Consumed]"),GHG_INV[Category],"Residential",GHG_INV[Source],GHG_Inv!$B99)</f>
        <v>177354752086.89999</v>
      </c>
      <c r="F99" s="1217">
        <f ca="1">FuelBySector[[#This Row],[Residential]]*_xlfn.XLOOKUP(FuelBySector[[#This Row],[Fuel Type]],tbl_ActivityToPJ[Fuel],tbl_ActivityToPJ[Factor])</f>
        <v>191.98429194787539</v>
      </c>
      <c r="G99" s="1222">
        <f ca="1">SUMIFS(INDIRECT("GHG_INV[CY "&amp;FuelBySector[[#This Row],[Year Match]]&amp;" Consumed]"),GHG_INV[Category],"Commercial and Institutional",GHG_INV[Source],GHG_Inv!$B99)</f>
        <v>104250511239.56</v>
      </c>
      <c r="H99" s="1222">
        <f ca="1">FuelBySector[[#This Row],[Commercial]]*_xlfn.XLOOKUP(FuelBySector[[#This Row],[Fuel Type]],tbl_ActivityToPJ[Fuel],tbl_ActivityToPJ[Factor])</f>
        <v>112.84986925934919</v>
      </c>
      <c r="I99" s="1222">
        <f ca="1">SUMIFS(INDIRECT("GHG_INV[CY "&amp;FuelBySector[[#This Row],[Year Match]]&amp;" Consumed]"),GHG_INV[Category],"Manufacturing and Construction",GHG_INV[Source],GHG_Inv!$B99)</f>
        <v>24884990545.43</v>
      </c>
      <c r="J99" s="1222">
        <f ca="1">FuelBySector[[#This Row],[Industrial]]*_xlfn.XLOOKUP(FuelBySector[[#This Row],[Fuel Type]],tbl_ActivityToPJ[Fuel],tbl_ActivityToPJ[Factor])</f>
        <v>26.937689764597156</v>
      </c>
      <c r="K99" s="1222">
        <f t="shared" ca="1" si="6"/>
        <v>331.77185097182178</v>
      </c>
    </row>
    <row r="100" spans="2:11">
      <c r="B100" s="1211" t="s">
        <v>1124</v>
      </c>
      <c r="C100" s="1211" t="s">
        <v>638</v>
      </c>
      <c r="D100" s="1211">
        <v>2015</v>
      </c>
      <c r="E100" s="1222">
        <f ca="1">SUMIFS(INDIRECT("GHG_INV[CY "&amp;FuelBySector[[#This Row],[Year Match]]&amp;" Consumed]"),GHG_INV[Category],"Residential",GHG_INV[Source],GHG_Inv!$B100)</f>
        <v>2671762179.8800001</v>
      </c>
      <c r="F100" s="1212">
        <f ca="1">FuelBySector[[#This Row],[Residential]]*_xlfn.XLOOKUP(FuelBySector[[#This Row],[Fuel Type]],tbl_ActivityToPJ[Fuel],tbl_ActivityToPJ[Factor])</f>
        <v>7.4192360523647078</v>
      </c>
      <c r="G100" s="1222">
        <f ca="1">SUMIFS(INDIRECT("GHG_INV[CY "&amp;FuelBySector[[#This Row],[Year Match]]&amp;" Consumed]"),GHG_INV[Category],"Commercial and Institutional",GHG_INV[Source],GHG_Inv!$B100)</f>
        <v>5318470946.7799997</v>
      </c>
      <c r="H100" s="1222">
        <f ca="1">FuelBySector[[#This Row],[Commercial]]*_xlfn.XLOOKUP(FuelBySector[[#This Row],[Fuel Type]],tbl_ActivityToPJ[Fuel],tbl_ActivityToPJ[Factor])</f>
        <v>14.768901097917594</v>
      </c>
      <c r="I100" s="1222">
        <f ca="1">SUMIFS(INDIRECT("GHG_INV[CY "&amp;FuelBySector[[#This Row],[Year Match]]&amp;" Consumed]"),GHG_INV[Category],"Manufacturing and Construction",GHG_INV[Source],GHG_Inv!$B100)</f>
        <v>1595541286.1099999</v>
      </c>
      <c r="J100" s="1222">
        <f ca="1">FuelBySector[[#This Row],[Industrial]]*_xlfn.XLOOKUP(FuelBySector[[#This Row],[Fuel Type]],tbl_ActivityToPJ[Fuel],tbl_ActivityToPJ[Factor])</f>
        <v>4.430670335140138</v>
      </c>
      <c r="K100" s="1222">
        <f t="shared" ca="1" si="6"/>
        <v>26.61880748542244</v>
      </c>
    </row>
    <row r="101" spans="2:11">
      <c r="B101" s="1211" t="s">
        <v>1131</v>
      </c>
      <c r="C101" s="1211" t="s">
        <v>652</v>
      </c>
      <c r="D101" s="1211">
        <v>2010</v>
      </c>
      <c r="E101" s="1222">
        <f ca="1">SUMIFS(INDIRECT("GHG_INV[CY "&amp;FuelBySector[[#This Row],[Year Match]]&amp;" Consumed]"),GHG_INV[Category],"Residential",GHG_INV[Source],GHG_Inv!$B101)</f>
        <v>141176974.44</v>
      </c>
      <c r="F101" s="1213">
        <f ca="1">FuelBySector[[#This Row],[Residential]]*_xlfn.XLOOKUP(FuelBySector[[#This Row],[Fuel Type]],tbl_ActivityToPJ[Fuel],tbl_ActivityToPJ[Factor])</f>
        <v>20.555143814947733</v>
      </c>
      <c r="G101" s="1222">
        <f ca="1">SUMIFS(INDIRECT("GHG_INV[CY "&amp;FuelBySector[[#This Row],[Year Match]]&amp;" Consumed]"),GHG_INV[Category],"Commercial and Institutional",GHG_INV[Source],GHG_Inv!$B101)</f>
        <v>80000147.890000001</v>
      </c>
      <c r="H101" s="1222">
        <f ca="1">FuelBySector[[#This Row],[Commercial]]*_xlfn.XLOOKUP(FuelBySector[[#This Row],[Fuel Type]],tbl_ActivityToPJ[Fuel],tbl_ActivityToPJ[Factor])</f>
        <v>11.647894790342821</v>
      </c>
      <c r="I101" s="1222">
        <f ca="1">SUMIFS(INDIRECT("GHG_INV[CY "&amp;FuelBySector[[#This Row],[Year Match]]&amp;" Consumed]"),GHG_INV[Category],"Manufacturing and Construction",GHG_INV[Source],GHG_Inv!$B101)</f>
        <v>18443358</v>
      </c>
      <c r="J101" s="1222">
        <f ca="1">FuelBySector[[#This Row],[Industrial]]*_xlfn.XLOOKUP(FuelBySector[[#This Row],[Fuel Type]],tbl_ActivityToPJ[Fuel],tbl_ActivityToPJ[Factor])</f>
        <v>2.6853237054013097</v>
      </c>
      <c r="K101" s="1222">
        <f t="shared" ref="K101:K107" ca="1" si="7">SUM(F101,H101,J101)</f>
        <v>34.888362310691868</v>
      </c>
    </row>
    <row r="102" spans="2:11">
      <c r="B102" s="837" t="s">
        <v>1132</v>
      </c>
      <c r="C102" s="837" t="s">
        <v>652</v>
      </c>
      <c r="D102" s="1211">
        <v>2010</v>
      </c>
      <c r="E102" s="1222">
        <f ca="1">SUMIFS(INDIRECT("GHG_INV[CY "&amp;FuelBySector[[#This Row],[Year Match]]&amp;" Consumed]"),GHG_INV[Category],"Residential",GHG_INV[Source],GHG_Inv!$B102)</f>
        <v>76167717.239999995</v>
      </c>
      <c r="F102" s="1217">
        <f ca="1">FuelBySector[[#This Row],[Residential]]*_xlfn.XLOOKUP(FuelBySector[[#This Row],[Fuel Type]],tbl_ActivityToPJ[Fuel],tbl_ActivityToPJ[Factor])</f>
        <v>11.732672618023397</v>
      </c>
      <c r="G102" s="1222">
        <f ca="1">SUMIFS(INDIRECT("GHG_INV[CY "&amp;FuelBySector[[#This Row],[Year Match]]&amp;" Consumed]"),GHG_INV[Category],"Commercial and Institutional",GHG_INV[Source],GHG_Inv!$B102)</f>
        <v>13594316.91</v>
      </c>
      <c r="H102" s="1222">
        <f ca="1">FuelBySector[[#This Row],[Commercial]]*_xlfn.XLOOKUP(FuelBySector[[#This Row],[Fuel Type]],tbl_ActivityToPJ[Fuel],tbl_ActivityToPJ[Factor])</f>
        <v>2.0940324267316779</v>
      </c>
      <c r="I102" s="1222">
        <f ca="1">SUMIFS(INDIRECT("GHG_INV[CY "&amp;FuelBySector[[#This Row],[Year Match]]&amp;" Consumed]"),GHG_INV[Category],"Manufacturing and Construction",GHG_INV[Source],GHG_Inv!$B102)</f>
        <v>2928944.33</v>
      </c>
      <c r="J102" s="1222">
        <f ca="1">FuelBySector[[#This Row],[Industrial]]*_xlfn.XLOOKUP(FuelBySector[[#This Row],[Fuel Type]],tbl_ActivityToPJ[Fuel],tbl_ActivityToPJ[Factor])</f>
        <v>0.45116679592780567</v>
      </c>
      <c r="K102" s="1222">
        <f t="shared" ca="1" si="7"/>
        <v>14.277871840682881</v>
      </c>
    </row>
    <row r="103" spans="2:11">
      <c r="B103" s="1211" t="s">
        <v>1133</v>
      </c>
      <c r="C103" s="1211" t="s">
        <v>652</v>
      </c>
      <c r="D103" s="1211">
        <v>2010</v>
      </c>
      <c r="E103" s="1222">
        <f ca="1">SUMIFS(INDIRECT("GHG_INV[CY "&amp;FuelBySector[[#This Row],[Year Match]]&amp;" Consumed]"),GHG_INV[Category],"Residential",GHG_INV[Source],GHG_Inv!$B103)</f>
        <v>192084422.87</v>
      </c>
      <c r="F103" s="1212">
        <f ca="1">FuelBySector[[#This Row],[Residential]]*_xlfn.XLOOKUP(FuelBySector[[#This Row],[Fuel Type]],tbl_ActivityToPJ[Fuel],tbl_ActivityToPJ[Factor])</f>
        <v>30.399050307497909</v>
      </c>
      <c r="G103" s="1222">
        <f ca="1">SUMIFS(INDIRECT("GHG_INV[CY "&amp;FuelBySector[[#This Row],[Year Match]]&amp;" Consumed]"),GHG_INV[Category],"Commercial and Institutional",GHG_INV[Source],GHG_Inv!$B103)</f>
        <v>23570677.219999999</v>
      </c>
      <c r="H103" s="1222">
        <f ca="1">FuelBySector[[#This Row],[Commercial]]*_xlfn.XLOOKUP(FuelBySector[[#This Row],[Fuel Type]],tbl_ActivityToPJ[Fuel],tbl_ActivityToPJ[Factor])</f>
        <v>3.730267097595465</v>
      </c>
      <c r="I103" s="1222">
        <f ca="1">SUMIFS(INDIRECT("GHG_INV[CY "&amp;FuelBySector[[#This Row],[Year Match]]&amp;" Consumed]"),GHG_INV[Category],"Manufacturing and Construction",GHG_INV[Source],GHG_Inv!$B103)</f>
        <v>1820082.68</v>
      </c>
      <c r="J103" s="1222">
        <f ca="1">FuelBySector[[#This Row],[Industrial]]*_xlfn.XLOOKUP(FuelBySector[[#This Row],[Fuel Type]],tbl_ActivityToPJ[Fuel],tbl_ActivityToPJ[Factor])</f>
        <v>0.28804410126776053</v>
      </c>
      <c r="K103" s="1222">
        <f t="shared" ca="1" si="7"/>
        <v>34.417361506361132</v>
      </c>
    </row>
    <row r="104" spans="2:11">
      <c r="B104" s="837" t="s">
        <v>1134</v>
      </c>
      <c r="C104" s="837" t="s">
        <v>652</v>
      </c>
      <c r="D104" s="1211">
        <v>2010</v>
      </c>
      <c r="E104" s="1222">
        <f ca="1">SUMIFS(INDIRECT("GHG_INV[CY "&amp;FuelBySector[[#This Row],[Year Match]]&amp;" Consumed]"),GHG_INV[Category],"Residential",GHG_INV[Source],GHG_Inv!$B104)</f>
        <v>1433903.4</v>
      </c>
      <c r="F104" s="1217">
        <f ca="1">FuelBySector[[#This Row],[Residential]]*_xlfn.XLOOKUP(FuelBySector[[#This Row],[Fuel Type]],tbl_ActivityToPJ[Fuel],tbl_ActivityToPJ[Factor])</f>
        <v>0.22087466669193631</v>
      </c>
      <c r="G104" s="1222">
        <f ca="1">SUMIFS(INDIRECT("GHG_INV[CY "&amp;FuelBySector[[#This Row],[Year Match]]&amp;" Consumed]"),GHG_INV[Category],"Commercial and Institutional",GHG_INV[Source],GHG_Inv!$B104)</f>
        <v>360953.92</v>
      </c>
      <c r="H104" s="1222">
        <f ca="1">FuelBySector[[#This Row],[Commercial]]*_xlfn.XLOOKUP(FuelBySector[[#This Row],[Fuel Type]],tbl_ActivityToPJ[Fuel],tbl_ActivityToPJ[Factor])</f>
        <v>5.5600381986086259E-2</v>
      </c>
      <c r="I104" s="1222">
        <f ca="1">SUMIFS(INDIRECT("GHG_INV[CY "&amp;FuelBySector[[#This Row],[Year Match]]&amp;" Consumed]"),GHG_INV[Category],"Manufacturing and Construction",GHG_INV[Source],GHG_Inv!$B104)</f>
        <v>64077.02</v>
      </c>
      <c r="J104" s="1222">
        <f ca="1">FuelBySector[[#This Row],[Industrial]]*_xlfn.XLOOKUP(FuelBySector[[#This Row],[Fuel Type]],tbl_ActivityToPJ[Fuel],tbl_ActivityToPJ[Factor])</f>
        <v>9.8702537668245542E-3</v>
      </c>
      <c r="K104" s="1222">
        <f t="shared" ca="1" si="7"/>
        <v>0.28634530244484713</v>
      </c>
    </row>
    <row r="105" spans="2:11">
      <c r="B105" s="1211" t="s">
        <v>636</v>
      </c>
      <c r="C105" s="1211" t="s">
        <v>32</v>
      </c>
      <c r="D105" s="1211">
        <v>2010</v>
      </c>
      <c r="E105" s="1222">
        <f ca="1">SUMIFS(INDIRECT("GHG_INV[CY "&amp;FuelBySector[[#This Row],[Year Match]]&amp;" Consumed]"),GHG_INV[Category],"Residential",GHG_INV[Source],GHG_Inv!$B105)</f>
        <v>16246085145.17</v>
      </c>
      <c r="F105" s="1212">
        <f ca="1">FuelBySector[[#This Row],[Residential]]*_xlfn.XLOOKUP(FuelBySector[[#This Row],[Fuel Type]],tbl_ActivityToPJ[Fuel],tbl_ActivityToPJ[Factor])</f>
        <v>58.483486279862078</v>
      </c>
      <c r="G105" s="1222">
        <f ca="1">SUMIFS(INDIRECT("GHG_INV[CY "&amp;FuelBySector[[#This Row],[Year Match]]&amp;" Consumed]"),GHG_INV[Category],"Commercial and Institutional",GHG_INV[Source],GHG_Inv!$B105)</f>
        <v>25179409288.110001</v>
      </c>
      <c r="H105" s="1222">
        <f ca="1">FuelBySector[[#This Row],[Commercial]]*_xlfn.XLOOKUP(FuelBySector[[#This Row],[Fuel Type]],tbl_ActivityToPJ[Fuel],tbl_ActivityToPJ[Factor])</f>
        <v>90.64212236226119</v>
      </c>
      <c r="I105" s="1222">
        <f ca="1">SUMIFS(INDIRECT("GHG_INV[CY "&amp;FuelBySector[[#This Row],[Year Match]]&amp;" Consumed]"),GHG_INV[Category],"Manufacturing and Construction",GHG_INV[Source],GHG_Inv!$B105)</f>
        <v>8873552676.7099991</v>
      </c>
      <c r="J105" s="1222">
        <f ca="1">FuelBySector[[#This Row],[Industrial]]*_xlfn.XLOOKUP(FuelBySector[[#This Row],[Fuel Type]],tbl_ActivityToPJ[Fuel],tbl_ActivityToPJ[Factor])</f>
        <v>31.943467708359858</v>
      </c>
      <c r="K105" s="1222">
        <f t="shared" ca="1" si="7"/>
        <v>181.06907635048313</v>
      </c>
    </row>
    <row r="106" spans="2:11">
      <c r="B106" s="837" t="s">
        <v>637</v>
      </c>
      <c r="C106" s="837" t="s">
        <v>651</v>
      </c>
      <c r="D106" s="1211">
        <v>2010</v>
      </c>
      <c r="E106" s="1222">
        <f ca="1">SUMIFS(INDIRECT("GHG_INV[CY "&amp;FuelBySector[[#This Row],[Year Match]]&amp;" Consumed]"),GHG_INV[Category],"Residential",GHG_INV[Source],GHG_Inv!$B106)</f>
        <v>156854670084.42001</v>
      </c>
      <c r="F106" s="1217">
        <f ca="1">FuelBySector[[#This Row],[Residential]]*_xlfn.XLOOKUP(FuelBySector[[#This Row],[Fuel Type]],tbl_ActivityToPJ[Fuel],tbl_ActivityToPJ[Factor])</f>
        <v>169.79321061620013</v>
      </c>
      <c r="G106" s="1222">
        <f ca="1">SUMIFS(INDIRECT("GHG_INV[CY "&amp;FuelBySector[[#This Row],[Year Match]]&amp;" Consumed]"),GHG_INV[Category],"Commercial and Institutional",GHG_INV[Source],GHG_Inv!$B106)</f>
        <v>88813852860.940002</v>
      </c>
      <c r="H106" s="1222">
        <f ca="1">FuelBySector[[#This Row],[Commercial]]*_xlfn.XLOOKUP(FuelBySector[[#This Row],[Fuel Type]],tbl_ActivityToPJ[Fuel],tbl_ActivityToPJ[Factor])</f>
        <v>96.139880415021523</v>
      </c>
      <c r="I106" s="1222">
        <f ca="1">SUMIFS(INDIRECT("GHG_INV[CY "&amp;FuelBySector[[#This Row],[Year Match]]&amp;" Consumed]"),GHG_INV[Category],"Manufacturing and Construction",GHG_INV[Source],GHG_Inv!$B106)</f>
        <v>21058714673.400002</v>
      </c>
      <c r="J106" s="1222">
        <f ca="1">FuelBySector[[#This Row],[Industrial]]*_xlfn.XLOOKUP(FuelBySector[[#This Row],[Fuel Type]],tbl_ActivityToPJ[Fuel],tbl_ActivityToPJ[Factor])</f>
        <v>22.795794182746675</v>
      </c>
      <c r="K106" s="1222">
        <f t="shared" ca="1" si="7"/>
        <v>288.72888521396828</v>
      </c>
    </row>
    <row r="107" spans="2:11">
      <c r="B107" s="1211" t="s">
        <v>1124</v>
      </c>
      <c r="C107" s="1211" t="s">
        <v>638</v>
      </c>
      <c r="D107" s="1211">
        <v>2010</v>
      </c>
      <c r="E107" s="1222">
        <f ca="1">SUMIFS(INDIRECT("GHG_INV[CY "&amp;FuelBySector[[#This Row],[Year Match]]&amp;" Consumed]"),GHG_INV[Category],"Residential",GHG_INV[Source],GHG_Inv!$B107)</f>
        <v>2684576093.9200001</v>
      </c>
      <c r="F107" s="1212">
        <f ca="1">FuelBySector[[#This Row],[Residential]]*_xlfn.XLOOKUP(FuelBySector[[#This Row],[Fuel Type]],tbl_ActivityToPJ[Fuel],tbl_ActivityToPJ[Factor])</f>
        <v>7.454819104529081</v>
      </c>
      <c r="G107" s="1222">
        <f ca="1">SUMIFS(INDIRECT("GHG_INV[CY "&amp;FuelBySector[[#This Row],[Year Match]]&amp;" Consumed]"),GHG_INV[Category],"Commercial and Institutional",GHG_INV[Source],GHG_Inv!$B107)</f>
        <v>6065635918.1099997</v>
      </c>
      <c r="H107" s="1222">
        <f ca="1">FuelBySector[[#This Row],[Commercial]]*_xlfn.XLOOKUP(FuelBySector[[#This Row],[Fuel Type]],tbl_ActivityToPJ[Fuel],tbl_ActivityToPJ[Factor])</f>
        <v>16.843709003389389</v>
      </c>
      <c r="I107" s="1222">
        <f ca="1">SUMIFS(INDIRECT("GHG_INV[CY "&amp;FuelBySector[[#This Row],[Year Match]]&amp;" Consumed]"),GHG_INV[Category],"Manufacturing and Construction",GHG_INV[Source],GHG_Inv!$B107)</f>
        <v>1819690775.4300001</v>
      </c>
      <c r="J107" s="1222">
        <f ca="1">FuelBySector[[#This Row],[Industrial]]*_xlfn.XLOOKUP(FuelBySector[[#This Row],[Fuel Type]],tbl_ActivityToPJ[Fuel],tbl_ActivityToPJ[Factor])</f>
        <v>5.0531127010084864</v>
      </c>
      <c r="K107" s="1222">
        <f t="shared" ca="1" si="7"/>
        <v>29.351640808926959</v>
      </c>
    </row>
    <row r="108" spans="2:11">
      <c r="B108" s="1211" t="s">
        <v>1131</v>
      </c>
      <c r="C108" s="1211" t="s">
        <v>652</v>
      </c>
      <c r="D108" s="1211">
        <v>2023</v>
      </c>
      <c r="E108" s="1222">
        <f ca="1">SUMIFS(INDIRECT("GHG_INV[CY "&amp;FuelBySector[[#This Row],[Year Match]]&amp;" Consumed]"),GHG_INV[Category],"Residential",GHG_INV[Source],GHG_Inv!$B108)</f>
        <v>90526881.459999993</v>
      </c>
      <c r="F108" s="1222">
        <f ca="1">FuelBySector[[#This Row],[Residential]]*_xlfn.XLOOKUP(FuelBySector[[#This Row],[Fuel Type]],tbl_ActivityToPJ[Fuel],tbl_ActivityToPJ[Factor])</f>
        <v>13.180570520866771</v>
      </c>
      <c r="G108" s="1222">
        <f ca="1">SUMIFS(INDIRECT("GHG_INV[CY "&amp;FuelBySector[[#This Row],[Year Match]]&amp;" Consumed]"),GHG_INV[Category],"Commercial and Institutional",GHG_INV[Source],GHG_Inv!$B108)</f>
        <v>51298477.909999996</v>
      </c>
      <c r="H108" s="1222">
        <f ca="1">FuelBySector[[#This Row],[Commercial]]*_xlfn.XLOOKUP(FuelBySector[[#This Row],[Fuel Type]],tbl_ActivityToPJ[Fuel],tbl_ActivityToPJ[Factor])</f>
        <v>7.4689771126672504</v>
      </c>
      <c r="I108" s="1222">
        <f ca="1">SUMIFS(INDIRECT("GHG_INV[CY "&amp;FuelBySector[[#This Row],[Year Match]]&amp;" Consumed]"),GHG_INV[Category],"Manufacturing and Construction",GHG_INV[Source],GHG_Inv!$B108)</f>
        <v>11826430.550000001</v>
      </c>
      <c r="J108" s="1222">
        <f ca="1">FuelBySector[[#This Row],[Industrial]]*_xlfn.XLOOKUP(FuelBySector[[#This Row],[Fuel Type]],tbl_ActivityToPJ[Fuel],tbl_ActivityToPJ[Factor])</f>
        <v>1.7219095517311573</v>
      </c>
      <c r="K108" s="1222">
        <f t="shared" ref="K108:K114" ca="1" si="8">SUM(F108,H108,J108)</f>
        <v>22.371457185265179</v>
      </c>
    </row>
    <row r="109" spans="2:11">
      <c r="B109" s="1211" t="s">
        <v>1132</v>
      </c>
      <c r="C109" s="1211" t="s">
        <v>652</v>
      </c>
      <c r="D109" s="1211">
        <v>2023</v>
      </c>
      <c r="E109" s="1222">
        <f ca="1">SUMIFS(INDIRECT("GHG_INV[CY "&amp;FuelBySector[[#This Row],[Year Match]]&amp;" Consumed]"),GHG_INV[Category],"Residential",GHG_INV[Source],GHG_Inv!$B109)</f>
        <v>28961810.949999999</v>
      </c>
      <c r="F109" s="1222">
        <f ca="1">FuelBySector[[#This Row],[Residential]]*_xlfn.XLOOKUP(FuelBySector[[#This Row],[Fuel Type]],tbl_ActivityToPJ[Fuel],tbl_ActivityToPJ[Factor])</f>
        <v>4.4612003433258627</v>
      </c>
      <c r="G109" s="1222">
        <f ca="1">SUMIFS(INDIRECT("GHG_INV[CY "&amp;FuelBySector[[#This Row],[Year Match]]&amp;" Consumed]"),GHG_INV[Category],"Commercial and Institutional",GHG_INV[Source],GHG_Inv!$B109)</f>
        <v>5169067.04</v>
      </c>
      <c r="H109" s="1222">
        <f ca="1">FuelBySector[[#This Row],[Commercial]]*_xlfn.XLOOKUP(FuelBySector[[#This Row],[Fuel Type]],tbl_ActivityToPJ[Fuel],tbl_ActivityToPJ[Factor])</f>
        <v>0.79622934122917477</v>
      </c>
      <c r="I109" s="1222">
        <f ca="1">SUMIFS(INDIRECT("GHG_INV[CY "&amp;FuelBySector[[#This Row],[Year Match]]&amp;" Consumed]"),GHG_INV[Category],"Manufacturing and Construction",GHG_INV[Source],GHG_Inv!$B109)</f>
        <v>1113694.03</v>
      </c>
      <c r="J109" s="1222">
        <f ca="1">FuelBySector[[#This Row],[Industrial]]*_xlfn.XLOOKUP(FuelBySector[[#This Row],[Fuel Type]],tbl_ActivityToPJ[Fuel],tbl_ActivityToPJ[Factor])</f>
        <v>0.17155046683971134</v>
      </c>
      <c r="K109" s="1222">
        <f t="shared" ca="1" si="8"/>
        <v>5.4289801513947493</v>
      </c>
    </row>
    <row r="110" spans="2:11">
      <c r="B110" s="1211" t="s">
        <v>1133</v>
      </c>
      <c r="C110" s="1211" t="s">
        <v>652</v>
      </c>
      <c r="D110" s="1211">
        <v>2023</v>
      </c>
      <c r="E110" s="1222">
        <f ca="1">SUMIFS(INDIRECT("GHG_INV[CY "&amp;FuelBySector[[#This Row],[Year Match]]&amp;" Consumed]"),GHG_INV[Category],"Residential",GHG_INV[Source],GHG_Inv!$B110)</f>
        <v>0</v>
      </c>
      <c r="F110" s="1222">
        <f ca="1">FuelBySector[[#This Row],[Residential]]*_xlfn.XLOOKUP(FuelBySector[[#This Row],[Fuel Type]],tbl_ActivityToPJ[Fuel],tbl_ActivityToPJ[Factor])</f>
        <v>0</v>
      </c>
      <c r="G110" s="1222">
        <f ca="1">SUMIFS(INDIRECT("GHG_INV[CY "&amp;FuelBySector[[#This Row],[Year Match]]&amp;" Consumed]"),GHG_INV[Category],"Commercial and Institutional",GHG_INV[Source],GHG_Inv!$B110)</f>
        <v>0</v>
      </c>
      <c r="H110" s="1222">
        <f ca="1">FuelBySector[[#This Row],[Commercial]]*_xlfn.XLOOKUP(FuelBySector[[#This Row],[Fuel Type]],tbl_ActivityToPJ[Fuel],tbl_ActivityToPJ[Factor])</f>
        <v>0</v>
      </c>
      <c r="I110" s="1222">
        <f ca="1">SUMIFS(INDIRECT("GHG_INV[CY "&amp;FuelBySector[[#This Row],[Year Match]]&amp;" Consumed]"),GHG_INV[Category],"Manufacturing and Construction",GHG_INV[Source],GHG_Inv!$B110)</f>
        <v>0</v>
      </c>
      <c r="J110" s="1222">
        <f ca="1">FuelBySector[[#This Row],[Industrial]]*_xlfn.XLOOKUP(FuelBySector[[#This Row],[Fuel Type]],tbl_ActivityToPJ[Fuel],tbl_ActivityToPJ[Factor])</f>
        <v>0</v>
      </c>
      <c r="K110" s="1222">
        <f t="shared" ca="1" si="8"/>
        <v>0</v>
      </c>
    </row>
    <row r="111" spans="2:11">
      <c r="B111" s="1211" t="s">
        <v>1134</v>
      </c>
      <c r="C111" s="1211" t="s">
        <v>652</v>
      </c>
      <c r="D111" s="1211">
        <v>2023</v>
      </c>
      <c r="E111" s="1222">
        <f ca="1">SUMIFS(INDIRECT("GHG_INV[CY "&amp;FuelBySector[[#This Row],[Year Match]]&amp;" Consumed]"),GHG_INV[Category],"Residential",GHG_INV[Source],GHG_Inv!$B111)</f>
        <v>10860701.640000001</v>
      </c>
      <c r="F111" s="1222">
        <f ca="1">FuelBySector[[#This Row],[Residential]]*_xlfn.XLOOKUP(FuelBySector[[#This Row],[Fuel Type]],tbl_ActivityToPJ[Fuel],tbl_ActivityToPJ[Factor])</f>
        <v>1.6729535997861267</v>
      </c>
      <c r="G111" s="1222">
        <f ca="1">SUMIFS(INDIRECT("GHG_INV[CY "&amp;FuelBySector[[#This Row],[Year Match]]&amp;" Consumed]"),GHG_INV[Category],"Commercial and Institutional",GHG_INV[Source],GHG_Inv!$B111)</f>
        <v>2733944.82</v>
      </c>
      <c r="H111" s="1222">
        <f ca="1">FuelBySector[[#This Row],[Commercial]]*_xlfn.XLOOKUP(FuelBySector[[#This Row],[Fuel Type]],tbl_ActivityToPJ[Fuel],tbl_ActivityToPJ[Factor])</f>
        <v>0.42112958995120997</v>
      </c>
      <c r="I111" s="1222">
        <f ca="1">SUMIFS(INDIRECT("GHG_INV[CY "&amp;FuelBySector[[#This Row],[Year Match]]&amp;" Consumed]"),GHG_INV[Category],"Manufacturing and Construction",GHG_INV[Source],GHG_Inv!$B111)</f>
        <v>485333.56</v>
      </c>
      <c r="J111" s="1222">
        <f ca="1">FuelBySector[[#This Row],[Industrial]]*_xlfn.XLOOKUP(FuelBySector[[#This Row],[Fuel Type]],tbl_ActivityToPJ[Fuel],tbl_ActivityToPJ[Factor])</f>
        <v>7.4759490980641288E-2</v>
      </c>
      <c r="K111" s="1222">
        <f t="shared" ca="1" si="8"/>
        <v>2.1688426807179777</v>
      </c>
    </row>
    <row r="112" spans="2:11">
      <c r="B112" s="1211" t="s">
        <v>636</v>
      </c>
      <c r="C112" s="1211" t="s">
        <v>32</v>
      </c>
      <c r="D112" s="1211">
        <v>2023</v>
      </c>
      <c r="E112" s="1222">
        <f ca="1">SUMIFS(INDIRECT("GHG_INV[CY "&amp;FuelBySector[[#This Row],[Year Match]]&amp;" Consumed]"),GHG_INV[Category],"Residential",GHG_INV[Source],GHG_Inv!$B112)</f>
        <v>14214533568.309999</v>
      </c>
      <c r="F112" s="1222">
        <f ca="1">FuelBySector[[#This Row],[Residential]]*_xlfn.XLOOKUP(FuelBySector[[#This Row],[Fuel Type]],tbl_ActivityToPJ[Fuel],tbl_ActivityToPJ[Factor])</f>
        <v>51.1702032513383</v>
      </c>
      <c r="G112" s="1222">
        <f ca="1">SUMIFS(INDIRECT("GHG_INV[CY "&amp;FuelBySector[[#This Row],[Year Match]]&amp;" Consumed]"),GHG_INV[Category],"Commercial and Institutional",GHG_INV[Source],GHG_Inv!$B112)</f>
        <v>21949763750.82</v>
      </c>
      <c r="H112" s="1222">
        <f ca="1">FuelBySector[[#This Row],[Commercial]]*_xlfn.XLOOKUP(FuelBySector[[#This Row],[Fuel Type]],tbl_ActivityToPJ[Fuel],tbl_ActivityToPJ[Factor])</f>
        <v>79.015879560925612</v>
      </c>
      <c r="I112" s="1222">
        <f ca="1">SUMIFS(INDIRECT("GHG_INV[CY "&amp;FuelBySector[[#This Row],[Year Match]]&amp;" Consumed]"),GHG_INV[Category],"Manufacturing and Construction",GHG_INV[Source],GHG_Inv!$B112)</f>
        <v>7978124434.7600002</v>
      </c>
      <c r="J112" s="1222">
        <f ca="1">FuelBySector[[#This Row],[Industrial]]*_xlfn.XLOOKUP(FuelBySector[[#This Row],[Fuel Type]],tbl_ActivityToPJ[Fuel],tbl_ActivityToPJ[Factor])</f>
        <v>28.72005943278198</v>
      </c>
      <c r="K112" s="1222">
        <f t="shared" ca="1" si="8"/>
        <v>158.90614224504588</v>
      </c>
    </row>
    <row r="113" spans="2:11">
      <c r="B113" s="1211" t="s">
        <v>637</v>
      </c>
      <c r="C113" s="1211" t="s">
        <v>651</v>
      </c>
      <c r="D113" s="1211">
        <v>2023</v>
      </c>
      <c r="E113" s="1222">
        <f ca="1">SUMIFS(INDIRECT("GHG_INV[CY "&amp;FuelBySector[[#This Row],[Year Match]]&amp;" Consumed]"),GHG_INV[Category],"Residential",GHG_INV[Source],GHG_Inv!$B113)</f>
        <v>228307193527.51999</v>
      </c>
      <c r="F113" s="1222">
        <f ca="1">FuelBySector[[#This Row],[Residential]]*_xlfn.XLOOKUP(FuelBySector[[#This Row],[Fuel Type]],tbl_ActivityToPJ[Fuel],tbl_ActivityToPJ[Factor])</f>
        <v>247.13966995657975</v>
      </c>
      <c r="G113" s="1222">
        <f ca="1">SUMIFS(INDIRECT("GHG_INV[CY "&amp;FuelBySector[[#This Row],[Year Match]]&amp;" Consumed]"),GHG_INV[Category],"Commercial and Institutional",GHG_INV[Source],GHG_Inv!$B113)</f>
        <v>74392294420.139999</v>
      </c>
      <c r="H113" s="1222">
        <f ca="1">FuelBySector[[#This Row],[Commercial]]*_xlfn.XLOOKUP(FuelBySector[[#This Row],[Fuel Type]],tbl_ActivityToPJ[Fuel],tbl_ActivityToPJ[Factor])</f>
        <v>80.528724505958067</v>
      </c>
      <c r="I113" s="1222">
        <f ca="1">SUMIFS(INDIRECT("GHG_INV[CY "&amp;FuelBySector[[#This Row],[Year Match]]&amp;" Consumed]"),GHG_INV[Category],"Manufacturing and Construction",GHG_INV[Source],GHG_Inv!$B113)</f>
        <v>14314567952.51</v>
      </c>
      <c r="J113" s="1222">
        <f ca="1">FuelBySector[[#This Row],[Industrial]]*_xlfn.XLOOKUP(FuelBySector[[#This Row],[Fuel Type]],tbl_ActivityToPJ[Fuel],tbl_ActivityToPJ[Factor])</f>
        <v>15.495340049055105</v>
      </c>
      <c r="K113" s="1222">
        <f t="shared" ca="1" si="8"/>
        <v>343.16373451159296</v>
      </c>
    </row>
    <row r="114" spans="2:11">
      <c r="B114" s="1211" t="s">
        <v>1124</v>
      </c>
      <c r="C114" s="1211" t="s">
        <v>638</v>
      </c>
      <c r="D114" s="1211">
        <v>2023</v>
      </c>
      <c r="E114" s="1222">
        <f ca="1">SUMIFS(INDIRECT("GHG_INV[CY "&amp;FuelBySector[[#This Row],[Year Match]]&amp;" Consumed]"),GHG_INV[Category],"Residential",GHG_INV[Source],GHG_Inv!$B114)</f>
        <v>2061282884.6300001</v>
      </c>
      <c r="F114" s="1222">
        <f ca="1">FuelBySector[[#This Row],[Residential]]*_xlfn.XLOOKUP(FuelBySector[[#This Row],[Fuel Type]],tbl_ActivityToPJ[Fuel],tbl_ActivityToPJ[Factor])</f>
        <v>5.7239916063397898</v>
      </c>
      <c r="G114" s="1222">
        <f ca="1">SUMIFS(INDIRECT("GHG_INV[CY "&amp;FuelBySector[[#This Row],[Year Match]]&amp;" Consumed]"),GHG_INV[Category],"Commercial and Institutional",GHG_INV[Source],GHG_Inv!$B114)</f>
        <v>3793819497.71</v>
      </c>
      <c r="H114" s="1222">
        <f ca="1">FuelBySector[[#This Row],[Commercial]]*_xlfn.XLOOKUP(FuelBySector[[#This Row],[Fuel Type]],tbl_ActivityToPJ[Fuel],tbl_ActivityToPJ[Factor])</f>
        <v>10.535085272761219</v>
      </c>
      <c r="I114" s="1222">
        <f ca="1">SUMIFS(INDIRECT("GHG_INV[CY "&amp;FuelBySector[[#This Row],[Year Match]]&amp;" Consumed]"),GHG_INV[Category],"Manufacturing and Construction",GHG_INV[Source],GHG_Inv!$B114)</f>
        <v>1138145850.79</v>
      </c>
      <c r="J114" s="1222">
        <f ca="1">FuelBySector[[#This Row],[Industrial]]*_xlfn.XLOOKUP(FuelBySector[[#This Row],[Fuel Type]],tbl_ActivityToPJ[Fuel],tbl_ActivityToPJ[Factor])</f>
        <v>3.1605255859298578</v>
      </c>
      <c r="K114" s="1222">
        <f t="shared" ca="1" si="8"/>
        <v>19.419602465030867</v>
      </c>
    </row>
  </sheetData>
  <pageMargins left="0.7" right="0.7" top="0.75" bottom="0.75" header="0.3" footer="0.3"/>
  <tableParts count="5">
    <tablePart r:id="rId1"/>
    <tablePart r:id="rId2"/>
    <tablePart r:id="rId3"/>
    <tablePart r:id="rId4"/>
    <tablePart r:id="rId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5B352-FEF7-4ADB-AA9B-0415A87B8B82}">
  <sheetPr>
    <tabColor theme="5" tint="0.59999389629810485"/>
  </sheetPr>
  <dimension ref="B4:AK50"/>
  <sheetViews>
    <sheetView showGridLines="0" workbookViewId="0"/>
  </sheetViews>
  <sheetFormatPr defaultColWidth="9" defaultRowHeight="14.45"/>
  <cols>
    <col min="1" max="1" width="3.625" style="366" customWidth="1"/>
    <col min="2" max="2" width="23.875" style="366" customWidth="1"/>
    <col min="3" max="3" width="12.25" style="366" customWidth="1"/>
    <col min="4" max="4" width="9.125" style="366" bestFit="1" customWidth="1"/>
    <col min="5" max="5" width="10.5" style="366" bestFit="1" customWidth="1"/>
    <col min="6" max="21" width="11" style="366" bestFit="1" customWidth="1"/>
    <col min="22" max="23" width="10.5" style="366" bestFit="1" customWidth="1"/>
    <col min="24" max="24" width="11" style="366" bestFit="1" customWidth="1"/>
    <col min="25" max="25" width="10.5" style="366" bestFit="1" customWidth="1"/>
    <col min="26" max="37" width="11" style="366" bestFit="1" customWidth="1"/>
    <col min="38" max="16384" width="9" style="366"/>
  </cols>
  <sheetData>
    <row r="4" spans="2:37" ht="15" thickBot="1">
      <c r="B4" s="1226" t="s">
        <v>1273</v>
      </c>
      <c r="C4" s="1226"/>
      <c r="D4" s="1226" t="s">
        <v>1274</v>
      </c>
      <c r="E4" s="1226">
        <v>2010</v>
      </c>
      <c r="F4" s="1226">
        <v>2015</v>
      </c>
      <c r="G4" s="1226">
        <v>2020</v>
      </c>
      <c r="H4" s="1226">
        <v>2021</v>
      </c>
      <c r="I4" s="1226">
        <v>2022</v>
      </c>
      <c r="J4" s="1226">
        <v>2023</v>
      </c>
      <c r="K4" s="1226">
        <v>2024</v>
      </c>
      <c r="L4" s="1226">
        <v>2025</v>
      </c>
      <c r="M4" s="1226">
        <v>2026</v>
      </c>
      <c r="N4" s="1226">
        <v>2027</v>
      </c>
      <c r="O4" s="1226">
        <v>2028</v>
      </c>
      <c r="P4" s="1226">
        <v>2029</v>
      </c>
      <c r="Q4" s="1226">
        <v>2030</v>
      </c>
      <c r="R4" s="1226">
        <v>2031</v>
      </c>
      <c r="S4" s="1226">
        <v>2032</v>
      </c>
      <c r="T4" s="1226">
        <v>2033</v>
      </c>
      <c r="U4" s="1226">
        <v>2034</v>
      </c>
      <c r="V4" s="1226">
        <v>2035</v>
      </c>
      <c r="W4" s="1226">
        <v>2036</v>
      </c>
      <c r="X4" s="1226">
        <v>2037</v>
      </c>
      <c r="Y4" s="1226">
        <v>2038</v>
      </c>
      <c r="Z4" s="1226">
        <v>2039</v>
      </c>
      <c r="AA4" s="1226">
        <v>2040</v>
      </c>
      <c r="AB4" s="1226">
        <v>2041</v>
      </c>
      <c r="AC4" s="1226">
        <v>2042</v>
      </c>
      <c r="AD4" s="1226">
        <v>2043</v>
      </c>
      <c r="AE4" s="1226">
        <v>2044</v>
      </c>
      <c r="AF4" s="1226">
        <v>2045</v>
      </c>
      <c r="AG4" s="1226">
        <v>2046</v>
      </c>
      <c r="AH4" s="1226">
        <v>2047</v>
      </c>
      <c r="AI4" s="1226">
        <v>2048</v>
      </c>
      <c r="AJ4" s="1226">
        <v>2049</v>
      </c>
      <c r="AK4" s="1226">
        <v>2050</v>
      </c>
    </row>
    <row r="5" spans="2:37">
      <c r="B5" s="1227" t="s">
        <v>1275</v>
      </c>
      <c r="C5" s="1227"/>
      <c r="D5" s="1227"/>
      <c r="E5" s="1227"/>
      <c r="F5" s="1227"/>
      <c r="G5" s="1227"/>
      <c r="H5" s="1227"/>
      <c r="I5" s="1227"/>
      <c r="J5" s="1227"/>
      <c r="K5" s="1227"/>
      <c r="L5" s="1227"/>
      <c r="M5" s="1227"/>
      <c r="N5" s="1227"/>
      <c r="O5" s="1227"/>
      <c r="P5" s="1227"/>
      <c r="Q5" s="1227"/>
      <c r="R5" s="1227"/>
      <c r="S5" s="1227"/>
      <c r="T5" s="1227"/>
      <c r="U5" s="1227"/>
      <c r="V5" s="1227"/>
      <c r="W5" s="1227"/>
      <c r="X5" s="1227"/>
      <c r="Y5" s="1227"/>
      <c r="Z5" s="1227"/>
      <c r="AA5" s="1227"/>
      <c r="AB5" s="1227"/>
      <c r="AC5" s="1227"/>
      <c r="AD5" s="1227"/>
      <c r="AE5" s="1227"/>
      <c r="AF5" s="1227"/>
      <c r="AG5" s="1227"/>
      <c r="AH5" s="1227"/>
      <c r="AI5" s="1227"/>
      <c r="AJ5" s="1227"/>
      <c r="AK5" s="1227"/>
    </row>
    <row r="6" spans="2:37">
      <c r="B6" s="430" t="s">
        <v>1276</v>
      </c>
      <c r="C6" s="430" t="s">
        <v>1277</v>
      </c>
      <c r="D6" s="430" t="s">
        <v>1278</v>
      </c>
      <c r="E6" s="430">
        <v>417.901794</v>
      </c>
      <c r="F6" s="430">
        <v>293.10726899999997</v>
      </c>
      <c r="G6" s="430">
        <v>539.06939699999998</v>
      </c>
      <c r="H6" s="430">
        <v>474.98880000000003</v>
      </c>
      <c r="I6" s="430">
        <v>398.22903400000001</v>
      </c>
      <c r="J6" s="430">
        <v>392.40237400000001</v>
      </c>
      <c r="K6" s="430">
        <v>382.71301299999999</v>
      </c>
      <c r="L6" s="430">
        <v>382.25430299999999</v>
      </c>
      <c r="M6" s="430">
        <v>380.36743200000001</v>
      </c>
      <c r="N6" s="430">
        <v>376.19537400000002</v>
      </c>
      <c r="O6" s="430">
        <v>374.92507899999998</v>
      </c>
      <c r="P6" s="430">
        <v>378.88085899999999</v>
      </c>
      <c r="Q6" s="430">
        <v>380.57910199999998</v>
      </c>
      <c r="R6" s="430">
        <v>378.15936299999998</v>
      </c>
      <c r="S6" s="430">
        <v>375.21069299999999</v>
      </c>
      <c r="T6" s="430">
        <v>373.5224</v>
      </c>
      <c r="U6" s="430">
        <v>372.09875499999998</v>
      </c>
      <c r="V6" s="430">
        <v>372.27310199999999</v>
      </c>
      <c r="W6" s="430">
        <v>373.82455399999998</v>
      </c>
      <c r="X6" s="430">
        <v>376.673157</v>
      </c>
      <c r="Y6" s="430">
        <v>380.11990400000002</v>
      </c>
      <c r="Z6" s="430">
        <v>382.75689699999998</v>
      </c>
      <c r="AA6" s="430">
        <v>385.95413200000002</v>
      </c>
      <c r="AB6" s="430">
        <v>389.87820399999998</v>
      </c>
      <c r="AC6" s="430">
        <v>392.74517800000001</v>
      </c>
      <c r="AD6" s="430">
        <v>395.00915500000002</v>
      </c>
      <c r="AE6" s="430">
        <v>397.27270499999997</v>
      </c>
      <c r="AF6" s="430">
        <v>400.03967299999999</v>
      </c>
      <c r="AG6" s="430">
        <v>402.85168499999997</v>
      </c>
      <c r="AH6" s="430">
        <v>405.53808600000002</v>
      </c>
      <c r="AI6" s="430">
        <v>407.58914199999998</v>
      </c>
      <c r="AJ6" s="430">
        <v>409.22262599999999</v>
      </c>
      <c r="AK6" s="430">
        <v>412.46481299999999</v>
      </c>
    </row>
    <row r="7" spans="2:37">
      <c r="B7" s="430" t="s">
        <v>1279</v>
      </c>
      <c r="C7" s="430" t="s">
        <v>1280</v>
      </c>
      <c r="D7" s="430" t="s">
        <v>1278</v>
      </c>
      <c r="E7" s="430">
        <v>0</v>
      </c>
      <c r="F7" s="430">
        <v>151.737717</v>
      </c>
      <c r="G7" s="430">
        <v>36.667316</v>
      </c>
      <c r="H7" s="430">
        <v>26.452926999999999</v>
      </c>
      <c r="I7" s="430">
        <v>15.925979999999999</v>
      </c>
      <c r="J7" s="430">
        <v>16.104175999999999</v>
      </c>
      <c r="K7" s="430">
        <v>26.208683000000001</v>
      </c>
      <c r="L7" s="430">
        <v>26.641974999999999</v>
      </c>
      <c r="M7" s="430">
        <v>26.941082000000002</v>
      </c>
      <c r="N7" s="430">
        <v>27.012893999999999</v>
      </c>
      <c r="O7" s="430">
        <v>27.241817000000001</v>
      </c>
      <c r="P7" s="430">
        <v>27.874137999999999</v>
      </c>
      <c r="Q7" s="430">
        <v>28.309792000000002</v>
      </c>
      <c r="R7" s="430">
        <v>28.417335999999999</v>
      </c>
      <c r="S7" s="430">
        <v>28.459441999999999</v>
      </c>
      <c r="T7" s="430">
        <v>28.556915</v>
      </c>
      <c r="U7" s="430">
        <v>28.626728</v>
      </c>
      <c r="V7" s="430">
        <v>28.792559000000001</v>
      </c>
      <c r="W7" s="430">
        <v>29.063704000000001</v>
      </c>
      <c r="X7" s="430">
        <v>29.462157999999999</v>
      </c>
      <c r="Y7" s="430">
        <v>29.906448000000001</v>
      </c>
      <c r="Z7" s="430">
        <v>30.281220999999999</v>
      </c>
      <c r="AA7" s="430">
        <v>30.701145</v>
      </c>
      <c r="AB7" s="430">
        <v>31.190007999999999</v>
      </c>
      <c r="AC7" s="430">
        <v>31.596461999999999</v>
      </c>
      <c r="AD7" s="430">
        <v>31.95722</v>
      </c>
      <c r="AE7" s="430">
        <v>32.318958000000002</v>
      </c>
      <c r="AF7" s="430">
        <v>32.727386000000003</v>
      </c>
      <c r="AG7" s="430">
        <v>33.149971000000001</v>
      </c>
      <c r="AH7" s="430">
        <v>33.564490999999997</v>
      </c>
      <c r="AI7" s="430">
        <v>33.925559999999997</v>
      </c>
      <c r="AJ7" s="430">
        <v>34.252997999999998</v>
      </c>
      <c r="AK7" s="430">
        <v>34.731022000000003</v>
      </c>
    </row>
    <row r="8" spans="2:37">
      <c r="B8" s="430" t="s">
        <v>1281</v>
      </c>
      <c r="C8" s="430" t="s">
        <v>1282</v>
      </c>
      <c r="D8" s="430" t="s">
        <v>1278</v>
      </c>
      <c r="E8" s="430">
        <v>76.537361000000004</v>
      </c>
      <c r="F8" s="430">
        <v>0</v>
      </c>
      <c r="G8" s="430">
        <v>85.789107999999999</v>
      </c>
      <c r="H8" s="430">
        <v>122.472893</v>
      </c>
      <c r="I8" s="430">
        <v>124.17533899999999</v>
      </c>
      <c r="J8" s="430">
        <v>122.801605</v>
      </c>
      <c r="K8" s="430">
        <v>120.46698000000001</v>
      </c>
      <c r="L8" s="430">
        <v>120.853149</v>
      </c>
      <c r="M8" s="430">
        <v>120.560425</v>
      </c>
      <c r="N8" s="430">
        <v>119.314392</v>
      </c>
      <c r="O8" s="430">
        <v>118.90158099999999</v>
      </c>
      <c r="P8" s="430">
        <v>120.283646</v>
      </c>
      <c r="Q8" s="430">
        <v>120.893906</v>
      </c>
      <c r="R8" s="430">
        <v>120.13046300000001</v>
      </c>
      <c r="S8" s="430">
        <v>119.21526299999999</v>
      </c>
      <c r="T8" s="430">
        <v>118.760559</v>
      </c>
      <c r="U8" s="430">
        <v>118.43781300000001</v>
      </c>
      <c r="V8" s="430">
        <v>118.69594600000001</v>
      </c>
      <c r="W8" s="430">
        <v>119.44458</v>
      </c>
      <c r="X8" s="430">
        <v>120.649078</v>
      </c>
      <c r="Y8" s="430">
        <v>122.05875399999999</v>
      </c>
      <c r="Z8" s="430">
        <v>123.207565</v>
      </c>
      <c r="AA8" s="430">
        <v>124.57878100000001</v>
      </c>
      <c r="AB8" s="430">
        <v>126.22034499999999</v>
      </c>
      <c r="AC8" s="430">
        <v>127.465225</v>
      </c>
      <c r="AD8" s="430">
        <v>128.518066</v>
      </c>
      <c r="AE8" s="430">
        <v>129.55896000000001</v>
      </c>
      <c r="AF8" s="430">
        <v>130.78317300000001</v>
      </c>
      <c r="AG8" s="430">
        <v>132.02664200000001</v>
      </c>
      <c r="AH8" s="430">
        <v>133.22749300000001</v>
      </c>
      <c r="AI8" s="430">
        <v>134.192261</v>
      </c>
      <c r="AJ8" s="430">
        <v>135.01527400000001</v>
      </c>
      <c r="AK8" s="430">
        <v>136.399597</v>
      </c>
    </row>
    <row r="9" spans="2:37">
      <c r="B9" s="430" t="s">
        <v>1283</v>
      </c>
      <c r="C9" s="430" t="s">
        <v>1284</v>
      </c>
      <c r="D9" s="430" t="s">
        <v>1278</v>
      </c>
      <c r="E9" s="430">
        <v>783.317993</v>
      </c>
      <c r="F9" s="430">
        <v>831.70007299999997</v>
      </c>
      <c r="G9" s="430">
        <v>841.76995799999997</v>
      </c>
      <c r="H9" s="430">
        <v>864.10229500000003</v>
      </c>
      <c r="I9" s="430">
        <v>877.12268100000006</v>
      </c>
      <c r="J9" s="430">
        <v>838.28491199999996</v>
      </c>
      <c r="K9" s="430">
        <v>803.33203100000003</v>
      </c>
      <c r="L9" s="430">
        <v>885.28497300000004</v>
      </c>
      <c r="M9" s="430">
        <v>896.76684599999999</v>
      </c>
      <c r="N9" s="430">
        <v>910.66851799999995</v>
      </c>
      <c r="O9" s="430">
        <v>920.57629399999996</v>
      </c>
      <c r="P9" s="430">
        <v>929.12377900000001</v>
      </c>
      <c r="Q9" s="430">
        <v>935.57904099999996</v>
      </c>
      <c r="R9" s="430">
        <v>940.43713400000001</v>
      </c>
      <c r="S9" s="430">
        <v>939.12109399999997</v>
      </c>
      <c r="T9" s="430">
        <v>942.23821999999996</v>
      </c>
      <c r="U9" s="430">
        <v>949.38445999999999</v>
      </c>
      <c r="V9" s="430">
        <v>956.40106200000002</v>
      </c>
      <c r="W9" s="430">
        <v>963.487122</v>
      </c>
      <c r="X9" s="430">
        <v>972.20831299999998</v>
      </c>
      <c r="Y9" s="430">
        <v>983.47558600000002</v>
      </c>
      <c r="Z9" s="430">
        <v>994.22546399999999</v>
      </c>
      <c r="AA9" s="430">
        <v>1006.13031</v>
      </c>
      <c r="AB9" s="430">
        <v>1018.477905</v>
      </c>
      <c r="AC9" s="430">
        <v>1028.916504</v>
      </c>
      <c r="AD9" s="430">
        <v>1031.2604980000001</v>
      </c>
      <c r="AE9" s="430">
        <v>1046.4487300000001</v>
      </c>
      <c r="AF9" s="430">
        <v>1067.1621090000001</v>
      </c>
      <c r="AG9" s="430">
        <v>1078.100342</v>
      </c>
      <c r="AH9" s="430">
        <v>1093.349976</v>
      </c>
      <c r="AI9" s="430">
        <v>1105.9754640000001</v>
      </c>
      <c r="AJ9" s="430">
        <v>1118.7026370000001</v>
      </c>
      <c r="AK9" s="430">
        <v>1132.0561520000001</v>
      </c>
    </row>
    <row r="10" spans="2:37">
      <c r="B10" s="430" t="s">
        <v>1285</v>
      </c>
      <c r="C10" s="430" t="s">
        <v>1286</v>
      </c>
      <c r="D10" s="430" t="s">
        <v>1278</v>
      </c>
      <c r="E10" s="430"/>
      <c r="F10" s="430">
        <v>73.426392000000007</v>
      </c>
      <c r="G10" s="430">
        <v>88.161124999999998</v>
      </c>
      <c r="H10" s="430">
        <v>31.746123999999998</v>
      </c>
      <c r="I10" s="430">
        <v>50.129589000000003</v>
      </c>
      <c r="J10" s="430">
        <v>26.268929</v>
      </c>
      <c r="K10" s="430">
        <v>29.216578999999999</v>
      </c>
      <c r="L10" s="430">
        <v>32.777683000000003</v>
      </c>
      <c r="M10" s="430">
        <v>36.096397000000003</v>
      </c>
      <c r="N10" s="430">
        <v>38.955849000000001</v>
      </c>
      <c r="O10" s="430">
        <v>41.855933999999998</v>
      </c>
      <c r="P10" s="430">
        <v>45.165923999999997</v>
      </c>
      <c r="Q10" s="430">
        <v>47.923813000000003</v>
      </c>
      <c r="R10" s="430">
        <v>49.742634000000002</v>
      </c>
      <c r="S10" s="430">
        <v>51.045906000000002</v>
      </c>
      <c r="T10" s="430">
        <v>52.083545999999998</v>
      </c>
      <c r="U10" s="430">
        <v>52.691352999999999</v>
      </c>
      <c r="V10" s="430">
        <v>53.056812000000001</v>
      </c>
      <c r="W10" s="430">
        <v>53.377541000000001</v>
      </c>
      <c r="X10" s="430">
        <v>53.895325</v>
      </c>
      <c r="Y10" s="430">
        <v>54.515915</v>
      </c>
      <c r="Z10" s="430">
        <v>55.016876000000003</v>
      </c>
      <c r="AA10" s="430">
        <v>55.612679</v>
      </c>
      <c r="AB10" s="430">
        <v>56.328826999999997</v>
      </c>
      <c r="AC10" s="430">
        <v>56.871670000000002</v>
      </c>
      <c r="AD10" s="430">
        <v>57.324516000000003</v>
      </c>
      <c r="AE10" s="430">
        <v>57.773651000000001</v>
      </c>
      <c r="AF10" s="430">
        <v>58.306206000000003</v>
      </c>
      <c r="AG10" s="430">
        <v>58.860320999999999</v>
      </c>
      <c r="AH10" s="430">
        <v>59.395080999999998</v>
      </c>
      <c r="AI10" s="430">
        <v>59.828186000000002</v>
      </c>
      <c r="AJ10" s="430">
        <v>60.197830000000003</v>
      </c>
      <c r="AK10" s="430">
        <v>60.825980999999999</v>
      </c>
    </row>
    <row r="11" spans="2:37" s="545" customFormat="1">
      <c r="B11" s="1228" t="s">
        <v>1287</v>
      </c>
      <c r="C11" s="1228" t="s">
        <v>1288</v>
      </c>
      <c r="D11" s="1228" t="s">
        <v>1278</v>
      </c>
      <c r="E11" s="1228">
        <v>1277.7570800000001</v>
      </c>
      <c r="F11" s="1228">
        <v>1349.971436</v>
      </c>
      <c r="G11" s="1228">
        <v>1591.456909</v>
      </c>
      <c r="H11" s="1228">
        <v>1519.762939</v>
      </c>
      <c r="I11" s="1228">
        <v>1465.582764</v>
      </c>
      <c r="J11" s="1228">
        <v>1395.861938</v>
      </c>
      <c r="K11" s="1228">
        <v>1361.9372559999999</v>
      </c>
      <c r="L11" s="1228">
        <v>1447.812134</v>
      </c>
      <c r="M11" s="1228">
        <v>1460.732178</v>
      </c>
      <c r="N11" s="1228">
        <v>1472.1469729999999</v>
      </c>
      <c r="O11" s="1228">
        <v>1483.500732</v>
      </c>
      <c r="P11" s="1228">
        <v>1501.3282469999999</v>
      </c>
      <c r="Q11" s="1228">
        <v>1513.2856449999999</v>
      </c>
      <c r="R11" s="1228">
        <v>1516.8869629999999</v>
      </c>
      <c r="S11" s="1228">
        <v>1513.0523679999999</v>
      </c>
      <c r="T11" s="1228">
        <v>1515.161621</v>
      </c>
      <c r="U11" s="1228">
        <v>1521.2392580000001</v>
      </c>
      <c r="V11" s="1228">
        <v>1529.2193600000001</v>
      </c>
      <c r="W11" s="1228">
        <v>1539.19751</v>
      </c>
      <c r="X11" s="1228">
        <v>1552.887939</v>
      </c>
      <c r="Y11" s="1228">
        <v>1570.0766599999999</v>
      </c>
      <c r="Z11" s="1228">
        <v>1585.4880370000001</v>
      </c>
      <c r="AA11" s="1228">
        <v>1602.9770510000001</v>
      </c>
      <c r="AB11" s="1228">
        <v>1622.095337</v>
      </c>
      <c r="AC11" s="1228">
        <v>1637.5950929999999</v>
      </c>
      <c r="AD11" s="1228">
        <v>1644.069336</v>
      </c>
      <c r="AE11" s="1228">
        <v>1663.373047</v>
      </c>
      <c r="AF11" s="1228">
        <v>1689.0185550000001</v>
      </c>
      <c r="AG11" s="1228">
        <v>1704.989014</v>
      </c>
      <c r="AH11" s="1228">
        <v>1725.0751949999999</v>
      </c>
      <c r="AI11" s="1228">
        <v>1741.5104980000001</v>
      </c>
      <c r="AJ11" s="1228">
        <v>1757.3914789999999</v>
      </c>
      <c r="AK11" s="1228">
        <v>1776.477539</v>
      </c>
    </row>
    <row r="12" spans="2:37">
      <c r="B12" s="430" t="s">
        <v>740</v>
      </c>
      <c r="C12" s="430" t="s">
        <v>1289</v>
      </c>
      <c r="D12" s="430" t="s">
        <v>1278</v>
      </c>
      <c r="E12" s="430">
        <v>329.53680400000002</v>
      </c>
      <c r="F12" s="430">
        <v>16.676344</v>
      </c>
      <c r="G12" s="430">
        <v>12.513315</v>
      </c>
      <c r="H12" s="430">
        <v>220.41180399999999</v>
      </c>
      <c r="I12" s="430">
        <v>215.09570299999999</v>
      </c>
      <c r="J12" s="430">
        <v>200.60623200000001</v>
      </c>
      <c r="K12" s="430">
        <v>197.28491199999999</v>
      </c>
      <c r="L12" s="430">
        <v>198.24241599999999</v>
      </c>
      <c r="M12" s="430">
        <v>198.35534699999999</v>
      </c>
      <c r="N12" s="430">
        <v>197.14042699999999</v>
      </c>
      <c r="O12" s="430">
        <v>196.92001300000001</v>
      </c>
      <c r="P12" s="430">
        <v>198.91241500000001</v>
      </c>
      <c r="Q12" s="430">
        <v>199.90763899999999</v>
      </c>
      <c r="R12" s="430">
        <v>199.15048200000001</v>
      </c>
      <c r="S12" s="430">
        <v>198.11352500000001</v>
      </c>
      <c r="T12" s="430">
        <v>197.491409</v>
      </c>
      <c r="U12" s="430">
        <v>196.78921500000001</v>
      </c>
      <c r="V12" s="430">
        <v>196.58514400000001</v>
      </c>
      <c r="W12" s="430">
        <v>196.97163399999999</v>
      </c>
      <c r="X12" s="430">
        <v>197.905182</v>
      </c>
      <c r="Y12" s="430">
        <v>198.86511200000001</v>
      </c>
      <c r="Z12" s="430">
        <v>199.61163300000001</v>
      </c>
      <c r="AA12" s="430">
        <v>200.39137299999999</v>
      </c>
      <c r="AB12" s="430">
        <v>201.36689799999999</v>
      </c>
      <c r="AC12" s="430">
        <v>201.893036</v>
      </c>
      <c r="AD12" s="430">
        <v>202.29002399999999</v>
      </c>
      <c r="AE12" s="430">
        <v>202.79025300000001</v>
      </c>
      <c r="AF12" s="430">
        <v>203.458878</v>
      </c>
      <c r="AG12" s="430">
        <v>202.03196700000001</v>
      </c>
      <c r="AH12" s="430">
        <v>200.86987300000001</v>
      </c>
      <c r="AI12" s="430">
        <v>199.75556900000001</v>
      </c>
      <c r="AJ12" s="430">
        <v>198.74359100000001</v>
      </c>
      <c r="AK12" s="430">
        <v>198.59123199999999</v>
      </c>
    </row>
    <row r="13" spans="2:37">
      <c r="B13" s="430" t="s">
        <v>1290</v>
      </c>
      <c r="C13" s="430" t="s">
        <v>1291</v>
      </c>
      <c r="D13" s="430" t="s">
        <v>1278</v>
      </c>
      <c r="E13" s="430">
        <v>100.87915</v>
      </c>
      <c r="F13" s="430">
        <v>213.77420000000001</v>
      </c>
      <c r="G13" s="430">
        <v>161.766266</v>
      </c>
      <c r="H13" s="430">
        <v>270.17559799999998</v>
      </c>
      <c r="I13" s="430">
        <v>260.33200099999999</v>
      </c>
      <c r="J13" s="430">
        <v>262.11892699999999</v>
      </c>
      <c r="K13" s="430">
        <v>260.165009</v>
      </c>
      <c r="L13" s="430">
        <v>263.80447400000003</v>
      </c>
      <c r="M13" s="430">
        <v>265.87133799999998</v>
      </c>
      <c r="N13" s="430">
        <v>265.77175899999997</v>
      </c>
      <c r="O13" s="430">
        <v>267.36648600000001</v>
      </c>
      <c r="P13" s="430">
        <v>272.92312600000002</v>
      </c>
      <c r="Q13" s="430">
        <v>276.56497200000001</v>
      </c>
      <c r="R13" s="430">
        <v>276.87716699999999</v>
      </c>
      <c r="S13" s="430">
        <v>276.549103</v>
      </c>
      <c r="T13" s="430">
        <v>276.93249500000002</v>
      </c>
      <c r="U13" s="430">
        <v>277.23330700000002</v>
      </c>
      <c r="V13" s="430">
        <v>278.53656000000001</v>
      </c>
      <c r="W13" s="430">
        <v>280.85638399999999</v>
      </c>
      <c r="X13" s="430">
        <v>284.286316</v>
      </c>
      <c r="Y13" s="430">
        <v>288.20575000000002</v>
      </c>
      <c r="Z13" s="430">
        <v>291.540863</v>
      </c>
      <c r="AA13" s="430">
        <v>295.47744799999998</v>
      </c>
      <c r="AB13" s="430">
        <v>300.08148199999999</v>
      </c>
      <c r="AC13" s="430">
        <v>303.69912699999998</v>
      </c>
      <c r="AD13" s="430">
        <v>306.86340300000001</v>
      </c>
      <c r="AE13" s="430">
        <v>310.02810699999998</v>
      </c>
      <c r="AF13" s="430">
        <v>313.65683000000001</v>
      </c>
      <c r="AG13" s="430">
        <v>317.43075599999997</v>
      </c>
      <c r="AH13" s="430">
        <v>321.12274200000002</v>
      </c>
      <c r="AI13" s="430">
        <v>324.26965300000001</v>
      </c>
      <c r="AJ13" s="430">
        <v>327.088684</v>
      </c>
      <c r="AK13" s="430">
        <v>331.34307899999999</v>
      </c>
    </row>
    <row r="14" spans="2:37">
      <c r="B14" s="1229" t="s">
        <v>1180</v>
      </c>
      <c r="C14" s="1229" t="s">
        <v>1292</v>
      </c>
      <c r="D14" s="1229" t="s">
        <v>1278</v>
      </c>
      <c r="E14" s="1229">
        <v>1708.173096</v>
      </c>
      <c r="F14" s="1229">
        <v>1580.4219969999999</v>
      </c>
      <c r="G14" s="1229">
        <v>1765.7364500000001</v>
      </c>
      <c r="H14" s="1229">
        <v>2010.350342</v>
      </c>
      <c r="I14" s="1229">
        <v>1941.0104980000001</v>
      </c>
      <c r="J14" s="1229">
        <v>1858.5870359999999</v>
      </c>
      <c r="K14" s="1229">
        <v>1819.387207</v>
      </c>
      <c r="L14" s="1229">
        <v>1909.859009</v>
      </c>
      <c r="M14" s="1229">
        <v>1924.958862</v>
      </c>
      <c r="N14" s="1229">
        <v>1935.059082</v>
      </c>
      <c r="O14" s="1229">
        <v>1947.787231</v>
      </c>
      <c r="P14" s="1229">
        <v>1973.163818</v>
      </c>
      <c r="Q14" s="1229">
        <v>1989.7581789999999</v>
      </c>
      <c r="R14" s="1229">
        <v>1992.914673</v>
      </c>
      <c r="S14" s="1229">
        <v>1987.714966</v>
      </c>
      <c r="T14" s="1229">
        <v>1989.5855710000001</v>
      </c>
      <c r="U14" s="1229">
        <v>1995.2617190000001</v>
      </c>
      <c r="V14" s="1229">
        <v>2004.341064</v>
      </c>
      <c r="W14" s="1229">
        <v>2017.025635</v>
      </c>
      <c r="X14" s="1229">
        <v>2035.079346</v>
      </c>
      <c r="Y14" s="1229">
        <v>2057.147461</v>
      </c>
      <c r="Z14" s="1229">
        <v>2076.6403810000002</v>
      </c>
      <c r="AA14" s="1229">
        <v>2098.8459469999998</v>
      </c>
      <c r="AB14" s="1229">
        <v>2123.5437010000001</v>
      </c>
      <c r="AC14" s="1229">
        <v>2143.1872560000002</v>
      </c>
      <c r="AD14" s="1229">
        <v>2153.2226559999999</v>
      </c>
      <c r="AE14" s="1229">
        <v>2176.1914059999999</v>
      </c>
      <c r="AF14" s="1229">
        <v>2206.1342770000001</v>
      </c>
      <c r="AG14" s="1229">
        <v>2224.4516600000002</v>
      </c>
      <c r="AH14" s="1229">
        <v>2247.0678710000002</v>
      </c>
      <c r="AI14" s="1229">
        <v>2265.5356449999999</v>
      </c>
      <c r="AJ14" s="1229">
        <v>2283.2236330000001</v>
      </c>
      <c r="AK14" s="1229">
        <v>2306.411865</v>
      </c>
    </row>
    <row r="15" spans="2:37">
      <c r="B15" s="1230" t="s">
        <v>1293</v>
      </c>
      <c r="C15" s="1230"/>
      <c r="D15" s="1227"/>
      <c r="E15" s="1227"/>
      <c r="F15" s="1227"/>
      <c r="G15" s="1227"/>
      <c r="H15" s="1227"/>
      <c r="I15" s="1227"/>
      <c r="J15" s="1227"/>
      <c r="K15" s="1227"/>
      <c r="L15" s="1227"/>
      <c r="M15" s="1227"/>
      <c r="N15" s="1227"/>
      <c r="O15" s="1227"/>
      <c r="P15" s="1227"/>
      <c r="Q15" s="1227"/>
      <c r="R15" s="1227"/>
      <c r="S15" s="1227"/>
      <c r="T15" s="1227"/>
      <c r="U15" s="1227"/>
      <c r="V15" s="1227"/>
      <c r="W15" s="1227"/>
      <c r="X15" s="1227"/>
      <c r="Y15" s="1227"/>
      <c r="Z15" s="1227"/>
      <c r="AA15" s="1227"/>
      <c r="AB15" s="1227"/>
      <c r="AC15" s="1227"/>
      <c r="AD15" s="1227"/>
      <c r="AE15" s="1227"/>
      <c r="AF15" s="1227"/>
      <c r="AG15" s="1227"/>
      <c r="AH15" s="1227"/>
      <c r="AI15" s="1227"/>
      <c r="AJ15" s="1227"/>
      <c r="AK15" s="1227"/>
    </row>
    <row r="16" spans="2:37">
      <c r="B16" s="430" t="s">
        <v>1294</v>
      </c>
      <c r="C16" s="430" t="s">
        <v>1295</v>
      </c>
      <c r="D16" s="430" t="s">
        <v>1278</v>
      </c>
      <c r="E16" s="430">
        <v>44.090553</v>
      </c>
      <c r="F16" s="430">
        <v>1.1499470000000001</v>
      </c>
      <c r="G16" s="430">
        <v>3.5539770000000002</v>
      </c>
      <c r="H16" s="430">
        <v>27.532143000000001</v>
      </c>
      <c r="I16" s="430">
        <v>34.950839999999999</v>
      </c>
      <c r="J16" s="430">
        <v>40.572555999999999</v>
      </c>
      <c r="K16" s="430">
        <v>27.147631000000001</v>
      </c>
      <c r="L16" s="430">
        <v>23.272955</v>
      </c>
      <c r="M16" s="430">
        <v>21.742771000000001</v>
      </c>
      <c r="N16" s="430">
        <v>20.544149000000001</v>
      </c>
      <c r="O16" s="430">
        <v>19.559303</v>
      </c>
      <c r="P16" s="430">
        <v>19.004791000000001</v>
      </c>
      <c r="Q16" s="430">
        <v>18.616489000000001</v>
      </c>
      <c r="R16" s="430">
        <v>18.476471</v>
      </c>
      <c r="S16" s="430">
        <v>18.547514</v>
      </c>
      <c r="T16" s="430">
        <v>18.888978999999999</v>
      </c>
      <c r="U16" s="430">
        <v>19.386892</v>
      </c>
      <c r="V16" s="430">
        <v>20.071380999999999</v>
      </c>
      <c r="W16" s="430">
        <v>20.554195</v>
      </c>
      <c r="X16" s="430">
        <v>21.155733000000001</v>
      </c>
      <c r="Y16" s="430">
        <v>22.047943</v>
      </c>
      <c r="Z16" s="430">
        <v>22.271702000000001</v>
      </c>
      <c r="AA16" s="430">
        <v>23.208603</v>
      </c>
      <c r="AB16" s="430">
        <v>23.924320000000002</v>
      </c>
      <c r="AC16" s="430">
        <v>24.421348999999999</v>
      </c>
      <c r="AD16" s="430">
        <v>24.529907000000001</v>
      </c>
      <c r="AE16" s="430">
        <v>24.719733999999999</v>
      </c>
      <c r="AF16" s="430">
        <v>24.979818000000002</v>
      </c>
      <c r="AG16" s="430">
        <v>24.994133000000001</v>
      </c>
      <c r="AH16" s="430">
        <v>25.221240999999999</v>
      </c>
      <c r="AI16" s="430">
        <v>25.184864000000001</v>
      </c>
      <c r="AJ16" s="430">
        <v>25.148603000000001</v>
      </c>
      <c r="AK16" s="430">
        <v>25.388667999999999</v>
      </c>
    </row>
    <row r="17" spans="2:37">
      <c r="B17" s="430" t="s">
        <v>1276</v>
      </c>
      <c r="C17" s="430" t="s">
        <v>1296</v>
      </c>
      <c r="D17" s="430" t="s">
        <v>1278</v>
      </c>
      <c r="E17" s="430">
        <v>8.3199269999999999</v>
      </c>
      <c r="F17" s="430">
        <v>3.8897059999999999</v>
      </c>
      <c r="G17" s="430">
        <v>3.0564100000000001</v>
      </c>
      <c r="H17" s="430">
        <v>4.5881980000000002</v>
      </c>
      <c r="I17" s="430">
        <v>3.9407079999999999</v>
      </c>
      <c r="J17" s="430">
        <v>4.4438750000000002</v>
      </c>
      <c r="K17" s="430">
        <v>3.972874</v>
      </c>
      <c r="L17" s="430">
        <v>3.9216250000000001</v>
      </c>
      <c r="M17" s="430">
        <v>3.9430049999999999</v>
      </c>
      <c r="N17" s="430">
        <v>3.9924400000000002</v>
      </c>
      <c r="O17" s="430">
        <v>4.0465540000000004</v>
      </c>
      <c r="P17" s="430">
        <v>4.0177490000000002</v>
      </c>
      <c r="Q17" s="430">
        <v>4.0026489999999999</v>
      </c>
      <c r="R17" s="430">
        <v>3.9804900000000001</v>
      </c>
      <c r="S17" s="430">
        <v>3.9728309999999998</v>
      </c>
      <c r="T17" s="430">
        <v>3.9834239999999999</v>
      </c>
      <c r="U17" s="430">
        <v>4.0164780000000002</v>
      </c>
      <c r="V17" s="430">
        <v>4.0544269999999996</v>
      </c>
      <c r="W17" s="430">
        <v>4.0837849999999998</v>
      </c>
      <c r="X17" s="430">
        <v>4.1107589999999998</v>
      </c>
      <c r="Y17" s="430">
        <v>4.1619029999999997</v>
      </c>
      <c r="Z17" s="430">
        <v>4.1796670000000002</v>
      </c>
      <c r="AA17" s="430">
        <v>4.227811</v>
      </c>
      <c r="AB17" s="430">
        <v>4.2576450000000001</v>
      </c>
      <c r="AC17" s="430">
        <v>4.2925750000000003</v>
      </c>
      <c r="AD17" s="430">
        <v>4.2972830000000002</v>
      </c>
      <c r="AE17" s="430">
        <v>4.3152340000000002</v>
      </c>
      <c r="AF17" s="430">
        <v>4.3258640000000002</v>
      </c>
      <c r="AG17" s="430">
        <v>4.3129770000000001</v>
      </c>
      <c r="AH17" s="430">
        <v>4.3237800000000002</v>
      </c>
      <c r="AI17" s="430">
        <v>4.3171939999999998</v>
      </c>
      <c r="AJ17" s="430">
        <v>4.3061889999999998</v>
      </c>
      <c r="AK17" s="430">
        <v>4.3138329999999998</v>
      </c>
    </row>
    <row r="18" spans="2:37">
      <c r="B18" s="430" t="s">
        <v>1279</v>
      </c>
      <c r="C18" s="430" t="s">
        <v>1297</v>
      </c>
      <c r="D18" s="430" t="s">
        <v>1278</v>
      </c>
      <c r="E18" s="430">
        <v>5.6983750000000004</v>
      </c>
      <c r="F18" s="430">
        <v>4.5278390000000002</v>
      </c>
      <c r="G18" s="430">
        <v>2.922742</v>
      </c>
      <c r="H18" s="430">
        <v>0.58176300000000003</v>
      </c>
      <c r="I18" s="430">
        <v>0.299655</v>
      </c>
      <c r="J18" s="430">
        <v>0.32201000000000002</v>
      </c>
      <c r="K18" s="430">
        <v>0.18301300000000001</v>
      </c>
      <c r="L18" s="430">
        <v>0.191529</v>
      </c>
      <c r="M18" s="430">
        <v>0.197103</v>
      </c>
      <c r="N18" s="430">
        <v>0.20072499999999999</v>
      </c>
      <c r="O18" s="430">
        <v>0.20125599999999999</v>
      </c>
      <c r="P18" s="430">
        <v>0.20036300000000001</v>
      </c>
      <c r="Q18" s="430">
        <v>0.19803499999999999</v>
      </c>
      <c r="R18" s="430">
        <v>0.194933</v>
      </c>
      <c r="S18" s="430">
        <v>0.191057</v>
      </c>
      <c r="T18" s="430">
        <v>0.187749</v>
      </c>
      <c r="U18" s="430">
        <v>0.185864</v>
      </c>
      <c r="V18" s="430">
        <v>0.18539600000000001</v>
      </c>
      <c r="W18" s="430">
        <v>0.18515899999999999</v>
      </c>
      <c r="X18" s="430">
        <v>0.184586</v>
      </c>
      <c r="Y18" s="430">
        <v>0.18356500000000001</v>
      </c>
      <c r="Z18" s="430">
        <v>0.18434600000000001</v>
      </c>
      <c r="AA18" s="430">
        <v>0.18319099999999999</v>
      </c>
      <c r="AB18" s="430">
        <v>0.18230099999999999</v>
      </c>
      <c r="AC18" s="430">
        <v>0.18245700000000001</v>
      </c>
      <c r="AD18" s="430">
        <v>0.18298600000000001</v>
      </c>
      <c r="AE18" s="430">
        <v>0.18359700000000001</v>
      </c>
      <c r="AF18" s="430">
        <v>0.18352599999999999</v>
      </c>
      <c r="AG18" s="430">
        <v>0.18363599999999999</v>
      </c>
      <c r="AH18" s="430">
        <v>0.18354599999999999</v>
      </c>
      <c r="AI18" s="430">
        <v>0.18293699999999999</v>
      </c>
      <c r="AJ18" s="430">
        <v>0.18279799999999999</v>
      </c>
      <c r="AK18" s="430">
        <v>0.182703</v>
      </c>
    </row>
    <row r="19" spans="2:37">
      <c r="B19" s="430" t="s">
        <v>1298</v>
      </c>
      <c r="C19" s="430" t="s">
        <v>1299</v>
      </c>
      <c r="D19" s="430" t="s">
        <v>1278</v>
      </c>
      <c r="E19" s="430">
        <v>6.0053320000000001</v>
      </c>
      <c r="F19" s="430">
        <v>1.6164350000000001</v>
      </c>
      <c r="G19" s="430">
        <v>0</v>
      </c>
      <c r="H19" s="430">
        <v>0</v>
      </c>
      <c r="I19" s="430">
        <v>0</v>
      </c>
      <c r="J19" s="430">
        <v>0</v>
      </c>
      <c r="K19" s="430">
        <v>0</v>
      </c>
      <c r="L19" s="430">
        <v>0</v>
      </c>
      <c r="M19" s="430">
        <v>0</v>
      </c>
      <c r="N19" s="430">
        <v>0</v>
      </c>
      <c r="O19" s="430">
        <v>0</v>
      </c>
      <c r="P19" s="430">
        <v>0</v>
      </c>
      <c r="Q19" s="430">
        <v>0</v>
      </c>
      <c r="R19" s="430">
        <v>0</v>
      </c>
      <c r="S19" s="430">
        <v>0</v>
      </c>
      <c r="T19" s="430">
        <v>0</v>
      </c>
      <c r="U19" s="430">
        <v>0</v>
      </c>
      <c r="V19" s="430">
        <v>0</v>
      </c>
      <c r="W19" s="430">
        <v>0</v>
      </c>
      <c r="X19" s="430">
        <v>0</v>
      </c>
      <c r="Y19" s="430">
        <v>0</v>
      </c>
      <c r="Z19" s="430">
        <v>0</v>
      </c>
      <c r="AA19" s="430">
        <v>0</v>
      </c>
      <c r="AB19" s="430">
        <v>0</v>
      </c>
      <c r="AC19" s="430">
        <v>0</v>
      </c>
      <c r="AD19" s="430">
        <v>0</v>
      </c>
      <c r="AE19" s="430">
        <v>0</v>
      </c>
      <c r="AF19" s="430">
        <v>0</v>
      </c>
      <c r="AG19" s="430">
        <v>0</v>
      </c>
      <c r="AH19" s="430">
        <v>0</v>
      </c>
      <c r="AI19" s="430">
        <v>0</v>
      </c>
      <c r="AJ19" s="430">
        <v>0</v>
      </c>
      <c r="AK19" s="430">
        <v>0</v>
      </c>
    </row>
    <row r="20" spans="2:37">
      <c r="B20" s="430" t="s">
        <v>1285</v>
      </c>
      <c r="C20" s="430" t="s">
        <v>1300</v>
      </c>
      <c r="D20" s="430" t="s">
        <v>1278</v>
      </c>
      <c r="E20" s="430">
        <v>3.3325809999999998</v>
      </c>
      <c r="F20" s="430">
        <v>1.1073379999999999</v>
      </c>
      <c r="G20" s="430">
        <v>0</v>
      </c>
      <c r="H20" s="430">
        <v>0</v>
      </c>
      <c r="I20" s="430">
        <v>0</v>
      </c>
      <c r="J20" s="430">
        <v>0</v>
      </c>
      <c r="K20" s="430">
        <v>0</v>
      </c>
      <c r="L20" s="430">
        <v>0</v>
      </c>
      <c r="M20" s="430">
        <v>0</v>
      </c>
      <c r="N20" s="430">
        <v>0</v>
      </c>
      <c r="O20" s="430">
        <v>0</v>
      </c>
      <c r="P20" s="430">
        <v>0</v>
      </c>
      <c r="Q20" s="430">
        <v>0</v>
      </c>
      <c r="R20" s="430">
        <v>0</v>
      </c>
      <c r="S20" s="430">
        <v>0</v>
      </c>
      <c r="T20" s="430">
        <v>0</v>
      </c>
      <c r="U20" s="430">
        <v>0</v>
      </c>
      <c r="V20" s="430">
        <v>0</v>
      </c>
      <c r="W20" s="430">
        <v>0</v>
      </c>
      <c r="X20" s="430">
        <v>0</v>
      </c>
      <c r="Y20" s="430">
        <v>0</v>
      </c>
      <c r="Z20" s="430">
        <v>0</v>
      </c>
      <c r="AA20" s="430">
        <v>0</v>
      </c>
      <c r="AB20" s="430">
        <v>0</v>
      </c>
      <c r="AC20" s="430">
        <v>0</v>
      </c>
      <c r="AD20" s="430">
        <v>0</v>
      </c>
      <c r="AE20" s="430">
        <v>0</v>
      </c>
      <c r="AF20" s="430">
        <v>0</v>
      </c>
      <c r="AG20" s="430">
        <v>0</v>
      </c>
      <c r="AH20" s="430">
        <v>0</v>
      </c>
      <c r="AI20" s="430">
        <v>0</v>
      </c>
      <c r="AJ20" s="430">
        <v>0</v>
      </c>
      <c r="AK20" s="430">
        <v>0</v>
      </c>
    </row>
    <row r="21" spans="2:37" s="545" customFormat="1">
      <c r="B21" s="1228" t="s">
        <v>1287</v>
      </c>
      <c r="C21" s="1228" t="s">
        <v>1301</v>
      </c>
      <c r="D21" s="1228" t="s">
        <v>1278</v>
      </c>
      <c r="E21" s="1228">
        <v>67.446770000000001</v>
      </c>
      <c r="F21" s="1228">
        <v>12.291264</v>
      </c>
      <c r="G21" s="1228">
        <v>9.5331290000000006</v>
      </c>
      <c r="H21" s="1228">
        <v>32.702103000000001</v>
      </c>
      <c r="I21" s="1228">
        <v>39.191203999999999</v>
      </c>
      <c r="J21" s="1228">
        <v>45.338439999999999</v>
      </c>
      <c r="K21" s="1228">
        <v>31.303518</v>
      </c>
      <c r="L21" s="1228">
        <v>27.386108</v>
      </c>
      <c r="M21" s="1228">
        <v>25.882878999999999</v>
      </c>
      <c r="N21" s="1228">
        <v>24.737314000000001</v>
      </c>
      <c r="O21" s="1228">
        <v>23.807113999999999</v>
      </c>
      <c r="P21" s="1228">
        <v>23.222904</v>
      </c>
      <c r="Q21" s="1228">
        <v>22.817173</v>
      </c>
      <c r="R21" s="1228">
        <v>22.651893999999999</v>
      </c>
      <c r="S21" s="1228">
        <v>22.711403000000001</v>
      </c>
      <c r="T21" s="1228">
        <v>23.06015</v>
      </c>
      <c r="U21" s="1228">
        <v>23.589233</v>
      </c>
      <c r="V21" s="1228">
        <v>24.311202999999999</v>
      </c>
      <c r="W21" s="1228">
        <v>24.823141</v>
      </c>
      <c r="X21" s="1228">
        <v>25.451077000000002</v>
      </c>
      <c r="Y21" s="1228">
        <v>26.393412000000001</v>
      </c>
      <c r="Z21" s="1228">
        <v>26.635715000000001</v>
      </c>
      <c r="AA21" s="1228">
        <v>27.619603999999999</v>
      </c>
      <c r="AB21" s="1228">
        <v>28.364265</v>
      </c>
      <c r="AC21" s="1228">
        <v>28.896381000000002</v>
      </c>
      <c r="AD21" s="1228">
        <v>29.010176000000001</v>
      </c>
      <c r="AE21" s="1228">
        <v>29.218563</v>
      </c>
      <c r="AF21" s="1228">
        <v>29.489208000000001</v>
      </c>
      <c r="AG21" s="1228">
        <v>29.490746000000001</v>
      </c>
      <c r="AH21" s="1228">
        <v>29.728567000000002</v>
      </c>
      <c r="AI21" s="1228">
        <v>29.684996000000002</v>
      </c>
      <c r="AJ21" s="1228">
        <v>29.637589999999999</v>
      </c>
      <c r="AK21" s="1228">
        <v>29.885204000000002</v>
      </c>
    </row>
    <row r="22" spans="2:37">
      <c r="B22" s="430" t="s">
        <v>740</v>
      </c>
      <c r="C22" s="430" t="s">
        <v>1302</v>
      </c>
      <c r="D22" s="430" t="s">
        <v>1278</v>
      </c>
      <c r="E22" s="430">
        <v>352.52062999999998</v>
      </c>
      <c r="F22" s="430">
        <v>368.56991599999998</v>
      </c>
      <c r="G22" s="430">
        <v>500.76797499999998</v>
      </c>
      <c r="H22" s="430">
        <v>561.08801300000005</v>
      </c>
      <c r="I22" s="430">
        <v>573.87976100000003</v>
      </c>
      <c r="J22" s="430">
        <v>545.15441899999996</v>
      </c>
      <c r="K22" s="430">
        <v>539.29144299999996</v>
      </c>
      <c r="L22" s="430">
        <v>527.48071300000004</v>
      </c>
      <c r="M22" s="430">
        <v>523.53930700000001</v>
      </c>
      <c r="N22" s="430">
        <v>518.51226799999995</v>
      </c>
      <c r="O22" s="430">
        <v>512.27349900000002</v>
      </c>
      <c r="P22" s="430">
        <v>504.78509500000001</v>
      </c>
      <c r="Q22" s="430">
        <v>496.88464399999998</v>
      </c>
      <c r="R22" s="430">
        <v>489.97668499999997</v>
      </c>
      <c r="S22" s="430">
        <v>483.709656</v>
      </c>
      <c r="T22" s="430">
        <v>476.49285900000001</v>
      </c>
      <c r="U22" s="430">
        <v>470.36413599999997</v>
      </c>
      <c r="V22" s="430">
        <v>464.98642000000001</v>
      </c>
      <c r="W22" s="430">
        <v>460.31521600000002</v>
      </c>
      <c r="X22" s="430">
        <v>455.80682400000001</v>
      </c>
      <c r="Y22" s="430">
        <v>449.72418199999998</v>
      </c>
      <c r="Z22" s="430">
        <v>446.86090100000001</v>
      </c>
      <c r="AA22" s="430">
        <v>441.69592299999999</v>
      </c>
      <c r="AB22" s="430">
        <v>437.25598100000002</v>
      </c>
      <c r="AC22" s="430">
        <v>434.72305299999999</v>
      </c>
      <c r="AD22" s="430">
        <v>432.90914900000001</v>
      </c>
      <c r="AE22" s="430">
        <v>430.39880399999998</v>
      </c>
      <c r="AF22" s="430">
        <v>427.007385</v>
      </c>
      <c r="AG22" s="430">
        <v>425.05633499999999</v>
      </c>
      <c r="AH22" s="430">
        <v>424.72814899999997</v>
      </c>
      <c r="AI22" s="430">
        <v>423.06310999999999</v>
      </c>
      <c r="AJ22" s="430">
        <v>422.01126099999999</v>
      </c>
      <c r="AK22" s="430">
        <v>422.27420000000001</v>
      </c>
    </row>
    <row r="23" spans="2:37">
      <c r="B23" s="430" t="s">
        <v>1303</v>
      </c>
      <c r="C23" s="430" t="s">
        <v>1304</v>
      </c>
      <c r="D23" s="430" t="s">
        <v>1278</v>
      </c>
      <c r="E23" s="430">
        <v>174.658569</v>
      </c>
      <c r="F23" s="430">
        <v>140.41783100000001</v>
      </c>
      <c r="G23" s="430">
        <v>33.736030999999997</v>
      </c>
      <c r="H23" s="430">
        <v>54.84111</v>
      </c>
      <c r="I23" s="430">
        <v>32.880004999999997</v>
      </c>
      <c r="J23" s="430">
        <v>28.894736999999999</v>
      </c>
      <c r="K23" s="430">
        <v>27.243216</v>
      </c>
      <c r="L23" s="430">
        <v>26.025777999999999</v>
      </c>
      <c r="M23" s="430">
        <v>25.376738</v>
      </c>
      <c r="N23" s="430">
        <v>24.782426999999998</v>
      </c>
      <c r="O23" s="430">
        <v>24.211957999999999</v>
      </c>
      <c r="P23" s="430">
        <v>23.661953</v>
      </c>
      <c r="Q23" s="430">
        <v>23.118748</v>
      </c>
      <c r="R23" s="430">
        <v>22.652647000000002</v>
      </c>
      <c r="S23" s="430">
        <v>22.225349000000001</v>
      </c>
      <c r="T23" s="430">
        <v>21.810572000000001</v>
      </c>
      <c r="U23" s="430">
        <v>21.390429999999999</v>
      </c>
      <c r="V23" s="430">
        <v>20.979005999999998</v>
      </c>
      <c r="W23" s="430">
        <v>20.426134000000001</v>
      </c>
      <c r="X23" s="430">
        <v>19.920385</v>
      </c>
      <c r="Y23" s="430">
        <v>19.519939000000001</v>
      </c>
      <c r="Z23" s="430">
        <v>18.896076000000001</v>
      </c>
      <c r="AA23" s="430">
        <v>18.538605</v>
      </c>
      <c r="AB23" s="430">
        <v>18.129128000000001</v>
      </c>
      <c r="AC23" s="430">
        <v>17.623336999999999</v>
      </c>
      <c r="AD23" s="430">
        <v>17.038668000000001</v>
      </c>
      <c r="AE23" s="430">
        <v>16.435141000000002</v>
      </c>
      <c r="AF23" s="430">
        <v>15.887081</v>
      </c>
      <c r="AG23" s="430">
        <v>15.345724000000001</v>
      </c>
      <c r="AH23" s="430">
        <v>14.819832999999999</v>
      </c>
      <c r="AI23" s="430">
        <v>14.249347999999999</v>
      </c>
      <c r="AJ23" s="430">
        <v>13.704841</v>
      </c>
      <c r="AK23" s="430">
        <v>13.260479</v>
      </c>
    </row>
    <row r="24" spans="2:37">
      <c r="B24" s="430" t="s">
        <v>1305</v>
      </c>
      <c r="C24" s="430" t="s">
        <v>1306</v>
      </c>
      <c r="D24" s="430" t="s">
        <v>1278</v>
      </c>
      <c r="E24" s="430">
        <v>1185.885376</v>
      </c>
      <c r="F24" s="430">
        <v>1030.716064</v>
      </c>
      <c r="G24" s="430">
        <v>936.18457000000001</v>
      </c>
      <c r="H24" s="430">
        <v>969.00073199999997</v>
      </c>
      <c r="I24" s="430">
        <v>908.72906499999999</v>
      </c>
      <c r="J24" s="430">
        <v>971.365723</v>
      </c>
      <c r="K24" s="430">
        <v>946.08654799999999</v>
      </c>
      <c r="L24" s="430">
        <v>943.42578100000003</v>
      </c>
      <c r="M24" s="430">
        <v>945.91430700000001</v>
      </c>
      <c r="N24" s="430">
        <v>949.74676499999998</v>
      </c>
      <c r="O24" s="430">
        <v>953.59387200000003</v>
      </c>
      <c r="P24" s="430">
        <v>956.45159899999999</v>
      </c>
      <c r="Q24" s="430">
        <v>958.91522199999997</v>
      </c>
      <c r="R24" s="430">
        <v>964.25866699999995</v>
      </c>
      <c r="S24" s="430">
        <v>970.61932400000001</v>
      </c>
      <c r="T24" s="430">
        <v>976.09631300000001</v>
      </c>
      <c r="U24" s="430">
        <v>981.73999000000003</v>
      </c>
      <c r="V24" s="430">
        <v>987.38037099999997</v>
      </c>
      <c r="W24" s="430">
        <v>991.21142599999996</v>
      </c>
      <c r="X24" s="430">
        <v>996.114868</v>
      </c>
      <c r="Y24" s="430">
        <v>999.76086399999997</v>
      </c>
      <c r="Z24" s="430">
        <v>1004.101135</v>
      </c>
      <c r="AA24" s="430">
        <v>1009.4537350000001</v>
      </c>
      <c r="AB24" s="430">
        <v>1014.199829</v>
      </c>
      <c r="AC24" s="430">
        <v>1019.233521</v>
      </c>
      <c r="AD24" s="430">
        <v>1023.329834</v>
      </c>
      <c r="AE24" s="430">
        <v>1025.608154</v>
      </c>
      <c r="AF24" s="430">
        <v>1026.8476559999999</v>
      </c>
      <c r="AG24" s="430">
        <v>1030.7080080000001</v>
      </c>
      <c r="AH24" s="430">
        <v>1037.2030030000001</v>
      </c>
      <c r="AI24" s="430">
        <v>1039.6096190000001</v>
      </c>
      <c r="AJ24" s="430">
        <v>1043.1267089999999</v>
      </c>
      <c r="AK24" s="430">
        <v>1050.7769780000001</v>
      </c>
    </row>
    <row r="25" spans="2:37">
      <c r="B25" s="430" t="s">
        <v>1290</v>
      </c>
      <c r="C25" s="430" t="s">
        <v>1307</v>
      </c>
      <c r="D25" s="430" t="s">
        <v>1278</v>
      </c>
      <c r="E25" s="430">
        <v>211.255844</v>
      </c>
      <c r="F25" s="430">
        <v>228.179596</v>
      </c>
      <c r="G25" s="430">
        <v>154.779785</v>
      </c>
      <c r="H25" s="430">
        <v>195.99597199999999</v>
      </c>
      <c r="I25" s="430">
        <v>196.46006800000001</v>
      </c>
      <c r="J25" s="430">
        <v>195.60232500000001</v>
      </c>
      <c r="K25" s="430">
        <v>190.451401</v>
      </c>
      <c r="L25" s="430">
        <v>190.66433699999999</v>
      </c>
      <c r="M25" s="430">
        <v>189.75685100000001</v>
      </c>
      <c r="N25" s="430">
        <v>188.86218299999999</v>
      </c>
      <c r="O25" s="430">
        <v>187.78447</v>
      </c>
      <c r="P25" s="430">
        <v>186.52993799999999</v>
      </c>
      <c r="Q25" s="430">
        <v>185.172562</v>
      </c>
      <c r="R25" s="430">
        <v>184.35240200000001</v>
      </c>
      <c r="S25" s="430">
        <v>183.87545800000001</v>
      </c>
      <c r="T25" s="430">
        <v>183.08543399999999</v>
      </c>
      <c r="U25" s="430">
        <v>182.828384</v>
      </c>
      <c r="V25" s="430">
        <v>182.925049</v>
      </c>
      <c r="W25" s="430">
        <v>182.671967</v>
      </c>
      <c r="X25" s="430">
        <v>182.56054700000001</v>
      </c>
      <c r="Y25" s="430">
        <v>182.357788</v>
      </c>
      <c r="Z25" s="430">
        <v>182.29714999999999</v>
      </c>
      <c r="AA25" s="430">
        <v>182.395477</v>
      </c>
      <c r="AB25" s="430">
        <v>182.50735499999999</v>
      </c>
      <c r="AC25" s="430">
        <v>182.899857</v>
      </c>
      <c r="AD25" s="430">
        <v>183.19813500000001</v>
      </c>
      <c r="AE25" s="430">
        <v>183.20198099999999</v>
      </c>
      <c r="AF25" s="430">
        <v>183.06118799999999</v>
      </c>
      <c r="AG25" s="430">
        <v>183.351562</v>
      </c>
      <c r="AH25" s="430">
        <v>184.03637699999999</v>
      </c>
      <c r="AI25" s="430">
        <v>184.09605400000001</v>
      </c>
      <c r="AJ25" s="430">
        <v>184.361481</v>
      </c>
      <c r="AK25" s="430">
        <v>185.328171</v>
      </c>
    </row>
    <row r="26" spans="2:37">
      <c r="B26" s="1229" t="s">
        <v>1180</v>
      </c>
      <c r="C26" s="1229" t="s">
        <v>1308</v>
      </c>
      <c r="D26" s="1229" t="s">
        <v>1278</v>
      </c>
      <c r="E26" s="1229">
        <v>1991.767212</v>
      </c>
      <c r="F26" s="1229">
        <v>1780.174683</v>
      </c>
      <c r="G26" s="1229">
        <v>1635.0014650000001</v>
      </c>
      <c r="H26" s="1229">
        <v>1813.6279300000001</v>
      </c>
      <c r="I26" s="1229">
        <v>1751.1401370000001</v>
      </c>
      <c r="J26" s="1229">
        <v>1786.355591</v>
      </c>
      <c r="K26" s="1229">
        <v>1734.376221</v>
      </c>
      <c r="L26" s="1229">
        <v>1714.9826660000001</v>
      </c>
      <c r="M26" s="1229">
        <v>1710.469971</v>
      </c>
      <c r="N26" s="1229">
        <v>1706.640991</v>
      </c>
      <c r="O26" s="1229">
        <v>1701.6708980000001</v>
      </c>
      <c r="P26" s="1229">
        <v>1694.6514890000001</v>
      </c>
      <c r="Q26" s="1229">
        <v>1686.908447</v>
      </c>
      <c r="R26" s="1229">
        <v>1683.8923339999999</v>
      </c>
      <c r="S26" s="1229">
        <v>1683.1412350000001</v>
      </c>
      <c r="T26" s="1229">
        <v>1680.5454099999999</v>
      </c>
      <c r="U26" s="1229">
        <v>1679.9121090000001</v>
      </c>
      <c r="V26" s="1229">
        <v>1680.5820309999999</v>
      </c>
      <c r="W26" s="1229">
        <v>1679.447876</v>
      </c>
      <c r="X26" s="1229">
        <v>1679.85376</v>
      </c>
      <c r="Y26" s="1229">
        <v>1677.756226</v>
      </c>
      <c r="Z26" s="1229">
        <v>1678.7910159999999</v>
      </c>
      <c r="AA26" s="1229">
        <v>1679.7033690000001</v>
      </c>
      <c r="AB26" s="1229">
        <v>1680.456543</v>
      </c>
      <c r="AC26" s="1229">
        <v>1683.376221</v>
      </c>
      <c r="AD26" s="1229">
        <v>1685.485962</v>
      </c>
      <c r="AE26" s="1229">
        <v>1684.8626710000001</v>
      </c>
      <c r="AF26" s="1229">
        <v>1682.2924800000001</v>
      </c>
      <c r="AG26" s="1229">
        <v>1683.952393</v>
      </c>
      <c r="AH26" s="1229">
        <v>1690.5158690000001</v>
      </c>
      <c r="AI26" s="1229">
        <v>1690.703125</v>
      </c>
      <c r="AJ26" s="1229">
        <v>1692.841919</v>
      </c>
      <c r="AK26" s="1229">
        <v>1701.5249020000001</v>
      </c>
    </row>
    <row r="28" spans="2:37">
      <c r="B28" s="372" t="s">
        <v>1309</v>
      </c>
    </row>
    <row r="29" spans="2:37">
      <c r="B29" s="372" t="s">
        <v>1310</v>
      </c>
    </row>
    <row r="30" spans="2:37">
      <c r="B30" s="372" t="s">
        <v>1311</v>
      </c>
    </row>
    <row r="31" spans="2:37">
      <c r="B31" s="372" t="s">
        <v>1312</v>
      </c>
    </row>
    <row r="32" spans="2:37">
      <c r="B32" s="372" t="s">
        <v>1313</v>
      </c>
    </row>
    <row r="33" spans="2:30">
      <c r="B33" s="372" t="s">
        <v>1314</v>
      </c>
    </row>
    <row r="34" spans="2:30">
      <c r="B34" s="372" t="s">
        <v>1315</v>
      </c>
    </row>
    <row r="35" spans="2:30">
      <c r="B35" s="372" t="s">
        <v>1316</v>
      </c>
    </row>
    <row r="36" spans="2:30">
      <c r="B36" s="372" t="s">
        <v>1317</v>
      </c>
    </row>
    <row r="38" spans="2:30">
      <c r="B38" s="372" t="s">
        <v>1318</v>
      </c>
    </row>
    <row r="39" spans="2:30">
      <c r="B39" s="1231" t="s">
        <v>722</v>
      </c>
      <c r="C39" s="1231">
        <v>2023</v>
      </c>
      <c r="D39" s="1231">
        <v>2024</v>
      </c>
      <c r="E39" s="1231">
        <v>2025</v>
      </c>
      <c r="F39" s="1231">
        <v>2026</v>
      </c>
      <c r="G39" s="1231">
        <v>2027</v>
      </c>
      <c r="H39" s="1231">
        <v>2028</v>
      </c>
      <c r="I39" s="1231">
        <v>2029</v>
      </c>
      <c r="J39" s="1231">
        <v>2030</v>
      </c>
      <c r="K39" s="1231">
        <v>2031</v>
      </c>
      <c r="L39" s="1231">
        <v>2032</v>
      </c>
      <c r="M39" s="1231">
        <v>2033</v>
      </c>
      <c r="N39" s="1231">
        <v>2034</v>
      </c>
      <c r="O39" s="1231">
        <v>2035</v>
      </c>
      <c r="P39" s="1231">
        <v>2036</v>
      </c>
      <c r="Q39" s="1231">
        <v>2037</v>
      </c>
      <c r="R39" s="1231">
        <v>2038</v>
      </c>
      <c r="S39" s="1231">
        <v>2039</v>
      </c>
      <c r="T39" s="1231">
        <v>2040</v>
      </c>
      <c r="U39" s="1231">
        <v>2041</v>
      </c>
      <c r="V39" s="1231">
        <v>2042</v>
      </c>
      <c r="W39" s="1231">
        <v>2043</v>
      </c>
      <c r="X39" s="1231">
        <v>2044</v>
      </c>
      <c r="Y39" s="1231">
        <v>2045</v>
      </c>
      <c r="Z39" s="1231">
        <v>2046</v>
      </c>
      <c r="AA39" s="1231">
        <v>2047</v>
      </c>
      <c r="AB39" s="1231">
        <v>2048</v>
      </c>
      <c r="AC39" s="1231">
        <v>2049</v>
      </c>
      <c r="AD39" s="1231">
        <v>2050</v>
      </c>
    </row>
    <row r="40" spans="2:30">
      <c r="B40" s="1232" t="s">
        <v>32</v>
      </c>
      <c r="C40" s="1223">
        <f t="shared" ref="C40:AD40" si="0">SUM(J13,J24:J25)*trilBtu_to_PJ</f>
        <v>1507.7667682685583</v>
      </c>
      <c r="D40" s="1223">
        <f t="shared" si="0"/>
        <v>1473.5998172643033</v>
      </c>
      <c r="E40" s="1223">
        <f t="shared" si="0"/>
        <v>1474.8570578497747</v>
      </c>
      <c r="F40" s="1223">
        <f t="shared" si="0"/>
        <v>1478.7058008033198</v>
      </c>
      <c r="G40" s="1223">
        <f t="shared" si="0"/>
        <v>1481.7002723099504</v>
      </c>
      <c r="H40" s="1223">
        <f t="shared" si="0"/>
        <v>1486.3046642970112</v>
      </c>
      <c r="I40" s="1223">
        <f t="shared" si="0"/>
        <v>1493.858691076442</v>
      </c>
      <c r="J40" s="1223">
        <f t="shared" si="0"/>
        <v>1498.8681950207688</v>
      </c>
      <c r="K40" s="1223">
        <f t="shared" si="0"/>
        <v>1503.9698971425919</v>
      </c>
      <c r="L40" s="1223">
        <f t="shared" si="0"/>
        <v>1509.83141787919</v>
      </c>
      <c r="M40" s="1223">
        <f t="shared" si="0"/>
        <v>1515.180928385965</v>
      </c>
      <c r="N40" s="1223">
        <f t="shared" si="0"/>
        <v>1521.1814949510297</v>
      </c>
      <c r="O40" s="1223">
        <f t="shared" si="0"/>
        <v>1528.6094045580528</v>
      </c>
      <c r="P40" s="1223">
        <f t="shared" si="0"/>
        <v>1534.8319105903356</v>
      </c>
      <c r="Q40" s="1223">
        <f t="shared" si="0"/>
        <v>1543.5065323791409</v>
      </c>
      <c r="R40" s="1223">
        <f t="shared" si="0"/>
        <v>1551.2745624946588</v>
      </c>
      <c r="S40" s="1223">
        <f t="shared" si="0"/>
        <v>1559.3085458479854</v>
      </c>
      <c r="T40" s="1223">
        <f t="shared" si="0"/>
        <v>1569.2128965823574</v>
      </c>
      <c r="U40" s="1223">
        <f t="shared" si="0"/>
        <v>1579.1958426573906</v>
      </c>
      <c r="V40" s="1223">
        <f t="shared" si="0"/>
        <v>1588.737599135698</v>
      </c>
      <c r="W40" s="1223">
        <f t="shared" si="0"/>
        <v>1596.7126270155527</v>
      </c>
      <c r="X40" s="1223">
        <f t="shared" si="0"/>
        <v>1602.4593798169901</v>
      </c>
      <c r="Y40" s="1223">
        <f t="shared" si="0"/>
        <v>1607.4470852495785</v>
      </c>
      <c r="Z40" s="1223">
        <f t="shared" si="0"/>
        <v>1615.8080367834721</v>
      </c>
      <c r="AA40" s="1223">
        <f t="shared" si="0"/>
        <v>1627.278390237778</v>
      </c>
      <c r="AB40" s="1223">
        <f t="shared" si="0"/>
        <v>1633.2006347216818</v>
      </c>
      <c r="AC40" s="1223">
        <f t="shared" si="0"/>
        <v>1640.1656374595518</v>
      </c>
      <c r="AD40" s="1223">
        <f t="shared" si="0"/>
        <v>1653.7456365522039</v>
      </c>
    </row>
    <row r="41" spans="2:30">
      <c r="B41" s="1232" t="s">
        <v>651</v>
      </c>
      <c r="C41" s="1223">
        <f t="shared" ref="C41:AD41" si="1">SUM(J12,J22)*trilBtu_to_PJ</f>
        <v>786.81923936793703</v>
      </c>
      <c r="D41" s="1223">
        <f t="shared" si="1"/>
        <v>777.12929289092722</v>
      </c>
      <c r="E41" s="1223">
        <f t="shared" si="1"/>
        <v>765.67853182629142</v>
      </c>
      <c r="F41" s="1223">
        <f t="shared" si="1"/>
        <v>761.63927635819994</v>
      </c>
      <c r="G41" s="1223">
        <f t="shared" si="1"/>
        <v>755.05366014747574</v>
      </c>
      <c r="H41" s="1223">
        <f t="shared" si="1"/>
        <v>748.23886045513018</v>
      </c>
      <c r="I41" s="1223">
        <f t="shared" si="1"/>
        <v>742.44027064296165</v>
      </c>
      <c r="J41" s="1223">
        <f t="shared" si="1"/>
        <v>735.15486955815311</v>
      </c>
      <c r="K41" s="1223">
        <f t="shared" si="1"/>
        <v>727.06774303478414</v>
      </c>
      <c r="L41" s="1223">
        <f t="shared" si="1"/>
        <v>719.36162887983653</v>
      </c>
      <c r="M41" s="1223">
        <f t="shared" si="1"/>
        <v>711.09113679117388</v>
      </c>
      <c r="N41" s="1223">
        <f t="shared" si="1"/>
        <v>703.88413691672542</v>
      </c>
      <c r="O41" s="1223">
        <f t="shared" si="1"/>
        <v>697.99503912675141</v>
      </c>
      <c r="P41" s="1223">
        <f t="shared" si="1"/>
        <v>693.47442597041413</v>
      </c>
      <c r="Q41" s="1223">
        <f t="shared" si="1"/>
        <v>689.70276540724637</v>
      </c>
      <c r="R41" s="1223">
        <f t="shared" si="1"/>
        <v>684.29801744429574</v>
      </c>
      <c r="S41" s="1223">
        <f t="shared" si="1"/>
        <v>682.06471713421479</v>
      </c>
      <c r="T41" s="1223">
        <f t="shared" si="1"/>
        <v>677.43804552988604</v>
      </c>
      <c r="U41" s="1223">
        <f t="shared" si="1"/>
        <v>673.78289163414468</v>
      </c>
      <c r="V41" s="1223">
        <f t="shared" si="1"/>
        <v>671.66561583090413</v>
      </c>
      <c r="W41" s="1223">
        <f t="shared" si="1"/>
        <v>670.17069012267143</v>
      </c>
      <c r="X41" s="1223">
        <f t="shared" si="1"/>
        <v>668.04990520321974</v>
      </c>
      <c r="Y41" s="1223">
        <f t="shared" si="1"/>
        <v>665.17720509338835</v>
      </c>
      <c r="Z41" s="1223">
        <f t="shared" si="1"/>
        <v>661.61326711801962</v>
      </c>
      <c r="AA41" s="1223">
        <f t="shared" si="1"/>
        <v>660.04093828239002</v>
      </c>
      <c r="AB41" s="1223">
        <f t="shared" si="1"/>
        <v>657.10857581157552</v>
      </c>
      <c r="AC41" s="1223">
        <f t="shared" si="1"/>
        <v>654.93112278003036</v>
      </c>
      <c r="AD41" s="1223">
        <f t="shared" si="1"/>
        <v>655.0477908710227</v>
      </c>
    </row>
    <row r="42" spans="2:30">
      <c r="B42" s="1232" t="s">
        <v>652</v>
      </c>
      <c r="C42" s="1223">
        <f t="shared" ref="C42:AD42" si="2">SUM(J6,J16:J17)*trilBtu_to_PJ</f>
        <v>461.50132884301513</v>
      </c>
      <c r="D42" s="1223">
        <f t="shared" si="2"/>
        <v>436.61753059926127</v>
      </c>
      <c r="E42" s="1223">
        <f t="shared" si="2"/>
        <v>431.99149519369251</v>
      </c>
      <c r="F42" s="1223">
        <f t="shared" si="2"/>
        <v>428.40886795657821</v>
      </c>
      <c r="G42" s="1223">
        <f t="shared" si="2"/>
        <v>422.79465656345059</v>
      </c>
      <c r="H42" s="1223">
        <f t="shared" si="2"/>
        <v>420.47244985055136</v>
      </c>
      <c r="I42" s="1223">
        <f t="shared" si="2"/>
        <v>424.03058712810594</v>
      </c>
      <c r="J42" s="1223">
        <f t="shared" si="2"/>
        <v>425.39671687678111</v>
      </c>
      <c r="K42" s="1223">
        <f t="shared" si="2"/>
        <v>422.67265094422237</v>
      </c>
      <c r="L42" s="1223">
        <f t="shared" si="2"/>
        <v>419.62851267702518</v>
      </c>
      <c r="M42" s="1223">
        <f t="shared" si="2"/>
        <v>418.21870994084304</v>
      </c>
      <c r="N42" s="1223">
        <f t="shared" si="2"/>
        <v>417.27688467288516</v>
      </c>
      <c r="O42" s="1223">
        <f t="shared" si="2"/>
        <v>418.22304305577973</v>
      </c>
      <c r="P42" s="1223">
        <f t="shared" si="2"/>
        <v>420.40028191095956</v>
      </c>
      <c r="Q42" s="1223">
        <f t="shared" si="2"/>
        <v>424.06883290761823</v>
      </c>
      <c r="R42" s="1223">
        <f t="shared" si="2"/>
        <v>428.70063524920954</v>
      </c>
      <c r="S42" s="1223">
        <f t="shared" si="2"/>
        <v>431.73763078737773</v>
      </c>
      <c r="T42" s="1223">
        <f t="shared" si="2"/>
        <v>436.15017033878905</v>
      </c>
      <c r="U42" s="1223">
        <f t="shared" si="2"/>
        <v>441.07688403985162</v>
      </c>
      <c r="V42" s="1223">
        <f t="shared" si="2"/>
        <v>444.66294864937015</v>
      </c>
      <c r="W42" s="1223">
        <f t="shared" si="2"/>
        <v>447.17107310799452</v>
      </c>
      <c r="X42" s="1223">
        <f t="shared" si="2"/>
        <v>449.77846250911307</v>
      </c>
      <c r="Y42" s="1223">
        <f t="shared" si="2"/>
        <v>452.9833870884359</v>
      </c>
      <c r="Z42" s="1223">
        <f t="shared" si="2"/>
        <v>455.95172380322362</v>
      </c>
      <c r="AA42" s="1223">
        <f t="shared" si="2"/>
        <v>459.03703668535178</v>
      </c>
      <c r="AB42" s="1223">
        <f t="shared" si="2"/>
        <v>461.15568722654268</v>
      </c>
      <c r="AC42" s="1223">
        <f t="shared" si="2"/>
        <v>462.82923602340958</v>
      </c>
      <c r="AD42" s="1223">
        <f t="shared" si="2"/>
        <v>466.51127169063227</v>
      </c>
    </row>
    <row r="43" spans="2:30">
      <c r="B43" s="1232" t="s">
        <v>638</v>
      </c>
      <c r="C43" s="1223">
        <f t="shared" ref="C43:AD43" si="3">J23*trilBtu_to_PJ</f>
        <v>30.485565251520072</v>
      </c>
      <c r="D43" s="1223">
        <f t="shared" si="3"/>
        <v>28.743118133563762</v>
      </c>
      <c r="E43" s="1223">
        <f t="shared" si="3"/>
        <v>27.458652883415258</v>
      </c>
      <c r="F43" s="1223">
        <f t="shared" si="3"/>
        <v>26.773879345907492</v>
      </c>
      <c r="G43" s="1223">
        <f t="shared" si="3"/>
        <v>26.146847967487396</v>
      </c>
      <c r="H43" s="1223">
        <f t="shared" si="3"/>
        <v>25.544971233898529</v>
      </c>
      <c r="I43" s="1223">
        <f t="shared" si="3"/>
        <v>24.964685166018338</v>
      </c>
      <c r="J43" s="1223">
        <f t="shared" si="3"/>
        <v>24.391573478846656</v>
      </c>
      <c r="K43" s="1223">
        <f t="shared" si="3"/>
        <v>23.899810828461614</v>
      </c>
      <c r="L43" s="1223">
        <f t="shared" si="3"/>
        <v>23.448987515522514</v>
      </c>
      <c r="M43" s="1223">
        <f t="shared" si="3"/>
        <v>23.011374558590955</v>
      </c>
      <c r="N43" s="1223">
        <f t="shared" si="3"/>
        <v>22.568101226291574</v>
      </c>
      <c r="O43" s="1223">
        <f t="shared" si="3"/>
        <v>22.134025872082901</v>
      </c>
      <c r="P43" s="1223">
        <f t="shared" si="3"/>
        <v>21.550714958689287</v>
      </c>
      <c r="Q43" s="1223">
        <f t="shared" si="3"/>
        <v>21.01712144854967</v>
      </c>
      <c r="R43" s="1223">
        <f t="shared" si="3"/>
        <v>20.594628498961299</v>
      </c>
      <c r="S43" s="1223">
        <f t="shared" si="3"/>
        <v>19.9364181060268</v>
      </c>
      <c r="T43" s="1223">
        <f t="shared" si="3"/>
        <v>19.559266187460238</v>
      </c>
      <c r="U43" s="1223">
        <f t="shared" si="3"/>
        <v>19.127245027257374</v>
      </c>
      <c r="V43" s="1223">
        <f t="shared" si="3"/>
        <v>18.593607204766322</v>
      </c>
      <c r="W43" s="1223">
        <f t="shared" si="3"/>
        <v>17.976748676168505</v>
      </c>
      <c r="X43" s="1223">
        <f t="shared" si="3"/>
        <v>17.339993901776399</v>
      </c>
      <c r="Y43" s="1223">
        <f t="shared" si="3"/>
        <v>16.761759917790037</v>
      </c>
      <c r="Z43" s="1223">
        <f t="shared" si="3"/>
        <v>16.190597974081495</v>
      </c>
      <c r="AA43" s="1223">
        <f t="shared" si="3"/>
        <v>15.635753526260871</v>
      </c>
      <c r="AB43" s="1223">
        <f t="shared" si="3"/>
        <v>15.033859911776219</v>
      </c>
      <c r="AC43" s="1223">
        <f t="shared" si="3"/>
        <v>14.459374541710057</v>
      </c>
      <c r="AD43" s="1223">
        <f t="shared" si="3"/>
        <v>13.990547753416536</v>
      </c>
    </row>
    <row r="45" spans="2:30">
      <c r="B45" s="372" t="s">
        <v>1319</v>
      </c>
    </row>
    <row r="46" spans="2:30">
      <c r="B46" s="1231" t="s">
        <v>722</v>
      </c>
      <c r="C46" s="1231" t="s">
        <v>1320</v>
      </c>
      <c r="D46" s="1231" t="s">
        <v>727</v>
      </c>
      <c r="E46" s="1231" t="s">
        <v>729</v>
      </c>
      <c r="F46" s="1231" t="s">
        <v>730</v>
      </c>
      <c r="G46" s="1231" t="s">
        <v>731</v>
      </c>
      <c r="H46" s="1231" t="s">
        <v>732</v>
      </c>
      <c r="I46" s="1231" t="s">
        <v>733</v>
      </c>
      <c r="J46" s="1231" t="s">
        <v>734</v>
      </c>
    </row>
    <row r="47" spans="2:30">
      <c r="B47" s="1232" t="s">
        <v>32</v>
      </c>
      <c r="C47" s="1224"/>
      <c r="D47" s="1224">
        <f>(E40-C40)/C40</f>
        <v>-2.1826791193027405E-2</v>
      </c>
      <c r="E47" s="1225">
        <f t="shared" ref="E47:E50" si="4">(J40-C40)/C40</f>
        <v>-5.9018234352042152E-3</v>
      </c>
      <c r="F47" s="1225">
        <f t="shared" ref="F47:F50" si="5">(O40-C40)/C40</f>
        <v>1.3823514835407291E-2</v>
      </c>
      <c r="G47" s="1225">
        <f t="shared" ref="G47:G50" si="6">(T40-C40)/C40</f>
        <v>4.0753072429339128E-2</v>
      </c>
      <c r="H47" s="1225">
        <f t="shared" ref="H47:H50" si="7">(Y40-C40)/C40</f>
        <v>6.6111230913709559E-2</v>
      </c>
      <c r="I47" s="1225">
        <f t="shared" ref="I47:I50" si="8">(J40-C40)/C40</f>
        <v>-5.9018234352042152E-3</v>
      </c>
      <c r="J47" s="1225">
        <f>Fuel_GrowthRate[[#This Row],[2050]]</f>
        <v>-5.9018234352042152E-3</v>
      </c>
    </row>
    <row r="48" spans="2:30">
      <c r="B48" s="1232" t="s">
        <v>651</v>
      </c>
      <c r="C48" s="1224"/>
      <c r="D48" s="1224">
        <f>(E41-C41)/C41</f>
        <v>-2.6868569658551104E-2</v>
      </c>
      <c r="E48" s="1225">
        <f t="shared" si="4"/>
        <v>-6.5662311271502002E-2</v>
      </c>
      <c r="F48" s="1225">
        <f t="shared" si="5"/>
        <v>-0.11289022407807332</v>
      </c>
      <c r="G48" s="1225">
        <f t="shared" si="6"/>
        <v>-0.13901692836834856</v>
      </c>
      <c r="H48" s="1225">
        <f t="shared" si="7"/>
        <v>-0.15459972022578583</v>
      </c>
      <c r="I48" s="1225">
        <f t="shared" si="8"/>
        <v>-6.5662311271502002E-2</v>
      </c>
      <c r="J48" s="1225">
        <f>Fuel_GrowthRate[[#This Row],[2050]]</f>
        <v>-6.5662311271502002E-2</v>
      </c>
    </row>
    <row r="49" spans="2:10">
      <c r="B49" s="1232" t="s">
        <v>652</v>
      </c>
      <c r="C49" s="1224"/>
      <c r="D49" s="1224">
        <f>(E42-C42)/C42</f>
        <v>-6.3943117397524799E-2</v>
      </c>
      <c r="E49" s="1225">
        <f t="shared" si="4"/>
        <v>-7.8232953427779639E-2</v>
      </c>
      <c r="F49" s="1225">
        <f t="shared" si="5"/>
        <v>-9.3777163969894009E-2</v>
      </c>
      <c r="G49" s="1225">
        <f t="shared" si="6"/>
        <v>-5.4931929595482397E-2</v>
      </c>
      <c r="H49" s="1225">
        <f t="shared" si="7"/>
        <v>-1.8457025412979253E-2</v>
      </c>
      <c r="I49" s="1225">
        <f t="shared" si="8"/>
        <v>-7.8232953427779639E-2</v>
      </c>
      <c r="J49" s="1225">
        <f>Fuel_GrowthRate[[#This Row],[2050]]</f>
        <v>-7.8232953427779639E-2</v>
      </c>
    </row>
    <row r="50" spans="2:10">
      <c r="B50" s="1232" t="s">
        <v>638</v>
      </c>
      <c r="C50" s="1224"/>
      <c r="D50" s="1224">
        <f>(E43-C43)/C43</f>
        <v>-9.9290019493861459E-2</v>
      </c>
      <c r="E50" s="1225">
        <f t="shared" si="4"/>
        <v>-0.19989761457250846</v>
      </c>
      <c r="F50" s="1225">
        <f t="shared" si="5"/>
        <v>-0.2739506159893409</v>
      </c>
      <c r="G50" s="1225">
        <f t="shared" si="6"/>
        <v>-0.35840893793219158</v>
      </c>
      <c r="H50" s="1225">
        <f t="shared" si="7"/>
        <v>-0.45017388460742869</v>
      </c>
      <c r="I50" s="1225">
        <f t="shared" si="8"/>
        <v>-0.19989761457250846</v>
      </c>
      <c r="J50" s="1225">
        <f>Fuel_GrowthRate[[#This Row],[2050]]</f>
        <v>-0.19989761457250846</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86540-EA87-44AC-91DC-16E964B6183E}">
  <sheetPr>
    <tabColor theme="5" tint="0.59999389629810485"/>
  </sheetPr>
  <dimension ref="A1:AF70"/>
  <sheetViews>
    <sheetView workbookViewId="0"/>
  </sheetViews>
  <sheetFormatPr defaultColWidth="9" defaultRowHeight="13.15"/>
  <cols>
    <col min="1" max="1" width="13.375" style="1" customWidth="1"/>
    <col min="2" max="2" width="43.5" style="1" bestFit="1" customWidth="1"/>
    <col min="3" max="3" width="9" style="1"/>
    <col min="4" max="4" width="11.5" style="1" customWidth="1"/>
    <col min="5" max="16384" width="9" style="1"/>
  </cols>
  <sheetData>
    <row r="1" spans="1:32">
      <c r="B1" s="1" t="s">
        <v>1321</v>
      </c>
    </row>
    <row r="5" spans="1:32">
      <c r="B5" s="225" t="s">
        <v>1322</v>
      </c>
    </row>
    <row r="6" spans="1:32" ht="13.9" thickBot="1"/>
    <row r="7" spans="1:32">
      <c r="E7" s="226" t="s">
        <v>1323</v>
      </c>
      <c r="F7" s="227" t="s">
        <v>1323</v>
      </c>
      <c r="G7" s="228"/>
      <c r="H7" s="229"/>
      <c r="I7" s="230" t="s">
        <v>75</v>
      </c>
      <c r="J7" s="231" t="s">
        <v>75</v>
      </c>
      <c r="K7" s="232"/>
      <c r="L7" s="233"/>
      <c r="M7" s="230" t="s">
        <v>60</v>
      </c>
      <c r="N7" s="232" t="s">
        <v>60</v>
      </c>
      <c r="O7" s="232"/>
      <c r="P7" s="233"/>
      <c r="Q7" s="226" t="s">
        <v>62</v>
      </c>
      <c r="R7" s="227" t="s">
        <v>62</v>
      </c>
      <c r="S7" s="228"/>
      <c r="T7" s="229"/>
      <c r="U7" s="226" t="s">
        <v>64</v>
      </c>
      <c r="V7" s="228" t="s">
        <v>64</v>
      </c>
      <c r="W7" s="228"/>
      <c r="X7" s="229"/>
      <c r="Y7" s="230" t="s">
        <v>66</v>
      </c>
      <c r="Z7" s="231" t="s">
        <v>66</v>
      </c>
      <c r="AA7" s="232"/>
      <c r="AB7" s="233"/>
      <c r="AC7" s="226" t="s">
        <v>68</v>
      </c>
      <c r="AD7" s="230" t="s">
        <v>1324</v>
      </c>
      <c r="AE7" s="230" t="s">
        <v>71</v>
      </c>
      <c r="AF7" s="230" t="s">
        <v>73</v>
      </c>
    </row>
    <row r="8" spans="1:32" ht="13.9" thickBot="1">
      <c r="E8" s="234">
        <v>2005</v>
      </c>
      <c r="F8" s="235">
        <v>2010</v>
      </c>
      <c r="G8" s="236">
        <v>2015</v>
      </c>
      <c r="H8" s="237" t="s">
        <v>1325</v>
      </c>
      <c r="I8" s="238">
        <v>2005</v>
      </c>
      <c r="J8" s="239">
        <v>2010</v>
      </c>
      <c r="K8" s="1">
        <v>2015</v>
      </c>
      <c r="L8" s="240" t="s">
        <v>1325</v>
      </c>
      <c r="M8" s="238">
        <v>2005</v>
      </c>
      <c r="N8" s="1">
        <v>2010</v>
      </c>
      <c r="O8" s="1">
        <v>2015</v>
      </c>
      <c r="P8" s="240" t="s">
        <v>1325</v>
      </c>
      <c r="Q8" s="234">
        <v>2005</v>
      </c>
      <c r="R8" s="235">
        <v>2010</v>
      </c>
      <c r="S8" s="236">
        <v>2015</v>
      </c>
      <c r="T8" s="237" t="s">
        <v>1325</v>
      </c>
      <c r="U8" s="234">
        <v>2005</v>
      </c>
      <c r="V8" s="236">
        <v>2010</v>
      </c>
      <c r="W8" s="236">
        <v>2015</v>
      </c>
      <c r="X8" s="237" t="s">
        <v>1325</v>
      </c>
      <c r="Y8" s="238">
        <v>2005</v>
      </c>
      <c r="Z8" s="239">
        <v>2010</v>
      </c>
      <c r="AA8" s="1">
        <v>2015</v>
      </c>
      <c r="AB8" s="240" t="s">
        <v>1325</v>
      </c>
      <c r="AC8" s="234"/>
      <c r="AD8" s="238"/>
      <c r="AE8" s="238"/>
      <c r="AF8" s="238"/>
    </row>
    <row r="9" spans="1:32">
      <c r="A9" s="1" t="s">
        <v>1326</v>
      </c>
      <c r="B9" s="231" t="s">
        <v>774</v>
      </c>
      <c r="C9" s="232"/>
      <c r="D9" s="232"/>
      <c r="E9" s="241">
        <v>0.31</v>
      </c>
      <c r="F9" s="242">
        <v>0.25313947419249022</v>
      </c>
      <c r="G9" s="243">
        <v>0.25336343312704462</v>
      </c>
      <c r="H9" s="244">
        <v>0.25358739206159903</v>
      </c>
      <c r="I9" s="245">
        <v>0.85683707544883503</v>
      </c>
      <c r="J9" s="242">
        <v>0.77917651783141417</v>
      </c>
      <c r="K9" s="243">
        <v>0.77945288865369544</v>
      </c>
      <c r="L9" s="244">
        <v>0.7797292594759766</v>
      </c>
      <c r="M9" s="241">
        <v>0.16470751432494865</v>
      </c>
      <c r="N9" s="243">
        <v>0.1094049701773581</v>
      </c>
      <c r="O9" s="243">
        <v>0.11082014116963351</v>
      </c>
      <c r="P9" s="244">
        <v>0.11223531216190892</v>
      </c>
      <c r="Q9" s="241">
        <v>6.3126274471974289E-2</v>
      </c>
      <c r="R9" s="242">
        <v>4.5420682386868992E-2</v>
      </c>
      <c r="S9" s="243">
        <v>4.5922755900121369E-2</v>
      </c>
      <c r="T9" s="244">
        <v>4.6424829413373753E-2</v>
      </c>
      <c r="U9" s="241">
        <v>1.364905951644861E-3</v>
      </c>
      <c r="V9" s="243">
        <v>1.3187156808555465E-3</v>
      </c>
      <c r="W9" s="243">
        <v>1.3189355497785094E-3</v>
      </c>
      <c r="X9" s="244">
        <v>1.3191554187014722E-3</v>
      </c>
      <c r="Y9" s="246">
        <v>7.5399999999999995E-2</v>
      </c>
      <c r="Z9" s="242">
        <v>7.530871520356823E-2</v>
      </c>
      <c r="AA9" s="243">
        <v>7.5308715966545842E-2</v>
      </c>
      <c r="AB9" s="244">
        <v>7.5308716729523453E-2</v>
      </c>
      <c r="AC9" s="241">
        <v>1.0425988349337145E-2</v>
      </c>
      <c r="AD9" s="241">
        <v>3.5897488120072507E-3</v>
      </c>
      <c r="AE9" s="241">
        <v>6.2986724482480355E-2</v>
      </c>
      <c r="AF9" s="241">
        <v>3.1563137235987148E-3</v>
      </c>
    </row>
    <row r="10" spans="1:32">
      <c r="B10" s="239" t="s">
        <v>1327</v>
      </c>
      <c r="E10" s="247">
        <v>0.114</v>
      </c>
      <c r="F10" s="248">
        <v>9.6681618420026441E-2</v>
      </c>
      <c r="G10" s="249">
        <v>9.674915162701811E-2</v>
      </c>
      <c r="H10" s="250">
        <v>9.6816684834009778E-2</v>
      </c>
      <c r="I10" s="251">
        <v>2.0000000000000001E-4</v>
      </c>
      <c r="J10" s="248">
        <v>1.9923957207737799E-4</v>
      </c>
      <c r="K10" s="249">
        <v>1.9924044589123628E-4</v>
      </c>
      <c r="L10" s="250">
        <v>1.992413197050946E-4</v>
      </c>
      <c r="M10" s="247">
        <v>3.0999999999999999E-3</v>
      </c>
      <c r="N10" s="249">
        <v>3.038065463236365E-3</v>
      </c>
      <c r="O10" s="249">
        <v>3.0384672207898525E-3</v>
      </c>
      <c r="P10" s="250">
        <v>3.0388689783433405E-3</v>
      </c>
      <c r="Q10" s="247">
        <v>3.0999999999999999E-3</v>
      </c>
      <c r="R10" s="248">
        <v>3.0840325042379817E-3</v>
      </c>
      <c r="S10" s="249">
        <v>3.0840318739285594E-3</v>
      </c>
      <c r="T10" s="250">
        <v>3.0840312436191375E-3</v>
      </c>
      <c r="U10" s="247">
        <v>2.2000000000000001E-3</v>
      </c>
      <c r="V10" s="249">
        <v>2.1152100125159325E-3</v>
      </c>
      <c r="W10" s="249">
        <v>2.1153602601527211E-3</v>
      </c>
      <c r="X10" s="250">
        <v>2.1155105077895098E-3</v>
      </c>
      <c r="Y10" s="247">
        <v>0.14412</v>
      </c>
      <c r="Z10" s="248">
        <v>0.14402719218167298</v>
      </c>
      <c r="AA10" s="249">
        <v>0.14402720011890394</v>
      </c>
      <c r="AB10" s="250">
        <v>0.14402720805613486</v>
      </c>
      <c r="AC10" s="247">
        <v>8.5303541040031208E-4</v>
      </c>
      <c r="AD10" s="247">
        <v>5.9331626061296999E-4</v>
      </c>
      <c r="AE10" s="247">
        <v>3.1754954793370227E-3</v>
      </c>
      <c r="AF10" s="247">
        <v>1.5499999999999999E-3</v>
      </c>
    </row>
    <row r="11" spans="1:32">
      <c r="B11" s="239" t="s">
        <v>1328</v>
      </c>
      <c r="E11" s="247">
        <v>0.114</v>
      </c>
      <c r="F11" s="248">
        <v>9.6681618420026441E-2</v>
      </c>
      <c r="G11" s="249">
        <v>9.674915162701811E-2</v>
      </c>
      <c r="H11" s="250">
        <v>9.6816684834009778E-2</v>
      </c>
      <c r="I11" s="251">
        <v>2.0000000000000001E-4</v>
      </c>
      <c r="J11" s="248">
        <v>1.9923957207737799E-4</v>
      </c>
      <c r="K11" s="249">
        <v>1.9924044589123628E-4</v>
      </c>
      <c r="L11" s="250">
        <v>1.992413197050946E-4</v>
      </c>
      <c r="M11" s="251">
        <v>3.0999999999999999E-3</v>
      </c>
      <c r="N11" s="249">
        <v>3.038065463236365E-3</v>
      </c>
      <c r="O11" s="249">
        <v>3.0384672207898525E-3</v>
      </c>
      <c r="P11" s="250">
        <v>3.0388689783433405E-3</v>
      </c>
      <c r="Q11" s="251">
        <v>3.0999999999999999E-3</v>
      </c>
      <c r="R11" s="248">
        <v>3.0840325042379817E-3</v>
      </c>
      <c r="S11" s="249">
        <v>3.0840318739285594E-3</v>
      </c>
      <c r="T11" s="250">
        <v>3.0840312436191375E-3</v>
      </c>
      <c r="U11" s="251">
        <v>2.2000000000000001E-3</v>
      </c>
      <c r="V11" s="249">
        <v>2.1152100125159325E-3</v>
      </c>
      <c r="W11" s="249">
        <v>2.1153602601527211E-3</v>
      </c>
      <c r="X11" s="250">
        <v>2.1155105077895098E-3</v>
      </c>
      <c r="Y11" s="251">
        <v>0.14412</v>
      </c>
      <c r="Z11" s="248">
        <v>0.14402719218167298</v>
      </c>
      <c r="AA11" s="249">
        <v>0.14402720011890394</v>
      </c>
      <c r="AB11" s="250">
        <v>0.14402720805613486</v>
      </c>
      <c r="AC11" s="251">
        <v>8.5303541040031208E-4</v>
      </c>
      <c r="AD11" s="251">
        <v>5.9331626061296999E-4</v>
      </c>
      <c r="AE11" s="251">
        <v>3.1754954793370227E-3</v>
      </c>
      <c r="AF11" s="251">
        <v>1.5499999999999999E-3</v>
      </c>
    </row>
    <row r="12" spans="1:32">
      <c r="B12" s="239" t="s">
        <v>1329</v>
      </c>
      <c r="E12" s="247">
        <v>5.6133497945110508E-2</v>
      </c>
      <c r="F12" s="248">
        <v>4.9329508064737369E-2</v>
      </c>
      <c r="G12" s="249">
        <v>4.9330769390690143E-2</v>
      </c>
      <c r="H12" s="250">
        <v>4.9332030716642918E-2</v>
      </c>
      <c r="I12" s="251">
        <v>1.3283187944149702E-3</v>
      </c>
      <c r="J12" s="248">
        <v>1.3244036899817035E-3</v>
      </c>
      <c r="K12" s="249">
        <v>1.3255699100924497E-3</v>
      </c>
      <c r="L12" s="250">
        <v>1.3267361302031959E-3</v>
      </c>
      <c r="M12" s="247">
        <v>7.631130537000365E-3</v>
      </c>
      <c r="N12" s="249">
        <v>7.557496327409343E-3</v>
      </c>
      <c r="O12" s="249">
        <v>7.5575050190750514E-3</v>
      </c>
      <c r="P12" s="250">
        <v>7.5575137107407606E-3</v>
      </c>
      <c r="Q12" s="247">
        <v>5.1745432683725579E-3</v>
      </c>
      <c r="R12" s="248">
        <v>5.1171387739171251E-3</v>
      </c>
      <c r="S12" s="249">
        <v>5.117140534946947E-3</v>
      </c>
      <c r="T12" s="250">
        <v>5.117142295976769E-3</v>
      </c>
      <c r="U12" s="247">
        <v>6.2000706404331362E-4</v>
      </c>
      <c r="V12" s="249">
        <v>6.1617820177861855E-4</v>
      </c>
      <c r="W12" s="249">
        <v>6.1618341564511313E-4</v>
      </c>
      <c r="X12" s="250">
        <v>6.1618862951160782E-4</v>
      </c>
      <c r="Y12" s="247">
        <v>1.5500176601082842E-2</v>
      </c>
      <c r="Z12" s="248">
        <v>1.5500176281992146E-2</v>
      </c>
      <c r="AA12" s="249">
        <v>1.5500179741956617E-2</v>
      </c>
      <c r="AB12" s="250">
        <v>1.550018320192109E-2</v>
      </c>
      <c r="AC12" s="247">
        <v>1.8956342453340267E-4</v>
      </c>
      <c r="AD12" s="247">
        <v>8.060091832563077E-4</v>
      </c>
      <c r="AE12" s="247">
        <v>5.1745432683725579E-3</v>
      </c>
      <c r="AF12" s="247">
        <v>4.657088941535302E-4</v>
      </c>
    </row>
    <row r="13" spans="1:32">
      <c r="B13" s="239" t="s">
        <v>1330</v>
      </c>
      <c r="E13" s="247">
        <v>0.14655699999999999</v>
      </c>
      <c r="F13" s="248">
        <v>0.11228749636541419</v>
      </c>
      <c r="G13" s="249">
        <v>0.11229189101947823</v>
      </c>
      <c r="H13" s="250">
        <v>0.11229628567354226</v>
      </c>
      <c r="I13" s="251">
        <v>0.23453782493904479</v>
      </c>
      <c r="J13" s="248">
        <v>0.22961291322872918</v>
      </c>
      <c r="K13" s="249">
        <v>0.22965341967029845</v>
      </c>
      <c r="L13" s="250">
        <v>0.22969392611186776</v>
      </c>
      <c r="M13" s="247">
        <v>8.6282384772183324E-3</v>
      </c>
      <c r="N13" s="249">
        <v>8.4466689675362343E-3</v>
      </c>
      <c r="O13" s="249">
        <v>8.4506287632442698E-3</v>
      </c>
      <c r="P13" s="250">
        <v>8.454588558952307E-3</v>
      </c>
      <c r="Q13" s="247">
        <v>6.8061502914268553E-3</v>
      </c>
      <c r="R13" s="248">
        <v>6.7104745053531796E-3</v>
      </c>
      <c r="S13" s="249">
        <v>6.7104728921910696E-3</v>
      </c>
      <c r="T13" s="250">
        <v>6.7104712790289588E-3</v>
      </c>
      <c r="U13" s="247">
        <v>8.0422420984145419E-4</v>
      </c>
      <c r="V13" s="249">
        <v>7.6056508589740848E-4</v>
      </c>
      <c r="W13" s="249">
        <v>7.605659270076777E-4</v>
      </c>
      <c r="X13" s="250">
        <v>7.6056676811794713E-4</v>
      </c>
      <c r="Y13" s="247">
        <v>1.4361146604311679E-2</v>
      </c>
      <c r="Z13" s="248">
        <v>1.435980770507082E-2</v>
      </c>
      <c r="AA13" s="249">
        <v>1.4359808275210646E-2</v>
      </c>
      <c r="AB13" s="250">
        <v>1.435980884535047E-2</v>
      </c>
      <c r="AC13" s="247">
        <v>2.8400000000000001E-3</v>
      </c>
      <c r="AD13" s="247">
        <v>1.5222815400570383E-3</v>
      </c>
      <c r="AE13" s="247">
        <v>6.8061502914268553E-3</v>
      </c>
      <c r="AF13" s="247">
        <v>2.0418450874280566E-4</v>
      </c>
    </row>
    <row r="14" spans="1:32">
      <c r="B14" s="239" t="s">
        <v>1331</v>
      </c>
      <c r="E14" s="247">
        <v>9.181991513463271E-2</v>
      </c>
      <c r="F14" s="248">
        <v>9.0312036987961808E-2</v>
      </c>
      <c r="G14" s="249">
        <v>9.0312038303746345E-2</v>
      </c>
      <c r="H14" s="250">
        <v>9.0312039619530854E-2</v>
      </c>
      <c r="I14" s="251">
        <v>1.0748634369203279E-2</v>
      </c>
      <c r="J14" s="248">
        <v>1.0424785331394527E-2</v>
      </c>
      <c r="K14" s="249">
        <v>1.0448606132057501E-2</v>
      </c>
      <c r="L14" s="250">
        <v>1.0472426932720475E-2</v>
      </c>
      <c r="M14" s="247">
        <v>1.2012333965844403E-2</v>
      </c>
      <c r="N14" s="249">
        <v>9.3041091331023291E-3</v>
      </c>
      <c r="O14" s="249">
        <v>9.5089184101733969E-3</v>
      </c>
      <c r="P14" s="250">
        <v>9.7137276872444629E-3</v>
      </c>
      <c r="Q14" s="247">
        <v>6.0061669829222014E-3</v>
      </c>
      <c r="R14" s="248">
        <v>4.7865087609946892E-3</v>
      </c>
      <c r="S14" s="249">
        <v>4.8242388067072251E-3</v>
      </c>
      <c r="T14" s="250">
        <v>4.861968852419761E-3</v>
      </c>
      <c r="U14" s="247">
        <v>7.3090713710582322E-3</v>
      </c>
      <c r="V14" s="249">
        <v>7.021117519019052E-3</v>
      </c>
      <c r="W14" s="249">
        <v>7.0369416634066661E-3</v>
      </c>
      <c r="X14" s="250">
        <v>7.052765807794281E-3</v>
      </c>
      <c r="Y14" s="247">
        <v>0.26066378785449384</v>
      </c>
      <c r="Z14" s="248">
        <v>0.25768957952975152</v>
      </c>
      <c r="AA14" s="249">
        <v>0.25768958163907502</v>
      </c>
      <c r="AB14" s="250">
        <v>0.2576895837483984</v>
      </c>
      <c r="AC14" s="247">
        <v>8.8146992408032251E-3</v>
      </c>
      <c r="AD14" s="247">
        <v>5.223706228640288E-3</v>
      </c>
      <c r="AE14" s="247">
        <v>6.0061669829222016E-4</v>
      </c>
      <c r="AF14" s="247">
        <v>1.2012333965844403E-3</v>
      </c>
    </row>
    <row r="15" spans="1:32" ht="13.9" thickBot="1">
      <c r="B15" s="252" t="s">
        <v>1332</v>
      </c>
      <c r="C15" s="253"/>
      <c r="D15" s="253"/>
      <c r="E15" s="254">
        <v>8.9245831666226128E-2</v>
      </c>
      <c r="F15" s="255">
        <v>8.7350158194667016E-2</v>
      </c>
      <c r="G15" s="256">
        <v>8.7350196557319709E-2</v>
      </c>
      <c r="H15" s="257">
        <v>8.7350234919972403E-2</v>
      </c>
      <c r="I15" s="258">
        <v>5.611379807488712E-8</v>
      </c>
      <c r="J15" s="255">
        <v>5.6113649103431014E-8</v>
      </c>
      <c r="K15" s="256">
        <v>5.6113715917513104E-8</v>
      </c>
      <c r="L15" s="257">
        <v>5.6113782731595187E-8</v>
      </c>
      <c r="M15" s="254">
        <v>5.1895730538386899E-3</v>
      </c>
      <c r="N15" s="256">
        <v>5.1862464881320697E-3</v>
      </c>
      <c r="O15" s="256">
        <v>5.186346164493808E-3</v>
      </c>
      <c r="P15" s="257">
        <v>5.1864458408555462E-3</v>
      </c>
      <c r="Q15" s="254">
        <v>5.1898017894410602E-3</v>
      </c>
      <c r="R15" s="255">
        <v>5.1868659033482319E-3</v>
      </c>
      <c r="S15" s="256">
        <v>5.1869369555114257E-3</v>
      </c>
      <c r="T15" s="257">
        <v>5.1870080076746195E-3</v>
      </c>
      <c r="U15" s="254">
        <v>1.7931688804554079E-3</v>
      </c>
      <c r="V15" s="256">
        <v>1.7931639312171524E-3</v>
      </c>
      <c r="W15" s="256">
        <v>1.7931661197699541E-3</v>
      </c>
      <c r="X15" s="257">
        <v>1.7931683083227561E-3</v>
      </c>
      <c r="Y15" s="254">
        <v>1.504416846055676E-2</v>
      </c>
      <c r="Z15" s="255">
        <v>1.5044151886334867E-2</v>
      </c>
      <c r="AA15" s="256">
        <v>1.5044159460235606E-2</v>
      </c>
      <c r="AB15" s="257">
        <v>1.5044167034136345E-2</v>
      </c>
      <c r="AC15" s="254">
        <v>8.5303541040031208E-4</v>
      </c>
      <c r="AD15" s="254">
        <v>3.7912684906680535E-3</v>
      </c>
      <c r="AE15" s="254">
        <v>5.1898017894410602E-3</v>
      </c>
      <c r="AF15" s="254">
        <v>2.5949008947205301E-3</v>
      </c>
    </row>
    <row r="16" spans="1:32" ht="13.9" thickBot="1">
      <c r="E16" s="238"/>
      <c r="F16" s="239"/>
      <c r="H16" s="259"/>
      <c r="I16" s="238"/>
      <c r="J16" s="239"/>
      <c r="L16" s="259"/>
      <c r="M16" s="238"/>
      <c r="P16" s="259"/>
      <c r="Q16" s="238"/>
      <c r="R16" s="239"/>
      <c r="T16" s="259"/>
      <c r="U16" s="238"/>
      <c r="X16" s="259"/>
      <c r="Y16" s="238"/>
      <c r="Z16" s="239"/>
      <c r="AB16" s="259"/>
      <c r="AC16" s="238"/>
      <c r="AD16" s="238"/>
      <c r="AE16" s="238"/>
      <c r="AF16" s="238"/>
    </row>
    <row r="17" spans="1:32">
      <c r="A17" s="1" t="s">
        <v>1333</v>
      </c>
      <c r="B17" s="231" t="s">
        <v>774</v>
      </c>
      <c r="C17" s="232"/>
      <c r="D17" s="232"/>
      <c r="E17" s="230">
        <v>0.32190000000000002</v>
      </c>
      <c r="F17" s="242">
        <v>0.32190000000000002</v>
      </c>
      <c r="G17" s="243">
        <v>0.32190000000000002</v>
      </c>
      <c r="H17" s="244">
        <v>0.32190000000000002</v>
      </c>
      <c r="I17" s="230">
        <v>0.85683707544883503</v>
      </c>
      <c r="J17" s="242">
        <v>0.85683707544883503</v>
      </c>
      <c r="K17" s="243">
        <v>0.85683707544883503</v>
      </c>
      <c r="L17" s="244">
        <v>0.85683707544883503</v>
      </c>
      <c r="M17" s="230">
        <v>0.16470751432494865</v>
      </c>
      <c r="N17" s="243">
        <v>0.16470751432494865</v>
      </c>
      <c r="O17" s="243">
        <v>0.16470751432494865</v>
      </c>
      <c r="P17" s="244">
        <v>0.16470751432494865</v>
      </c>
      <c r="Q17" s="230">
        <v>6.3126274471974289E-2</v>
      </c>
      <c r="R17" s="242">
        <v>6.3126274471974289E-2</v>
      </c>
      <c r="S17" s="243">
        <v>6.3126274471974289E-2</v>
      </c>
      <c r="T17" s="244">
        <v>6.3126274471974289E-2</v>
      </c>
      <c r="U17" s="230">
        <v>1.364905951644861E-3</v>
      </c>
      <c r="V17" s="243">
        <v>1.364905951644861E-3</v>
      </c>
      <c r="W17" s="243">
        <v>1.364905951644861E-3</v>
      </c>
      <c r="X17" s="244">
        <v>1.364905951644861E-3</v>
      </c>
      <c r="Y17" s="230">
        <v>9.676042E-2</v>
      </c>
      <c r="Z17" s="242">
        <v>9.676042E-2</v>
      </c>
      <c r="AA17" s="243">
        <v>9.676042E-2</v>
      </c>
      <c r="AB17" s="244">
        <v>9.676042E-2</v>
      </c>
      <c r="AC17" s="260">
        <v>1.0425988349337145E-2</v>
      </c>
      <c r="AD17" s="260">
        <v>3.5897488120072507E-3</v>
      </c>
      <c r="AE17" s="230">
        <v>6.2986724482480355E-2</v>
      </c>
      <c r="AF17" s="241">
        <v>8.2064156813566585E-3</v>
      </c>
    </row>
    <row r="18" spans="1:32">
      <c r="B18" s="239" t="s">
        <v>637</v>
      </c>
      <c r="E18" s="1190">
        <v>5.8533343793407397E-2</v>
      </c>
      <c r="F18" s="262">
        <v>5.8533343793407397E-2</v>
      </c>
      <c r="G18" s="263">
        <v>5.8533343793407397E-2</v>
      </c>
      <c r="H18" s="264">
        <v>5.8533343793407397E-2</v>
      </c>
      <c r="I18" s="1190">
        <v>2.5069701152660712E-4</v>
      </c>
      <c r="J18" s="248">
        <v>2.5069701152660712E-4</v>
      </c>
      <c r="K18" s="249">
        <v>2.5069701152660712E-4</v>
      </c>
      <c r="L18" s="250">
        <v>2.5069701152660712E-4</v>
      </c>
      <c r="M18" s="1190">
        <v>3.1593927893738142E-3</v>
      </c>
      <c r="N18" s="249">
        <v>3.1593927893738142E-3</v>
      </c>
      <c r="O18" s="249">
        <v>3.1593927893738142E-3</v>
      </c>
      <c r="P18" s="250">
        <v>3.1593927893738142E-3</v>
      </c>
      <c r="Q18" s="1190">
        <v>3.1593927893738142E-3</v>
      </c>
      <c r="R18" s="248">
        <v>3.1593927893738142E-3</v>
      </c>
      <c r="S18" s="249">
        <v>3.1593927893738142E-3</v>
      </c>
      <c r="T18" s="250">
        <v>3.1593927893738142E-3</v>
      </c>
      <c r="U18" s="1190">
        <v>2.2144902684850289E-3</v>
      </c>
      <c r="V18" s="249">
        <v>2.2144902684850289E-3</v>
      </c>
      <c r="W18" s="249">
        <v>2.2144902684850289E-3</v>
      </c>
      <c r="X18" s="250">
        <v>2.2144902684850289E-3</v>
      </c>
      <c r="Y18" s="1190">
        <v>3.3169829222011393E-2</v>
      </c>
      <c r="Z18" s="248">
        <v>3.3169829222011393E-2</v>
      </c>
      <c r="AA18" s="249">
        <v>3.3169829222011393E-2</v>
      </c>
      <c r="AB18" s="250">
        <v>3.3169829222011393E-2</v>
      </c>
      <c r="AC18" s="1192">
        <v>8.5303541040031208E-4</v>
      </c>
      <c r="AD18" s="1192">
        <v>8.5303541040031208E-4</v>
      </c>
      <c r="AE18" s="1190">
        <v>1.8956356736242884E-4</v>
      </c>
      <c r="AF18" s="1189">
        <v>3.1593927893738144E-4</v>
      </c>
    </row>
    <row r="19" spans="1:32">
      <c r="B19" s="239" t="s">
        <v>1235</v>
      </c>
      <c r="E19" s="261">
        <v>6.2683779015463389E-2</v>
      </c>
      <c r="F19" s="262">
        <v>6.2683779015463389E-2</v>
      </c>
      <c r="G19" s="263">
        <v>6.2683779015463389E-2</v>
      </c>
      <c r="H19" s="264">
        <v>6.2683779015463389E-2</v>
      </c>
      <c r="I19" s="238">
        <v>1.3283187944149702E-3</v>
      </c>
      <c r="J19" s="248">
        <v>1.3283187944149702E-3</v>
      </c>
      <c r="K19" s="249">
        <v>1.3283187944149702E-3</v>
      </c>
      <c r="L19" s="250">
        <v>1.3283187944149702E-3</v>
      </c>
      <c r="M19" s="238">
        <v>4.389468690702087E-2</v>
      </c>
      <c r="N19" s="249">
        <v>4.389468690702087E-2</v>
      </c>
      <c r="O19" s="249">
        <v>4.389468690702087E-2</v>
      </c>
      <c r="P19" s="250">
        <v>4.389468690702087E-2</v>
      </c>
      <c r="Q19" s="238">
        <v>3.6053130929791274E-2</v>
      </c>
      <c r="R19" s="248">
        <v>3.6053130929791274E-2</v>
      </c>
      <c r="S19" s="249">
        <v>3.6053130929791274E-2</v>
      </c>
      <c r="T19" s="250">
        <v>3.6053130929791274E-2</v>
      </c>
      <c r="U19" s="238">
        <v>6.2E-4</v>
      </c>
      <c r="V19" s="249">
        <v>6.2E-4</v>
      </c>
      <c r="W19" s="249">
        <v>6.2E-4</v>
      </c>
      <c r="X19" s="250">
        <v>6.2E-4</v>
      </c>
      <c r="Y19" s="238">
        <v>1.546E-2</v>
      </c>
      <c r="Z19" s="248">
        <v>1.546E-2</v>
      </c>
      <c r="AA19" s="249">
        <v>1.546E-2</v>
      </c>
      <c r="AB19" s="250">
        <v>1.546E-2</v>
      </c>
      <c r="AC19" s="265">
        <v>1.8956342453340267E-4</v>
      </c>
      <c r="AD19" s="265">
        <v>3.7912684906680534E-4</v>
      </c>
      <c r="AE19" s="238">
        <v>1.3168406072106261E-2</v>
      </c>
      <c r="AF19" s="247">
        <v>1.0815939278937382E-3</v>
      </c>
    </row>
    <row r="20" spans="1:32">
      <c r="B20" s="239" t="s">
        <v>1330</v>
      </c>
      <c r="E20" s="238">
        <v>0.158</v>
      </c>
      <c r="F20" s="248">
        <v>0.158</v>
      </c>
      <c r="G20" s="249">
        <v>0.158</v>
      </c>
      <c r="H20" s="250">
        <v>0.158</v>
      </c>
      <c r="I20" s="1190">
        <v>0.23453782493904479</v>
      </c>
      <c r="J20" s="248">
        <v>0.23453782493904479</v>
      </c>
      <c r="K20" s="249">
        <v>0.23453782493904479</v>
      </c>
      <c r="L20" s="250">
        <v>0.23453782493904479</v>
      </c>
      <c r="M20" s="238">
        <v>4.7438330170777997E-2</v>
      </c>
      <c r="N20" s="249">
        <v>4.7438330170777997E-2</v>
      </c>
      <c r="O20" s="249">
        <v>4.7438330170777997E-2</v>
      </c>
      <c r="P20" s="250">
        <v>4.7438330170777997E-2</v>
      </c>
      <c r="Q20" s="238">
        <v>3.0834914611005702E-2</v>
      </c>
      <c r="R20" s="248">
        <v>3.0834914611005702E-2</v>
      </c>
      <c r="S20" s="249">
        <v>3.0834914611005702E-2</v>
      </c>
      <c r="T20" s="250">
        <v>3.0834914611005702E-2</v>
      </c>
      <c r="U20" s="238">
        <v>8.0000000000000004E-4</v>
      </c>
      <c r="V20" s="249">
        <v>8.0000000000000004E-4</v>
      </c>
      <c r="W20" s="249">
        <v>8.0000000000000004E-4</v>
      </c>
      <c r="X20" s="250">
        <v>8.0000000000000004E-4</v>
      </c>
      <c r="Y20" s="238">
        <v>1.436E-2</v>
      </c>
      <c r="Z20" s="248">
        <v>1.436E-2</v>
      </c>
      <c r="AA20" s="249">
        <v>1.436E-2</v>
      </c>
      <c r="AB20" s="250">
        <v>1.436E-2</v>
      </c>
      <c r="AC20" s="1192">
        <v>2.8400000000000001E-3</v>
      </c>
      <c r="AD20" s="1192">
        <v>2.8400000000000002E-4</v>
      </c>
      <c r="AE20" s="238">
        <v>3.7950664136622405E-3</v>
      </c>
      <c r="AF20" s="247">
        <v>1.5417457305502851E-2</v>
      </c>
    </row>
    <row r="21" spans="1:32">
      <c r="B21" s="239" t="s">
        <v>776</v>
      </c>
      <c r="E21" s="238">
        <v>9.181991513463271E-2</v>
      </c>
      <c r="F21" s="248">
        <v>9.181991513463271E-2</v>
      </c>
      <c r="G21" s="249">
        <v>9.181991513463271E-2</v>
      </c>
      <c r="H21" s="250">
        <v>9.181991513463271E-2</v>
      </c>
      <c r="I21" s="238">
        <v>1.0748634369203279E-2</v>
      </c>
      <c r="J21" s="248">
        <v>1.0748634369203279E-2</v>
      </c>
      <c r="K21" s="249">
        <v>1.0748634369203279E-2</v>
      </c>
      <c r="L21" s="250">
        <v>1.0748634369203279E-2</v>
      </c>
      <c r="M21" s="238">
        <v>1.2012333965844403E-2</v>
      </c>
      <c r="N21" s="249">
        <v>1.2012333965844403E-2</v>
      </c>
      <c r="O21" s="249">
        <v>1.2012333965844403E-2</v>
      </c>
      <c r="P21" s="250">
        <v>1.2012333965844403E-2</v>
      </c>
      <c r="Q21" s="238">
        <v>6.0061669829222014E-3</v>
      </c>
      <c r="R21" s="248">
        <v>6.0061669829222014E-3</v>
      </c>
      <c r="S21" s="249">
        <v>6.0061669829222014E-3</v>
      </c>
      <c r="T21" s="250">
        <v>6.0061669829222014E-3</v>
      </c>
      <c r="U21" s="238">
        <v>7.3090713710582322E-3</v>
      </c>
      <c r="V21" s="249">
        <v>7.3090713710582322E-3</v>
      </c>
      <c r="W21" s="249">
        <v>7.3090713710582322E-3</v>
      </c>
      <c r="X21" s="250">
        <v>7.3090713710582322E-3</v>
      </c>
      <c r="Y21" s="238">
        <v>0.26066378785449384</v>
      </c>
      <c r="Z21" s="248">
        <v>0.26066378785449384</v>
      </c>
      <c r="AA21" s="249">
        <v>0.26066378785449384</v>
      </c>
      <c r="AB21" s="250">
        <v>0.26066378785449384</v>
      </c>
      <c r="AC21" s="265">
        <v>8.8146992408032251E-3</v>
      </c>
      <c r="AD21" s="265">
        <v>5.5921210237353794E-3</v>
      </c>
      <c r="AE21" s="238">
        <v>6.0061669829222016E-4</v>
      </c>
      <c r="AF21" s="247">
        <v>3.9640702087286534E-3</v>
      </c>
    </row>
    <row r="22" spans="1:32" ht="13.9" thickBot="1">
      <c r="B22" s="252" t="s">
        <v>781</v>
      </c>
      <c r="C22" s="253"/>
      <c r="D22" s="253"/>
      <c r="E22" s="266">
        <v>6.59E-2</v>
      </c>
      <c r="F22" s="255">
        <v>6.59E-2</v>
      </c>
      <c r="G22" s="256">
        <v>6.59E-2</v>
      </c>
      <c r="H22" s="257">
        <v>6.59E-2</v>
      </c>
      <c r="I22" s="266">
        <v>5.611379807488712E-8</v>
      </c>
      <c r="J22" s="255">
        <v>5.611379807488712E-8</v>
      </c>
      <c r="K22" s="256">
        <v>5.611379807488712E-8</v>
      </c>
      <c r="L22" s="257">
        <v>5.611379807488712E-8</v>
      </c>
      <c r="M22" s="266">
        <v>5.2826647605961176E-3</v>
      </c>
      <c r="N22" s="256">
        <v>5.2826647605961176E-3</v>
      </c>
      <c r="O22" s="256">
        <v>5.2826647605961176E-3</v>
      </c>
      <c r="P22" s="257">
        <v>5.2826647605961176E-3</v>
      </c>
      <c r="Q22" s="266">
        <v>5.2826647605961176E-3</v>
      </c>
      <c r="R22" s="255">
        <v>5.2826647605961176E-3</v>
      </c>
      <c r="S22" s="256">
        <v>5.2826647605961176E-3</v>
      </c>
      <c r="T22" s="257">
        <v>5.2826647605961176E-3</v>
      </c>
      <c r="U22" s="266">
        <v>2.3500000000000001E-3</v>
      </c>
      <c r="V22" s="256">
        <v>2.3500000000000001E-3</v>
      </c>
      <c r="W22" s="256">
        <v>2.3500000000000001E-3</v>
      </c>
      <c r="X22" s="257">
        <v>2.3500000000000001E-3</v>
      </c>
      <c r="Y22" s="266">
        <v>8.94E-3</v>
      </c>
      <c r="Z22" s="255">
        <v>8.94E-3</v>
      </c>
      <c r="AA22" s="256">
        <v>8.94E-3</v>
      </c>
      <c r="AB22" s="257">
        <v>8.94E-3</v>
      </c>
      <c r="AC22" s="267">
        <v>8.5303541040031208E-4</v>
      </c>
      <c r="AD22" s="267">
        <v>3.7912684906680535E-3</v>
      </c>
      <c r="AE22" s="266">
        <v>1.846110056925996E-4</v>
      </c>
      <c r="AF22" s="254">
        <v>2.6413323802980588E-3</v>
      </c>
    </row>
    <row r="23" spans="1:32" ht="13.9" thickBot="1">
      <c r="E23" s="247"/>
      <c r="F23" s="248"/>
      <c r="G23" s="249"/>
      <c r="H23" s="250"/>
      <c r="I23" s="251"/>
      <c r="J23" s="248"/>
      <c r="K23" s="249"/>
      <c r="L23" s="250"/>
      <c r="M23" s="247"/>
      <c r="N23" s="249"/>
      <c r="O23" s="249"/>
      <c r="P23" s="250"/>
      <c r="Q23" s="247"/>
      <c r="R23" s="248"/>
      <c r="S23" s="249"/>
      <c r="T23" s="250"/>
      <c r="U23" s="247"/>
      <c r="V23" s="249"/>
      <c r="W23" s="249"/>
      <c r="X23" s="250"/>
      <c r="Y23" s="247"/>
      <c r="Z23" s="248"/>
      <c r="AA23" s="249"/>
      <c r="AB23" s="250"/>
      <c r="AC23" s="247"/>
      <c r="AD23" s="247"/>
      <c r="AE23" s="247"/>
      <c r="AF23" s="247"/>
    </row>
    <row r="24" spans="1:32">
      <c r="A24" s="1" t="s">
        <v>1334</v>
      </c>
      <c r="B24" s="231" t="s">
        <v>1327</v>
      </c>
      <c r="C24" s="232"/>
      <c r="D24" s="232"/>
      <c r="E24" s="241">
        <v>0.11</v>
      </c>
      <c r="F24" s="242">
        <v>0.11</v>
      </c>
      <c r="G24" s="243">
        <v>0.11</v>
      </c>
      <c r="H24" s="244">
        <v>0.11</v>
      </c>
      <c r="I24" s="241">
        <v>1.4450000000000001E-3</v>
      </c>
      <c r="J24" s="242">
        <v>1.4450000000000001E-3</v>
      </c>
      <c r="K24" s="243">
        <v>1.4450000000000001E-3</v>
      </c>
      <c r="L24" s="244">
        <v>1.4450000000000001E-3</v>
      </c>
      <c r="M24" s="241">
        <v>2.823E-3</v>
      </c>
      <c r="N24" s="243">
        <v>2.823E-3</v>
      </c>
      <c r="O24" s="243">
        <v>2.823E-3</v>
      </c>
      <c r="P24" s="244">
        <v>2.823E-3</v>
      </c>
      <c r="Q24" s="241">
        <v>2.823E-3</v>
      </c>
      <c r="R24" s="242">
        <v>2.823E-3</v>
      </c>
      <c r="S24" s="243">
        <v>2.823E-3</v>
      </c>
      <c r="T24" s="244">
        <v>2.823E-3</v>
      </c>
      <c r="U24" s="241">
        <v>8.9800000000000004E-4</v>
      </c>
      <c r="V24" s="243">
        <v>8.9800000000000004E-4</v>
      </c>
      <c r="W24" s="243">
        <v>8.9800000000000004E-4</v>
      </c>
      <c r="X24" s="244">
        <v>8.9800000000000004E-4</v>
      </c>
      <c r="Y24" s="241">
        <v>3.5068000000000002E-2</v>
      </c>
      <c r="Z24" s="242">
        <v>3.5068000000000002E-2</v>
      </c>
      <c r="AA24" s="243">
        <v>3.5068000000000002E-2</v>
      </c>
      <c r="AB24" s="244">
        <v>3.5068000000000002E-2</v>
      </c>
      <c r="AC24" s="241">
        <v>3.6949000000000003E-2</v>
      </c>
      <c r="AD24" s="241">
        <v>8.5303541040031208E-4</v>
      </c>
      <c r="AE24" s="241">
        <v>1.1385199240986714E-4</v>
      </c>
      <c r="AF24" s="241">
        <v>1.4115E-3</v>
      </c>
    </row>
    <row r="25" spans="1:32">
      <c r="B25" s="239" t="s">
        <v>1328</v>
      </c>
      <c r="E25" s="247">
        <v>0.11</v>
      </c>
      <c r="F25" s="248">
        <v>9.1114964867988493E-2</v>
      </c>
      <c r="G25" s="249">
        <v>9.1348685378977681E-2</v>
      </c>
      <c r="H25" s="250">
        <v>9.158240588996687E-2</v>
      </c>
      <c r="I25" s="247">
        <v>1.4450000000000001E-3</v>
      </c>
      <c r="J25" s="248">
        <v>1.4379312519830296E-3</v>
      </c>
      <c r="K25" s="249">
        <v>1.441309479281717E-3</v>
      </c>
      <c r="L25" s="250">
        <v>1.4446877065804045E-3</v>
      </c>
      <c r="M25" s="247">
        <v>2.823E-3</v>
      </c>
      <c r="N25" s="249">
        <v>2.819047851450149E-3</v>
      </c>
      <c r="O25" s="249">
        <v>2.8190459040084333E-3</v>
      </c>
      <c r="P25" s="250">
        <v>2.8190439565667176E-3</v>
      </c>
      <c r="Q25" s="247">
        <v>2.823E-3</v>
      </c>
      <c r="R25" s="248">
        <v>2.8186454039714555E-3</v>
      </c>
      <c r="S25" s="249">
        <v>2.8186423651840003E-3</v>
      </c>
      <c r="T25" s="250">
        <v>2.8186393263965456E-3</v>
      </c>
      <c r="U25" s="247">
        <v>8.9800000000000004E-4</v>
      </c>
      <c r="V25" s="249">
        <v>7.5624650048990898E-4</v>
      </c>
      <c r="W25" s="249">
        <v>7.5802170164694465E-4</v>
      </c>
      <c r="X25" s="250">
        <v>7.5979690280398031E-4</v>
      </c>
      <c r="Y25" s="247">
        <v>3.5068000000000002E-2</v>
      </c>
      <c r="Z25" s="248">
        <v>3.4333410839120462E-2</v>
      </c>
      <c r="AA25" s="249">
        <v>3.4333409386841471E-2</v>
      </c>
      <c r="AB25" s="250">
        <v>3.4333407934562479E-2</v>
      </c>
      <c r="AC25" s="247">
        <v>3.6949000000000003E-2</v>
      </c>
      <c r="AD25" s="247">
        <v>8.5303541040031208E-4</v>
      </c>
      <c r="AE25" s="247">
        <v>1.1385199240986714E-4</v>
      </c>
      <c r="AF25" s="247">
        <v>1.4115E-3</v>
      </c>
    </row>
    <row r="26" spans="1:32">
      <c r="B26" s="239" t="s">
        <v>1335</v>
      </c>
      <c r="E26" s="247">
        <v>0.11</v>
      </c>
      <c r="F26" s="248">
        <v>0.11</v>
      </c>
      <c r="G26" s="249">
        <v>0.11</v>
      </c>
      <c r="H26" s="250">
        <v>0.11</v>
      </c>
      <c r="I26" s="247">
        <v>1.4450000000000001E-3</v>
      </c>
      <c r="J26" s="248">
        <v>1.4450000000000001E-3</v>
      </c>
      <c r="K26" s="249">
        <v>1.4450000000000001E-3</v>
      </c>
      <c r="L26" s="250">
        <v>1.4450000000000001E-3</v>
      </c>
      <c r="M26" s="247">
        <v>2.823E-3</v>
      </c>
      <c r="N26" s="249">
        <v>2.823E-3</v>
      </c>
      <c r="O26" s="249">
        <v>2.823E-3</v>
      </c>
      <c r="P26" s="250">
        <v>2.823E-3</v>
      </c>
      <c r="Q26" s="247">
        <v>2.823E-3</v>
      </c>
      <c r="R26" s="248">
        <v>2.823E-3</v>
      </c>
      <c r="S26" s="249">
        <v>2.823E-3</v>
      </c>
      <c r="T26" s="250">
        <v>2.823E-3</v>
      </c>
      <c r="U26" s="247">
        <v>8.9800000000000004E-4</v>
      </c>
      <c r="V26" s="249">
        <v>8.9800000000000004E-4</v>
      </c>
      <c r="W26" s="249">
        <v>8.9800000000000004E-4</v>
      </c>
      <c r="X26" s="250">
        <v>8.9800000000000004E-4</v>
      </c>
      <c r="Y26" s="247">
        <v>3.5068000000000002E-2</v>
      </c>
      <c r="Z26" s="248">
        <v>3.5068000000000002E-2</v>
      </c>
      <c r="AA26" s="249">
        <v>3.5068000000000002E-2</v>
      </c>
      <c r="AB26" s="250">
        <v>3.5068000000000002E-2</v>
      </c>
      <c r="AC26" s="247">
        <v>3.6949000000000003E-2</v>
      </c>
      <c r="AD26" s="247">
        <v>8.5303541040031208E-4</v>
      </c>
      <c r="AE26" s="247">
        <v>1.1385199240986714E-4</v>
      </c>
      <c r="AF26" s="247">
        <v>1.4115E-3</v>
      </c>
    </row>
    <row r="27" spans="1:32">
      <c r="B27" s="239" t="s">
        <v>1329</v>
      </c>
      <c r="E27" s="247">
        <v>0.12491461100569258</v>
      </c>
      <c r="F27" s="262">
        <v>0.103052</v>
      </c>
      <c r="G27" s="263">
        <v>0.103052</v>
      </c>
      <c r="H27" s="264">
        <v>0.103052</v>
      </c>
      <c r="I27" s="247">
        <v>1.4113000000000001E-2</v>
      </c>
      <c r="J27" s="248">
        <v>1.4113000000000001E-2</v>
      </c>
      <c r="K27" s="249">
        <v>1.4113000000000001E-2</v>
      </c>
      <c r="L27" s="250">
        <v>1.4113000000000001E-2</v>
      </c>
      <c r="M27" s="247">
        <v>1.6118595825426948E-2</v>
      </c>
      <c r="N27" s="249">
        <v>1.6118595825426948E-2</v>
      </c>
      <c r="O27" s="249">
        <v>1.6118595825426948E-2</v>
      </c>
      <c r="P27" s="250">
        <v>1.6118595825426948E-2</v>
      </c>
      <c r="Q27" s="247">
        <v>1.2903225806451615E-2</v>
      </c>
      <c r="R27" s="248">
        <v>1.2903225806451615E-2</v>
      </c>
      <c r="S27" s="249">
        <v>1.2903225806451615E-2</v>
      </c>
      <c r="T27" s="250">
        <v>1.2903225806451615E-2</v>
      </c>
      <c r="U27" s="247">
        <v>1.2666034155597724E-3</v>
      </c>
      <c r="V27" s="249">
        <v>1.2666034155597724E-3</v>
      </c>
      <c r="W27" s="249">
        <v>1.2666034155597724E-3</v>
      </c>
      <c r="X27" s="250">
        <v>1.2666034155597724E-3</v>
      </c>
      <c r="Y27" s="247">
        <v>8.2675521821631882E-3</v>
      </c>
      <c r="Z27" s="248">
        <v>8.2675521821631882E-3</v>
      </c>
      <c r="AA27" s="249">
        <v>8.2675521821631882E-3</v>
      </c>
      <c r="AB27" s="250">
        <v>8.2675521821631882E-3</v>
      </c>
      <c r="AC27" s="247">
        <v>1.8956342453340267E-4</v>
      </c>
      <c r="AD27" s="247">
        <v>3.7912684906680534E-4</v>
      </c>
      <c r="AE27" s="247">
        <v>4.8355787476280845E-3</v>
      </c>
      <c r="AF27" s="247">
        <v>1.1612903225806453E-3</v>
      </c>
    </row>
    <row r="28" spans="1:32">
      <c r="B28" s="239" t="s">
        <v>1331</v>
      </c>
      <c r="E28" s="247">
        <v>9.181991513463271E-2</v>
      </c>
      <c r="F28" s="248">
        <v>9.181991513463271E-2</v>
      </c>
      <c r="G28" s="249">
        <v>9.181991513463271E-2</v>
      </c>
      <c r="H28" s="250">
        <v>9.181991513463271E-2</v>
      </c>
      <c r="I28" s="247">
        <v>1.0748634369203279E-2</v>
      </c>
      <c r="J28" s="248">
        <v>1.0748634369203279E-2</v>
      </c>
      <c r="K28" s="249">
        <v>1.0748634369203279E-2</v>
      </c>
      <c r="L28" s="250">
        <v>1.0748634369203279E-2</v>
      </c>
      <c r="M28" s="247">
        <v>1.2012333965844403E-2</v>
      </c>
      <c r="N28" s="249">
        <v>1.2012333965844403E-2</v>
      </c>
      <c r="O28" s="249">
        <v>1.2012333965844403E-2</v>
      </c>
      <c r="P28" s="250">
        <v>1.2012333965844403E-2</v>
      </c>
      <c r="Q28" s="247">
        <v>6.0061669829222014E-3</v>
      </c>
      <c r="R28" s="248">
        <v>6.0061669829222014E-3</v>
      </c>
      <c r="S28" s="249">
        <v>6.0061669829222014E-3</v>
      </c>
      <c r="T28" s="250">
        <v>6.0061669829222014E-3</v>
      </c>
      <c r="U28" s="247">
        <v>7.3090713710582322E-3</v>
      </c>
      <c r="V28" s="249">
        <v>7.3090713710582322E-3</v>
      </c>
      <c r="W28" s="249">
        <v>7.3090713710582322E-3</v>
      </c>
      <c r="X28" s="250">
        <v>7.3090713710582322E-3</v>
      </c>
      <c r="Y28" s="247">
        <v>0.26066378785449384</v>
      </c>
      <c r="Z28" s="248">
        <v>0.26066378785449384</v>
      </c>
      <c r="AA28" s="249">
        <v>0.26066378785449384</v>
      </c>
      <c r="AB28" s="250">
        <v>0.26066378785449384</v>
      </c>
      <c r="AC28" s="247">
        <v>8.8146992408032251E-3</v>
      </c>
      <c r="AD28" s="247">
        <v>5.5921210237353794E-3</v>
      </c>
      <c r="AE28" s="247">
        <v>6.0061669829222016E-4</v>
      </c>
      <c r="AF28" s="247">
        <v>1.2012333965844403E-3</v>
      </c>
    </row>
    <row r="29" spans="1:32" ht="13.9" thickBot="1">
      <c r="B29" s="252" t="s">
        <v>1332</v>
      </c>
      <c r="C29" s="253"/>
      <c r="D29" s="253"/>
      <c r="E29" s="254">
        <v>1.4231499051233396</v>
      </c>
      <c r="F29" s="255">
        <v>1.4231499051233396</v>
      </c>
      <c r="G29" s="256">
        <v>1.4231499051233396</v>
      </c>
      <c r="H29" s="257">
        <v>1.4231499051233396</v>
      </c>
      <c r="I29" s="254">
        <v>5.611379807488712E-8</v>
      </c>
      <c r="J29" s="255">
        <v>5.611379807488712E-8</v>
      </c>
      <c r="K29" s="256">
        <v>5.611379807488712E-8</v>
      </c>
      <c r="L29" s="257">
        <v>5.611379807488712E-8</v>
      </c>
      <c r="M29" s="254">
        <v>6.1005692599620503E-3</v>
      </c>
      <c r="N29" s="256">
        <v>6.1005692599620503E-3</v>
      </c>
      <c r="O29" s="256">
        <v>6.1005692599620503E-3</v>
      </c>
      <c r="P29" s="257">
        <v>6.1005692599620503E-3</v>
      </c>
      <c r="Q29" s="254">
        <v>6.1005692599620503E-3</v>
      </c>
      <c r="R29" s="255">
        <v>6.1005692599620503E-3</v>
      </c>
      <c r="S29" s="256">
        <v>6.1005692599620503E-3</v>
      </c>
      <c r="T29" s="257">
        <v>6.1005692599620503E-3</v>
      </c>
      <c r="U29" s="254">
        <v>4.4174573055028463E-2</v>
      </c>
      <c r="V29" s="256">
        <v>4.4174573055028463E-2</v>
      </c>
      <c r="W29" s="256">
        <v>4.4174573055028463E-2</v>
      </c>
      <c r="X29" s="257">
        <v>4.4174573055028463E-2</v>
      </c>
      <c r="Y29" s="254">
        <v>0.32490037950664141</v>
      </c>
      <c r="Z29" s="255">
        <v>0.32490037950664141</v>
      </c>
      <c r="AA29" s="256">
        <v>0.32490037950664141</v>
      </c>
      <c r="AB29" s="257">
        <v>0.32490037950664141</v>
      </c>
      <c r="AC29" s="254">
        <v>8.5303541040031208E-4</v>
      </c>
      <c r="AD29" s="254">
        <v>3.7912684906680535E-3</v>
      </c>
      <c r="AE29" s="254">
        <v>3.6603415559772296E-4</v>
      </c>
      <c r="AF29" s="254">
        <v>3.0502846299810251E-3</v>
      </c>
    </row>
    <row r="30" spans="1:32" ht="13.9" thickBot="1">
      <c r="E30" s="247"/>
      <c r="F30" s="248"/>
      <c r="G30" s="249"/>
      <c r="H30" s="250"/>
      <c r="I30" s="251"/>
      <c r="J30" s="248"/>
      <c r="K30" s="249"/>
      <c r="L30" s="250"/>
      <c r="M30" s="247"/>
      <c r="N30" s="249"/>
      <c r="O30" s="249"/>
      <c r="P30" s="250"/>
      <c r="Q30" s="247"/>
      <c r="R30" s="248"/>
      <c r="S30" s="249"/>
      <c r="T30" s="250"/>
      <c r="U30" s="247"/>
      <c r="V30" s="249"/>
      <c r="W30" s="249"/>
      <c r="X30" s="250"/>
      <c r="Y30" s="247"/>
      <c r="Z30" s="248"/>
      <c r="AA30" s="249"/>
      <c r="AB30" s="250"/>
      <c r="AC30" s="247"/>
      <c r="AD30" s="247"/>
      <c r="AE30" s="247"/>
      <c r="AF30" s="247"/>
    </row>
    <row r="31" spans="1:32">
      <c r="A31" s="1" t="s">
        <v>1336</v>
      </c>
      <c r="B31" s="231" t="s">
        <v>774</v>
      </c>
      <c r="C31" s="232"/>
      <c r="D31" s="232"/>
      <c r="E31" s="241">
        <v>0.73089999999999999</v>
      </c>
      <c r="F31" s="242">
        <v>0.73089999999999999</v>
      </c>
      <c r="G31" s="243">
        <v>0.73089999999999999</v>
      </c>
      <c r="H31" s="244">
        <v>0.73089999999999999</v>
      </c>
      <c r="I31" s="268">
        <v>0.85683707544883503</v>
      </c>
      <c r="J31" s="242">
        <v>0.85683707544883503</v>
      </c>
      <c r="K31" s="243">
        <v>0.85683707544883503</v>
      </c>
      <c r="L31" s="244">
        <v>0.85683707544883503</v>
      </c>
      <c r="M31" s="241">
        <v>0.16470751432494865</v>
      </c>
      <c r="N31" s="243">
        <v>0.16470751432494865</v>
      </c>
      <c r="O31" s="243">
        <v>0.16470751432494865</v>
      </c>
      <c r="P31" s="244">
        <v>0.16470751432494865</v>
      </c>
      <c r="Q31" s="241">
        <v>6.3126274471974289E-2</v>
      </c>
      <c r="R31" s="242">
        <v>6.3126274471974289E-2</v>
      </c>
      <c r="S31" s="243">
        <v>6.3126274471974289E-2</v>
      </c>
      <c r="T31" s="244">
        <v>6.3126274471974289E-2</v>
      </c>
      <c r="U31" s="241">
        <v>1.08E-3</v>
      </c>
      <c r="V31" s="243">
        <v>1.08E-3</v>
      </c>
      <c r="W31" s="243">
        <v>1.08E-3</v>
      </c>
      <c r="X31" s="244">
        <v>1.08E-3</v>
      </c>
      <c r="Y31" s="241">
        <v>1.29E-2</v>
      </c>
      <c r="Z31" s="242">
        <v>1.29E-2</v>
      </c>
      <c r="AA31" s="243">
        <v>1.29E-2</v>
      </c>
      <c r="AB31" s="244">
        <v>1.29E-2</v>
      </c>
      <c r="AC31" s="241">
        <v>1.0425988349337145E-2</v>
      </c>
      <c r="AD31" s="241">
        <v>1.5165073962672213E-3</v>
      </c>
      <c r="AE31" s="241">
        <v>6.2986724482480355E-2</v>
      </c>
      <c r="AF31" s="241">
        <v>3.1563137235987148E-3</v>
      </c>
    </row>
    <row r="32" spans="1:32">
      <c r="B32" s="239" t="s">
        <v>1337</v>
      </c>
      <c r="E32" s="269">
        <v>1.4231499051233396</v>
      </c>
      <c r="F32" s="262">
        <v>0.36457911277036603</v>
      </c>
      <c r="G32" s="263">
        <v>0.36457911277036603</v>
      </c>
      <c r="H32" s="264">
        <v>0.36457911277036603</v>
      </c>
      <c r="I32" s="251">
        <v>2.5069701152660712E-4</v>
      </c>
      <c r="J32" s="248">
        <v>2.5069701152660712E-4</v>
      </c>
      <c r="K32" s="249">
        <v>2.5069701152660712E-4</v>
      </c>
      <c r="L32" s="250">
        <v>2.5069701152660712E-4</v>
      </c>
      <c r="M32" s="247">
        <v>6.1005692599620494E-3</v>
      </c>
      <c r="N32" s="249">
        <v>6.1005692599620494E-3</v>
      </c>
      <c r="O32" s="249">
        <v>6.1005692599620494E-3</v>
      </c>
      <c r="P32" s="250">
        <v>6.1005692599620494E-3</v>
      </c>
      <c r="Q32" s="247">
        <v>6.1005692599620494E-3</v>
      </c>
      <c r="R32" s="248">
        <v>6.1005692599620494E-3</v>
      </c>
      <c r="S32" s="249">
        <v>6.1005692599620494E-3</v>
      </c>
      <c r="T32" s="250">
        <v>6.1005692599620494E-3</v>
      </c>
      <c r="U32" s="247">
        <v>4.4174573055028456E-2</v>
      </c>
      <c r="V32" s="249">
        <v>4.4174573055028456E-2</v>
      </c>
      <c r="W32" s="249">
        <v>4.4174573055028456E-2</v>
      </c>
      <c r="X32" s="250">
        <v>4.4174573055028456E-2</v>
      </c>
      <c r="Y32" s="247">
        <v>0.63985294117647051</v>
      </c>
      <c r="Z32" s="248">
        <v>0.63985294117647051</v>
      </c>
      <c r="AA32" s="249">
        <v>0.63985294117647051</v>
      </c>
      <c r="AB32" s="250">
        <v>0.63985294117647051</v>
      </c>
      <c r="AC32" s="247">
        <v>8.5303541040031208E-4</v>
      </c>
      <c r="AD32" s="247">
        <v>8.5303541040031208E-4</v>
      </c>
      <c r="AE32" s="247">
        <v>3.6603415559772302E-4</v>
      </c>
      <c r="AF32" s="247">
        <v>3.0502846299810247E-3</v>
      </c>
    </row>
    <row r="33" spans="1:32">
      <c r="B33" s="239" t="s">
        <v>1235</v>
      </c>
      <c r="E33" s="269">
        <v>1.8930501262669945</v>
      </c>
      <c r="F33" s="262">
        <v>1.8930501262669945</v>
      </c>
      <c r="G33" s="263">
        <v>1.8930501262669945</v>
      </c>
      <c r="H33" s="264">
        <v>1.8930501262669945</v>
      </c>
      <c r="I33" s="251">
        <v>0.15</v>
      </c>
      <c r="J33" s="248">
        <v>0.15</v>
      </c>
      <c r="K33" s="249">
        <v>0.15</v>
      </c>
      <c r="L33" s="250">
        <v>0.15</v>
      </c>
      <c r="M33" s="247">
        <v>8.4981024667931684E-2</v>
      </c>
      <c r="N33" s="1191">
        <v>8.4981024667931684E-2</v>
      </c>
      <c r="O33" s="249">
        <v>8.4981024667931684E-2</v>
      </c>
      <c r="P33" s="250">
        <v>8.4981024667931684E-2</v>
      </c>
      <c r="Q33" s="1189">
        <v>7.6482922201138531E-2</v>
      </c>
      <c r="R33" s="248">
        <v>7.6482922201138531E-2</v>
      </c>
      <c r="S33" s="249">
        <v>7.6482922201138531E-2</v>
      </c>
      <c r="T33" s="250">
        <v>7.6482922201138531E-2</v>
      </c>
      <c r="U33" s="1189">
        <v>9.3519924098671714E-2</v>
      </c>
      <c r="V33" s="249">
        <v>9.3519924098671714E-2</v>
      </c>
      <c r="W33" s="249">
        <v>9.3519924098671714E-2</v>
      </c>
      <c r="X33" s="250">
        <v>9.3519924098671714E-2</v>
      </c>
      <c r="Y33" s="247">
        <v>0.4</v>
      </c>
      <c r="Z33" s="248">
        <v>0.4</v>
      </c>
      <c r="AA33" s="249">
        <v>0.4</v>
      </c>
      <c r="AB33" s="250">
        <v>0.4</v>
      </c>
      <c r="AC33" s="247">
        <v>1.8956342453340267E-4</v>
      </c>
      <c r="AD33" s="247">
        <v>3.7912684906680534E-4</v>
      </c>
      <c r="AE33" s="1189">
        <v>2.5494307400379508E-2</v>
      </c>
      <c r="AF33" s="1189">
        <v>6.8834629981024678E-3</v>
      </c>
    </row>
    <row r="34" spans="1:32">
      <c r="B34" s="239" t="s">
        <v>1330</v>
      </c>
      <c r="E34" s="1189">
        <v>0.83858254269449717</v>
      </c>
      <c r="F34" s="248">
        <v>0.83858254269449717</v>
      </c>
      <c r="G34" s="249">
        <v>0.83858254269449717</v>
      </c>
      <c r="H34" s="250">
        <v>0.83858254269449717</v>
      </c>
      <c r="I34" s="247">
        <v>0.23453782493904479</v>
      </c>
      <c r="J34" s="248">
        <v>0.23453782493904479</v>
      </c>
      <c r="K34" s="249">
        <v>0.23453782493904479</v>
      </c>
      <c r="L34" s="250">
        <v>0.23453782493904479</v>
      </c>
      <c r="M34" s="247">
        <v>8.4981024667931684E-2</v>
      </c>
      <c r="N34" s="249">
        <v>8.4981024667931684E-2</v>
      </c>
      <c r="O34" s="249">
        <v>8.4981024667931684E-2</v>
      </c>
      <c r="P34" s="250">
        <v>8.4981024667931684E-2</v>
      </c>
      <c r="Q34" s="247">
        <v>7.6482922201138531E-2</v>
      </c>
      <c r="R34" s="248">
        <v>7.6482922201138531E-2</v>
      </c>
      <c r="S34" s="249">
        <v>7.6482922201138531E-2</v>
      </c>
      <c r="T34" s="250">
        <v>7.6482922201138531E-2</v>
      </c>
      <c r="U34" s="247">
        <v>9.3519924098671728E-2</v>
      </c>
      <c r="V34" s="249">
        <v>9.3519924098671728E-2</v>
      </c>
      <c r="W34" s="249">
        <v>9.3519924098671728E-2</v>
      </c>
      <c r="X34" s="250">
        <v>9.3519924098671728E-2</v>
      </c>
      <c r="Y34" s="1189">
        <v>0.34250094876660336</v>
      </c>
      <c r="Z34" s="248">
        <v>0.34250094876660336</v>
      </c>
      <c r="AA34" s="249">
        <v>0.34250094876660336</v>
      </c>
      <c r="AB34" s="250">
        <v>0.34250094876660336</v>
      </c>
      <c r="AC34" s="247">
        <v>2.8400000000000001E-3</v>
      </c>
      <c r="AD34" s="247">
        <v>2.8400000000000002E-4</v>
      </c>
      <c r="AE34" s="247">
        <v>2.5494307400379505E-2</v>
      </c>
      <c r="AF34" s="247">
        <v>2.2944876660341558E-3</v>
      </c>
    </row>
    <row r="35" spans="1:32">
      <c r="B35" s="239" t="s">
        <v>776</v>
      </c>
      <c r="E35" s="247">
        <v>9.181991513463271E-2</v>
      </c>
      <c r="F35" s="248">
        <v>9.181991513463271E-2</v>
      </c>
      <c r="G35" s="249">
        <v>9.181991513463271E-2</v>
      </c>
      <c r="H35" s="250">
        <v>9.181991513463271E-2</v>
      </c>
      <c r="I35" s="247">
        <v>1.0748634369203279E-2</v>
      </c>
      <c r="J35" s="248">
        <v>1.0748634369203279E-2</v>
      </c>
      <c r="K35" s="249">
        <v>1.0748634369203279E-2</v>
      </c>
      <c r="L35" s="250">
        <v>1.0748634369203279E-2</v>
      </c>
      <c r="M35" s="247">
        <v>1.2012333965844403E-2</v>
      </c>
      <c r="N35" s="249">
        <v>1.2012333965844403E-2</v>
      </c>
      <c r="O35" s="249">
        <v>1.2012333965844403E-2</v>
      </c>
      <c r="P35" s="250">
        <v>1.2012333965844403E-2</v>
      </c>
      <c r="Q35" s="247">
        <v>6.0061669829222014E-3</v>
      </c>
      <c r="R35" s="248">
        <v>6.0061669829222014E-3</v>
      </c>
      <c r="S35" s="249">
        <v>6.0061669829222014E-3</v>
      </c>
      <c r="T35" s="250">
        <v>6.0061669829222014E-3</v>
      </c>
      <c r="U35" s="247">
        <v>7.3090713710582322E-3</v>
      </c>
      <c r="V35" s="249">
        <v>7.3090713710582322E-3</v>
      </c>
      <c r="W35" s="249">
        <v>7.3090713710582322E-3</v>
      </c>
      <c r="X35" s="250">
        <v>7.3090713710582322E-3</v>
      </c>
      <c r="Y35" s="247">
        <v>0.26066378785449384</v>
      </c>
      <c r="Z35" s="248">
        <v>0.26066378785449384</v>
      </c>
      <c r="AA35" s="249">
        <v>0.26066378785449384</v>
      </c>
      <c r="AB35" s="250">
        <v>0.26066378785449384</v>
      </c>
      <c r="AC35" s="247">
        <v>8.8146992408032251E-3</v>
      </c>
      <c r="AD35" s="247">
        <v>5.5921210237353794E-3</v>
      </c>
      <c r="AE35" s="247">
        <v>6.0061669829222016E-4</v>
      </c>
      <c r="AF35" s="247">
        <v>1.2012333965844403E-3</v>
      </c>
    </row>
    <row r="36" spans="1:32" ht="13.9" thickBot="1">
      <c r="B36" s="252" t="s">
        <v>781</v>
      </c>
      <c r="C36" s="253"/>
      <c r="D36" s="253"/>
      <c r="E36" s="266">
        <v>1.4231499051233396</v>
      </c>
      <c r="F36" s="255">
        <v>1.4231499051233396</v>
      </c>
      <c r="G36" s="256">
        <v>1.4231499051233396</v>
      </c>
      <c r="H36" s="257">
        <v>1.4231499051233396</v>
      </c>
      <c r="I36" s="266">
        <v>5.611379807488712E-8</v>
      </c>
      <c r="J36" s="255">
        <v>5.611379807488712E-8</v>
      </c>
      <c r="K36" s="256">
        <v>5.611379807488712E-8</v>
      </c>
      <c r="L36" s="257">
        <v>5.611379807488712E-8</v>
      </c>
      <c r="M36" s="266">
        <v>6.1005692599620503E-3</v>
      </c>
      <c r="N36" s="256">
        <v>6.1005692599620503E-3</v>
      </c>
      <c r="O36" s="256">
        <v>6.1005692599620503E-3</v>
      </c>
      <c r="P36" s="257">
        <v>6.1005692599620503E-3</v>
      </c>
      <c r="Q36" s="266">
        <v>6.1005692599620503E-3</v>
      </c>
      <c r="R36" s="255">
        <v>6.1005692599620503E-3</v>
      </c>
      <c r="S36" s="256">
        <v>6.1005692599620503E-3</v>
      </c>
      <c r="T36" s="257">
        <v>6.1005692599620503E-3</v>
      </c>
      <c r="U36" s="266">
        <v>4.4174573055028463E-2</v>
      </c>
      <c r="V36" s="256">
        <v>4.4174573055028463E-2</v>
      </c>
      <c r="W36" s="256">
        <v>4.4174573055028463E-2</v>
      </c>
      <c r="X36" s="257">
        <v>4.4174573055028463E-2</v>
      </c>
      <c r="Y36" s="266">
        <v>0.32490037950664141</v>
      </c>
      <c r="Z36" s="255">
        <v>0.32490037950664141</v>
      </c>
      <c r="AA36" s="256">
        <v>0.32490037950664141</v>
      </c>
      <c r="AB36" s="257">
        <v>0.32490037950664141</v>
      </c>
      <c r="AC36" s="267">
        <v>8.5303541040031208E-4</v>
      </c>
      <c r="AD36" s="267">
        <v>3.7912684906680535E-3</v>
      </c>
      <c r="AE36" s="266">
        <v>3.6603415559772296E-4</v>
      </c>
      <c r="AF36" s="254">
        <v>3.0502846299810251E-3</v>
      </c>
    </row>
    <row r="37" spans="1:32" ht="13.9" thickBot="1">
      <c r="E37" s="238"/>
      <c r="F37" s="239"/>
      <c r="H37" s="259"/>
      <c r="I37" s="238"/>
      <c r="J37" s="239"/>
      <c r="L37" s="259"/>
      <c r="M37" s="238"/>
      <c r="P37" s="259"/>
      <c r="Q37" s="238"/>
      <c r="R37" s="239"/>
      <c r="T37" s="259"/>
      <c r="U37" s="238"/>
      <c r="X37" s="259"/>
      <c r="Y37" s="238"/>
      <c r="Z37" s="239"/>
      <c r="AB37" s="259"/>
      <c r="AC37" s="238"/>
      <c r="AD37" s="238"/>
      <c r="AE37" s="238"/>
      <c r="AF37" s="238"/>
    </row>
    <row r="38" spans="1:32">
      <c r="A38" s="1" t="s">
        <v>1338</v>
      </c>
      <c r="B38" s="231" t="s">
        <v>774</v>
      </c>
      <c r="C38" s="232"/>
      <c r="D38" s="232"/>
      <c r="E38" s="230">
        <v>0.1755218216318786</v>
      </c>
      <c r="F38" s="242">
        <v>0.1755218188938491</v>
      </c>
      <c r="G38" s="243">
        <v>0.17552180920716873</v>
      </c>
      <c r="H38" s="244">
        <v>0.17552179952048835</v>
      </c>
      <c r="I38" s="230">
        <v>0.85683707544883503</v>
      </c>
      <c r="J38" s="242">
        <v>0.17552182164579044</v>
      </c>
      <c r="K38" s="243">
        <v>0.17552182693434806</v>
      </c>
      <c r="L38" s="244">
        <v>0.17552183222290568</v>
      </c>
      <c r="M38" s="230">
        <v>0.16470751432494901</v>
      </c>
      <c r="N38" s="243">
        <v>0.17552195390093892</v>
      </c>
      <c r="O38" s="243">
        <v>0.17552188496367843</v>
      </c>
      <c r="P38" s="244">
        <v>0.17552181602641792</v>
      </c>
      <c r="Q38" s="230">
        <v>6.3126274471974303E-2</v>
      </c>
      <c r="R38" s="242">
        <v>0.17552328026819092</v>
      </c>
      <c r="S38" s="243">
        <v>0.17552285838817491</v>
      </c>
      <c r="T38" s="244">
        <v>0.17552243650815891</v>
      </c>
      <c r="U38" s="230">
        <v>1.364905951644861E-3</v>
      </c>
      <c r="V38" s="243">
        <v>0.17552992152530558</v>
      </c>
      <c r="W38" s="243">
        <v>0.17552438192153866</v>
      </c>
      <c r="X38" s="244">
        <v>0.17551884231777171</v>
      </c>
      <c r="Y38" s="230">
        <v>7.228178368121442E-2</v>
      </c>
      <c r="Z38" s="242">
        <v>0.17552174196514747</v>
      </c>
      <c r="AA38" s="243">
        <v>0.17552194355591252</v>
      </c>
      <c r="AB38" s="244">
        <v>0.17552214514667761</v>
      </c>
      <c r="AC38" s="260">
        <v>1.0425988349337145E-2</v>
      </c>
      <c r="AD38" s="260">
        <v>1.5165073962672213E-3</v>
      </c>
      <c r="AE38" s="230">
        <v>6.2986724482480355E-2</v>
      </c>
      <c r="AF38" s="241">
        <v>3.1563137235987151E-2</v>
      </c>
    </row>
    <row r="39" spans="1:32">
      <c r="B39" s="239" t="s">
        <v>637</v>
      </c>
      <c r="E39" s="238">
        <v>4.1782835254434512E-2</v>
      </c>
      <c r="F39" s="248">
        <v>4.1627634298412763E-2</v>
      </c>
      <c r="G39" s="249">
        <v>4.1627635764714704E-2</v>
      </c>
      <c r="H39" s="250">
        <v>4.1627637231016645E-2</v>
      </c>
      <c r="I39" s="238">
        <v>2.5069701152660712E-4</v>
      </c>
      <c r="J39" s="248">
        <v>4.1773357389214304E-2</v>
      </c>
      <c r="K39" s="249">
        <v>4.177620474963209E-2</v>
      </c>
      <c r="L39" s="250">
        <v>4.1779052110049883E-2</v>
      </c>
      <c r="M39" s="238">
        <v>3.6351066671358023E-3</v>
      </c>
      <c r="N39" s="249">
        <v>4.1759981594954657E-2</v>
      </c>
      <c r="O39" s="249">
        <v>4.1758167633396508E-2</v>
      </c>
      <c r="P39" s="250">
        <v>4.1756353671838366E-2</v>
      </c>
      <c r="Q39" s="238">
        <v>3.6351066671358023E-3</v>
      </c>
      <c r="R39" s="248">
        <v>4.1772151909247462E-2</v>
      </c>
      <c r="S39" s="249">
        <v>4.1770304121347149E-2</v>
      </c>
      <c r="T39" s="250">
        <v>4.1768456333446828E-2</v>
      </c>
      <c r="U39" s="238">
        <v>2.2144902684850289E-3</v>
      </c>
      <c r="V39" s="249">
        <v>4.177271937941044E-2</v>
      </c>
      <c r="W39" s="249">
        <v>4.1772803814676511E-2</v>
      </c>
      <c r="X39" s="250">
        <v>4.1772888249942582E-2</v>
      </c>
      <c r="Y39" s="238">
        <v>8.3565670508869011E-3</v>
      </c>
      <c r="Z39" s="248">
        <v>4.1782823362860308E-2</v>
      </c>
      <c r="AA39" s="249">
        <v>4.178283966414291E-2</v>
      </c>
      <c r="AB39" s="250">
        <v>4.1782855965425504E-2</v>
      </c>
      <c r="AC39" s="265">
        <v>8.5303541040031208E-4</v>
      </c>
      <c r="AD39" s="265">
        <v>8.5303541040031208E-4</v>
      </c>
      <c r="AE39" s="238">
        <v>3.6351066671358023E-3</v>
      </c>
      <c r="AF39" s="247">
        <v>7.6337240009851845E-4</v>
      </c>
    </row>
    <row r="40" spans="1:32">
      <c r="B40" s="239" t="s">
        <v>1235</v>
      </c>
      <c r="E40" s="238">
        <v>7.918690702087286E-2</v>
      </c>
      <c r="F40" s="248">
        <v>7.9164950855168267E-2</v>
      </c>
      <c r="G40" s="249">
        <v>7.9164973653628942E-2</v>
      </c>
      <c r="H40" s="250">
        <v>7.9164996452089631E-2</v>
      </c>
      <c r="I40" s="238">
        <v>1.3283187944149702E-3</v>
      </c>
      <c r="J40" s="248">
        <v>7.9187238398855331E-2</v>
      </c>
      <c r="K40" s="249">
        <v>7.9187146997695357E-2</v>
      </c>
      <c r="L40" s="250">
        <v>7.9187055596535355E-2</v>
      </c>
      <c r="M40" s="238">
        <v>1.1656132804014296E-2</v>
      </c>
      <c r="N40" s="249">
        <v>7.9185253871953909E-2</v>
      </c>
      <c r="O40" s="249">
        <v>7.9185755179667125E-2</v>
      </c>
      <c r="P40" s="250">
        <v>7.9186256487380341E-2</v>
      </c>
      <c r="Q40" s="238">
        <v>5.9365676382147278E-3</v>
      </c>
      <c r="R40" s="248">
        <v>7.9186165593100724E-2</v>
      </c>
      <c r="S40" s="249">
        <v>7.9186964323906039E-2</v>
      </c>
      <c r="T40" s="250">
        <v>7.9187763054711355E-2</v>
      </c>
      <c r="U40" s="238">
        <v>1.2210626185958254E-3</v>
      </c>
      <c r="V40" s="249">
        <v>7.9158161437611674E-2</v>
      </c>
      <c r="W40" s="249">
        <v>7.9179383258210792E-2</v>
      </c>
      <c r="X40" s="250">
        <v>7.920060507880991E-2</v>
      </c>
      <c r="Y40" s="238">
        <v>1.6312144212523721E-2</v>
      </c>
      <c r="Z40" s="248">
        <v>7.918732061375168E-2</v>
      </c>
      <c r="AA40" s="249">
        <v>7.9187412386842668E-2</v>
      </c>
      <c r="AB40" s="250">
        <v>7.9187504159933669E-2</v>
      </c>
      <c r="AC40" s="265">
        <v>1.8956342453340267E-4</v>
      </c>
      <c r="AD40" s="265">
        <v>3.7912684906680501E-4</v>
      </c>
      <c r="AE40" s="238">
        <v>5.9365676382147278E-3</v>
      </c>
      <c r="AF40" s="247">
        <v>2.9682838191073639E-3</v>
      </c>
    </row>
    <row r="41" spans="1:32">
      <c r="B41" s="239" t="s">
        <v>781</v>
      </c>
      <c r="E41" s="238">
        <v>9.3830635179327132E-2</v>
      </c>
      <c r="F41" s="248">
        <v>9.377825004005734E-2</v>
      </c>
      <c r="G41" s="249">
        <v>9.3778314260107146E-2</v>
      </c>
      <c r="H41" s="250">
        <v>9.3778378480156924E-2</v>
      </c>
      <c r="I41" s="238">
        <v>5.611379807488712E-8</v>
      </c>
      <c r="J41" s="248">
        <v>9.3829167085473619E-2</v>
      </c>
      <c r="K41" s="249">
        <v>9.3828636249767602E-2</v>
      </c>
      <c r="L41" s="250">
        <v>9.3828105414061572E-2</v>
      </c>
      <c r="M41" s="238">
        <v>5.2826647605961176E-3</v>
      </c>
      <c r="N41" s="249">
        <v>9.380891279135771E-2</v>
      </c>
      <c r="O41" s="249">
        <v>9.3811237769644062E-2</v>
      </c>
      <c r="P41" s="250">
        <v>9.3813562747930429E-2</v>
      </c>
      <c r="Q41" s="238">
        <v>5.2826647605961176E-3</v>
      </c>
      <c r="R41" s="248">
        <v>9.3796308412197882E-2</v>
      </c>
      <c r="S41" s="249">
        <v>9.3804719996650396E-2</v>
      </c>
      <c r="T41" s="250">
        <v>9.3813131581102896E-2</v>
      </c>
      <c r="U41" s="238">
        <v>1.7931688804554079E-3</v>
      </c>
      <c r="V41" s="249">
        <v>9.3792151221871831E-2</v>
      </c>
      <c r="W41" s="249">
        <v>9.3794298141383334E-2</v>
      </c>
      <c r="X41" s="250">
        <v>9.3796445060894851E-2</v>
      </c>
      <c r="Y41" s="238">
        <v>1.5951207980485615E-2</v>
      </c>
      <c r="Z41" s="248">
        <v>9.3825376469306263E-2</v>
      </c>
      <c r="AA41" s="249">
        <v>9.3828560252616211E-2</v>
      </c>
      <c r="AB41" s="250">
        <v>9.383174403592616E-2</v>
      </c>
      <c r="AC41" s="265">
        <v>8.5303541040031208E-4</v>
      </c>
      <c r="AD41" s="265">
        <v>3.7912684906680535E-3</v>
      </c>
      <c r="AE41" s="238">
        <v>5.2826647605961176E-3</v>
      </c>
      <c r="AF41" s="247">
        <v>2.6413323802980588E-4</v>
      </c>
    </row>
    <row r="42" spans="1:32">
      <c r="B42" s="239" t="s">
        <v>1330</v>
      </c>
      <c r="E42" s="238">
        <v>0.83858254269449717</v>
      </c>
      <c r="F42" s="248">
        <v>0.83858254269449717</v>
      </c>
      <c r="G42" s="249">
        <v>0.83858254269449717</v>
      </c>
      <c r="H42" s="250">
        <v>0.83858254269449717</v>
      </c>
      <c r="I42" s="238">
        <v>0.23453782493904479</v>
      </c>
      <c r="J42" s="248">
        <v>0.23453782493904479</v>
      </c>
      <c r="K42" s="249">
        <v>0.23453782493904479</v>
      </c>
      <c r="L42" s="250">
        <v>0.23453782493904479</v>
      </c>
      <c r="M42" s="238">
        <v>8.4981024667931684E-2</v>
      </c>
      <c r="N42" s="249">
        <v>8.4981024667931684E-2</v>
      </c>
      <c r="O42" s="249">
        <v>8.4981024667931684E-2</v>
      </c>
      <c r="P42" s="250">
        <v>8.4981024667931684E-2</v>
      </c>
      <c r="Q42" s="238">
        <v>7.6482922201138531E-2</v>
      </c>
      <c r="R42" s="248">
        <v>7.6482922201138531E-2</v>
      </c>
      <c r="S42" s="249">
        <v>7.6482922201138531E-2</v>
      </c>
      <c r="T42" s="250">
        <v>7.6482922201138531E-2</v>
      </c>
      <c r="U42" s="238">
        <v>9.3519924098671728E-2</v>
      </c>
      <c r="V42" s="249">
        <v>9.3519924098671728E-2</v>
      </c>
      <c r="W42" s="249">
        <v>9.3519924098671728E-2</v>
      </c>
      <c r="X42" s="250">
        <v>9.3519924098671728E-2</v>
      </c>
      <c r="Y42" s="238">
        <v>0.34250094876660336</v>
      </c>
      <c r="Z42" s="248">
        <v>0.34250094876660336</v>
      </c>
      <c r="AA42" s="249">
        <v>0.34250094876660336</v>
      </c>
      <c r="AB42" s="250">
        <v>0.34250094876660336</v>
      </c>
      <c r="AC42" s="265">
        <v>2.8400000000000001E-3</v>
      </c>
      <c r="AD42" s="265">
        <v>2.8400000000000002E-4</v>
      </c>
      <c r="AE42" s="238">
        <v>2.5494307400379505E-2</v>
      </c>
      <c r="AF42" s="247">
        <v>6.8834629981024678E-3</v>
      </c>
    </row>
    <row r="43" spans="1:32" ht="13.9" thickBot="1">
      <c r="B43" s="252" t="s">
        <v>776</v>
      </c>
      <c r="C43" s="253"/>
      <c r="D43" s="253"/>
      <c r="E43" s="266">
        <v>9.181991513463271E-2</v>
      </c>
      <c r="F43" s="255">
        <v>9.181991513463271E-2</v>
      </c>
      <c r="G43" s="256">
        <v>9.181991513463271E-2</v>
      </c>
      <c r="H43" s="257">
        <v>9.181991513463271E-2</v>
      </c>
      <c r="I43" s="266">
        <v>1.0748634369203279E-2</v>
      </c>
      <c r="J43" s="255">
        <v>1.0748634369203279E-2</v>
      </c>
      <c r="K43" s="256">
        <v>1.0748634369203279E-2</v>
      </c>
      <c r="L43" s="257">
        <v>1.0748634369203279E-2</v>
      </c>
      <c r="M43" s="266">
        <v>1.2012333965844403E-2</v>
      </c>
      <c r="N43" s="256">
        <v>1.2012333965844403E-2</v>
      </c>
      <c r="O43" s="256">
        <v>1.2012333965844403E-2</v>
      </c>
      <c r="P43" s="257">
        <v>1.2012333965844403E-2</v>
      </c>
      <c r="Q43" s="266">
        <v>6.0061669829222014E-3</v>
      </c>
      <c r="R43" s="255">
        <v>6.0061669829222014E-3</v>
      </c>
      <c r="S43" s="256">
        <v>6.0061669829222014E-3</v>
      </c>
      <c r="T43" s="257">
        <v>6.0061669829222014E-3</v>
      </c>
      <c r="U43" s="266">
        <v>7.3090713710582322E-3</v>
      </c>
      <c r="V43" s="256">
        <v>7.3090713710582322E-3</v>
      </c>
      <c r="W43" s="256">
        <v>7.3090713710582322E-3</v>
      </c>
      <c r="X43" s="257">
        <v>7.3090713710582322E-3</v>
      </c>
      <c r="Y43" s="266">
        <v>0.26066378785449384</v>
      </c>
      <c r="Z43" s="255">
        <v>0.26066378785449384</v>
      </c>
      <c r="AA43" s="256">
        <v>0.26066378785449384</v>
      </c>
      <c r="AB43" s="257">
        <v>0.26066378785449384</v>
      </c>
      <c r="AC43" s="267">
        <v>8.8146992408032251E-3</v>
      </c>
      <c r="AD43" s="267">
        <v>5.5921210237353794E-3</v>
      </c>
      <c r="AE43" s="266">
        <v>6.0061669829222016E-4</v>
      </c>
      <c r="AF43" s="254">
        <v>1.8018500948766605E-4</v>
      </c>
    </row>
    <row r="44" spans="1:32" ht="13.9" thickBot="1">
      <c r="E44" s="238"/>
      <c r="F44" s="239"/>
      <c r="H44" s="259"/>
      <c r="I44" s="238"/>
      <c r="J44" s="239"/>
      <c r="L44" s="259"/>
      <c r="M44" s="238"/>
      <c r="P44" s="259"/>
      <c r="Q44" s="238"/>
      <c r="R44" s="239"/>
      <c r="T44" s="259"/>
      <c r="U44" s="238"/>
      <c r="X44" s="259"/>
      <c r="Y44" s="238"/>
      <c r="Z44" s="239"/>
      <c r="AB44" s="259"/>
      <c r="AC44" s="238"/>
      <c r="AD44" s="238"/>
      <c r="AE44" s="238"/>
      <c r="AF44" s="238"/>
    </row>
    <row r="45" spans="1:32" ht="13.9" thickBot="1">
      <c r="A45" s="1" t="s">
        <v>909</v>
      </c>
      <c r="B45" s="270" t="s">
        <v>1339</v>
      </c>
      <c r="C45" s="271"/>
      <c r="D45" s="271"/>
      <c r="E45" s="272">
        <v>0.73089999999999999</v>
      </c>
      <c r="F45" s="273">
        <v>0.73089999999999999</v>
      </c>
      <c r="G45" s="274">
        <v>0.73089999999999999</v>
      </c>
      <c r="H45" s="275">
        <v>0.73089999999999999</v>
      </c>
      <c r="I45" s="272">
        <v>0.78230430481644975</v>
      </c>
      <c r="J45" s="273">
        <v>0.78230430481644975</v>
      </c>
      <c r="K45" s="274">
        <v>0.78230430481644975</v>
      </c>
      <c r="L45" s="275">
        <v>0.78230430481644975</v>
      </c>
      <c r="M45" s="272">
        <v>0.16470751432494901</v>
      </c>
      <c r="N45" s="274">
        <v>0.16470751432494901</v>
      </c>
      <c r="O45" s="274">
        <v>0.16470751432494901</v>
      </c>
      <c r="P45" s="275">
        <v>0.16470751432494901</v>
      </c>
      <c r="Q45" s="272">
        <v>6.3126274471974303E-2</v>
      </c>
      <c r="R45" s="273">
        <v>6.3126274471974303E-2</v>
      </c>
      <c r="S45" s="274">
        <v>6.3126274471974303E-2</v>
      </c>
      <c r="T45" s="275">
        <v>6.3126274471974303E-2</v>
      </c>
      <c r="U45" s="272">
        <v>1.08E-3</v>
      </c>
      <c r="V45" s="274">
        <v>1.08E-3</v>
      </c>
      <c r="W45" s="274">
        <v>1.08E-3</v>
      </c>
      <c r="X45" s="275">
        <v>1.08E-3</v>
      </c>
      <c r="Y45" s="272">
        <v>1.29E-2</v>
      </c>
      <c r="Z45" s="273">
        <v>1.29E-2</v>
      </c>
      <c r="AA45" s="274">
        <v>1.29E-2</v>
      </c>
      <c r="AB45" s="275">
        <v>1.29E-2</v>
      </c>
      <c r="AC45" s="276">
        <v>1.0425988349337145E-2</v>
      </c>
      <c r="AD45" s="276">
        <v>1.5165073962672213E-3</v>
      </c>
      <c r="AE45" s="272">
        <v>6.2986724482480355E-2</v>
      </c>
      <c r="AF45" s="277">
        <v>1.8937882341592291E-3</v>
      </c>
    </row>
    <row r="47" spans="1:32" ht="13.9">
      <c r="B47" t="s">
        <v>1340</v>
      </c>
      <c r="C47"/>
      <c r="D47"/>
      <c r="E47"/>
      <c r="F47"/>
      <c r="G47"/>
      <c r="H47"/>
      <c r="I47"/>
      <c r="J47"/>
      <c r="K47"/>
      <c r="L47"/>
      <c r="M47"/>
      <c r="N47"/>
      <c r="O47"/>
      <c r="P47"/>
      <c r="Q47"/>
      <c r="R47"/>
      <c r="S47"/>
      <c r="T47"/>
      <c r="U47"/>
      <c r="V47"/>
      <c r="W47"/>
      <c r="X47"/>
      <c r="Y47"/>
    </row>
    <row r="48" spans="1:32" ht="13.9">
      <c r="B48"/>
      <c r="C48"/>
      <c r="D48"/>
      <c r="E48"/>
      <c r="F48"/>
      <c r="G48"/>
      <c r="H48"/>
      <c r="I48"/>
      <c r="J48"/>
      <c r="K48"/>
      <c r="L48"/>
      <c r="M48"/>
      <c r="N48"/>
      <c r="O48"/>
      <c r="P48"/>
      <c r="Q48"/>
      <c r="R48"/>
      <c r="S48"/>
      <c r="T48"/>
      <c r="U48"/>
      <c r="V48"/>
      <c r="W48"/>
      <c r="X48"/>
      <c r="Y48"/>
    </row>
    <row r="49" spans="2:28" ht="13.9">
      <c r="B49" t="s">
        <v>1341</v>
      </c>
      <c r="C49" t="s">
        <v>1342</v>
      </c>
      <c r="D49" t="s">
        <v>722</v>
      </c>
      <c r="F49" t="s">
        <v>1343</v>
      </c>
      <c r="G49" t="s">
        <v>1344</v>
      </c>
      <c r="H49" t="s">
        <v>1345</v>
      </c>
      <c r="J49" t="s">
        <v>1346</v>
      </c>
      <c r="K49" t="s">
        <v>1347</v>
      </c>
      <c r="L49" t="s">
        <v>1348</v>
      </c>
      <c r="N49" t="s">
        <v>1349</v>
      </c>
      <c r="O49" t="s">
        <v>1350</v>
      </c>
      <c r="P49" t="s">
        <v>1351</v>
      </c>
      <c r="R49" t="s">
        <v>1352</v>
      </c>
      <c r="S49" t="s">
        <v>1353</v>
      </c>
      <c r="T49" t="s">
        <v>1354</v>
      </c>
      <c r="V49" t="s">
        <v>1355</v>
      </c>
      <c r="W49" t="s">
        <v>1356</v>
      </c>
      <c r="X49" t="s">
        <v>1357</v>
      </c>
      <c r="Z49" t="s">
        <v>1358</v>
      </c>
      <c r="AA49" t="s">
        <v>1359</v>
      </c>
      <c r="AB49" t="s">
        <v>1360</v>
      </c>
    </row>
    <row r="50" spans="2:28" ht="13.9">
      <c r="B50" t="s">
        <v>1326</v>
      </c>
      <c r="C50" t="s">
        <v>802</v>
      </c>
      <c r="D50" t="s">
        <v>774</v>
      </c>
      <c r="F50" s="278">
        <v>0.81657894900803296</v>
      </c>
      <c r="G50" s="278">
        <v>0.81730139718401495</v>
      </c>
      <c r="H50" s="278">
        <v>0.81802384535999695</v>
      </c>
      <c r="J50" s="278">
        <v>0.90936368203168605</v>
      </c>
      <c r="K50" s="278">
        <v>0.90968622972505753</v>
      </c>
      <c r="L50" s="278">
        <v>0.910008777418429</v>
      </c>
      <c r="N50" s="278">
        <v>0.664237880255511</v>
      </c>
      <c r="O50" s="278">
        <v>0.672829904718241</v>
      </c>
      <c r="P50" s="278">
        <v>0.681421929180971</v>
      </c>
      <c r="R50" s="278">
        <v>0.71952103568275805</v>
      </c>
      <c r="S50" s="278">
        <v>0.727474514918655</v>
      </c>
      <c r="T50" s="278">
        <v>0.73542799415455196</v>
      </c>
      <c r="V50" s="278">
        <v>0.966158642114755</v>
      </c>
      <c r="W50" s="278">
        <v>0.96631972934768706</v>
      </c>
      <c r="X50" s="278">
        <v>0.96648081658061902</v>
      </c>
      <c r="Z50" s="278">
        <v>0.99878932630727102</v>
      </c>
      <c r="AA50" s="278">
        <v>0.99878933642633749</v>
      </c>
      <c r="AB50" s="278">
        <v>0.99878934654540397</v>
      </c>
    </row>
    <row r="51" spans="2:28" ht="13.9">
      <c r="B51" t="s">
        <v>1326</v>
      </c>
      <c r="C51" t="s">
        <v>802</v>
      </c>
      <c r="D51" t="s">
        <v>637</v>
      </c>
      <c r="F51" s="278">
        <v>0.84808437210549503</v>
      </c>
      <c r="G51" s="278">
        <v>0.84867676865805353</v>
      </c>
      <c r="H51" s="278">
        <v>0.84926916521061202</v>
      </c>
      <c r="J51" s="278">
        <v>0.99619786038688996</v>
      </c>
      <c r="K51" s="278">
        <v>0.99620222945618142</v>
      </c>
      <c r="L51" s="278">
        <v>0.996206598525473</v>
      </c>
      <c r="N51" s="278">
        <v>0.98002111717302098</v>
      </c>
      <c r="O51" s="278">
        <v>0.98015071638382345</v>
      </c>
      <c r="P51" s="278">
        <v>0.98028031559462603</v>
      </c>
      <c r="R51" s="278">
        <v>0.99484919491547796</v>
      </c>
      <c r="S51" s="278">
        <v>0.99484899158985796</v>
      </c>
      <c r="T51" s="278">
        <v>0.99484878826423795</v>
      </c>
      <c r="V51" s="278">
        <v>0.96145909659815099</v>
      </c>
      <c r="W51" s="278">
        <v>0.96152739097850948</v>
      </c>
      <c r="X51" s="278">
        <v>0.96159568535886797</v>
      </c>
      <c r="Z51" s="278">
        <v>0.99935603789670402</v>
      </c>
      <c r="AA51" s="278">
        <v>0.99935609297046857</v>
      </c>
      <c r="AB51" s="278">
        <v>0.99935614804423301</v>
      </c>
    </row>
    <row r="52" spans="2:28" ht="13.9">
      <c r="B52" t="s">
        <v>1326</v>
      </c>
      <c r="C52" t="s">
        <v>802</v>
      </c>
      <c r="D52" t="s">
        <v>1361</v>
      </c>
      <c r="F52" s="278">
        <v>0.87878913430575201</v>
      </c>
      <c r="G52" s="278">
        <v>0.87881160441716399</v>
      </c>
      <c r="H52" s="278">
        <v>0.87883407452857598</v>
      </c>
      <c r="J52" s="278">
        <v>0.99705258673616004</v>
      </c>
      <c r="K52" s="278">
        <v>0.99793055376911144</v>
      </c>
      <c r="L52" s="278">
        <v>0.99880852080206295</v>
      </c>
      <c r="N52" s="278">
        <v>0.99035081247346002</v>
      </c>
      <c r="O52" s="278">
        <v>0.99035195144830346</v>
      </c>
      <c r="P52" s="278">
        <v>0.99035309042314701</v>
      </c>
      <c r="R52" s="278">
        <v>0.98890636497209405</v>
      </c>
      <c r="S52" s="278">
        <v>0.98890670529774805</v>
      </c>
      <c r="T52" s="278">
        <v>0.98890704562340204</v>
      </c>
      <c r="V52" s="278">
        <v>0.993824486063553</v>
      </c>
      <c r="W52" s="278">
        <v>0.993832895429828</v>
      </c>
      <c r="X52" s="278">
        <v>0.993841304796103</v>
      </c>
      <c r="Z52" s="278">
        <v>0.99999997941373797</v>
      </c>
      <c r="AA52" s="278">
        <v>1.000000202634709</v>
      </c>
      <c r="AB52" s="278">
        <v>1.0000004258556801</v>
      </c>
    </row>
    <row r="53" spans="2:28" ht="13.9">
      <c r="B53" t="s">
        <v>1326</v>
      </c>
      <c r="C53" t="s">
        <v>802</v>
      </c>
      <c r="D53" t="s">
        <v>1362</v>
      </c>
      <c r="F53" s="278">
        <v>0.76616945192255703</v>
      </c>
      <c r="G53" s="278">
        <v>0.76619943789432254</v>
      </c>
      <c r="H53" s="278">
        <v>0.76622942386608806</v>
      </c>
      <c r="J53" s="278">
        <v>0.97900163135052698</v>
      </c>
      <c r="K53" s="278">
        <v>0.97917433885124594</v>
      </c>
      <c r="L53" s="278">
        <v>0.97934704635196501</v>
      </c>
      <c r="N53" s="278">
        <v>0.97895636401781105</v>
      </c>
      <c r="O53" s="278">
        <v>0.97941529844787945</v>
      </c>
      <c r="P53" s="278">
        <v>0.97987423287794795</v>
      </c>
      <c r="R53" s="278">
        <v>0.98594274560845496</v>
      </c>
      <c r="S53" s="278">
        <v>0.98594250859310251</v>
      </c>
      <c r="T53" s="278">
        <v>0.98594227157775005</v>
      </c>
      <c r="V53" s="278">
        <v>0.94571274601065203</v>
      </c>
      <c r="W53" s="278">
        <v>0.94571379187604498</v>
      </c>
      <c r="X53" s="278">
        <v>0.94571483774143805</v>
      </c>
      <c r="Z53" s="278">
        <v>0.99990676933550304</v>
      </c>
      <c r="AA53" s="278">
        <v>0.99990680903566354</v>
      </c>
      <c r="AB53" s="278">
        <v>0.99990684873582403</v>
      </c>
    </row>
    <row r="54" spans="2:28" ht="13.9">
      <c r="B54" t="s">
        <v>1326</v>
      </c>
      <c r="C54" t="s">
        <v>802</v>
      </c>
      <c r="D54" t="s">
        <v>1363</v>
      </c>
      <c r="F54" s="278">
        <v>0.98357787475124603</v>
      </c>
      <c r="G54" s="278">
        <v>0.98357788908130206</v>
      </c>
      <c r="H54" s="278">
        <v>0.98357790341135798</v>
      </c>
      <c r="J54" s="278">
        <v>0.96987068061998305</v>
      </c>
      <c r="K54" s="278">
        <v>0.9720868505858371</v>
      </c>
      <c r="L54" s="278">
        <v>0.97430302055169105</v>
      </c>
      <c r="N54" s="278">
        <v>0.77454632543162905</v>
      </c>
      <c r="O54" s="278">
        <v>0.79159624076477053</v>
      </c>
      <c r="P54" s="278">
        <v>0.80864615609791202</v>
      </c>
      <c r="R54" s="278">
        <v>0.79693234880158004</v>
      </c>
      <c r="S54" s="278">
        <v>0.8032142330415315</v>
      </c>
      <c r="T54" s="278">
        <v>0.80949611728148296</v>
      </c>
      <c r="V54" s="278">
        <v>0.96060322338903503</v>
      </c>
      <c r="W54" s="278">
        <v>0.96276822405523099</v>
      </c>
      <c r="X54" s="278">
        <v>0.96493322472142695</v>
      </c>
      <c r="Z54" s="278">
        <v>0.98858986762517798</v>
      </c>
      <c r="AA54" s="278">
        <v>0.98858987571730106</v>
      </c>
      <c r="AB54" s="278">
        <v>0.98858988380942403</v>
      </c>
    </row>
    <row r="55" spans="2:28" ht="13.9">
      <c r="B55" t="s">
        <v>1326</v>
      </c>
      <c r="C55" t="s">
        <v>802</v>
      </c>
      <c r="D55" t="s">
        <v>781</v>
      </c>
      <c r="F55" s="278">
        <v>0.97875896906144799</v>
      </c>
      <c r="G55" s="278">
        <v>0.9787593989151675</v>
      </c>
      <c r="H55" s="278">
        <v>0.97875982876888701</v>
      </c>
      <c r="J55" s="278">
        <v>0.99999734519028805</v>
      </c>
      <c r="K55" s="278">
        <v>0.99999853587928755</v>
      </c>
      <c r="L55" s="278">
        <v>0.99999972656828695</v>
      </c>
      <c r="N55" s="278">
        <v>0.99935899048493804</v>
      </c>
      <c r="O55" s="278">
        <v>0.99937819752966095</v>
      </c>
      <c r="P55" s="278">
        <v>0.99939740457438397</v>
      </c>
      <c r="R55" s="278">
        <v>0.99943429706722098</v>
      </c>
      <c r="S55" s="278">
        <v>0.99944798779493604</v>
      </c>
      <c r="T55" s="278">
        <v>0.999461678522651</v>
      </c>
      <c r="V55" s="278">
        <v>0.999997239948613</v>
      </c>
      <c r="W55" s="278">
        <v>0.99999846044313845</v>
      </c>
      <c r="X55" s="278">
        <v>0.999999680937664</v>
      </c>
      <c r="Z55" s="278">
        <v>0.99999889829591204</v>
      </c>
      <c r="AA55" s="278">
        <v>0.99999940174020407</v>
      </c>
      <c r="AB55" s="278">
        <v>0.999999905184496</v>
      </c>
    </row>
    <row r="56" spans="2:28" ht="13.9">
      <c r="B56" t="s">
        <v>1364</v>
      </c>
      <c r="C56" t="s">
        <v>794</v>
      </c>
      <c r="D56" t="s">
        <v>774</v>
      </c>
      <c r="F56" s="278">
        <v>0.81657894900803296</v>
      </c>
      <c r="G56" s="278">
        <v>0.81730139718401495</v>
      </c>
      <c r="H56" s="278">
        <v>0.81802384535999695</v>
      </c>
      <c r="J56" s="278">
        <v>0.90936368203168605</v>
      </c>
      <c r="K56" s="278">
        <v>0.90968622972505753</v>
      </c>
      <c r="L56" s="278">
        <v>0.910008777418429</v>
      </c>
      <c r="N56" s="278">
        <v>0.664237880255511</v>
      </c>
      <c r="O56" s="278">
        <v>0.672829904718241</v>
      </c>
      <c r="P56" s="278">
        <v>0.681421929180971</v>
      </c>
      <c r="R56" s="278">
        <v>0.71952103568275805</v>
      </c>
      <c r="S56" s="278">
        <v>0.727474514918655</v>
      </c>
      <c r="T56" s="278">
        <v>0.73542799415455196</v>
      </c>
      <c r="V56" s="278">
        <v>0.966158642114755</v>
      </c>
      <c r="W56" s="278">
        <v>0.96631972934768706</v>
      </c>
      <c r="X56" s="278">
        <v>0.96648081658061902</v>
      </c>
      <c r="Z56" s="278">
        <v>0.99878932630727102</v>
      </c>
      <c r="AA56" s="278">
        <v>0.99878933642633749</v>
      </c>
      <c r="AB56" s="278">
        <v>0.99878934654540397</v>
      </c>
    </row>
    <row r="57" spans="2:28" ht="13.9">
      <c r="B57" t="s">
        <v>1364</v>
      </c>
      <c r="C57" t="s">
        <v>1365</v>
      </c>
      <c r="D57" t="s">
        <v>637</v>
      </c>
      <c r="F57" s="278">
        <v>0.82831786243625904</v>
      </c>
      <c r="G57" s="278">
        <v>0.83044259435434253</v>
      </c>
      <c r="H57" s="278">
        <v>0.83256732627242602</v>
      </c>
      <c r="J57" s="278">
        <v>0.99510813286022803</v>
      </c>
      <c r="K57" s="278">
        <v>0.99744600642333348</v>
      </c>
      <c r="L57" s="278">
        <v>0.99978387998643903</v>
      </c>
      <c r="N57" s="278">
        <v>0.99860001822534505</v>
      </c>
      <c r="O57" s="278">
        <v>0.99859932837705756</v>
      </c>
      <c r="P57" s="278">
        <v>0.99859863852876996</v>
      </c>
      <c r="R57" s="278">
        <v>0.99845745801326802</v>
      </c>
      <c r="S57" s="278">
        <v>0.99845638157421202</v>
      </c>
      <c r="T57" s="278">
        <v>0.99845530513515601</v>
      </c>
      <c r="V57" s="278">
        <v>0.84214532348542204</v>
      </c>
      <c r="W57" s="278">
        <v>0.84412216219036151</v>
      </c>
      <c r="X57" s="278">
        <v>0.84609900089530099</v>
      </c>
      <c r="Z57" s="278">
        <v>0.97905243638418105</v>
      </c>
      <c r="AA57" s="278">
        <v>0.97905239497095553</v>
      </c>
      <c r="AB57" s="278">
        <v>0.97905235355773002</v>
      </c>
    </row>
    <row r="58" spans="2:28" ht="13.9">
      <c r="B58" t="s">
        <v>1364</v>
      </c>
      <c r="C58" t="s">
        <v>794</v>
      </c>
      <c r="D58" t="s">
        <v>1361</v>
      </c>
      <c r="F58" s="278">
        <v>0.87878913430575201</v>
      </c>
      <c r="G58" s="278">
        <v>0.87881160441716399</v>
      </c>
      <c r="H58" s="278">
        <v>0.87883407452857598</v>
      </c>
      <c r="J58" s="278">
        <v>0.99705258673616004</v>
      </c>
      <c r="K58" s="278">
        <v>0.99793055376911144</v>
      </c>
      <c r="L58" s="278">
        <v>0.99880852080206295</v>
      </c>
      <c r="N58" s="278">
        <v>0.99035081247346002</v>
      </c>
      <c r="O58" s="278">
        <v>0.99035195144830346</v>
      </c>
      <c r="P58" s="278">
        <v>0.99035309042314701</v>
      </c>
      <c r="R58" s="278">
        <v>0.98890636497209405</v>
      </c>
      <c r="S58" s="278">
        <v>0.98890670529774805</v>
      </c>
      <c r="T58" s="278">
        <v>0.98890704562340204</v>
      </c>
      <c r="V58" s="278">
        <v>0.993824486063553</v>
      </c>
      <c r="W58" s="278">
        <v>0.993832895429828</v>
      </c>
      <c r="X58" s="278">
        <v>0.993841304796103</v>
      </c>
      <c r="Z58" s="278">
        <v>0.99999997941373797</v>
      </c>
      <c r="AA58" s="278">
        <v>1.000000202634709</v>
      </c>
      <c r="AB58" s="278">
        <v>1.0000004258556801</v>
      </c>
    </row>
    <row r="59" spans="2:28" ht="13.9">
      <c r="B59" t="s">
        <v>1366</v>
      </c>
      <c r="C59" t="s">
        <v>1367</v>
      </c>
      <c r="D59" t="s">
        <v>774</v>
      </c>
      <c r="F59" s="278">
        <v>0.99999998440063198</v>
      </c>
      <c r="G59" s="278">
        <v>0.99999992921273395</v>
      </c>
      <c r="H59" s="278">
        <v>0.99999987402483603</v>
      </c>
      <c r="J59" s="278">
        <v>1.0000000000792599</v>
      </c>
      <c r="K59" s="278">
        <v>1.0000000302097449</v>
      </c>
      <c r="L59" s="278">
        <v>1.0000000603402299</v>
      </c>
      <c r="N59" s="278">
        <v>1.0000007535761599</v>
      </c>
      <c r="O59" s="278">
        <v>1.000000360820092</v>
      </c>
      <c r="P59" s="278">
        <v>0.99999996806402403</v>
      </c>
      <c r="R59" s="278">
        <v>1.0000083102847199</v>
      </c>
      <c r="S59" s="278">
        <v>1.0000059067088449</v>
      </c>
      <c r="T59" s="278">
        <v>1.0000035031329699</v>
      </c>
      <c r="V59" s="278">
        <v>1.0000461475009299</v>
      </c>
      <c r="W59" s="278">
        <v>1.0000145867313606</v>
      </c>
      <c r="X59" s="278">
        <v>0.99998302596179101</v>
      </c>
      <c r="Z59" s="278">
        <v>0.99999954611494801</v>
      </c>
      <c r="AA59" s="278">
        <v>1.0000006946374689</v>
      </c>
      <c r="AB59" s="278">
        <v>1.00000184315999</v>
      </c>
    </row>
    <row r="60" spans="2:28" ht="13.9">
      <c r="B60" t="s">
        <v>1366</v>
      </c>
      <c r="C60" t="s">
        <v>1367</v>
      </c>
      <c r="D60" t="s">
        <v>637</v>
      </c>
      <c r="F60" s="278">
        <v>0.99628553316028801</v>
      </c>
      <c r="G60" s="278">
        <v>0.99628556825369252</v>
      </c>
      <c r="H60" s="278">
        <v>0.99628560334709704</v>
      </c>
      <c r="J60" s="278">
        <v>0.99977316366487601</v>
      </c>
      <c r="K60" s="278">
        <v>0.99984131031888945</v>
      </c>
      <c r="L60" s="278">
        <v>0.99990945697290301</v>
      </c>
      <c r="N60" s="278">
        <v>0.99945303713018296</v>
      </c>
      <c r="O60" s="278">
        <v>0.99940962309312442</v>
      </c>
      <c r="P60" s="278">
        <v>0.99936620905606599</v>
      </c>
      <c r="R60" s="278">
        <v>0.99974431258381602</v>
      </c>
      <c r="S60" s="278">
        <v>0.99970008897167806</v>
      </c>
      <c r="T60" s="278">
        <v>0.99965586535953999</v>
      </c>
      <c r="V60" s="278">
        <v>0.99975789400210702</v>
      </c>
      <c r="W60" s="278">
        <v>0.99975991481437498</v>
      </c>
      <c r="X60" s="278">
        <v>0.99976193562664295</v>
      </c>
      <c r="Z60" s="278">
        <v>0.99999971539570898</v>
      </c>
      <c r="AA60" s="278">
        <v>1.0000001055387546</v>
      </c>
      <c r="AB60" s="278">
        <v>1.0000004956818001</v>
      </c>
    </row>
    <row r="61" spans="2:28" ht="13.9">
      <c r="B61" t="s">
        <v>1366</v>
      </c>
      <c r="C61" t="s">
        <v>1367</v>
      </c>
      <c r="D61" t="s">
        <v>1361</v>
      </c>
      <c r="F61" s="278">
        <v>0.99972272984852395</v>
      </c>
      <c r="G61" s="278">
        <v>0.99972301775547145</v>
      </c>
      <c r="H61" s="278">
        <v>0.99972330566241896</v>
      </c>
      <c r="J61" s="278">
        <v>1.0000041847572401</v>
      </c>
      <c r="K61" s="278">
        <v>1.0000030305113752</v>
      </c>
      <c r="L61" s="278">
        <v>1.0000018762655101</v>
      </c>
      <c r="N61" s="278">
        <v>0.99997912345637496</v>
      </c>
      <c r="O61" s="278">
        <v>0.999985454145779</v>
      </c>
      <c r="P61" s="278">
        <v>0.99999178483518303</v>
      </c>
      <c r="R61" s="278">
        <v>0.99999063699038104</v>
      </c>
      <c r="S61" s="278">
        <v>1.0000007236427755</v>
      </c>
      <c r="T61" s="278">
        <v>1.0000108102951699</v>
      </c>
      <c r="V61" s="278">
        <v>0.99963699070537504</v>
      </c>
      <c r="W61" s="278">
        <v>0.99990498728962751</v>
      </c>
      <c r="X61" s="278">
        <v>1.00017298387388</v>
      </c>
      <c r="Z61" s="278">
        <v>1.0000052229957499</v>
      </c>
      <c r="AA61" s="278">
        <v>1.0000063819384899</v>
      </c>
      <c r="AB61" s="278">
        <v>1.0000075408812299</v>
      </c>
    </row>
    <row r="62" spans="2:28" ht="13.9">
      <c r="B62" t="s">
        <v>1366</v>
      </c>
      <c r="C62" t="s">
        <v>1367</v>
      </c>
      <c r="D62" t="s">
        <v>781</v>
      </c>
      <c r="F62" s="278">
        <v>0.999441705375119</v>
      </c>
      <c r="G62" s="278">
        <v>0.99944238980030353</v>
      </c>
      <c r="H62" s="278">
        <v>0.99944307422548795</v>
      </c>
      <c r="J62" s="278">
        <v>0.99998435378966899</v>
      </c>
      <c r="K62" s="278">
        <v>0.99997869640810055</v>
      </c>
      <c r="L62" s="278">
        <v>0.99997303902653201</v>
      </c>
      <c r="N62" s="278">
        <v>0.99976849364892495</v>
      </c>
      <c r="O62" s="278">
        <v>0.9997932721051499</v>
      </c>
      <c r="P62" s="278">
        <v>0.99981805056137496</v>
      </c>
      <c r="R62" s="278">
        <v>0.99963416247727999</v>
      </c>
      <c r="S62" s="278">
        <v>0.99972380893908253</v>
      </c>
      <c r="T62" s="278">
        <v>0.99981345540088495</v>
      </c>
      <c r="V62" s="278">
        <v>0.99958985722113303</v>
      </c>
      <c r="W62" s="278">
        <v>0.99961273801595452</v>
      </c>
      <c r="X62" s="278">
        <v>0.99963561881077601</v>
      </c>
      <c r="Z62" s="278">
        <v>0.99994395529764002</v>
      </c>
      <c r="AA62" s="278">
        <v>0.99997788646845498</v>
      </c>
      <c r="AB62" s="278">
        <v>1.0000118176392701</v>
      </c>
    </row>
    <row r="63" spans="2:28" ht="13.9">
      <c r="B63" t="s">
        <v>1368</v>
      </c>
      <c r="C63" t="s">
        <v>802</v>
      </c>
      <c r="D63" t="s">
        <v>781</v>
      </c>
      <c r="F63" s="278">
        <v>0.88620661088101904</v>
      </c>
      <c r="G63" s="278">
        <v>0.88620777870828649</v>
      </c>
      <c r="H63" s="278">
        <v>0.88620894653555404</v>
      </c>
      <c r="J63" s="278">
        <v>0.99999115203573896</v>
      </c>
      <c r="K63" s="278">
        <v>0.99999446482256404</v>
      </c>
      <c r="L63" s="278">
        <v>0.99999777760938902</v>
      </c>
      <c r="N63" s="278">
        <v>1.0000038005887</v>
      </c>
      <c r="O63" s="278">
        <v>1.000002703990045</v>
      </c>
      <c r="P63" s="278">
        <v>1.00000160739139</v>
      </c>
      <c r="R63" s="278">
        <v>1.0000016723102101</v>
      </c>
      <c r="S63" s="278">
        <v>1.00000309091182</v>
      </c>
      <c r="T63" s="278">
        <v>1.00000450951343</v>
      </c>
      <c r="V63" s="278">
        <v>0.87183187569301601</v>
      </c>
      <c r="W63" s="278">
        <v>0.87183054343626654</v>
      </c>
      <c r="X63" s="278">
        <v>0.87182921117951695</v>
      </c>
      <c r="Z63" s="278">
        <v>0.99995219777720101</v>
      </c>
      <c r="AA63" s="278">
        <v>0.99995242574995347</v>
      </c>
      <c r="AB63" s="278">
        <v>0.99995265372270603</v>
      </c>
    </row>
    <row r="66" spans="1:16" ht="13.9" thickBot="1">
      <c r="B66" s="1" t="s">
        <v>1369</v>
      </c>
    </row>
    <row r="67" spans="1:16" ht="13.9">
      <c r="B67" t="s">
        <v>1341</v>
      </c>
      <c r="C67" t="s">
        <v>1342</v>
      </c>
      <c r="D67" t="s">
        <v>722</v>
      </c>
      <c r="F67" s="227" t="s">
        <v>1323</v>
      </c>
      <c r="G67" s="228"/>
      <c r="H67" s="229"/>
      <c r="I67" s="226" t="s">
        <v>64</v>
      </c>
      <c r="J67" s="228" t="s">
        <v>64</v>
      </c>
      <c r="K67" s="228"/>
      <c r="L67" s="229"/>
      <c r="M67" s="230" t="s">
        <v>66</v>
      </c>
      <c r="N67" s="231" t="s">
        <v>66</v>
      </c>
      <c r="O67" s="232"/>
      <c r="P67" s="233"/>
    </row>
    <row r="68" spans="1:16" ht="13.9" thickBot="1">
      <c r="E68" s="234">
        <v>2005</v>
      </c>
      <c r="F68" s="235">
        <v>2010</v>
      </c>
      <c r="G68" s="236">
        <v>2015</v>
      </c>
      <c r="H68" s="237" t="s">
        <v>1325</v>
      </c>
      <c r="I68" s="234">
        <v>2005</v>
      </c>
      <c r="J68" s="236">
        <v>2010</v>
      </c>
      <c r="K68" s="236">
        <v>2015</v>
      </c>
      <c r="L68" s="237" t="s">
        <v>1325</v>
      </c>
      <c r="M68" s="238">
        <v>2005</v>
      </c>
      <c r="N68" s="239">
        <v>2010</v>
      </c>
      <c r="O68" s="1">
        <v>2015</v>
      </c>
      <c r="P68" s="240" t="s">
        <v>1325</v>
      </c>
    </row>
    <row r="69" spans="1:16">
      <c r="A69" s="1" t="s">
        <v>1336</v>
      </c>
      <c r="B69" s="231" t="s">
        <v>1370</v>
      </c>
      <c r="C69" s="232"/>
      <c r="D69" s="232"/>
      <c r="E69" s="241">
        <v>1.8583000000000001</v>
      </c>
      <c r="F69" s="242">
        <v>0.5</v>
      </c>
      <c r="G69" s="243">
        <v>0.5</v>
      </c>
      <c r="H69" s="244">
        <v>0.5</v>
      </c>
      <c r="I69" s="241"/>
      <c r="J69" s="243"/>
      <c r="K69" s="243"/>
      <c r="L69" s="244"/>
      <c r="M69" s="241"/>
      <c r="N69" s="242"/>
      <c r="O69" s="243"/>
      <c r="P69" s="244"/>
    </row>
    <row r="70" spans="1:16" ht="13.9" thickBot="1">
      <c r="B70" s="252" t="s">
        <v>1371</v>
      </c>
      <c r="C70" s="253"/>
      <c r="D70" s="253"/>
      <c r="E70" s="254">
        <v>0.83299999999999996</v>
      </c>
      <c r="F70" s="255">
        <v>0.41670000000000001</v>
      </c>
      <c r="G70" s="256">
        <v>0.41670000000000001</v>
      </c>
      <c r="H70" s="257">
        <v>0.41670000000000001</v>
      </c>
      <c r="I70" s="254"/>
      <c r="J70" s="256">
        <v>0.83340000000000003</v>
      </c>
      <c r="K70" s="256">
        <v>0.83340000000000003</v>
      </c>
      <c r="L70" s="257">
        <v>0.83340000000000003</v>
      </c>
      <c r="M70" s="254"/>
      <c r="N70" s="255">
        <v>2.9169</v>
      </c>
      <c r="O70" s="256">
        <v>2.9169</v>
      </c>
      <c r="P70" s="257">
        <v>2.9169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AF598-E623-4D07-8EEE-2C79D508A626}">
  <sheetPr>
    <tabColor theme="5" tint="0.59999389629810485"/>
  </sheetPr>
  <dimension ref="B1:T51"/>
  <sheetViews>
    <sheetView topLeftCell="A15" workbookViewId="0"/>
  </sheetViews>
  <sheetFormatPr defaultColWidth="9" defaultRowHeight="13.9" outlineLevelCol="1"/>
  <cols>
    <col min="1" max="1" width="3.625" customWidth="1"/>
    <col min="2" max="2" width="40.25" bestFit="1" customWidth="1"/>
    <col min="3" max="3" width="16.375" bestFit="1" customWidth="1"/>
    <col min="4" max="4" width="15.25" bestFit="1" customWidth="1"/>
    <col min="5" max="5" width="40.25" bestFit="1" customWidth="1"/>
    <col min="7" max="7" width="12.75" hidden="1" customWidth="1" outlineLevel="1"/>
    <col min="8" max="8" width="13.375" hidden="1" customWidth="1" outlineLevel="1"/>
    <col min="9" max="9" width="9" hidden="1" customWidth="1" outlineLevel="1"/>
    <col min="10" max="10" width="13.75" hidden="1" customWidth="1" outlineLevel="1"/>
    <col min="11" max="11" width="10.5" hidden="1" customWidth="1" outlineLevel="1"/>
    <col min="12" max="12" width="9" hidden="1" customWidth="1" outlineLevel="1"/>
    <col min="13" max="13" width="12.75" hidden="1" customWidth="1" outlineLevel="1"/>
    <col min="14" max="14" width="13.375" hidden="1" customWidth="1" outlineLevel="1"/>
    <col min="15" max="15" width="73.5" hidden="1" customWidth="1" outlineLevel="1"/>
    <col min="16" max="19" width="9" hidden="1" customWidth="1" outlineLevel="1"/>
    <col min="20" max="20" width="9" collapsed="1"/>
  </cols>
  <sheetData>
    <row r="1" spans="2:19" ht="75" customHeight="1">
      <c r="G1" s="348"/>
      <c r="H1" s="348"/>
      <c r="I1" s="348"/>
      <c r="J1" s="348"/>
      <c r="K1" s="348"/>
      <c r="L1" s="348"/>
      <c r="M1" s="348"/>
      <c r="N1" s="348"/>
    </row>
    <row r="2" spans="2:19" ht="11.25" customHeight="1"/>
    <row r="3" spans="2:19" ht="30" customHeight="1">
      <c r="B3" s="1260" t="s">
        <v>1372</v>
      </c>
    </row>
    <row r="4" spans="2:19" ht="11.25" customHeight="1"/>
    <row r="5" spans="2:19" ht="15" thickBot="1">
      <c r="B5" s="149" t="s">
        <v>759</v>
      </c>
      <c r="G5" s="149" t="s">
        <v>759</v>
      </c>
    </row>
    <row r="6" spans="2:19" s="157" customFormat="1" ht="14.45">
      <c r="B6" s="307" t="s">
        <v>769</v>
      </c>
      <c r="C6"/>
      <c r="D6"/>
      <c r="E6"/>
      <c r="F6"/>
      <c r="H6" s="1402" t="s">
        <v>332</v>
      </c>
      <c r="I6" s="1403"/>
      <c r="J6" s="1403"/>
      <c r="K6" s="1403"/>
      <c r="L6" s="1403"/>
      <c r="M6" s="1403"/>
      <c r="N6" s="1402" t="s">
        <v>333</v>
      </c>
      <c r="O6" s="1403"/>
      <c r="P6" s="1403"/>
      <c r="Q6" s="1403"/>
      <c r="R6" s="1403"/>
      <c r="S6" s="1404"/>
    </row>
    <row r="7" spans="2:19" ht="27.6">
      <c r="B7" s="338" t="s">
        <v>777</v>
      </c>
      <c r="C7" s="339" t="s">
        <v>332</v>
      </c>
      <c r="D7" s="340" t="s">
        <v>333</v>
      </c>
      <c r="E7" s="341" t="s">
        <v>778</v>
      </c>
      <c r="G7" s="306" t="s">
        <v>779</v>
      </c>
      <c r="H7" s="164" t="s">
        <v>774</v>
      </c>
      <c r="I7" s="1285" t="s">
        <v>780</v>
      </c>
      <c r="J7" s="165" t="s">
        <v>636</v>
      </c>
      <c r="K7" s="1285" t="s">
        <v>781</v>
      </c>
      <c r="L7" s="1286" t="s">
        <v>740</v>
      </c>
      <c r="M7" s="166" t="s">
        <v>782</v>
      </c>
      <c r="N7" s="164" t="s">
        <v>774</v>
      </c>
      <c r="O7" s="1285" t="s">
        <v>780</v>
      </c>
      <c r="P7" s="1287" t="s">
        <v>636</v>
      </c>
      <c r="Q7" s="1285" t="s">
        <v>781</v>
      </c>
      <c r="R7" s="1286" t="s">
        <v>740</v>
      </c>
      <c r="S7" s="167" t="s">
        <v>782</v>
      </c>
    </row>
    <row r="8" spans="2:19" ht="14.45">
      <c r="B8" s="342" t="s">
        <v>389</v>
      </c>
      <c r="C8" s="343">
        <v>19.887215999999999</v>
      </c>
      <c r="D8" s="343">
        <v>3.173022</v>
      </c>
      <c r="E8" s="342" t="s">
        <v>787</v>
      </c>
      <c r="G8" s="170" t="s">
        <v>788</v>
      </c>
      <c r="H8" s="171"/>
      <c r="I8" s="172"/>
      <c r="J8" s="173"/>
      <c r="K8" s="172"/>
      <c r="L8" s="172"/>
      <c r="M8" s="173"/>
      <c r="N8" s="174"/>
      <c r="O8" s="172"/>
      <c r="P8" s="172"/>
      <c r="Q8" s="173"/>
      <c r="R8" s="172"/>
      <c r="S8" s="175"/>
    </row>
    <row r="9" spans="2:19">
      <c r="B9" s="342" t="s">
        <v>393</v>
      </c>
      <c r="C9" s="344"/>
      <c r="D9" s="345"/>
      <c r="E9" s="336"/>
      <c r="G9" s="176" t="s">
        <v>794</v>
      </c>
      <c r="H9" s="177">
        <v>4.5443223247025193</v>
      </c>
      <c r="I9" s="178">
        <v>3.6066050196051669</v>
      </c>
      <c r="J9" s="179">
        <v>2.6098709722836961</v>
      </c>
      <c r="K9" s="178">
        <v>3.2623387153546202</v>
      </c>
      <c r="L9" s="180">
        <v>3.2623387153546202</v>
      </c>
      <c r="M9" s="179">
        <v>3.7869352705854347</v>
      </c>
      <c r="N9" s="181">
        <v>1.6319100000000002</v>
      </c>
      <c r="O9" s="182">
        <v>0.65031000000000005</v>
      </c>
      <c r="P9" s="182">
        <v>0.67485000000000006</v>
      </c>
      <c r="Q9" s="183">
        <v>0.67485000000000006</v>
      </c>
      <c r="R9" s="180">
        <v>0.58896000000000004</v>
      </c>
      <c r="S9" s="184">
        <v>1.01841</v>
      </c>
    </row>
    <row r="10" spans="2:19">
      <c r="B10" s="342" t="s">
        <v>397</v>
      </c>
      <c r="C10" s="343"/>
      <c r="D10" s="346"/>
      <c r="E10" s="336"/>
      <c r="G10" s="185" t="s">
        <v>801</v>
      </c>
      <c r="H10" s="186" t="s">
        <v>802</v>
      </c>
      <c r="I10" s="187" t="s">
        <v>802</v>
      </c>
      <c r="J10" s="188" t="s">
        <v>802</v>
      </c>
      <c r="K10" s="187" t="s">
        <v>802</v>
      </c>
      <c r="L10" s="178">
        <v>3.5885725868900824</v>
      </c>
      <c r="M10" s="188" t="s">
        <v>802</v>
      </c>
      <c r="N10" s="186" t="s">
        <v>802</v>
      </c>
      <c r="O10" s="187" t="s">
        <v>802</v>
      </c>
      <c r="P10" s="187" t="s">
        <v>802</v>
      </c>
      <c r="Q10" s="188" t="s">
        <v>802</v>
      </c>
      <c r="R10" s="178">
        <v>0.61840800000000007</v>
      </c>
      <c r="S10" s="189" t="s">
        <v>802</v>
      </c>
    </row>
    <row r="11" spans="2:19">
      <c r="B11" s="342" t="s">
        <v>400</v>
      </c>
      <c r="C11" s="343"/>
      <c r="D11" s="343"/>
      <c r="E11" s="336"/>
      <c r="G11" s="176" t="s">
        <v>805</v>
      </c>
      <c r="H11" s="186" t="s">
        <v>802</v>
      </c>
      <c r="I11" s="187" t="s">
        <v>802</v>
      </c>
      <c r="J11">
        <v>12.270000000000001</v>
      </c>
      <c r="K11" s="187" t="s">
        <v>802</v>
      </c>
      <c r="L11" s="187" t="s">
        <v>802</v>
      </c>
      <c r="M11" s="188" t="s">
        <v>802</v>
      </c>
      <c r="N11" s="186" t="s">
        <v>802</v>
      </c>
      <c r="O11" s="187" t="s">
        <v>802</v>
      </c>
      <c r="P11" s="178">
        <v>1.2270000000000003</v>
      </c>
      <c r="Q11" s="188" t="s">
        <v>802</v>
      </c>
      <c r="R11" s="187" t="s">
        <v>802</v>
      </c>
      <c r="S11" s="189" t="s">
        <v>802</v>
      </c>
    </row>
    <row r="12" spans="2:19">
      <c r="B12" s="342" t="s">
        <v>402</v>
      </c>
      <c r="C12" s="343"/>
      <c r="D12" s="343"/>
      <c r="E12" s="336"/>
      <c r="G12" s="176" t="s">
        <v>809</v>
      </c>
      <c r="H12" s="177">
        <v>34.957230000000003</v>
      </c>
      <c r="I12" s="178">
        <v>31.460280000000004</v>
      </c>
      <c r="J12" s="179">
        <v>2.238711615888505</v>
      </c>
      <c r="K12" s="187" t="s">
        <v>802</v>
      </c>
      <c r="L12" s="178">
        <v>34.9566901617196</v>
      </c>
      <c r="M12" s="188" t="s">
        <v>802</v>
      </c>
      <c r="N12" s="177">
        <v>3.4957230000000004</v>
      </c>
      <c r="O12" s="178">
        <v>3.1460280000000007</v>
      </c>
      <c r="P12" s="178">
        <v>0.22387116158885051</v>
      </c>
      <c r="Q12" s="188" t="s">
        <v>802</v>
      </c>
      <c r="R12" s="178">
        <v>3.4956690161719601</v>
      </c>
      <c r="S12" s="189" t="s">
        <v>802</v>
      </c>
    </row>
    <row r="13" spans="2:19">
      <c r="B13" s="342" t="s">
        <v>405</v>
      </c>
      <c r="C13" s="343"/>
      <c r="D13" s="345"/>
      <c r="E13" s="336"/>
      <c r="G13" s="190" t="s">
        <v>814</v>
      </c>
      <c r="H13" s="191">
        <v>4.2191896288145303</v>
      </c>
      <c r="I13" s="192">
        <v>3.8269293685392562</v>
      </c>
      <c r="J13" s="193">
        <v>3.8173620451179087</v>
      </c>
      <c r="K13" s="192">
        <v>4.2191896288145303</v>
      </c>
      <c r="L13" s="192">
        <v>3.6196500000000005</v>
      </c>
      <c r="M13" s="193">
        <v>4.0182758369662253</v>
      </c>
      <c r="N13" s="191">
        <v>0.67507034061032489</v>
      </c>
      <c r="O13" s="192">
        <v>0.61230869896628104</v>
      </c>
      <c r="P13" s="192">
        <v>0.61077792721886537</v>
      </c>
      <c r="Q13" s="193">
        <v>0.67507034061032489</v>
      </c>
      <c r="R13" s="192">
        <v>0.5791440000000001</v>
      </c>
      <c r="S13" s="194">
        <v>0.64292413391459602</v>
      </c>
    </row>
    <row r="14" spans="2:19">
      <c r="B14" s="342" t="s">
        <v>408</v>
      </c>
      <c r="C14" s="343"/>
      <c r="D14" s="336"/>
      <c r="E14" s="336"/>
      <c r="G14" s="170" t="s">
        <v>816</v>
      </c>
      <c r="H14" s="159"/>
      <c r="I14" s="160"/>
      <c r="J14" s="173"/>
      <c r="K14" s="172"/>
      <c r="L14" s="160"/>
      <c r="M14" s="173"/>
      <c r="N14" s="159"/>
      <c r="O14" s="160"/>
      <c r="P14" s="160"/>
      <c r="Q14" s="173"/>
      <c r="R14" s="160"/>
      <c r="S14" s="175"/>
    </row>
    <row r="15" spans="2:19">
      <c r="B15" s="342" t="s">
        <v>411</v>
      </c>
      <c r="C15" s="343"/>
      <c r="D15" s="336"/>
      <c r="E15" s="336"/>
      <c r="G15" s="176" t="s">
        <v>794</v>
      </c>
      <c r="H15" s="177">
        <v>4.5443223247025193</v>
      </c>
      <c r="I15" s="178">
        <v>3.6066050196051669</v>
      </c>
      <c r="J15" s="179">
        <v>2.6098709722836961</v>
      </c>
      <c r="K15" s="178">
        <v>4.5443223247025193</v>
      </c>
      <c r="L15" s="178">
        <v>3.2623387153546202</v>
      </c>
      <c r="M15" s="179">
        <v>3.7869352705854347</v>
      </c>
      <c r="N15" s="177">
        <v>1.6319100000000002</v>
      </c>
      <c r="O15" s="178">
        <v>0.65384858769104759</v>
      </c>
      <c r="P15" s="178">
        <v>0.58846372892194299</v>
      </c>
      <c r="Q15" s="179">
        <v>0.58846372892194299</v>
      </c>
      <c r="R15" s="178">
        <v>0.58846372892194299</v>
      </c>
      <c r="S15" s="195">
        <v>0.65384858769104759</v>
      </c>
    </row>
    <row r="16" spans="2:19">
      <c r="B16" s="342" t="s">
        <v>414</v>
      </c>
      <c r="C16" s="343"/>
      <c r="D16" s="336"/>
      <c r="E16" s="336"/>
      <c r="G16" s="185" t="s">
        <v>801</v>
      </c>
      <c r="H16" s="186" t="s">
        <v>802</v>
      </c>
      <c r="I16" s="187" t="s">
        <v>802</v>
      </c>
      <c r="J16" s="188" t="s">
        <v>802</v>
      </c>
      <c r="K16" s="187" t="s">
        <v>802</v>
      </c>
      <c r="L16" s="178">
        <v>3.5885725868900824</v>
      </c>
      <c r="M16" s="188" t="s">
        <v>802</v>
      </c>
      <c r="N16" s="186" t="s">
        <v>802</v>
      </c>
      <c r="O16" s="187" t="s">
        <v>802</v>
      </c>
      <c r="P16" s="187" t="s">
        <v>802</v>
      </c>
      <c r="Q16" s="188" t="s">
        <v>802</v>
      </c>
      <c r="R16" s="178">
        <v>0.6865410170756</v>
      </c>
      <c r="S16" s="189" t="s">
        <v>802</v>
      </c>
    </row>
    <row r="17" spans="2:19" ht="14.45">
      <c r="B17" s="342" t="s">
        <v>417</v>
      </c>
      <c r="C17" s="343">
        <v>177.58015334407696</v>
      </c>
      <c r="D17" s="336">
        <v>21.84703202325149</v>
      </c>
      <c r="E17" s="342" t="s">
        <v>787</v>
      </c>
      <c r="G17" s="176" t="s">
        <v>809</v>
      </c>
      <c r="H17" s="186" t="s">
        <v>802</v>
      </c>
      <c r="I17" s="178">
        <v>31.461021145547676</v>
      </c>
      <c r="J17" s="179">
        <v>2.238711615888505</v>
      </c>
      <c r="K17" s="187" t="s">
        <v>802</v>
      </c>
      <c r="L17" s="178">
        <v>34.9566901617196</v>
      </c>
      <c r="M17" s="188" t="s">
        <v>802</v>
      </c>
      <c r="N17" s="186" t="s">
        <v>802</v>
      </c>
      <c r="O17" s="178">
        <v>3.1461021145547678</v>
      </c>
      <c r="P17" s="178">
        <v>0.22387116158885051</v>
      </c>
      <c r="Q17" s="188" t="s">
        <v>802</v>
      </c>
      <c r="R17" s="178">
        <v>3.4956690161719601</v>
      </c>
      <c r="S17" s="189" t="s">
        <v>802</v>
      </c>
    </row>
    <row r="18" spans="2:19" ht="14.45">
      <c r="B18" s="342" t="s">
        <v>421</v>
      </c>
      <c r="C18" s="343">
        <v>25.663247334000005</v>
      </c>
      <c r="D18" s="336">
        <v>2.5663247334000006</v>
      </c>
      <c r="E18" s="342" t="s">
        <v>787</v>
      </c>
      <c r="G18" s="190" t="s">
        <v>814</v>
      </c>
      <c r="H18" s="191">
        <v>27.116535946559125</v>
      </c>
      <c r="I18" s="192">
        <v>24.595497457196576</v>
      </c>
      <c r="J18" s="193">
        <v>24.534008713553536</v>
      </c>
      <c r="K18" s="192">
        <v>27.116535946559125</v>
      </c>
      <c r="L18" s="192">
        <v>23.242745097050676</v>
      </c>
      <c r="M18" s="194">
        <v>25.825272330056393</v>
      </c>
      <c r="N18" s="191">
        <v>2.7116535946559126</v>
      </c>
      <c r="O18" s="192">
        <v>2.4595497457196576</v>
      </c>
      <c r="P18" s="192">
        <v>2.4534008713553539</v>
      </c>
      <c r="Q18" s="193">
        <v>2.7116535946559126</v>
      </c>
      <c r="R18" s="192">
        <v>2.3242745097050679</v>
      </c>
      <c r="S18" s="194">
        <v>2.5825272330056395</v>
      </c>
    </row>
    <row r="19" spans="2:19" ht="14.45">
      <c r="B19" s="342" t="s">
        <v>424</v>
      </c>
      <c r="C19" s="343">
        <v>22.077411000000001</v>
      </c>
      <c r="D19" s="336">
        <v>2.2077411000000002</v>
      </c>
      <c r="E19" s="342" t="s">
        <v>787</v>
      </c>
      <c r="G19" s="170" t="s">
        <v>837</v>
      </c>
      <c r="H19" s="159"/>
      <c r="I19" s="160"/>
      <c r="K19" s="172"/>
      <c r="L19" s="160"/>
      <c r="M19" s="175"/>
      <c r="N19" s="159"/>
      <c r="O19" s="160"/>
      <c r="P19" s="160"/>
      <c r="Q19" s="173"/>
      <c r="R19" s="160"/>
      <c r="S19" s="175"/>
    </row>
    <row r="20" spans="2:19" ht="14.45">
      <c r="B20" s="342" t="s">
        <v>426</v>
      </c>
      <c r="C20" s="343">
        <v>21.147835800000003</v>
      </c>
      <c r="D20" s="336">
        <v>2.1147835800000006</v>
      </c>
      <c r="E20" s="342" t="s">
        <v>787</v>
      </c>
      <c r="G20" s="176" t="s">
        <v>794</v>
      </c>
      <c r="H20" s="177">
        <v>4.7942600525611558</v>
      </c>
      <c r="I20" s="187" t="s">
        <v>802</v>
      </c>
      <c r="J20" s="179">
        <v>3.3784388255566586</v>
      </c>
      <c r="K20" s="187" t="s">
        <v>802</v>
      </c>
      <c r="L20" s="178">
        <v>3.4417673446991217</v>
      </c>
      <c r="M20" s="195">
        <v>3.9952167104676239</v>
      </c>
      <c r="N20" s="177">
        <v>1.6319100000000002</v>
      </c>
      <c r="O20" s="187" t="s">
        <v>802</v>
      </c>
      <c r="P20" s="178">
        <v>0.58846372892194299</v>
      </c>
      <c r="Q20" s="188" t="s">
        <v>802</v>
      </c>
      <c r="R20" s="178">
        <v>0.58846372892194299</v>
      </c>
      <c r="S20" s="195">
        <v>0.65384858769104759</v>
      </c>
    </row>
    <row r="21" spans="2:19" ht="14.45">
      <c r="B21" s="342" t="s">
        <v>428</v>
      </c>
      <c r="C21" s="343">
        <v>18.591504000000004</v>
      </c>
      <c r="D21" s="336">
        <v>1.8591504000000005</v>
      </c>
      <c r="E21" s="342" t="s">
        <v>787</v>
      </c>
      <c r="G21" s="185" t="s">
        <v>801</v>
      </c>
      <c r="H21" s="186" t="s">
        <v>802</v>
      </c>
      <c r="I21" s="187" t="s">
        <v>802</v>
      </c>
      <c r="J21" s="188" t="s">
        <v>802</v>
      </c>
      <c r="K21" s="187" t="s">
        <v>802</v>
      </c>
      <c r="L21" s="178">
        <v>3.7859440791690342</v>
      </c>
      <c r="M21" s="189" t="s">
        <v>802</v>
      </c>
      <c r="N21" s="186" t="s">
        <v>802</v>
      </c>
      <c r="O21" s="187" t="s">
        <v>802</v>
      </c>
      <c r="P21" s="187" t="s">
        <v>802</v>
      </c>
      <c r="Q21" s="188" t="s">
        <v>802</v>
      </c>
      <c r="R21" s="178">
        <v>0.61788691536804019</v>
      </c>
      <c r="S21" s="189" t="s">
        <v>802</v>
      </c>
    </row>
    <row r="22" spans="2:19" ht="14.45">
      <c r="B22" s="342" t="s">
        <v>430</v>
      </c>
      <c r="C22" s="343">
        <v>23.239380000000004</v>
      </c>
      <c r="D22" s="336">
        <v>2.3239380000000005</v>
      </c>
      <c r="E22" s="342" t="s">
        <v>787</v>
      </c>
      <c r="G22" s="176" t="s">
        <v>805</v>
      </c>
      <c r="H22" s="186" t="s">
        <v>802</v>
      </c>
      <c r="I22" s="187" t="s">
        <v>802</v>
      </c>
      <c r="J22" s="179">
        <v>177.58015334407696</v>
      </c>
      <c r="K22" s="187" t="s">
        <v>802</v>
      </c>
      <c r="L22" s="187" t="s">
        <v>802</v>
      </c>
      <c r="M22" s="189" t="s">
        <v>802</v>
      </c>
      <c r="N22" s="186" t="s">
        <v>802</v>
      </c>
      <c r="O22" s="187" t="s">
        <v>802</v>
      </c>
      <c r="P22" s="178">
        <v>21.84703202325149</v>
      </c>
      <c r="Q22" s="188" t="s">
        <v>802</v>
      </c>
      <c r="R22" s="187" t="s">
        <v>802</v>
      </c>
      <c r="S22" s="189" t="s">
        <v>802</v>
      </c>
    </row>
    <row r="23" spans="2:19" ht="14.45">
      <c r="B23" s="342" t="s">
        <v>432</v>
      </c>
      <c r="C23" s="343">
        <v>23.239380000000004</v>
      </c>
      <c r="D23" s="336">
        <v>2.3239380000000005</v>
      </c>
      <c r="E23" s="342" t="s">
        <v>787</v>
      </c>
      <c r="G23" s="176" t="s">
        <v>809</v>
      </c>
      <c r="H23" s="186" t="s">
        <v>802</v>
      </c>
      <c r="I23" s="178">
        <v>31.461021145547676</v>
      </c>
      <c r="J23" s="179">
        <v>2.238711615888505</v>
      </c>
      <c r="K23" s="187" t="s">
        <v>802</v>
      </c>
      <c r="L23" s="178">
        <v>34.9566901617196</v>
      </c>
      <c r="M23" s="189" t="s">
        <v>802</v>
      </c>
      <c r="N23" s="186" t="s">
        <v>802</v>
      </c>
      <c r="O23" s="178">
        <v>3.1461021145547678</v>
      </c>
      <c r="P23" s="178">
        <v>0.22387116158885051</v>
      </c>
      <c r="Q23" s="188" t="s">
        <v>802</v>
      </c>
      <c r="R23" s="178">
        <v>3.4956690161719601</v>
      </c>
      <c r="S23" s="189" t="s">
        <v>802</v>
      </c>
    </row>
    <row r="24" spans="2:19" ht="14.45">
      <c r="B24" s="342" t="s">
        <v>435</v>
      </c>
      <c r="C24" s="343">
        <v>2.238711615888505</v>
      </c>
      <c r="D24" s="336">
        <v>0.22387116158885051</v>
      </c>
      <c r="E24" s="342" t="s">
        <v>787</v>
      </c>
      <c r="G24" s="176" t="s">
        <v>814</v>
      </c>
      <c r="H24" s="177">
        <v>25.707174307312787</v>
      </c>
      <c r="I24" s="178">
        <v>23.317164904592026</v>
      </c>
      <c r="J24" s="179">
        <v>23.258871992330644</v>
      </c>
      <c r="K24" s="178">
        <v>25.707174307312787</v>
      </c>
      <c r="L24" s="178">
        <v>22.034720834839444</v>
      </c>
      <c r="M24" s="195">
        <v>24.483023149821715</v>
      </c>
      <c r="N24" s="177">
        <v>3.3419326599506625</v>
      </c>
      <c r="O24" s="178">
        <v>3.0312314375969636</v>
      </c>
      <c r="P24" s="178">
        <v>3.0236533590029837</v>
      </c>
      <c r="Q24" s="179">
        <v>3.3419326599506625</v>
      </c>
      <c r="R24" s="178">
        <v>2.8645137085291279</v>
      </c>
      <c r="S24" s="195">
        <v>3.1827930094768231</v>
      </c>
    </row>
    <row r="25" spans="2:19" ht="14.45">
      <c r="B25" s="342" t="s">
        <v>438</v>
      </c>
      <c r="C25" s="343">
        <v>31.461021145547676</v>
      </c>
      <c r="D25" s="336">
        <v>3.1461021145547678</v>
      </c>
      <c r="E25" s="342" t="s">
        <v>787</v>
      </c>
      <c r="G25" s="190" t="s">
        <v>866</v>
      </c>
      <c r="H25" s="177">
        <v>19.887215999999999</v>
      </c>
      <c r="I25" s="187" t="s">
        <v>802</v>
      </c>
      <c r="J25" s="188" t="s">
        <v>802</v>
      </c>
      <c r="K25" s="187" t="s">
        <v>802</v>
      </c>
      <c r="L25" s="187" t="s">
        <v>802</v>
      </c>
      <c r="M25" s="189" t="s">
        <v>802</v>
      </c>
      <c r="N25" s="191">
        <v>3.173022</v>
      </c>
      <c r="O25" s="201" t="s">
        <v>802</v>
      </c>
      <c r="P25" s="201" t="s">
        <v>802</v>
      </c>
      <c r="Q25" s="202" t="s">
        <v>802</v>
      </c>
      <c r="R25" s="201" t="s">
        <v>802</v>
      </c>
      <c r="S25" s="203" t="s">
        <v>802</v>
      </c>
    </row>
    <row r="26" spans="2:19" ht="14.45">
      <c r="B26" s="342" t="s">
        <v>440</v>
      </c>
      <c r="C26" s="343">
        <v>34.9566901617196</v>
      </c>
      <c r="D26" s="336">
        <v>3.4956690161719601</v>
      </c>
      <c r="E26" s="342" t="s">
        <v>787</v>
      </c>
      <c r="G26" s="170" t="s">
        <v>870</v>
      </c>
      <c r="H26" s="1291"/>
      <c r="I26" s="1292"/>
      <c r="J26" s="354"/>
      <c r="K26" s="1292"/>
      <c r="L26" s="1292"/>
      <c r="M26" s="355"/>
      <c r="N26" s="1291"/>
      <c r="O26" s="1292"/>
      <c r="P26" s="1292"/>
      <c r="Q26" s="354"/>
      <c r="R26" s="1292"/>
      <c r="S26" s="355"/>
    </row>
    <row r="27" spans="2:19" ht="14.45">
      <c r="B27" s="342" t="s">
        <v>442</v>
      </c>
      <c r="C27" s="343">
        <v>34.9566901617196</v>
      </c>
      <c r="D27" s="336">
        <v>3.4956690161719601</v>
      </c>
      <c r="E27" s="342" t="s">
        <v>787</v>
      </c>
      <c r="G27" s="176" t="s">
        <v>794</v>
      </c>
      <c r="H27" s="177">
        <v>5.4600835487186652</v>
      </c>
      <c r="I27" s="178">
        <v>4.3333996418402059</v>
      </c>
      <c r="J27" s="179">
        <v>3.1463353272225971</v>
      </c>
      <c r="K27" s="187" t="s">
        <v>802</v>
      </c>
      <c r="L27" s="178">
        <v>3.9329191590282462</v>
      </c>
      <c r="M27" s="189" t="s">
        <v>802</v>
      </c>
      <c r="N27" s="177">
        <v>1.6319100000000002</v>
      </c>
      <c r="O27" s="178">
        <v>0.65384858769104759</v>
      </c>
      <c r="P27" s="178">
        <v>0.58846372892194299</v>
      </c>
      <c r="Q27" s="188" t="s">
        <v>802</v>
      </c>
      <c r="R27" s="178">
        <v>0.58846372892194299</v>
      </c>
      <c r="S27" s="189" t="s">
        <v>802</v>
      </c>
    </row>
    <row r="28" spans="2:19" ht="14.45">
      <c r="B28" s="342" t="s">
        <v>444</v>
      </c>
      <c r="C28" s="343">
        <v>34.957230000000003</v>
      </c>
      <c r="D28" s="336">
        <v>3.4957230000000004</v>
      </c>
      <c r="E28" s="342" t="s">
        <v>787</v>
      </c>
      <c r="G28" s="185" t="s">
        <v>801</v>
      </c>
      <c r="H28" s="186" t="s">
        <v>802</v>
      </c>
      <c r="I28" s="187" t="s">
        <v>802</v>
      </c>
      <c r="J28" s="188" t="s">
        <v>802</v>
      </c>
      <c r="K28" s="187" t="s">
        <v>802</v>
      </c>
      <c r="L28" s="178">
        <v>4.3262110749310709</v>
      </c>
      <c r="M28" s="189" t="s">
        <v>802</v>
      </c>
      <c r="N28" s="186" t="s">
        <v>802</v>
      </c>
      <c r="O28" s="187" t="s">
        <v>802</v>
      </c>
      <c r="P28" s="187" t="s">
        <v>802</v>
      </c>
      <c r="Q28" s="188" t="s">
        <v>802</v>
      </c>
      <c r="R28" s="178">
        <v>0.61788691536804019</v>
      </c>
      <c r="S28" s="189" t="s">
        <v>802</v>
      </c>
    </row>
    <row r="29" spans="2:19">
      <c r="B29" s="342" t="s">
        <v>446</v>
      </c>
      <c r="C29" s="343">
        <v>100</v>
      </c>
      <c r="D29" s="336">
        <v>1</v>
      </c>
      <c r="E29" s="336" t="s">
        <v>877</v>
      </c>
      <c r="G29" s="176" t="s">
        <v>809</v>
      </c>
      <c r="H29" s="177">
        <v>34.9566901617196</v>
      </c>
      <c r="I29" s="178">
        <v>31.461021145547676</v>
      </c>
      <c r="J29" s="179">
        <v>2.238711615888505</v>
      </c>
      <c r="K29" s="187" t="s">
        <v>802</v>
      </c>
      <c r="L29" s="178">
        <v>34.9566901617196</v>
      </c>
      <c r="M29" s="189" t="s">
        <v>802</v>
      </c>
      <c r="N29" s="177">
        <v>3.4956690161719601</v>
      </c>
      <c r="O29" s="178">
        <v>3.1461021145547678</v>
      </c>
      <c r="P29" s="178">
        <v>0.22387116158885051</v>
      </c>
      <c r="Q29" s="188" t="s">
        <v>802</v>
      </c>
      <c r="R29" s="178">
        <v>3.4956690161719601</v>
      </c>
      <c r="S29" s="189" t="s">
        <v>802</v>
      </c>
    </row>
    <row r="30" spans="2:19">
      <c r="B30" s="342" t="s">
        <v>449</v>
      </c>
      <c r="C30" s="343">
        <v>100</v>
      </c>
      <c r="D30" s="336">
        <v>1</v>
      </c>
      <c r="E30" s="336" t="s">
        <v>877</v>
      </c>
      <c r="G30" s="190" t="s">
        <v>814</v>
      </c>
      <c r="H30" s="191">
        <v>45.841269825402982</v>
      </c>
      <c r="I30" s="192">
        <v>41.579383061590065</v>
      </c>
      <c r="J30" s="193">
        <v>41.475434603936016</v>
      </c>
      <c r="K30" s="201" t="s">
        <v>802</v>
      </c>
      <c r="L30" s="192">
        <v>39.29251699320254</v>
      </c>
      <c r="M30" s="194">
        <v>43.658352214669506</v>
      </c>
      <c r="N30" s="191">
        <v>4.1257142842862686</v>
      </c>
      <c r="O30" s="192">
        <v>3.7421444755431055</v>
      </c>
      <c r="P30" s="192">
        <v>3.7327891143542411</v>
      </c>
      <c r="Q30" s="202" t="s">
        <v>802</v>
      </c>
      <c r="R30" s="192">
        <v>3.5363265293882287</v>
      </c>
      <c r="S30" s="194">
        <v>3.9292516993202553</v>
      </c>
    </row>
    <row r="31" spans="2:19">
      <c r="B31" s="342" t="s">
        <v>451</v>
      </c>
      <c r="C31" s="343"/>
      <c r="D31" s="336"/>
      <c r="E31" s="336"/>
      <c r="G31" s="170" t="s">
        <v>883</v>
      </c>
      <c r="H31" s="159"/>
      <c r="I31" s="160"/>
      <c r="K31" s="172"/>
      <c r="L31" s="172"/>
      <c r="M31" s="175"/>
      <c r="N31" s="159"/>
      <c r="O31" s="160"/>
      <c r="P31" s="160"/>
      <c r="Q31" s="173"/>
      <c r="R31" s="172"/>
      <c r="S31" s="175"/>
    </row>
    <row r="32" spans="2:19">
      <c r="B32" s="342" t="s">
        <v>453</v>
      </c>
      <c r="C32" s="343">
        <v>100</v>
      </c>
      <c r="D32" s="336">
        <v>1</v>
      </c>
      <c r="E32" s="336" t="s">
        <v>877</v>
      </c>
      <c r="G32" s="176" t="s">
        <v>794</v>
      </c>
      <c r="H32" s="177">
        <v>4.3157925400720334</v>
      </c>
      <c r="I32" s="178">
        <v>3.4252321746603354</v>
      </c>
      <c r="J32" s="179">
        <v>2.4759663642565584</v>
      </c>
      <c r="K32" s="187" t="s">
        <v>802</v>
      </c>
      <c r="L32" s="178">
        <v>3.0949579553206976</v>
      </c>
      <c r="M32" s="195">
        <v>3.596493783393361</v>
      </c>
      <c r="N32" s="177">
        <v>1.6319100000000002</v>
      </c>
      <c r="O32" s="178">
        <v>0.65384858769104759</v>
      </c>
      <c r="P32" s="178">
        <v>0.58846372892194299</v>
      </c>
      <c r="Q32" s="188" t="s">
        <v>802</v>
      </c>
      <c r="R32" s="178">
        <v>0.58846372892194299</v>
      </c>
      <c r="S32" s="195">
        <v>0.65384858769104759</v>
      </c>
    </row>
    <row r="33" spans="2:19">
      <c r="B33" s="342" t="s">
        <v>455</v>
      </c>
      <c r="C33" s="343"/>
      <c r="D33" s="336"/>
      <c r="E33" s="336"/>
      <c r="G33" s="185" t="s">
        <v>801</v>
      </c>
      <c r="H33" s="186" t="s">
        <v>802</v>
      </c>
      <c r="I33" s="187" t="s">
        <v>802</v>
      </c>
      <c r="J33" s="188" t="s">
        <v>802</v>
      </c>
      <c r="K33" s="187" t="s">
        <v>802</v>
      </c>
      <c r="L33" s="178">
        <v>3.4044537508527677</v>
      </c>
      <c r="M33" s="189" t="s">
        <v>802</v>
      </c>
      <c r="N33" s="186" t="s">
        <v>802</v>
      </c>
      <c r="O33" s="187" t="s">
        <v>802</v>
      </c>
      <c r="P33" s="187" t="s">
        <v>802</v>
      </c>
      <c r="Q33" s="188" t="s">
        <v>802</v>
      </c>
      <c r="R33" s="178">
        <v>0.61788691536804019</v>
      </c>
      <c r="S33" s="189" t="s">
        <v>802</v>
      </c>
    </row>
    <row r="34" spans="2:19">
      <c r="B34" s="342" t="s">
        <v>457</v>
      </c>
      <c r="C34" s="343"/>
      <c r="D34" s="336"/>
      <c r="E34" s="336"/>
      <c r="G34" s="176" t="s">
        <v>805</v>
      </c>
      <c r="H34" s="186" t="s">
        <v>802</v>
      </c>
      <c r="I34" s="187" t="s">
        <v>802</v>
      </c>
      <c r="J34" s="179">
        <v>177.58015334407696</v>
      </c>
      <c r="K34" s="187" t="s">
        <v>802</v>
      </c>
      <c r="L34" s="187" t="s">
        <v>802</v>
      </c>
      <c r="M34" s="189" t="s">
        <v>802</v>
      </c>
      <c r="N34" s="186" t="s">
        <v>802</v>
      </c>
      <c r="O34" s="187" t="s">
        <v>802</v>
      </c>
      <c r="P34" s="178">
        <v>21.84703202325149</v>
      </c>
      <c r="Q34" s="188" t="s">
        <v>802</v>
      </c>
      <c r="R34" s="187" t="s">
        <v>802</v>
      </c>
      <c r="S34" s="189" t="s">
        <v>802</v>
      </c>
    </row>
    <row r="35" spans="2:19">
      <c r="B35" s="342" t="s">
        <v>459</v>
      </c>
      <c r="C35" s="343"/>
      <c r="D35" s="336"/>
      <c r="E35" s="336"/>
      <c r="G35" s="176" t="s">
        <v>809</v>
      </c>
      <c r="H35" s="177">
        <v>34.957230000000003</v>
      </c>
      <c r="I35" s="187" t="s">
        <v>802</v>
      </c>
      <c r="J35" s="178">
        <v>2.238711615888505</v>
      </c>
      <c r="K35" s="187" t="s">
        <v>802</v>
      </c>
      <c r="L35" s="178">
        <v>34.9566901617196</v>
      </c>
      <c r="M35" s="195">
        <v>12.270000000000001</v>
      </c>
      <c r="N35" s="177">
        <v>3.4957230000000004</v>
      </c>
      <c r="O35" s="178" t="s">
        <v>802</v>
      </c>
      <c r="P35" s="182">
        <v>0.22387116158885051</v>
      </c>
      <c r="Q35" s="188" t="s">
        <v>802</v>
      </c>
      <c r="R35" s="178">
        <v>3.4956690161719601</v>
      </c>
      <c r="S35" s="195">
        <v>1.2270000000000003</v>
      </c>
    </row>
    <row r="36" spans="2:19">
      <c r="B36" s="342" t="s">
        <v>462</v>
      </c>
      <c r="C36" s="343"/>
      <c r="D36" s="336"/>
      <c r="E36" s="336"/>
      <c r="G36" s="190" t="s">
        <v>814</v>
      </c>
      <c r="H36" s="191">
        <v>150.90847079250889</v>
      </c>
      <c r="I36" s="192">
        <v>136.87843155783156</v>
      </c>
      <c r="J36" s="193">
        <v>136.53623547893702</v>
      </c>
      <c r="K36" s="192">
        <v>150.90847079250889</v>
      </c>
      <c r="L36" s="192">
        <v>129.35011782215048</v>
      </c>
      <c r="M36" s="194">
        <v>143.72235313572236</v>
      </c>
      <c r="N36" s="191">
        <v>6.0363388317003555</v>
      </c>
      <c r="O36" s="192">
        <v>5.4751372623132628</v>
      </c>
      <c r="P36" s="192">
        <v>5.4614494191574812</v>
      </c>
      <c r="Q36" s="193">
        <v>6.0363388317003555</v>
      </c>
      <c r="R36" s="192">
        <v>5.1740047128860196</v>
      </c>
      <c r="S36" s="194">
        <v>5.7488941254288948</v>
      </c>
    </row>
    <row r="37" spans="2:19">
      <c r="B37" s="342" t="s">
        <v>464</v>
      </c>
      <c r="C37" s="343"/>
      <c r="D37" s="336"/>
      <c r="E37" s="336"/>
      <c r="G37" s="170" t="s">
        <v>909</v>
      </c>
      <c r="H37" s="159"/>
      <c r="I37" s="160"/>
      <c r="J37" s="173"/>
      <c r="K37" s="160"/>
      <c r="L37" s="172"/>
      <c r="M37" s="161"/>
      <c r="N37" s="159"/>
      <c r="O37" s="160"/>
      <c r="P37" s="172"/>
      <c r="Q37" s="173"/>
      <c r="R37" s="160"/>
      <c r="S37" s="161"/>
    </row>
    <row r="38" spans="2:19">
      <c r="B38" s="342" t="s">
        <v>466</v>
      </c>
      <c r="C38" s="343"/>
      <c r="D38" s="336"/>
      <c r="E38" s="336"/>
      <c r="G38" s="176" t="s">
        <v>794</v>
      </c>
      <c r="H38" s="177">
        <v>4.5443223247025193</v>
      </c>
      <c r="I38" s="178">
        <v>3.6066050196051669</v>
      </c>
      <c r="J38" s="179">
        <v>2.6098709722836961</v>
      </c>
      <c r="K38" s="178">
        <v>4.5443223247025193</v>
      </c>
      <c r="L38" s="178">
        <v>3.2623387153546202</v>
      </c>
      <c r="M38" s="195">
        <v>3.7869352705854347</v>
      </c>
      <c r="N38" s="177">
        <v>1.6319100000000002</v>
      </c>
      <c r="O38" s="178">
        <v>0.65384858769104759</v>
      </c>
      <c r="P38" s="178">
        <v>0.58846372892194299</v>
      </c>
      <c r="Q38" s="179">
        <v>0.58846372892194299</v>
      </c>
      <c r="R38" s="178">
        <v>0.58846372892194299</v>
      </c>
      <c r="S38" s="195">
        <v>0.65384858769104759</v>
      </c>
    </row>
    <row r="39" spans="2:19">
      <c r="B39" s="342" t="s">
        <v>468</v>
      </c>
      <c r="C39" s="343"/>
      <c r="D39" s="336"/>
      <c r="E39" s="336"/>
      <c r="G39" s="185" t="s">
        <v>801</v>
      </c>
      <c r="H39" s="186" t="s">
        <v>802</v>
      </c>
      <c r="I39" s="187" t="s">
        <v>802</v>
      </c>
      <c r="J39" s="188" t="s">
        <v>802</v>
      </c>
      <c r="K39" s="187" t="s">
        <v>802</v>
      </c>
      <c r="L39" s="178">
        <v>3.5885725868900824</v>
      </c>
      <c r="M39" s="189" t="s">
        <v>802</v>
      </c>
      <c r="N39" s="186" t="s">
        <v>802</v>
      </c>
      <c r="O39" s="187" t="s">
        <v>802</v>
      </c>
      <c r="P39" s="187" t="s">
        <v>802</v>
      </c>
      <c r="Q39" s="188" t="s">
        <v>802</v>
      </c>
      <c r="R39" s="178">
        <v>0.61788691536804019</v>
      </c>
      <c r="S39" s="189" t="s">
        <v>802</v>
      </c>
    </row>
    <row r="40" spans="2:19">
      <c r="B40" s="342" t="s">
        <v>470</v>
      </c>
      <c r="C40" s="343"/>
      <c r="D40" s="336"/>
      <c r="E40" s="336"/>
      <c r="G40" s="176" t="s">
        <v>805</v>
      </c>
      <c r="H40" s="177"/>
      <c r="I40" s="215"/>
      <c r="J40" s="179">
        <v>177.58015334407696</v>
      </c>
      <c r="K40" s="187" t="s">
        <v>802</v>
      </c>
      <c r="L40" s="187" t="s">
        <v>802</v>
      </c>
      <c r="M40" s="189" t="s">
        <v>802</v>
      </c>
      <c r="N40" s="186" t="s">
        <v>802</v>
      </c>
      <c r="O40" s="187" t="s">
        <v>802</v>
      </c>
      <c r="P40" s="178">
        <v>21.84703202325149</v>
      </c>
      <c r="Q40" s="188" t="s">
        <v>802</v>
      </c>
      <c r="R40" s="187" t="s">
        <v>802</v>
      </c>
      <c r="S40" s="189" t="s">
        <v>802</v>
      </c>
    </row>
    <row r="41" spans="2:19">
      <c r="B41" s="342" t="s">
        <v>472</v>
      </c>
      <c r="C41" s="343"/>
      <c r="D41" s="336"/>
      <c r="E41" s="336"/>
      <c r="G41" s="176" t="s">
        <v>809</v>
      </c>
      <c r="H41" s="177">
        <v>34.957230000000003</v>
      </c>
      <c r="I41" s="178">
        <v>31.461021145547676</v>
      </c>
      <c r="J41" s="179">
        <v>2.238711615888505</v>
      </c>
      <c r="K41" s="187" t="s">
        <v>802</v>
      </c>
      <c r="L41" s="178">
        <v>34.9566901617196</v>
      </c>
      <c r="M41" s="195">
        <v>12.270000000000001</v>
      </c>
      <c r="N41" s="177">
        <v>3.4957230000000004</v>
      </c>
      <c r="O41" s="178">
        <v>3.1461021145547678</v>
      </c>
      <c r="P41" s="178">
        <v>0.22387116158885051</v>
      </c>
      <c r="Q41" s="188" t="s">
        <v>802</v>
      </c>
      <c r="R41" s="178">
        <v>3.4956690161719601</v>
      </c>
      <c r="S41" s="195">
        <v>1.2270000000000003</v>
      </c>
    </row>
    <row r="42" spans="2:19">
      <c r="B42" s="342" t="s">
        <v>474</v>
      </c>
      <c r="C42" s="343"/>
      <c r="D42" s="336"/>
      <c r="E42" s="336"/>
      <c r="G42" s="176" t="s">
        <v>814</v>
      </c>
      <c r="H42" s="177">
        <v>23.239380000000004</v>
      </c>
      <c r="I42" s="178">
        <v>21.147835800000003</v>
      </c>
      <c r="J42" s="179">
        <v>25.663247334000005</v>
      </c>
      <c r="K42" s="178">
        <v>23.239380000000004</v>
      </c>
      <c r="L42" s="178">
        <v>18.591504000000004</v>
      </c>
      <c r="M42" s="195">
        <v>22.077411000000001</v>
      </c>
      <c r="N42" s="177">
        <v>2.3239380000000005</v>
      </c>
      <c r="O42" s="178">
        <v>2.1147835800000006</v>
      </c>
      <c r="P42" s="178">
        <v>2.5663247334000006</v>
      </c>
      <c r="Q42" s="179">
        <v>2.3239380000000005</v>
      </c>
      <c r="R42" s="178">
        <v>1.8591504000000005</v>
      </c>
      <c r="S42" s="195">
        <v>2.2077411000000002</v>
      </c>
    </row>
    <row r="43" spans="2:19">
      <c r="B43" s="342" t="s">
        <v>476</v>
      </c>
      <c r="C43" s="343">
        <v>100</v>
      </c>
      <c r="D43" s="336">
        <v>1</v>
      </c>
      <c r="E43" s="336" t="s">
        <v>877</v>
      </c>
      <c r="G43" s="190" t="s">
        <v>933</v>
      </c>
      <c r="H43" s="191">
        <v>19.887215999999999</v>
      </c>
      <c r="I43" s="201" t="s">
        <v>802</v>
      </c>
      <c r="J43" s="202" t="s">
        <v>802</v>
      </c>
      <c r="K43" s="201" t="s">
        <v>802</v>
      </c>
      <c r="L43" s="201" t="s">
        <v>802</v>
      </c>
      <c r="M43" s="203" t="s">
        <v>802</v>
      </c>
      <c r="N43" s="191">
        <v>3.173022</v>
      </c>
      <c r="O43" s="201" t="s">
        <v>802</v>
      </c>
      <c r="P43" s="201" t="s">
        <v>802</v>
      </c>
      <c r="Q43" s="202" t="s">
        <v>802</v>
      </c>
      <c r="R43" s="201" t="s">
        <v>802</v>
      </c>
      <c r="S43" s="203" t="s">
        <v>802</v>
      </c>
    </row>
    <row r="44" spans="2:19" ht="14.45">
      <c r="B44" s="424" t="s">
        <v>1373</v>
      </c>
      <c r="C44" s="343"/>
      <c r="D44" s="336"/>
      <c r="E44" s="336"/>
      <c r="G44" s="175" t="s">
        <v>787</v>
      </c>
    </row>
    <row r="45" spans="2:19">
      <c r="B45" s="337" t="s">
        <v>941</v>
      </c>
    </row>
    <row r="51" ht="15.75" customHeight="1"/>
  </sheetData>
  <mergeCells count="2">
    <mergeCell ref="H6:M6"/>
    <mergeCell ref="N6:S6"/>
  </mergeCells>
  <pageMargins left="0.7" right="0.7" top="0.75" bottom="0.75" header="0.3" footer="0.3"/>
  <drawing r:id="rId1"/>
  <tableParts count="1">
    <tablePart r:id="rId2"/>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51E97-B6EE-4C35-B419-F31E60019836}">
  <dimension ref="A1:CY86"/>
  <sheetViews>
    <sheetView workbookViewId="0"/>
  </sheetViews>
  <sheetFormatPr defaultColWidth="9" defaultRowHeight="14.45"/>
  <cols>
    <col min="1" max="1" width="14.375" style="366" customWidth="1"/>
    <col min="2" max="2" width="13.625" style="366" customWidth="1"/>
    <col min="3" max="3" width="12.875" style="366" hidden="1" customWidth="1"/>
    <col min="4" max="4" width="14.125" style="366" customWidth="1"/>
    <col min="5" max="5" width="11.25" style="366" customWidth="1"/>
    <col min="6" max="6" width="12.5" style="366" hidden="1" customWidth="1"/>
    <col min="7" max="7" width="12.5" style="366" customWidth="1"/>
    <col min="8" max="8" width="17.25" style="366" hidden="1" customWidth="1"/>
    <col min="9" max="9" width="24.25" style="366" hidden="1" customWidth="1"/>
    <col min="10" max="10" width="20.5" style="366" hidden="1" customWidth="1"/>
    <col min="11" max="11" width="23.375" style="366" hidden="1" customWidth="1"/>
    <col min="12" max="12" width="17.25" style="366" hidden="1" customWidth="1"/>
    <col min="13" max="13" width="24.25" style="366" hidden="1" customWidth="1"/>
    <col min="14" max="14" width="20.5" style="366" hidden="1" customWidth="1"/>
    <col min="15" max="15" width="23.375" style="366" hidden="1" customWidth="1"/>
    <col min="16" max="16" width="17.25" style="366" hidden="1" customWidth="1"/>
    <col min="17" max="17" width="24.25" style="366" hidden="1" customWidth="1"/>
    <col min="18" max="18" width="20.5" style="366" hidden="1" customWidth="1"/>
    <col min="19" max="19" width="23.375" style="366" hidden="1" customWidth="1"/>
    <col min="20" max="20" width="17.25" style="366" hidden="1" customWidth="1"/>
    <col min="21" max="21" width="24.25" style="366" hidden="1" customWidth="1"/>
    <col min="22" max="22" width="20.5" style="366" hidden="1" customWidth="1"/>
    <col min="23" max="23" width="23.375" style="366" hidden="1" customWidth="1"/>
    <col min="24" max="24" width="17.25" style="366" hidden="1" customWidth="1"/>
    <col min="25" max="25" width="24.25" style="366" hidden="1" customWidth="1"/>
    <col min="26" max="26" width="20.5" style="366" hidden="1" customWidth="1"/>
    <col min="27" max="27" width="23.375" style="366" hidden="1" customWidth="1"/>
    <col min="28" max="28" width="17.25" style="366" customWidth="1"/>
    <col min="29" max="29" width="24.25" style="366" hidden="1" customWidth="1"/>
    <col min="30" max="30" width="20.5" style="366" hidden="1" customWidth="1"/>
    <col min="31" max="31" width="23.375" style="366" hidden="1" customWidth="1"/>
    <col min="32" max="32" width="17.25" style="366" hidden="1" customWidth="1"/>
    <col min="33" max="33" width="24.25" style="366" hidden="1" customWidth="1"/>
    <col min="34" max="34" width="20.5" style="366" hidden="1" customWidth="1"/>
    <col min="35" max="35" width="23.375" style="366" hidden="1" customWidth="1"/>
    <col min="36" max="36" width="17.25" style="366" hidden="1" customWidth="1"/>
    <col min="37" max="37" width="24.25" style="366" hidden="1" customWidth="1"/>
    <col min="38" max="38" width="20.5" style="366" hidden="1" customWidth="1"/>
    <col min="39" max="39" width="23.375" style="366" hidden="1" customWidth="1"/>
    <col min="40" max="40" width="17.25" style="366" hidden="1" customWidth="1"/>
    <col min="41" max="41" width="24.25" style="366" hidden="1" customWidth="1"/>
    <col min="42" max="42" width="20.5" style="366" hidden="1" customWidth="1"/>
    <col min="43" max="43" width="23.375" style="366" hidden="1" customWidth="1"/>
    <col min="44" max="44" width="17.25" style="366" hidden="1" customWidth="1"/>
    <col min="45" max="45" width="24.25" style="366" hidden="1" customWidth="1"/>
    <col min="46" max="46" width="20.5" style="366" hidden="1" customWidth="1"/>
    <col min="47" max="47" width="23.375" style="366" hidden="1" customWidth="1"/>
    <col min="48" max="48" width="17.25" style="366" hidden="1" customWidth="1"/>
    <col min="49" max="49" width="24.25" style="366" hidden="1" customWidth="1"/>
    <col min="50" max="50" width="20.5" style="366" hidden="1" customWidth="1"/>
    <col min="51" max="51" width="23.375" style="366" hidden="1" customWidth="1"/>
    <col min="52" max="52" width="17.25" style="366" hidden="1" customWidth="1"/>
    <col min="53" max="53" width="24.25" style="366" hidden="1" customWidth="1"/>
    <col min="54" max="54" width="20.5" style="366" hidden="1" customWidth="1"/>
    <col min="55" max="55" width="23.375" style="366" hidden="1" customWidth="1"/>
    <col min="56" max="56" width="17.25" style="366" hidden="1" customWidth="1"/>
    <col min="57" max="57" width="24.25" style="366" hidden="1" customWidth="1"/>
    <col min="58" max="58" width="20.5" style="366" hidden="1" customWidth="1"/>
    <col min="59" max="59" width="23.375" style="366" hidden="1" customWidth="1"/>
    <col min="60" max="60" width="17.25" style="366" hidden="1" customWidth="1"/>
    <col min="61" max="61" width="24.25" style="366" hidden="1" customWidth="1"/>
    <col min="62" max="62" width="20.5" style="366" hidden="1" customWidth="1"/>
    <col min="63" max="63" width="23.375" style="366" hidden="1" customWidth="1"/>
    <col min="64" max="64" width="17.25" style="366" hidden="1" customWidth="1"/>
    <col min="65" max="65" width="24.25" style="366" hidden="1" customWidth="1"/>
    <col min="66" max="66" width="20.5" style="366" hidden="1" customWidth="1"/>
    <col min="67" max="67" width="23.375" style="366" hidden="1" customWidth="1"/>
    <col min="68" max="68" width="17.25" style="366" hidden="1" customWidth="1"/>
    <col min="69" max="69" width="24.25" style="366" hidden="1" customWidth="1"/>
    <col min="70" max="70" width="20.5" style="366" hidden="1" customWidth="1"/>
    <col min="71" max="71" width="23.375" style="366" hidden="1" customWidth="1"/>
    <col min="72" max="72" width="17.25" style="366" hidden="1" customWidth="1"/>
    <col min="73" max="73" width="24.25" style="366" hidden="1" customWidth="1"/>
    <col min="74" max="74" width="20.5" style="366" hidden="1" customWidth="1"/>
    <col min="75" max="75" width="23.375" style="366" hidden="1" customWidth="1"/>
    <col min="76" max="76" width="17.25" style="366" hidden="1" customWidth="1"/>
    <col min="77" max="77" width="24.25" style="366" hidden="1" customWidth="1"/>
    <col min="78" max="78" width="20.5" style="366" hidden="1" customWidth="1"/>
    <col min="79" max="79" width="23.375" style="366" hidden="1" customWidth="1"/>
    <col min="80" max="80" width="17.25" style="366" hidden="1" customWidth="1"/>
    <col min="81" max="81" width="24.25" style="366" hidden="1" customWidth="1"/>
    <col min="82" max="82" width="20.5" style="366" hidden="1" customWidth="1"/>
    <col min="83" max="83" width="23.375" style="366" hidden="1" customWidth="1"/>
    <col min="84" max="84" width="27.375" style="366" hidden="1" customWidth="1"/>
    <col min="85" max="85" width="23.875" style="366" hidden="1" customWidth="1"/>
    <col min="86" max="86" width="30.625" style="366" hidden="1" customWidth="1"/>
    <col min="87" max="87" width="32.25" style="366" hidden="1" customWidth="1"/>
    <col min="88" max="89" width="9" style="366"/>
    <col min="90" max="90" width="21.25" style="366" bestFit="1" customWidth="1"/>
    <col min="91" max="92" width="14.25" style="366" customWidth="1"/>
    <col min="93" max="93" width="23.625" style="366" customWidth="1"/>
    <col min="94" max="94" width="26.25" style="366" customWidth="1"/>
    <col min="95" max="95" width="14.25" style="366" customWidth="1"/>
    <col min="96" max="96" width="10.25" style="366" customWidth="1"/>
    <col min="97" max="97" width="15.625" style="366" bestFit="1" customWidth="1"/>
    <col min="98" max="98" width="10.75" style="366" bestFit="1" customWidth="1"/>
    <col min="99" max="99" width="3.625" style="366" customWidth="1"/>
    <col min="100" max="100" width="21" style="366" bestFit="1" customWidth="1"/>
    <col min="101" max="101" width="11" style="366" bestFit="1" customWidth="1"/>
    <col min="102" max="102" width="18.875" style="366" bestFit="1" customWidth="1"/>
    <col min="103" max="103" width="12.25" style="366" bestFit="1" customWidth="1"/>
    <col min="104" max="16384" width="9" style="366"/>
  </cols>
  <sheetData>
    <row r="1" spans="1:103">
      <c r="A1" s="366" t="s">
        <v>1374</v>
      </c>
      <c r="B1" s="366" t="s">
        <v>1375</v>
      </c>
      <c r="C1" s="366" t="s">
        <v>1376</v>
      </c>
      <c r="D1" s="366" t="s">
        <v>1377</v>
      </c>
      <c r="E1" s="366" t="s">
        <v>1378</v>
      </c>
      <c r="F1" s="366" t="s">
        <v>1379</v>
      </c>
      <c r="G1" s="366" t="s">
        <v>1211</v>
      </c>
      <c r="H1" s="366" t="s">
        <v>1212</v>
      </c>
      <c r="I1" s="366" t="s">
        <v>1380</v>
      </c>
      <c r="J1" s="366" t="s">
        <v>1213</v>
      </c>
      <c r="K1" s="366" t="s">
        <v>1381</v>
      </c>
      <c r="L1" s="366" t="s">
        <v>1382</v>
      </c>
      <c r="M1" s="366" t="s">
        <v>1383</v>
      </c>
      <c r="N1" s="366" t="s">
        <v>1384</v>
      </c>
      <c r="O1" s="366" t="s">
        <v>1385</v>
      </c>
      <c r="P1" s="366" t="s">
        <v>1386</v>
      </c>
      <c r="Q1" s="366" t="s">
        <v>1387</v>
      </c>
      <c r="R1" s="366" t="s">
        <v>1388</v>
      </c>
      <c r="S1" s="366" t="s">
        <v>1389</v>
      </c>
      <c r="T1" s="366" t="s">
        <v>1390</v>
      </c>
      <c r="U1" s="366" t="s">
        <v>1391</v>
      </c>
      <c r="V1" s="366" t="s">
        <v>1392</v>
      </c>
      <c r="W1" s="366" t="s">
        <v>1393</v>
      </c>
      <c r="X1" s="366" t="s">
        <v>1394</v>
      </c>
      <c r="Y1" s="366" t="s">
        <v>1395</v>
      </c>
      <c r="Z1" s="366" t="s">
        <v>1396</v>
      </c>
      <c r="AA1" s="366" t="s">
        <v>1397</v>
      </c>
      <c r="AB1" s="366" t="s">
        <v>1214</v>
      </c>
      <c r="AC1" s="366" t="s">
        <v>1398</v>
      </c>
      <c r="AD1" s="366" t="s">
        <v>1215</v>
      </c>
      <c r="AE1" s="366" t="s">
        <v>1399</v>
      </c>
      <c r="AF1" s="366" t="s">
        <v>1400</v>
      </c>
      <c r="AG1" s="366" t="s">
        <v>1401</v>
      </c>
      <c r="AH1" s="366" t="s">
        <v>1402</v>
      </c>
      <c r="AI1" s="366" t="s">
        <v>1403</v>
      </c>
      <c r="AJ1" s="366" t="s">
        <v>1404</v>
      </c>
      <c r="AK1" s="366" t="s">
        <v>1405</v>
      </c>
      <c r="AL1" s="366" t="s">
        <v>1406</v>
      </c>
      <c r="AM1" s="366" t="s">
        <v>1407</v>
      </c>
      <c r="AN1" s="366" t="s">
        <v>1408</v>
      </c>
      <c r="AO1" s="366" t="s">
        <v>1409</v>
      </c>
      <c r="AP1" s="366" t="s">
        <v>1410</v>
      </c>
      <c r="AQ1" s="366" t="s">
        <v>1411</v>
      </c>
      <c r="AR1" s="366" t="s">
        <v>1412</v>
      </c>
      <c r="AS1" s="366" t="s">
        <v>1413</v>
      </c>
      <c r="AT1" s="366" t="s">
        <v>1414</v>
      </c>
      <c r="AU1" s="366" t="s">
        <v>1415</v>
      </c>
      <c r="AV1" s="366" t="s">
        <v>1216</v>
      </c>
      <c r="AW1" s="366" t="s">
        <v>1416</v>
      </c>
      <c r="AX1" s="366" t="s">
        <v>1217</v>
      </c>
      <c r="AY1" s="366" t="s">
        <v>1417</v>
      </c>
      <c r="AZ1" s="366" t="s">
        <v>1418</v>
      </c>
      <c r="BA1" s="366" t="s">
        <v>1419</v>
      </c>
      <c r="BB1" s="366" t="s">
        <v>1420</v>
      </c>
      <c r="BC1" s="366" t="s">
        <v>1421</v>
      </c>
      <c r="BD1" s="366" t="s">
        <v>1422</v>
      </c>
      <c r="BE1" s="366" t="s">
        <v>1423</v>
      </c>
      <c r="BF1" s="366" t="s">
        <v>1424</v>
      </c>
      <c r="BG1" s="366" t="s">
        <v>1425</v>
      </c>
      <c r="BH1" s="366" t="s">
        <v>1426</v>
      </c>
      <c r="BI1" s="366" t="s">
        <v>1427</v>
      </c>
      <c r="BJ1" s="366" t="s">
        <v>1428</v>
      </c>
      <c r="BK1" s="366" t="s">
        <v>1429</v>
      </c>
      <c r="BL1" s="366" t="s">
        <v>1430</v>
      </c>
      <c r="BM1" s="366" t="s">
        <v>1431</v>
      </c>
      <c r="BN1" s="366" t="s">
        <v>1432</v>
      </c>
      <c r="BO1" s="366" t="s">
        <v>1433</v>
      </c>
      <c r="BP1" s="366" t="s">
        <v>1218</v>
      </c>
      <c r="BQ1" s="366" t="s">
        <v>1434</v>
      </c>
      <c r="BR1" s="366" t="s">
        <v>1219</v>
      </c>
      <c r="BS1" s="366" t="s">
        <v>1435</v>
      </c>
      <c r="BT1" s="366" t="s">
        <v>1436</v>
      </c>
      <c r="BU1" s="366" t="s">
        <v>1437</v>
      </c>
      <c r="BV1" s="366" t="s">
        <v>1438</v>
      </c>
      <c r="BW1" s="366" t="s">
        <v>1439</v>
      </c>
      <c r="BX1" s="366" t="s">
        <v>1440</v>
      </c>
      <c r="BY1" s="366" t="s">
        <v>1441</v>
      </c>
      <c r="BZ1" s="366" t="s">
        <v>1442</v>
      </c>
      <c r="CA1" s="366" t="s">
        <v>1443</v>
      </c>
      <c r="CB1" s="366" t="s">
        <v>1220</v>
      </c>
      <c r="CC1" s="366" t="s">
        <v>1444</v>
      </c>
      <c r="CD1" s="366" t="s">
        <v>1445</v>
      </c>
      <c r="CE1" s="366" t="s">
        <v>1446</v>
      </c>
      <c r="CF1" s="366" t="s">
        <v>1447</v>
      </c>
      <c r="CG1" s="366" t="s">
        <v>1448</v>
      </c>
      <c r="CH1" s="366" t="s">
        <v>1449</v>
      </c>
      <c r="CI1" s="366" t="s">
        <v>1450</v>
      </c>
      <c r="CL1" s="372" t="s">
        <v>1378</v>
      </c>
      <c r="CM1" s="372" t="s">
        <v>1211</v>
      </c>
      <c r="CN1" s="372" t="s">
        <v>1194</v>
      </c>
      <c r="CO1" s="372" t="s">
        <v>1226</v>
      </c>
      <c r="CP1" s="372" t="s">
        <v>1227</v>
      </c>
      <c r="CQ1" s="372" t="s">
        <v>1451</v>
      </c>
      <c r="CS1" s="372" t="s">
        <v>1452</v>
      </c>
      <c r="CT1" s="372" t="s">
        <v>1453</v>
      </c>
      <c r="CU1" s="372"/>
      <c r="CV1" s="372" t="s">
        <v>1454</v>
      </c>
      <c r="CW1" s="372" t="s">
        <v>1453</v>
      </c>
      <c r="CX1" s="372" t="s">
        <v>1455</v>
      </c>
      <c r="CY1" s="372" t="s">
        <v>1456</v>
      </c>
    </row>
    <row r="2" spans="1:103">
      <c r="A2" s="366" t="s">
        <v>1457</v>
      </c>
      <c r="B2" s="366" t="s">
        <v>1221</v>
      </c>
      <c r="C2" s="366" t="s">
        <v>1458</v>
      </c>
      <c r="D2" s="366" t="s">
        <v>1194</v>
      </c>
      <c r="E2" s="366" t="s">
        <v>1131</v>
      </c>
      <c r="F2" s="366" t="s">
        <v>1131</v>
      </c>
      <c r="G2" s="366" t="s">
        <v>1222</v>
      </c>
      <c r="H2" s="366">
        <v>146645995.87</v>
      </c>
      <c r="I2" s="366">
        <v>1517233.2</v>
      </c>
      <c r="J2" s="366">
        <v>20439518.899999999</v>
      </c>
      <c r="K2" s="366">
        <v>1549279.75</v>
      </c>
      <c r="L2" s="366">
        <v>123651982.44</v>
      </c>
      <c r="M2" s="366">
        <v>1279331.8500000001</v>
      </c>
      <c r="N2" s="366">
        <v>17234613.309999999</v>
      </c>
      <c r="O2" s="366">
        <v>1306353.52</v>
      </c>
      <c r="P2" s="366">
        <v>142240147.96000001</v>
      </c>
      <c r="Q2" s="366">
        <v>1471649.29</v>
      </c>
      <c r="R2" s="366">
        <v>19825431.82</v>
      </c>
      <c r="S2" s="366">
        <v>1502733.03</v>
      </c>
      <c r="T2" s="366">
        <v>131107009.25</v>
      </c>
      <c r="U2" s="366">
        <v>1356463.27</v>
      </c>
      <c r="V2" s="366">
        <v>18273694.949999999</v>
      </c>
      <c r="W2" s="366">
        <v>1385114.09</v>
      </c>
      <c r="X2" s="366">
        <v>146483621.5</v>
      </c>
      <c r="Y2" s="366">
        <v>1515553.24</v>
      </c>
      <c r="Z2" s="366">
        <v>20416887.16</v>
      </c>
      <c r="AA2" s="366">
        <v>1547564.31</v>
      </c>
      <c r="AB2" s="366">
        <v>141176974.44</v>
      </c>
      <c r="AC2" s="366">
        <v>1460649.45</v>
      </c>
      <c r="AD2" s="366">
        <v>19677246.699999999</v>
      </c>
      <c r="AE2" s="366">
        <v>1491500.85</v>
      </c>
      <c r="AF2" s="366">
        <v>138166876.56999999</v>
      </c>
      <c r="AG2" s="366">
        <v>1429506.28</v>
      </c>
      <c r="AH2" s="366">
        <v>19257699.260000002</v>
      </c>
      <c r="AI2" s="366">
        <v>1459699.89</v>
      </c>
      <c r="AJ2" s="366">
        <v>125207366.44</v>
      </c>
      <c r="AK2" s="366">
        <v>1295424.21</v>
      </c>
      <c r="AL2" s="366">
        <v>17451402.73</v>
      </c>
      <c r="AM2" s="366">
        <v>1322785.78</v>
      </c>
      <c r="AN2" s="366">
        <v>160324833.75999999</v>
      </c>
      <c r="AO2" s="366">
        <v>1658757.6</v>
      </c>
      <c r="AP2" s="366">
        <v>22346075.329999998</v>
      </c>
      <c r="AQ2" s="366">
        <v>1693793.39</v>
      </c>
      <c r="AR2" s="366">
        <v>122982866.62</v>
      </c>
      <c r="AS2" s="366">
        <v>1272409.02</v>
      </c>
      <c r="AT2" s="366">
        <v>17141351.949999999</v>
      </c>
      <c r="AU2" s="366">
        <v>1299284.47</v>
      </c>
      <c r="AV2" s="366">
        <v>160363033.90000001</v>
      </c>
      <c r="AW2" s="366">
        <v>1659152.83</v>
      </c>
      <c r="AX2" s="366">
        <v>22351399.66</v>
      </c>
      <c r="AY2" s="366">
        <v>1694196.97</v>
      </c>
      <c r="AZ2" s="366">
        <v>122583830.04000001</v>
      </c>
      <c r="BA2" s="366">
        <v>1268280.5</v>
      </c>
      <c r="BB2" s="366">
        <v>17085734.23</v>
      </c>
      <c r="BC2" s="366">
        <v>1295068.74</v>
      </c>
      <c r="BD2" s="366">
        <v>105767349.31999999</v>
      </c>
      <c r="BE2" s="366">
        <v>1094293.32</v>
      </c>
      <c r="BF2" s="366">
        <v>14741853.15</v>
      </c>
      <c r="BG2" s="366">
        <v>1117406.6599999999</v>
      </c>
      <c r="BH2" s="366">
        <v>134471590.33000001</v>
      </c>
      <c r="BI2" s="366">
        <v>1391274</v>
      </c>
      <c r="BJ2" s="366">
        <v>18742650.260000002</v>
      </c>
      <c r="BK2" s="366">
        <v>1420660.08</v>
      </c>
      <c r="BL2" s="366">
        <v>136255620.5</v>
      </c>
      <c r="BM2" s="366">
        <v>1409731.99</v>
      </c>
      <c r="BN2" s="366">
        <v>18991308.379999999</v>
      </c>
      <c r="BO2" s="366">
        <v>1439507.93</v>
      </c>
      <c r="BP2" s="366">
        <v>97015873.569999993</v>
      </c>
      <c r="BQ2" s="366">
        <v>1003748.54</v>
      </c>
      <c r="BR2" s="366">
        <v>13522072.460000001</v>
      </c>
      <c r="BS2" s="366">
        <v>1024949.42</v>
      </c>
      <c r="BT2" s="366">
        <v>94453737.870000005</v>
      </c>
      <c r="BU2" s="366">
        <v>977240.1</v>
      </c>
      <c r="BV2" s="366">
        <v>13164961.98</v>
      </c>
      <c r="BW2" s="366">
        <v>997881.07</v>
      </c>
      <c r="BX2" s="366">
        <v>105948850.48999999</v>
      </c>
      <c r="BY2" s="366">
        <v>1096171.18</v>
      </c>
      <c r="BZ2" s="366">
        <v>14767150.779999999</v>
      </c>
      <c r="CA2" s="366">
        <v>1119324.18</v>
      </c>
      <c r="CB2" s="366">
        <v>90526881.459999993</v>
      </c>
      <c r="CC2" s="366">
        <v>936611.94</v>
      </c>
      <c r="CD2" s="366">
        <v>12617636.74</v>
      </c>
      <c r="CE2" s="366">
        <v>956394.78</v>
      </c>
      <c r="CF2" s="366">
        <v>-38.2684259989949</v>
      </c>
      <c r="CG2" s="366">
        <v>-38.268425710694999</v>
      </c>
      <c r="CH2" s="366">
        <v>-38.268425975525297</v>
      </c>
      <c r="CI2" s="366">
        <v>-38.268425699103098</v>
      </c>
      <c r="CL2" s="366" t="s">
        <v>1131</v>
      </c>
      <c r="CM2" s="366" t="s">
        <v>1222</v>
      </c>
      <c r="CN2" s="491">
        <f>SUMIFS(tbl_inventory[CY 2010 Consumed],tbl_inventory[Category Label],CN$1,tbl_inventory[Source Full],$CL2)</f>
        <v>141176974.44</v>
      </c>
      <c r="CO2" s="491">
        <f>SUMIFS(tbl_inventory[CY 2010 Consumed],tbl_inventory[Category Label],CO$1,tbl_inventory[Source Full],$CL2)</f>
        <v>80000147.890000001</v>
      </c>
      <c r="CP2" s="491">
        <f>SUMIFS(tbl_inventory[CY 2010 Consumed],tbl_inventory[Category Label],CP$1,tbl_inventory[Source Full],$CL2)</f>
        <v>18443358</v>
      </c>
      <c r="CQ2" s="491">
        <f t="shared" ref="CQ2:CQ8" si="0">SUM(CN2:CP2)</f>
        <v>239620480.32999998</v>
      </c>
      <c r="CR2" s="539"/>
      <c r="CS2" s="539">
        <v>2196468297</v>
      </c>
      <c r="CT2" s="366" t="s">
        <v>1459</v>
      </c>
      <c r="CU2" s="1259" t="str">
        <f>IF(ROUND(CS2,0)=ROUND(CV2,0),"=","≠")</f>
        <v>≠</v>
      </c>
      <c r="CV2" s="491">
        <f>CQ2*$CT$11</f>
        <v>907060097.10974944</v>
      </c>
      <c r="CW2" s="366" t="s">
        <v>1459</v>
      </c>
      <c r="CX2" s="533">
        <f>36.456/947.817/1000000</f>
        <v>3.8463121045518287E-8</v>
      </c>
      <c r="CY2" s="823">
        <f>CV2*CX2</f>
        <v>34.888362310691868</v>
      </c>
    </row>
    <row r="3" spans="1:103">
      <c r="A3" s="366" t="s">
        <v>1457</v>
      </c>
      <c r="B3" s="366" t="s">
        <v>1221</v>
      </c>
      <c r="C3" s="366" t="s">
        <v>1458</v>
      </c>
      <c r="D3" s="366" t="s">
        <v>1194</v>
      </c>
      <c r="E3" s="366" t="s">
        <v>1132</v>
      </c>
      <c r="F3" s="366" t="s">
        <v>1132</v>
      </c>
      <c r="G3" s="366" t="s">
        <v>1222</v>
      </c>
      <c r="H3" s="366">
        <v>77860780.310000002</v>
      </c>
      <c r="I3" s="366">
        <v>856223.01</v>
      </c>
      <c r="J3" s="366">
        <v>11481350.66</v>
      </c>
      <c r="K3" s="366">
        <v>858049</v>
      </c>
      <c r="L3" s="366">
        <v>65022633.960000001</v>
      </c>
      <c r="M3" s="366">
        <v>715043.89</v>
      </c>
      <c r="N3" s="366">
        <v>9588237.5999999996</v>
      </c>
      <c r="O3" s="366">
        <v>716568.8</v>
      </c>
      <c r="P3" s="366">
        <v>75099917.569999993</v>
      </c>
      <c r="Q3" s="366">
        <v>825862.23</v>
      </c>
      <c r="R3" s="366">
        <v>11074233.85</v>
      </c>
      <c r="S3" s="366">
        <v>827623.47</v>
      </c>
      <c r="T3" s="366">
        <v>64175239.609999999</v>
      </c>
      <c r="U3" s="366">
        <v>705725.23</v>
      </c>
      <c r="V3" s="366">
        <v>9463280.8300000001</v>
      </c>
      <c r="W3" s="366">
        <v>707230.26</v>
      </c>
      <c r="X3" s="366">
        <v>77040974.010000005</v>
      </c>
      <c r="Y3" s="366">
        <v>847207.73</v>
      </c>
      <c r="Z3" s="366">
        <v>11360462.029999999</v>
      </c>
      <c r="AA3" s="366">
        <v>849014.49</v>
      </c>
      <c r="AB3" s="366">
        <v>76167717.239999995</v>
      </c>
      <c r="AC3" s="366">
        <v>837604.66</v>
      </c>
      <c r="AD3" s="366">
        <v>11231691.58</v>
      </c>
      <c r="AE3" s="366">
        <v>839390.94</v>
      </c>
      <c r="AF3" s="366">
        <v>73887257.689999998</v>
      </c>
      <c r="AG3" s="366">
        <v>812526.79</v>
      </c>
      <c r="AH3" s="366">
        <v>10895415.02</v>
      </c>
      <c r="AI3" s="366">
        <v>814259.6</v>
      </c>
      <c r="AJ3" s="366">
        <v>73319446.200000003</v>
      </c>
      <c r="AK3" s="366">
        <v>806282.66</v>
      </c>
      <c r="AL3" s="366">
        <v>10811685.539999999</v>
      </c>
      <c r="AM3" s="366">
        <v>808002.15</v>
      </c>
      <c r="AN3" s="366">
        <v>87782041.069999993</v>
      </c>
      <c r="AO3" s="366">
        <v>965325.59</v>
      </c>
      <c r="AP3" s="366">
        <v>12944339.779999999</v>
      </c>
      <c r="AQ3" s="366">
        <v>967384.25</v>
      </c>
      <c r="AR3" s="366">
        <v>53636327.460000001</v>
      </c>
      <c r="AS3" s="366">
        <v>589830.43000000005</v>
      </c>
      <c r="AT3" s="366">
        <v>7909212.8499999996</v>
      </c>
      <c r="AU3" s="366">
        <v>591088.31000000006</v>
      </c>
      <c r="AV3" s="366">
        <v>94126768.829999998</v>
      </c>
      <c r="AW3" s="366">
        <v>1035097.58</v>
      </c>
      <c r="AX3" s="366">
        <v>13879933.33</v>
      </c>
      <c r="AY3" s="366">
        <v>1037305.04</v>
      </c>
      <c r="AZ3" s="366">
        <v>68898336.480000004</v>
      </c>
      <c r="BA3" s="366">
        <v>757664.4</v>
      </c>
      <c r="BB3" s="366">
        <v>10159748.699999999</v>
      </c>
      <c r="BC3" s="366">
        <v>759280.2</v>
      </c>
      <c r="BD3" s="366">
        <v>73860750.680000007</v>
      </c>
      <c r="BE3" s="366">
        <v>812235.3</v>
      </c>
      <c r="BF3" s="366">
        <v>10891506.300000001</v>
      </c>
      <c r="BG3" s="366">
        <v>813967.48</v>
      </c>
      <c r="BH3" s="366">
        <v>65745104.32</v>
      </c>
      <c r="BI3" s="366">
        <v>722988.79</v>
      </c>
      <c r="BJ3" s="366">
        <v>9694773.0800000001</v>
      </c>
      <c r="BK3" s="366">
        <v>724530.64</v>
      </c>
      <c r="BL3" s="366">
        <v>57086798.880000003</v>
      </c>
      <c r="BM3" s="366">
        <v>627774.74</v>
      </c>
      <c r="BN3" s="366">
        <v>8418019.3599999994</v>
      </c>
      <c r="BO3" s="366">
        <v>629113.54</v>
      </c>
      <c r="BP3" s="366">
        <v>37052732.590000004</v>
      </c>
      <c r="BQ3" s="366">
        <v>407463.19</v>
      </c>
      <c r="BR3" s="366">
        <v>5463795.9500000002</v>
      </c>
      <c r="BS3" s="366">
        <v>408332.15</v>
      </c>
      <c r="BT3" s="366">
        <v>43837331.57</v>
      </c>
      <c r="BU3" s="366">
        <v>482072.38</v>
      </c>
      <c r="BV3" s="366">
        <v>6464252.9100000001</v>
      </c>
      <c r="BW3" s="366">
        <v>483100.46</v>
      </c>
      <c r="BX3" s="366">
        <v>40549909.740000002</v>
      </c>
      <c r="BY3" s="366">
        <v>445921.11</v>
      </c>
      <c r="BZ3" s="366">
        <v>5979489.6900000004</v>
      </c>
      <c r="CA3" s="366">
        <v>446872.09</v>
      </c>
      <c r="CB3" s="366">
        <v>28961810.949999999</v>
      </c>
      <c r="CC3" s="366">
        <v>318488.57</v>
      </c>
      <c r="CD3" s="366">
        <v>4270708.6399999997</v>
      </c>
      <c r="CE3" s="366">
        <v>319167.78999999998</v>
      </c>
      <c r="CF3" s="366">
        <v>-62.803081558276801</v>
      </c>
      <c r="CG3" s="366">
        <v>-62.8030821082465</v>
      </c>
      <c r="CH3" s="366">
        <v>-62.803081567060197</v>
      </c>
      <c r="CI3" s="366">
        <v>-62.803081176016804</v>
      </c>
      <c r="CL3" s="366" t="s">
        <v>1132</v>
      </c>
      <c r="CM3" s="366" t="s">
        <v>1222</v>
      </c>
      <c r="CN3" s="491">
        <f>SUMIFS(tbl_inventory[CY 2010 Consumed],tbl_inventory[Category Label],CN$1,tbl_inventory[Source Full],$CL3)</f>
        <v>76167717.239999995</v>
      </c>
      <c r="CO3" s="491">
        <f>SUMIFS(tbl_inventory[CY 2010 Consumed],tbl_inventory[Category Label],CO$1,tbl_inventory[Source Full],$CL3)</f>
        <v>13594316.91</v>
      </c>
      <c r="CP3" s="491">
        <f>SUMIFS(tbl_inventory[CY 2010 Consumed],tbl_inventory[Category Label],CP$1,tbl_inventory[Source Full],$CL3)</f>
        <v>2928944.33</v>
      </c>
      <c r="CQ3" s="491">
        <f t="shared" si="0"/>
        <v>92690978.479999989</v>
      </c>
      <c r="CR3" s="539"/>
      <c r="CS3" s="539">
        <v>342015072</v>
      </c>
      <c r="CT3" s="366" t="s">
        <v>1459</v>
      </c>
      <c r="CU3" s="1259" t="str">
        <f t="shared" ref="CU3:CU8" si="1">IF(ROUND(CS3,0)=ROUND(CV3,0),"=","≠")</f>
        <v>≠</v>
      </c>
      <c r="CV3" s="491">
        <f>CQ3*$CT$11</f>
        <v>350872712.6557734</v>
      </c>
      <c r="CW3" s="366" t="s">
        <v>1459</v>
      </c>
      <c r="CX3" s="533">
        <f>38.569/947.817/1000000</f>
        <v>4.0692454345089829E-8</v>
      </c>
      <c r="CY3" s="823">
        <f t="shared" ref="CY3:CY8" si="2">CV3*CX3</f>
        <v>14.277871840682881</v>
      </c>
    </row>
    <row r="4" spans="1:103">
      <c r="A4" s="366" t="s">
        <v>1457</v>
      </c>
      <c r="B4" s="366" t="s">
        <v>1221</v>
      </c>
      <c r="C4" s="366" t="s">
        <v>1458</v>
      </c>
      <c r="D4" s="366" t="s">
        <v>1194</v>
      </c>
      <c r="E4" s="366" t="s">
        <v>1133</v>
      </c>
      <c r="F4" s="366" t="s">
        <v>1133</v>
      </c>
      <c r="G4" s="366" t="s">
        <v>1222</v>
      </c>
      <c r="H4" s="366">
        <v>193846082.80000001</v>
      </c>
      <c r="I4" s="366">
        <v>2191841.89</v>
      </c>
      <c r="J4" s="366">
        <v>29367681.539999999</v>
      </c>
      <c r="K4" s="366">
        <v>2196491.29</v>
      </c>
      <c r="L4" s="366">
        <v>163766139.66999999</v>
      </c>
      <c r="M4" s="366">
        <v>1851724.21</v>
      </c>
      <c r="N4" s="366">
        <v>24810570.16</v>
      </c>
      <c r="O4" s="366">
        <v>1855652.14</v>
      </c>
      <c r="P4" s="366">
        <v>203141455.34999999</v>
      </c>
      <c r="Q4" s="366">
        <v>2296945.83</v>
      </c>
      <c r="R4" s="366">
        <v>30775930.48</v>
      </c>
      <c r="S4" s="366">
        <v>2301818.1800000002</v>
      </c>
      <c r="T4" s="366">
        <v>177479668.91999999</v>
      </c>
      <c r="U4" s="366">
        <v>2006784.8</v>
      </c>
      <c r="V4" s="366">
        <v>26888169.84</v>
      </c>
      <c r="W4" s="366">
        <v>2011041.65</v>
      </c>
      <c r="X4" s="366">
        <v>202597911.87</v>
      </c>
      <c r="Y4" s="366">
        <v>2290799.91</v>
      </c>
      <c r="Z4" s="366">
        <v>30693583.649999999</v>
      </c>
      <c r="AA4" s="366">
        <v>2295659.23</v>
      </c>
      <c r="AB4" s="366">
        <v>192084422.87</v>
      </c>
      <c r="AC4" s="366">
        <v>2171922.58</v>
      </c>
      <c r="AD4" s="366">
        <v>29100790.059999999</v>
      </c>
      <c r="AE4" s="366">
        <v>2176529.7200000002</v>
      </c>
      <c r="AF4" s="366">
        <v>180323582.12</v>
      </c>
      <c r="AG4" s="366">
        <v>2038941.28</v>
      </c>
      <c r="AH4" s="366">
        <v>27319022.690000001</v>
      </c>
      <c r="AI4" s="366">
        <v>2043266.34</v>
      </c>
      <c r="AJ4" s="366">
        <v>140702305.15000001</v>
      </c>
      <c r="AK4" s="366">
        <v>1590938.55</v>
      </c>
      <c r="AL4" s="366">
        <v>21316399.23</v>
      </c>
      <c r="AM4" s="366">
        <v>1594313.3</v>
      </c>
      <c r="AN4" s="366">
        <v>104423928.76000001</v>
      </c>
      <c r="AO4" s="366">
        <v>1180734.42</v>
      </c>
      <c r="AP4" s="366">
        <v>15820225.210000001</v>
      </c>
      <c r="AQ4" s="366">
        <v>1183239.02</v>
      </c>
      <c r="AR4" s="366">
        <v>27329254.41</v>
      </c>
      <c r="AS4" s="366">
        <v>309015.3</v>
      </c>
      <c r="AT4" s="366">
        <v>4140382.04</v>
      </c>
      <c r="AU4" s="366">
        <v>309670.78999999998</v>
      </c>
      <c r="AV4" s="366">
        <v>12693209.119999999</v>
      </c>
      <c r="AW4" s="366">
        <v>143523.70000000001</v>
      </c>
      <c r="AX4" s="366">
        <v>1923021.18</v>
      </c>
      <c r="AY4" s="366">
        <v>143828.15</v>
      </c>
      <c r="AZ4" s="366">
        <v>1699774.58</v>
      </c>
      <c r="BA4" s="366">
        <v>19219.560000000001</v>
      </c>
      <c r="BB4" s="366">
        <v>257515.85</v>
      </c>
      <c r="BC4" s="366">
        <v>19260.330000000002</v>
      </c>
      <c r="BD4" s="366">
        <v>939792.25</v>
      </c>
      <c r="BE4" s="366">
        <v>10626.35</v>
      </c>
      <c r="BF4" s="366">
        <v>142378.53</v>
      </c>
      <c r="BG4" s="366">
        <v>10648.89</v>
      </c>
      <c r="BH4" s="366">
        <v>4255989.21</v>
      </c>
      <c r="BI4" s="366">
        <v>48123</v>
      </c>
      <c r="BJ4" s="366">
        <v>644782.37</v>
      </c>
      <c r="BK4" s="366">
        <v>48225.08</v>
      </c>
      <c r="BL4" s="366">
        <v>0</v>
      </c>
      <c r="BM4" s="366">
        <v>0</v>
      </c>
      <c r="BN4" s="366">
        <v>0</v>
      </c>
      <c r="BO4" s="366">
        <v>0</v>
      </c>
      <c r="BP4" s="366">
        <v>0</v>
      </c>
      <c r="BQ4" s="366">
        <v>0</v>
      </c>
      <c r="BR4" s="366">
        <v>0</v>
      </c>
      <c r="BS4" s="366">
        <v>0</v>
      </c>
      <c r="BT4" s="366">
        <v>0</v>
      </c>
      <c r="BU4" s="366">
        <v>0</v>
      </c>
      <c r="BV4" s="366">
        <v>0</v>
      </c>
      <c r="BW4" s="366">
        <v>0</v>
      </c>
      <c r="BX4" s="366">
        <v>0</v>
      </c>
      <c r="BY4" s="366">
        <v>0</v>
      </c>
      <c r="BZ4" s="366">
        <v>0</v>
      </c>
      <c r="CA4" s="366">
        <v>0</v>
      </c>
      <c r="CB4" s="366">
        <v>0</v>
      </c>
      <c r="CC4" s="366">
        <v>0</v>
      </c>
      <c r="CD4" s="366">
        <v>0</v>
      </c>
      <c r="CE4" s="366">
        <v>0</v>
      </c>
      <c r="CF4" s="366">
        <v>-100</v>
      </c>
      <c r="CG4" s="366">
        <v>-100</v>
      </c>
      <c r="CH4" s="366">
        <v>-100</v>
      </c>
      <c r="CI4" s="366">
        <v>-100</v>
      </c>
      <c r="CL4" s="366" t="s">
        <v>1133</v>
      </c>
      <c r="CM4" s="366" t="s">
        <v>1222</v>
      </c>
      <c r="CN4" s="491">
        <f>SUMIFS(tbl_inventory[CY 2010 Consumed],tbl_inventory[Category Label],CN$1,tbl_inventory[Source Full],$CL4)</f>
        <v>192084422.87</v>
      </c>
      <c r="CO4" s="491">
        <f>SUMIFS(tbl_inventory[CY 2010 Consumed],tbl_inventory[Category Label],CO$1,tbl_inventory[Source Full],$CL4)</f>
        <v>23570677.219999999</v>
      </c>
      <c r="CP4" s="491">
        <f>SUMIFS(tbl_inventory[CY 2010 Consumed],tbl_inventory[Category Label],CP$1,tbl_inventory[Source Full],$CL4)</f>
        <v>1820082.68</v>
      </c>
      <c r="CQ4" s="491">
        <f t="shared" si="0"/>
        <v>217475182.77000001</v>
      </c>
      <c r="CR4" s="539"/>
      <c r="CS4" s="539">
        <v>949937922</v>
      </c>
      <c r="CT4" s="366" t="s">
        <v>1459</v>
      </c>
      <c r="CU4" s="1259" t="str">
        <f t="shared" si="1"/>
        <v>≠</v>
      </c>
      <c r="CV4" s="491">
        <f>CQ4*$CT$11</f>
        <v>823231220.18055558</v>
      </c>
      <c r="CW4" s="366" t="s">
        <v>1459</v>
      </c>
      <c r="CX4" s="533">
        <f>39.626/947.817/1000000</f>
        <v>4.1807648522868859E-8</v>
      </c>
      <c r="CY4" s="823">
        <f t="shared" si="2"/>
        <v>34.417361506361132</v>
      </c>
    </row>
    <row r="5" spans="1:103">
      <c r="A5" s="366" t="s">
        <v>1457</v>
      </c>
      <c r="B5" s="366" t="s">
        <v>1221</v>
      </c>
      <c r="C5" s="366" t="s">
        <v>1458</v>
      </c>
      <c r="D5" s="366" t="s">
        <v>1194</v>
      </c>
      <c r="E5" s="366" t="s">
        <v>1134</v>
      </c>
      <c r="F5" s="366" t="s">
        <v>1134</v>
      </c>
      <c r="G5" s="366" t="s">
        <v>1222</v>
      </c>
      <c r="H5" s="366">
        <v>719495.07</v>
      </c>
      <c r="I5" s="366">
        <v>4.7699999999999996</v>
      </c>
      <c r="J5" s="366">
        <v>93016.320000000007</v>
      </c>
      <c r="K5" s="366">
        <v>10.14</v>
      </c>
      <c r="L5" s="366">
        <v>1490342.87</v>
      </c>
      <c r="M5" s="366">
        <v>9.89</v>
      </c>
      <c r="N5" s="366">
        <v>192671.53</v>
      </c>
      <c r="O5" s="366">
        <v>21.01</v>
      </c>
      <c r="P5" s="366">
        <v>1745069.88</v>
      </c>
      <c r="Q5" s="366">
        <v>11.58</v>
      </c>
      <c r="R5" s="366">
        <v>225602.63</v>
      </c>
      <c r="S5" s="366">
        <v>24.6</v>
      </c>
      <c r="T5" s="366">
        <v>1421342.93</v>
      </c>
      <c r="U5" s="366">
        <v>9.43</v>
      </c>
      <c r="V5" s="366">
        <v>183751.21</v>
      </c>
      <c r="W5" s="366">
        <v>20.04</v>
      </c>
      <c r="X5" s="366">
        <v>2148484.42</v>
      </c>
      <c r="Y5" s="366">
        <v>14.26</v>
      </c>
      <c r="Z5" s="366">
        <v>277756.07</v>
      </c>
      <c r="AA5" s="366">
        <v>30.29</v>
      </c>
      <c r="AB5" s="366">
        <v>1433903.4</v>
      </c>
      <c r="AC5" s="366">
        <v>9.52</v>
      </c>
      <c r="AD5" s="366">
        <v>185375.03</v>
      </c>
      <c r="AE5" s="366">
        <v>20.22</v>
      </c>
      <c r="AF5" s="366">
        <v>2338460.09</v>
      </c>
      <c r="AG5" s="366">
        <v>15.52</v>
      </c>
      <c r="AH5" s="366">
        <v>302316.12</v>
      </c>
      <c r="AI5" s="366">
        <v>32.97</v>
      </c>
      <c r="AJ5" s="366">
        <v>7018076.6200000001</v>
      </c>
      <c r="AK5" s="366">
        <v>46.57</v>
      </c>
      <c r="AL5" s="366">
        <v>907296.95</v>
      </c>
      <c r="AM5" s="366">
        <v>98.94</v>
      </c>
      <c r="AN5" s="366">
        <v>10050483.630000001</v>
      </c>
      <c r="AO5" s="366">
        <v>66.7</v>
      </c>
      <c r="AP5" s="366">
        <v>1299326.52</v>
      </c>
      <c r="AQ5" s="366">
        <v>141.69</v>
      </c>
      <c r="AR5" s="366">
        <v>6760601.4900000002</v>
      </c>
      <c r="AS5" s="366">
        <v>44.86</v>
      </c>
      <c r="AT5" s="366">
        <v>874010.56</v>
      </c>
      <c r="AU5" s="366">
        <v>95.31</v>
      </c>
      <c r="AV5" s="366">
        <v>8794187.2599999998</v>
      </c>
      <c r="AW5" s="366">
        <v>58.36</v>
      </c>
      <c r="AX5" s="366">
        <v>1136912.53</v>
      </c>
      <c r="AY5" s="366">
        <v>123.98</v>
      </c>
      <c r="AZ5" s="366">
        <v>7388132.7199999997</v>
      </c>
      <c r="BA5" s="366">
        <v>49.03</v>
      </c>
      <c r="BB5" s="366">
        <v>955137.8</v>
      </c>
      <c r="BC5" s="366">
        <v>104.16</v>
      </c>
      <c r="BD5" s="366">
        <v>11668446.98</v>
      </c>
      <c r="BE5" s="366">
        <v>77.430000000000007</v>
      </c>
      <c r="BF5" s="366">
        <v>1508496.83</v>
      </c>
      <c r="BG5" s="366">
        <v>164.5</v>
      </c>
      <c r="BH5" s="366">
        <v>14552092.1</v>
      </c>
      <c r="BI5" s="366">
        <v>96.57</v>
      </c>
      <c r="BJ5" s="366">
        <v>1881294.47</v>
      </c>
      <c r="BK5" s="366">
        <v>205.16</v>
      </c>
      <c r="BL5" s="366">
        <v>16147022.789999999</v>
      </c>
      <c r="BM5" s="366">
        <v>107.15</v>
      </c>
      <c r="BN5" s="366">
        <v>2087487.11</v>
      </c>
      <c r="BO5" s="366">
        <v>227.64</v>
      </c>
      <c r="BP5" s="366">
        <v>14509638.810000001</v>
      </c>
      <c r="BQ5" s="366">
        <v>96.29</v>
      </c>
      <c r="BR5" s="366">
        <v>1875806.11</v>
      </c>
      <c r="BS5" s="366">
        <v>204.56</v>
      </c>
      <c r="BT5" s="366">
        <v>12062335.43</v>
      </c>
      <c r="BU5" s="366">
        <v>80.05</v>
      </c>
      <c r="BV5" s="366">
        <v>1559418.72</v>
      </c>
      <c r="BW5" s="366">
        <v>170.05</v>
      </c>
      <c r="BX5" s="366">
        <v>12529004.93</v>
      </c>
      <c r="BY5" s="366">
        <v>83.14</v>
      </c>
      <c r="BZ5" s="366">
        <v>1619749.76</v>
      </c>
      <c r="CA5" s="366">
        <v>176.63</v>
      </c>
      <c r="CB5" s="366">
        <v>10860701.640000001</v>
      </c>
      <c r="CC5" s="366">
        <v>72.069999999999993</v>
      </c>
      <c r="CD5" s="366">
        <v>1404071.51</v>
      </c>
      <c r="CE5" s="366">
        <v>153.11000000000001</v>
      </c>
      <c r="CF5" s="366">
        <v>1409.4893756534</v>
      </c>
      <c r="CG5" s="366">
        <v>1410.9014675052399</v>
      </c>
      <c r="CH5" s="366">
        <v>1409.4894207812099</v>
      </c>
      <c r="CI5" s="366">
        <v>1409.96055226824</v>
      </c>
      <c r="CL5" s="366" t="s">
        <v>1134</v>
      </c>
      <c r="CM5" s="366" t="s">
        <v>1222</v>
      </c>
      <c r="CN5" s="491">
        <f>SUMIFS(tbl_inventory[CY 2010 Consumed],tbl_inventory[Category Label],CN$1,tbl_inventory[Source Full],$CL5)</f>
        <v>1433903.4</v>
      </c>
      <c r="CO5" s="491">
        <f>SUMIFS(tbl_inventory[CY 2010 Consumed],tbl_inventory[Category Label],CO$1,tbl_inventory[Source Full],$CL5)</f>
        <v>360953.92</v>
      </c>
      <c r="CP5" s="491">
        <f>SUMIFS(tbl_inventory[CY 2010 Consumed],tbl_inventory[Category Label],CP$1,tbl_inventory[Source Full],$CL5)</f>
        <v>64077.02</v>
      </c>
      <c r="CQ5" s="491">
        <f t="shared" si="0"/>
        <v>1858934.3399999999</v>
      </c>
      <c r="CR5" s="539"/>
      <c r="CS5" s="539"/>
      <c r="CT5" s="366" t="s">
        <v>1459</v>
      </c>
      <c r="CU5" s="1259" t="str">
        <f t="shared" si="1"/>
        <v>≠</v>
      </c>
      <c r="CV5" s="491">
        <f>CQ5*$CT$11</f>
        <v>7036815.7205882352</v>
      </c>
      <c r="CW5" s="366" t="s">
        <v>1459</v>
      </c>
      <c r="CX5" s="533">
        <f t="shared" ref="CX5" si="3">36.456/947.817/1000000</f>
        <v>3.8463121045518287E-8</v>
      </c>
      <c r="CY5" s="823">
        <f t="shared" si="2"/>
        <v>0.27065789483599129</v>
      </c>
    </row>
    <row r="6" spans="1:103">
      <c r="A6" s="366" t="s">
        <v>1457</v>
      </c>
      <c r="B6" s="366" t="s">
        <v>1221</v>
      </c>
      <c r="C6" s="366" t="s">
        <v>1458</v>
      </c>
      <c r="D6" s="366" t="s">
        <v>1194</v>
      </c>
      <c r="E6" s="366" t="s">
        <v>636</v>
      </c>
      <c r="F6" s="366" t="s">
        <v>636</v>
      </c>
      <c r="G6" s="366" t="s">
        <v>1223</v>
      </c>
      <c r="H6" s="366">
        <v>14168364733.940001</v>
      </c>
      <c r="I6" s="366">
        <v>7062392.25</v>
      </c>
      <c r="J6" s="366">
        <v>123273274.2</v>
      </c>
      <c r="K6" s="366">
        <v>7072258.4199999999</v>
      </c>
      <c r="L6" s="366">
        <v>13052549911.67</v>
      </c>
      <c r="M6" s="366">
        <v>5484899.71</v>
      </c>
      <c r="N6" s="366">
        <v>113565015.76000001</v>
      </c>
      <c r="O6" s="366">
        <v>5491717.5800000001</v>
      </c>
      <c r="P6" s="366">
        <v>13631341906.219999</v>
      </c>
      <c r="Q6" s="366">
        <v>5783449.9900000002</v>
      </c>
      <c r="R6" s="366">
        <v>118600853.39</v>
      </c>
      <c r="S6" s="366">
        <v>5790642.8399999999</v>
      </c>
      <c r="T6" s="366">
        <v>14479576692</v>
      </c>
      <c r="U6" s="366">
        <v>5513528.7599999998</v>
      </c>
      <c r="V6" s="366">
        <v>125981004.97</v>
      </c>
      <c r="W6" s="366">
        <v>5520314.0300000003</v>
      </c>
      <c r="X6" s="366">
        <v>15017935746</v>
      </c>
      <c r="Y6" s="366">
        <v>5026654.97</v>
      </c>
      <c r="Z6" s="366">
        <v>130665051.75</v>
      </c>
      <c r="AA6" s="366">
        <v>5032723.57</v>
      </c>
      <c r="AB6" s="366">
        <v>16246085145.17</v>
      </c>
      <c r="AC6" s="366">
        <v>5550464.21</v>
      </c>
      <c r="AD6" s="366">
        <v>141350688.41</v>
      </c>
      <c r="AE6" s="366">
        <v>5556983.4100000001</v>
      </c>
      <c r="AF6" s="366">
        <v>16163973377.1</v>
      </c>
      <c r="AG6" s="366">
        <v>5008080.66</v>
      </c>
      <c r="AH6" s="366">
        <v>140636266.75999999</v>
      </c>
      <c r="AI6" s="366">
        <v>5013439.3099999996</v>
      </c>
      <c r="AJ6" s="366">
        <v>15962572177.07</v>
      </c>
      <c r="AK6" s="366">
        <v>5197671.05</v>
      </c>
      <c r="AL6" s="366">
        <v>138883955.47999999</v>
      </c>
      <c r="AM6" s="366">
        <v>5203579.95</v>
      </c>
      <c r="AN6" s="366">
        <v>15658135234.5</v>
      </c>
      <c r="AO6" s="366">
        <v>4669269.4800000004</v>
      </c>
      <c r="AP6" s="366">
        <v>136235171.41999999</v>
      </c>
      <c r="AQ6" s="366">
        <v>4674446.04</v>
      </c>
      <c r="AR6" s="366">
        <v>15056362253.459999</v>
      </c>
      <c r="AS6" s="366">
        <v>4918186.75</v>
      </c>
      <c r="AT6" s="366">
        <v>130999385.42</v>
      </c>
      <c r="AU6" s="366">
        <v>4923891.43</v>
      </c>
      <c r="AV6" s="366">
        <v>15705500653.280001</v>
      </c>
      <c r="AW6" s="366">
        <v>5011573.3</v>
      </c>
      <c r="AX6" s="366">
        <v>136647278.97999999</v>
      </c>
      <c r="AY6" s="366">
        <v>5017412.8499999996</v>
      </c>
      <c r="AZ6" s="366">
        <v>15452546914.5</v>
      </c>
      <c r="BA6" s="366">
        <v>4959918.07</v>
      </c>
      <c r="BB6" s="366">
        <v>134446429.68000001</v>
      </c>
      <c r="BC6" s="366">
        <v>4965705.5</v>
      </c>
      <c r="BD6" s="366">
        <v>15430213717.66</v>
      </c>
      <c r="BE6" s="366">
        <v>4325717.2699999996</v>
      </c>
      <c r="BF6" s="366">
        <v>134252117.47</v>
      </c>
      <c r="BG6" s="366">
        <v>4330435.8899999997</v>
      </c>
      <c r="BH6" s="366">
        <v>15882302313.65</v>
      </c>
      <c r="BI6" s="366">
        <v>4883633.6100000003</v>
      </c>
      <c r="BJ6" s="366">
        <v>138185559.50999999</v>
      </c>
      <c r="BK6" s="366">
        <v>4889074.9800000004</v>
      </c>
      <c r="BL6" s="366">
        <v>15414984037.68</v>
      </c>
      <c r="BM6" s="366">
        <v>4463262.21</v>
      </c>
      <c r="BN6" s="366">
        <v>134119610.12</v>
      </c>
      <c r="BO6" s="366">
        <v>4467911.41</v>
      </c>
      <c r="BP6" s="366">
        <v>14577247613.58</v>
      </c>
      <c r="BQ6" s="366">
        <v>4598867.6399999997</v>
      </c>
      <c r="BR6" s="366">
        <v>126830800.59</v>
      </c>
      <c r="BS6" s="366">
        <v>4225100.12</v>
      </c>
      <c r="BT6" s="366">
        <v>14622450805.549999</v>
      </c>
      <c r="BU6" s="366">
        <v>4939971.32</v>
      </c>
      <c r="BV6" s="366">
        <v>127224095.48</v>
      </c>
      <c r="BW6" s="366">
        <v>4238201.91</v>
      </c>
      <c r="BX6" s="366">
        <v>14487223970.25</v>
      </c>
      <c r="BY6" s="366">
        <v>5355894.5999999996</v>
      </c>
      <c r="BZ6" s="366">
        <v>126047540.88</v>
      </c>
      <c r="CA6" s="366">
        <v>5361386.05</v>
      </c>
      <c r="CB6" s="366">
        <v>14214533568.309999</v>
      </c>
      <c r="CC6" s="366">
        <v>5257590.7300000004</v>
      </c>
      <c r="CD6" s="366">
        <v>123674970.76000001</v>
      </c>
      <c r="CE6" s="366">
        <v>5260469.6500000004</v>
      </c>
      <c r="CF6" s="366">
        <v>0.32585859580112703</v>
      </c>
      <c r="CG6" s="366">
        <v>-25.5551016725246</v>
      </c>
      <c r="CH6" s="366">
        <v>0.32585859555274299</v>
      </c>
      <c r="CI6" s="366">
        <v>-25.618248972299298</v>
      </c>
      <c r="CL6" s="366" t="s">
        <v>636</v>
      </c>
      <c r="CM6" s="366" t="s">
        <v>1223</v>
      </c>
      <c r="CN6" s="491">
        <f>SUMIFS(tbl_inventory[CY 2010 Consumed],tbl_inventory[Category Label],CN$1,tbl_inventory[Source Full],$CL6)</f>
        <v>16246085145.17</v>
      </c>
      <c r="CO6" s="491">
        <f>SUMIFS(tbl_inventory[CY 2010 Consumed],tbl_inventory[Category Label],CO$1,tbl_inventory[Source Full],$CL6)</f>
        <v>25179409288.110001</v>
      </c>
      <c r="CP6" s="491">
        <f>SUMIFS(tbl_inventory[CY 2010 Consumed],tbl_inventory[Category Label],CP$1,tbl_inventory[Source Full],$CL6)</f>
        <v>8873552676.7099991</v>
      </c>
      <c r="CQ6" s="491">
        <f t="shared" si="0"/>
        <v>50299047109.989998</v>
      </c>
      <c r="CR6" s="539"/>
      <c r="CS6" s="539">
        <v>178090456</v>
      </c>
      <c r="CT6" s="366" t="s">
        <v>1230</v>
      </c>
      <c r="CU6" s="1259" t="str">
        <f t="shared" si="1"/>
        <v>≠</v>
      </c>
      <c r="CV6" s="491">
        <f>CQ6*CT11/1000</f>
        <v>190402166.34772903</v>
      </c>
      <c r="CW6" s="366" t="s">
        <v>1230</v>
      </c>
      <c r="CX6" s="366">
        <f>1/1000000</f>
        <v>9.9999999999999995E-7</v>
      </c>
      <c r="CY6" s="823">
        <f t="shared" si="2"/>
        <v>190.40216634772901</v>
      </c>
    </row>
    <row r="7" spans="1:103">
      <c r="A7" s="366" t="s">
        <v>1457</v>
      </c>
      <c r="B7" s="366" t="s">
        <v>1221</v>
      </c>
      <c r="C7" s="366" t="s">
        <v>1458</v>
      </c>
      <c r="D7" s="366" t="s">
        <v>1194</v>
      </c>
      <c r="E7" s="366" t="s">
        <v>637</v>
      </c>
      <c r="F7" s="366" t="s">
        <v>637</v>
      </c>
      <c r="G7" s="366" t="s">
        <v>1224</v>
      </c>
      <c r="H7" s="366">
        <v>164840051823.53</v>
      </c>
      <c r="I7" s="366">
        <v>8983129.5600000005</v>
      </c>
      <c r="J7" s="366">
        <v>177582187.83000001</v>
      </c>
      <c r="K7" s="366">
        <v>8992179.1199999992</v>
      </c>
      <c r="L7" s="366">
        <v>156690514277.53</v>
      </c>
      <c r="M7" s="366">
        <v>8539012.0600000005</v>
      </c>
      <c r="N7" s="366">
        <v>168802691.03</v>
      </c>
      <c r="O7" s="366">
        <v>8547614.2200000007</v>
      </c>
      <c r="P7" s="366">
        <v>172612235260.26001</v>
      </c>
      <c r="Q7" s="366">
        <v>9406682.7599999998</v>
      </c>
      <c r="R7" s="366">
        <v>185955161.05000001</v>
      </c>
      <c r="S7" s="366">
        <v>9416159</v>
      </c>
      <c r="T7" s="366">
        <v>140712584224.39999</v>
      </c>
      <c r="U7" s="366">
        <v>7668278.2000000002</v>
      </c>
      <c r="V7" s="366">
        <v>151589666.97999999</v>
      </c>
      <c r="W7" s="366">
        <v>7676003.1799999997</v>
      </c>
      <c r="X7" s="366">
        <v>138210347563.95999</v>
      </c>
      <c r="Y7" s="366">
        <v>7531916.21</v>
      </c>
      <c r="Z7" s="366">
        <v>148894007.43000001</v>
      </c>
      <c r="AA7" s="366">
        <v>7539503.8200000003</v>
      </c>
      <c r="AB7" s="366">
        <v>156854670084.42001</v>
      </c>
      <c r="AC7" s="366">
        <v>8547957.9000000004</v>
      </c>
      <c r="AD7" s="366">
        <v>168979536.08000001</v>
      </c>
      <c r="AE7" s="366">
        <v>8556569.0700000003</v>
      </c>
      <c r="AF7" s="366">
        <v>163122617151.32999</v>
      </c>
      <c r="AG7" s="366">
        <v>8889536.1799999997</v>
      </c>
      <c r="AH7" s="366">
        <v>175731995.46000001</v>
      </c>
      <c r="AI7" s="366">
        <v>8898491.4499999993</v>
      </c>
      <c r="AJ7" s="366">
        <v>147155810320.07001</v>
      </c>
      <c r="AK7" s="366">
        <v>8019408.4800000004</v>
      </c>
      <c r="AL7" s="366">
        <v>158530954.46000001</v>
      </c>
      <c r="AM7" s="366">
        <v>8027487.1900000004</v>
      </c>
      <c r="AN7" s="366">
        <v>75385413471.509995</v>
      </c>
      <c r="AO7" s="366">
        <v>4108206.28</v>
      </c>
      <c r="AP7" s="366">
        <v>81212705.930000007</v>
      </c>
      <c r="AQ7" s="366">
        <v>4112344.87</v>
      </c>
      <c r="AR7" s="366">
        <v>180249523909.04001</v>
      </c>
      <c r="AS7" s="366">
        <v>9822884.7200000007</v>
      </c>
      <c r="AT7" s="366">
        <v>194182812.11000001</v>
      </c>
      <c r="AU7" s="366">
        <v>9832780.2400000002</v>
      </c>
      <c r="AV7" s="366">
        <v>177354752086.89999</v>
      </c>
      <c r="AW7" s="366">
        <v>9665131.1300000008</v>
      </c>
      <c r="AX7" s="366">
        <v>191064274.41999999</v>
      </c>
      <c r="AY7" s="366">
        <v>9674867.7300000004</v>
      </c>
      <c r="AZ7" s="366">
        <v>190288200910.23001</v>
      </c>
      <c r="BA7" s="366">
        <v>10369952.84</v>
      </c>
      <c r="BB7" s="366">
        <v>204997478.84</v>
      </c>
      <c r="BC7" s="366">
        <v>10380399.470000001</v>
      </c>
      <c r="BD7" s="366">
        <v>181809058825.62</v>
      </c>
      <c r="BE7" s="366">
        <v>9907873.1999999993</v>
      </c>
      <c r="BF7" s="366">
        <v>195862899.06999999</v>
      </c>
      <c r="BG7" s="366">
        <v>9917854.3300000001</v>
      </c>
      <c r="BH7" s="366">
        <v>193033693881.09</v>
      </c>
      <c r="BI7" s="366">
        <v>10519571.32</v>
      </c>
      <c r="BJ7" s="366">
        <v>207955198.41999999</v>
      </c>
      <c r="BK7" s="366">
        <v>10530168.68</v>
      </c>
      <c r="BL7" s="366">
        <v>188512555543.60001</v>
      </c>
      <c r="BM7" s="366">
        <v>10273187.199999999</v>
      </c>
      <c r="BN7" s="366">
        <v>203084576.09</v>
      </c>
      <c r="BO7" s="366">
        <v>10283536.35</v>
      </c>
      <c r="BP7" s="366">
        <v>179289161755.73001</v>
      </c>
      <c r="BQ7" s="366">
        <v>9770548.7899999991</v>
      </c>
      <c r="BR7" s="366">
        <v>193148213.96000001</v>
      </c>
      <c r="BS7" s="366">
        <v>9780391.5899999999</v>
      </c>
      <c r="BT7" s="366">
        <v>177712778152.26999</v>
      </c>
      <c r="BU7" s="366">
        <v>9684642.1300000008</v>
      </c>
      <c r="BV7" s="366">
        <v>191449975.90000001</v>
      </c>
      <c r="BW7" s="366">
        <v>9694398.3900000006</v>
      </c>
      <c r="BX7" s="366">
        <v>182986680771.07999</v>
      </c>
      <c r="BY7" s="366">
        <v>9972048.9299999997</v>
      </c>
      <c r="BZ7" s="366">
        <v>197131551.19</v>
      </c>
      <c r="CA7" s="366">
        <v>9982094.7100000009</v>
      </c>
      <c r="CB7" s="366">
        <v>228307193527.51999</v>
      </c>
      <c r="CC7" s="366">
        <v>12441837.27</v>
      </c>
      <c r="CD7" s="366">
        <v>245955339.59</v>
      </c>
      <c r="CE7" s="366">
        <v>12454371.1</v>
      </c>
      <c r="CF7" s="366">
        <v>38.502257795899602</v>
      </c>
      <c r="CG7" s="366">
        <v>38.502257892404202</v>
      </c>
      <c r="CH7" s="366">
        <v>38.502257797079203</v>
      </c>
      <c r="CI7" s="366">
        <v>38.502257726378602</v>
      </c>
      <c r="CL7" s="366" t="s">
        <v>637</v>
      </c>
      <c r="CM7" s="366" t="s">
        <v>1224</v>
      </c>
      <c r="CN7" s="491">
        <f>SUMIFS(tbl_inventory[CY 2010 Consumed],tbl_inventory[Category Label],CN$1,tbl_inventory[Source Full],$CL7)</f>
        <v>156854670084.42001</v>
      </c>
      <c r="CO7" s="491">
        <f>SUMIFS(tbl_inventory[CY 2010 Consumed],tbl_inventory[Category Label],CO$1,tbl_inventory[Source Full],$CL7)</f>
        <v>88813852860.940002</v>
      </c>
      <c r="CP7" s="491">
        <f>SUMIFS(tbl_inventory[CY 2010 Consumed],tbl_inventory[Category Label],CP$1,tbl_inventory[Source Full],$CL7)</f>
        <v>21058714673.400002</v>
      </c>
      <c r="CQ7" s="491">
        <f t="shared" si="0"/>
        <v>266727237618.76001</v>
      </c>
      <c r="CR7" s="539"/>
      <c r="CS7" s="539">
        <v>271992112</v>
      </c>
      <c r="CT7" s="366" t="s">
        <v>1230</v>
      </c>
      <c r="CU7" s="1259" t="str">
        <f t="shared" si="1"/>
        <v>≠</v>
      </c>
      <c r="CV7" s="491">
        <f>CQ7*CT13</f>
        <v>288728885.21396828</v>
      </c>
      <c r="CW7" s="366" t="s">
        <v>1230</v>
      </c>
      <c r="CX7" s="366">
        <f>1/1000000</f>
        <v>9.9999999999999995E-7</v>
      </c>
      <c r="CY7" s="823">
        <f t="shared" si="2"/>
        <v>288.72888521396828</v>
      </c>
    </row>
    <row r="8" spans="1:103">
      <c r="A8" s="366" t="s">
        <v>1457</v>
      </c>
      <c r="B8" s="366" t="s">
        <v>1221</v>
      </c>
      <c r="C8" s="366" t="s">
        <v>1458</v>
      </c>
      <c r="D8" s="366" t="s">
        <v>1194</v>
      </c>
      <c r="E8" s="366" t="s">
        <v>1124</v>
      </c>
      <c r="F8" s="366" t="s">
        <v>1124</v>
      </c>
      <c r="G8" s="366" t="s">
        <v>1225</v>
      </c>
      <c r="H8" s="366">
        <v>1998982583.6700001</v>
      </c>
      <c r="I8" s="366">
        <v>332184.37</v>
      </c>
      <c r="J8" s="366">
        <v>6314357.9400000004</v>
      </c>
      <c r="K8" s="366">
        <v>332750.46000000002</v>
      </c>
      <c r="L8" s="366">
        <v>1977435937.02</v>
      </c>
      <c r="M8" s="366">
        <v>263348.01</v>
      </c>
      <c r="N8" s="366">
        <v>6246296.7000000002</v>
      </c>
      <c r="O8" s="366">
        <v>263783.40999999997</v>
      </c>
      <c r="P8" s="366">
        <v>1956570687.99</v>
      </c>
      <c r="Q8" s="366">
        <v>270334.63</v>
      </c>
      <c r="R8" s="366">
        <v>6180387.8399999999</v>
      </c>
      <c r="S8" s="366">
        <v>270783.03000000003</v>
      </c>
      <c r="T8" s="366">
        <v>2815676055.5700002</v>
      </c>
      <c r="U8" s="366">
        <v>372766.47</v>
      </c>
      <c r="V8" s="366">
        <v>8894117.7400000002</v>
      </c>
      <c r="W8" s="366">
        <v>373356.24</v>
      </c>
      <c r="X8" s="366">
        <v>2699100715.1999998</v>
      </c>
      <c r="Y8" s="366">
        <v>385545.34</v>
      </c>
      <c r="Z8" s="366">
        <v>8525881.1999999993</v>
      </c>
      <c r="AA8" s="366">
        <v>386165.87</v>
      </c>
      <c r="AB8" s="366">
        <v>2684576093.9200001</v>
      </c>
      <c r="AC8" s="366">
        <v>329461.96000000002</v>
      </c>
      <c r="AD8" s="366">
        <v>8480001.0299999993</v>
      </c>
      <c r="AE8" s="366">
        <v>329959.76</v>
      </c>
      <c r="AF8" s="366">
        <v>2630897883.4699998</v>
      </c>
      <c r="AG8" s="366">
        <v>323152.48</v>
      </c>
      <c r="AH8" s="366">
        <v>8310443.0599999996</v>
      </c>
      <c r="AI8" s="366">
        <v>323601</v>
      </c>
      <c r="AJ8" s="366">
        <v>2487032107.5300002</v>
      </c>
      <c r="AK8" s="366">
        <v>255848.71</v>
      </c>
      <c r="AL8" s="366">
        <v>7856001.8799999999</v>
      </c>
      <c r="AM8" s="366">
        <v>256182.93</v>
      </c>
      <c r="AN8" s="366">
        <v>2914003579</v>
      </c>
      <c r="AO8" s="366">
        <v>306013.71000000002</v>
      </c>
      <c r="AP8" s="366">
        <v>9204713.3300000001</v>
      </c>
      <c r="AQ8" s="366">
        <v>306397.73</v>
      </c>
      <c r="AR8" s="366">
        <v>2914003579</v>
      </c>
      <c r="AS8" s="366">
        <v>322747.39</v>
      </c>
      <c r="AT8" s="366">
        <v>9204713.3300000001</v>
      </c>
      <c r="AU8" s="366">
        <v>323116.46999999997</v>
      </c>
      <c r="AV8" s="366">
        <v>2671762179.8800001</v>
      </c>
      <c r="AW8" s="366">
        <v>286275.78999999998</v>
      </c>
      <c r="AX8" s="366">
        <v>8439524.6199999992</v>
      </c>
      <c r="AY8" s="366">
        <v>286607.28000000003</v>
      </c>
      <c r="AZ8" s="366">
        <v>2733212560.5100002</v>
      </c>
      <c r="BA8" s="366">
        <v>270735.03999999998</v>
      </c>
      <c r="BB8" s="366">
        <v>8633633.2100000009</v>
      </c>
      <c r="BC8" s="366">
        <v>271021.73</v>
      </c>
      <c r="BD8" s="366">
        <v>2713815385.9000001</v>
      </c>
      <c r="BE8" s="366">
        <v>250272.68</v>
      </c>
      <c r="BF8" s="366">
        <v>8572361.6899999995</v>
      </c>
      <c r="BG8" s="366">
        <v>250537.58</v>
      </c>
      <c r="BH8" s="366">
        <v>2987013020.1599998</v>
      </c>
      <c r="BI8" s="366">
        <v>315407.28000000003</v>
      </c>
      <c r="BJ8" s="366">
        <v>9435334.5199999996</v>
      </c>
      <c r="BK8" s="366">
        <v>315749.64</v>
      </c>
      <c r="BL8" s="366">
        <v>2800861783.1199999</v>
      </c>
      <c r="BM8" s="366">
        <v>285366.27</v>
      </c>
      <c r="BN8" s="366">
        <v>8847322.6199999992</v>
      </c>
      <c r="BO8" s="366">
        <v>285665.71999999997</v>
      </c>
      <c r="BP8" s="366">
        <v>2405299009.1599998</v>
      </c>
      <c r="BQ8" s="366">
        <v>201181.7</v>
      </c>
      <c r="BR8" s="366">
        <v>7597824.5199999996</v>
      </c>
      <c r="BS8" s="366">
        <v>245321.45</v>
      </c>
      <c r="BT8" s="366">
        <v>2259731654.3200002</v>
      </c>
      <c r="BU8" s="366">
        <v>190070.66</v>
      </c>
      <c r="BV8" s="366">
        <v>7138008.4199999999</v>
      </c>
      <c r="BW8" s="366">
        <v>230474.73</v>
      </c>
      <c r="BX8" s="366">
        <v>2269367374.3200002</v>
      </c>
      <c r="BY8" s="366">
        <v>215190.85</v>
      </c>
      <c r="BZ8" s="366">
        <v>7168445.5899999999</v>
      </c>
      <c r="CA8" s="366">
        <v>215421.59</v>
      </c>
      <c r="CB8" s="366">
        <v>2061282884.6300001</v>
      </c>
      <c r="CC8" s="366">
        <v>177882.62</v>
      </c>
      <c r="CD8" s="366">
        <v>6511151.25</v>
      </c>
      <c r="CE8" s="366">
        <v>178062.73</v>
      </c>
      <c r="CF8" s="366">
        <v>3.11660048811535</v>
      </c>
      <c r="CG8" s="366">
        <v>-46.450635230068201</v>
      </c>
      <c r="CH8" s="366">
        <v>3.1166004821069699</v>
      </c>
      <c r="CI8" s="366">
        <v>-46.4876081613832</v>
      </c>
      <c r="CL8" s="366" t="s">
        <v>1124</v>
      </c>
      <c r="CM8" s="366" t="s">
        <v>1225</v>
      </c>
      <c r="CN8" s="491">
        <f>SUMIFS(tbl_inventory[CY 2010 Consumed],tbl_inventory[Category Label],CN$1,tbl_inventory[Source Full],$CL8)</f>
        <v>2684576093.9200001</v>
      </c>
      <c r="CO8" s="491">
        <f>SUMIFS(tbl_inventory[CY 2010 Consumed],tbl_inventory[Category Label],CO$1,tbl_inventory[Source Full],$CL8)</f>
        <v>6065635918.1099997</v>
      </c>
      <c r="CP8" s="491">
        <f>SUMIFS(tbl_inventory[CY 2010 Consumed],tbl_inventory[Category Label],CP$1,tbl_inventory[Source Full],$CL8)</f>
        <v>1819690775.4300001</v>
      </c>
      <c r="CQ8" s="491">
        <f t="shared" si="0"/>
        <v>10569902787.459999</v>
      </c>
      <c r="CR8" s="539"/>
      <c r="CS8" s="539">
        <v>10569902787</v>
      </c>
      <c r="CT8" s="366" t="s">
        <v>1225</v>
      </c>
      <c r="CU8" s="1259" t="str">
        <f t="shared" si="1"/>
        <v>=</v>
      </c>
      <c r="CV8" s="491">
        <f>CQ8</f>
        <v>10569902787.459999</v>
      </c>
      <c r="CW8" s="366" t="s">
        <v>1225</v>
      </c>
      <c r="CX8" s="366">
        <f>2.632/947.817/1000000</f>
        <v>2.7769073565888779E-9</v>
      </c>
      <c r="CY8" s="823">
        <f t="shared" si="2"/>
        <v>29.351640808926959</v>
      </c>
    </row>
    <row r="9" spans="1:103">
      <c r="A9" s="366" t="s">
        <v>1460</v>
      </c>
      <c r="B9" s="366" t="s">
        <v>1221</v>
      </c>
      <c r="C9" s="366" t="s">
        <v>1458</v>
      </c>
      <c r="D9" s="366" t="s">
        <v>1194</v>
      </c>
      <c r="E9" s="366" t="s">
        <v>1461</v>
      </c>
      <c r="F9" s="366" t="s">
        <v>1461</v>
      </c>
      <c r="G9" s="366" t="s">
        <v>1223</v>
      </c>
      <c r="H9" s="366">
        <v>14168364733.940001</v>
      </c>
      <c r="I9" s="366">
        <v>0</v>
      </c>
      <c r="J9" s="366">
        <v>123273274.2</v>
      </c>
      <c r="K9" s="366">
        <v>4456021.92</v>
      </c>
      <c r="L9" s="366">
        <v>13052549911.67</v>
      </c>
      <c r="M9" s="366">
        <v>0</v>
      </c>
      <c r="N9" s="366">
        <v>113565015.76000001</v>
      </c>
      <c r="O9" s="366">
        <v>4914887.28</v>
      </c>
      <c r="P9" s="366">
        <v>13631341906.219999</v>
      </c>
      <c r="Q9" s="366">
        <v>0</v>
      </c>
      <c r="R9" s="366">
        <v>118600853.39</v>
      </c>
      <c r="S9" s="366">
        <v>4602297.1900000004</v>
      </c>
      <c r="T9" s="366">
        <v>14479576692</v>
      </c>
      <c r="U9" s="366">
        <v>0</v>
      </c>
      <c r="V9" s="366">
        <v>125981004.97</v>
      </c>
      <c r="W9" s="366">
        <v>4888683.41</v>
      </c>
      <c r="X9" s="366">
        <v>15017935746</v>
      </c>
      <c r="Y9" s="366">
        <v>0</v>
      </c>
      <c r="Z9" s="366">
        <v>130665051.75</v>
      </c>
      <c r="AA9" s="366">
        <v>4738704.45</v>
      </c>
      <c r="AB9" s="366">
        <v>16246085145.17</v>
      </c>
      <c r="AC9" s="366">
        <v>0</v>
      </c>
      <c r="AD9" s="366">
        <v>141350688.41</v>
      </c>
      <c r="AE9" s="366">
        <v>4984262.03</v>
      </c>
      <c r="AF9" s="366">
        <v>16163973377.1</v>
      </c>
      <c r="AG9" s="366">
        <v>0</v>
      </c>
      <c r="AH9" s="366">
        <v>140636266.75999999</v>
      </c>
      <c r="AI9" s="366">
        <v>5285034.33</v>
      </c>
      <c r="AJ9" s="366">
        <v>15962572177.07</v>
      </c>
      <c r="AK9" s="366">
        <v>0</v>
      </c>
      <c r="AL9" s="366">
        <v>138883955.47999999</v>
      </c>
      <c r="AM9" s="366">
        <v>5096071.92</v>
      </c>
      <c r="AN9" s="366">
        <v>15658135234.5</v>
      </c>
      <c r="AO9" s="366">
        <v>0</v>
      </c>
      <c r="AP9" s="366">
        <v>136235171.41999999</v>
      </c>
      <c r="AQ9" s="366">
        <v>4447711.9000000004</v>
      </c>
      <c r="AR9" s="366">
        <v>15056362253.459999</v>
      </c>
      <c r="AS9" s="366">
        <v>0</v>
      </c>
      <c r="AT9" s="366">
        <v>130999385.42</v>
      </c>
      <c r="AU9" s="366">
        <v>4003023.64</v>
      </c>
      <c r="AV9" s="366">
        <v>15705500653.280001</v>
      </c>
      <c r="AW9" s="366">
        <v>0</v>
      </c>
      <c r="AX9" s="366">
        <v>136647278.97999999</v>
      </c>
      <c r="AY9" s="366">
        <v>3839976.28</v>
      </c>
      <c r="AZ9" s="366">
        <v>15452546914.5</v>
      </c>
      <c r="BA9" s="366">
        <v>0</v>
      </c>
      <c r="BB9" s="366">
        <v>134446429.68000001</v>
      </c>
      <c r="BC9" s="366">
        <v>3768715.62</v>
      </c>
      <c r="BD9" s="366">
        <v>15430213717.66</v>
      </c>
      <c r="BE9" s="366">
        <v>0</v>
      </c>
      <c r="BF9" s="366">
        <v>134252117.47</v>
      </c>
      <c r="BG9" s="366">
        <v>3269048.97</v>
      </c>
      <c r="BH9" s="366">
        <v>15882302313.65</v>
      </c>
      <c r="BI9" s="366">
        <v>0</v>
      </c>
      <c r="BJ9" s="366">
        <v>138185559.50999999</v>
      </c>
      <c r="BK9" s="366">
        <v>3474193.93</v>
      </c>
      <c r="BL9" s="366">
        <v>15414984037.68</v>
      </c>
      <c r="BM9" s="366">
        <v>0</v>
      </c>
      <c r="BN9" s="366">
        <v>134119610.12</v>
      </c>
      <c r="BO9" s="366">
        <v>3332479.84</v>
      </c>
      <c r="BP9" s="366">
        <v>14577247613.58</v>
      </c>
      <c r="BQ9" s="366">
        <v>0</v>
      </c>
      <c r="BR9" s="366">
        <v>126830800.59</v>
      </c>
      <c r="BS9" s="366">
        <v>3151374.25</v>
      </c>
      <c r="BT9" s="366">
        <v>14622450805.549999</v>
      </c>
      <c r="BU9" s="366">
        <v>0</v>
      </c>
      <c r="BV9" s="366">
        <v>127224095.48</v>
      </c>
      <c r="BW9" s="366">
        <v>3161146.47</v>
      </c>
      <c r="BX9" s="366">
        <v>14487223970.25</v>
      </c>
      <c r="BY9" s="366">
        <v>0</v>
      </c>
      <c r="BZ9" s="366">
        <v>126047540.88</v>
      </c>
      <c r="CA9" s="366">
        <v>4130793.39</v>
      </c>
      <c r="CB9" s="366">
        <v>14214533568.309999</v>
      </c>
      <c r="CC9" s="366">
        <v>0</v>
      </c>
      <c r="CD9" s="366">
        <v>123674970.76000001</v>
      </c>
      <c r="CE9" s="366">
        <v>4093715.58</v>
      </c>
      <c r="CF9" s="366">
        <v>0.32585859580112703</v>
      </c>
      <c r="CG9" s="366">
        <v>0</v>
      </c>
      <c r="CH9" s="366">
        <v>0.32585859555274299</v>
      </c>
      <c r="CI9" s="366">
        <v>-8.1307126963145606</v>
      </c>
      <c r="CK9"/>
      <c r="CL9"/>
      <c r="CM9"/>
      <c r="CN9"/>
      <c r="CO9"/>
      <c r="CP9"/>
      <c r="CQ9"/>
      <c r="CR9"/>
      <c r="CS9"/>
      <c r="CT9"/>
      <c r="CU9"/>
      <c r="CV9"/>
    </row>
    <row r="10" spans="1:103">
      <c r="A10" s="366" t="s">
        <v>1460</v>
      </c>
      <c r="B10" s="366" t="s">
        <v>1221</v>
      </c>
      <c r="C10" s="366" t="s">
        <v>1458</v>
      </c>
      <c r="D10" s="366" t="s">
        <v>1194</v>
      </c>
      <c r="E10" s="366" t="s">
        <v>1462</v>
      </c>
      <c r="F10" s="366" t="s">
        <v>1462</v>
      </c>
      <c r="G10" s="366" t="s">
        <v>1225</v>
      </c>
      <c r="H10" s="366">
        <v>1998982583.6700001</v>
      </c>
      <c r="I10" s="366">
        <v>0</v>
      </c>
      <c r="J10" s="366">
        <v>6314357.9400000004</v>
      </c>
      <c r="K10" s="366">
        <v>94468.23</v>
      </c>
      <c r="L10" s="366">
        <v>1977435937.02</v>
      </c>
      <c r="M10" s="366">
        <v>0</v>
      </c>
      <c r="N10" s="366">
        <v>6246296.7000000002</v>
      </c>
      <c r="O10" s="366">
        <v>208052.11</v>
      </c>
      <c r="P10" s="366">
        <v>1956570687.99</v>
      </c>
      <c r="Q10" s="366">
        <v>0</v>
      </c>
      <c r="R10" s="366">
        <v>6180387.8399999999</v>
      </c>
      <c r="S10" s="366">
        <v>202445.35</v>
      </c>
      <c r="T10" s="366">
        <v>2815676055.5700002</v>
      </c>
      <c r="U10" s="366">
        <v>0</v>
      </c>
      <c r="V10" s="366">
        <v>8894117.7400000002</v>
      </c>
      <c r="W10" s="366">
        <v>303381.65000000002</v>
      </c>
      <c r="X10" s="366">
        <v>2699100715.1999998</v>
      </c>
      <c r="Y10" s="366">
        <v>0</v>
      </c>
      <c r="Z10" s="366">
        <v>8525881.1999999993</v>
      </c>
      <c r="AA10" s="366">
        <v>271586.65999999997</v>
      </c>
      <c r="AB10" s="366">
        <v>2684576093.9200001</v>
      </c>
      <c r="AC10" s="366">
        <v>0</v>
      </c>
      <c r="AD10" s="366">
        <v>8480001.0299999993</v>
      </c>
      <c r="AE10" s="366">
        <v>262811.8</v>
      </c>
      <c r="AF10" s="366">
        <v>2630897883.4699998</v>
      </c>
      <c r="AG10" s="366">
        <v>0</v>
      </c>
      <c r="AH10" s="366">
        <v>8310443.0599999996</v>
      </c>
      <c r="AI10" s="366">
        <v>291844.78999999998</v>
      </c>
      <c r="AJ10" s="366">
        <v>2487032107.5300002</v>
      </c>
      <c r="AK10" s="366">
        <v>0</v>
      </c>
      <c r="AL10" s="366">
        <v>7856001.8799999999</v>
      </c>
      <c r="AM10" s="366">
        <v>229890.97</v>
      </c>
      <c r="AN10" s="366">
        <v>2914003579</v>
      </c>
      <c r="AO10" s="366">
        <v>0</v>
      </c>
      <c r="AP10" s="366">
        <v>9204713.3300000001</v>
      </c>
      <c r="AQ10" s="366">
        <v>296142.28000000003</v>
      </c>
      <c r="AR10" s="366">
        <v>2914003579</v>
      </c>
      <c r="AS10" s="366">
        <v>0</v>
      </c>
      <c r="AT10" s="366">
        <v>9204713.3300000001</v>
      </c>
      <c r="AU10" s="366">
        <v>279229.67</v>
      </c>
      <c r="AV10" s="366">
        <v>2671762179.8800001</v>
      </c>
      <c r="AW10" s="366">
        <v>0</v>
      </c>
      <c r="AX10" s="366">
        <v>8439524.6199999992</v>
      </c>
      <c r="AY10" s="366">
        <v>226973.5</v>
      </c>
      <c r="AZ10" s="366">
        <v>2733212560.5100002</v>
      </c>
      <c r="BA10" s="366">
        <v>0</v>
      </c>
      <c r="BB10" s="366">
        <v>8633633.2100000009</v>
      </c>
      <c r="BC10" s="366">
        <v>232356.97</v>
      </c>
      <c r="BD10" s="366">
        <v>2713815385.9000001</v>
      </c>
      <c r="BE10" s="366">
        <v>0</v>
      </c>
      <c r="BF10" s="366">
        <v>8572361.6899999995</v>
      </c>
      <c r="BG10" s="366">
        <v>197198.52</v>
      </c>
      <c r="BH10" s="366">
        <v>2987013020.1599998</v>
      </c>
      <c r="BI10" s="366">
        <v>0</v>
      </c>
      <c r="BJ10" s="366">
        <v>9435334.5199999996</v>
      </c>
      <c r="BK10" s="366">
        <v>231680.1</v>
      </c>
      <c r="BL10" s="366">
        <v>2800861783.1199999</v>
      </c>
      <c r="BM10" s="366">
        <v>0</v>
      </c>
      <c r="BN10" s="366">
        <v>8847322.6199999992</v>
      </c>
      <c r="BO10" s="366">
        <v>212347.91</v>
      </c>
      <c r="BP10" s="366">
        <v>2405299009.1599998</v>
      </c>
      <c r="BQ10" s="366">
        <v>0</v>
      </c>
      <c r="BR10" s="366">
        <v>7597824.5199999996</v>
      </c>
      <c r="BS10" s="366">
        <v>182358.23</v>
      </c>
      <c r="BT10" s="366">
        <v>2259731654.3200002</v>
      </c>
      <c r="BU10" s="366">
        <v>0</v>
      </c>
      <c r="BV10" s="366">
        <v>7138008.4199999999</v>
      </c>
      <c r="BW10" s="366">
        <v>171322.01</v>
      </c>
      <c r="BX10" s="366">
        <v>2269367374.3200002</v>
      </c>
      <c r="BY10" s="366">
        <v>0</v>
      </c>
      <c r="BZ10" s="366">
        <v>7168445.5899999999</v>
      </c>
      <c r="CA10" s="366">
        <v>154878.28</v>
      </c>
      <c r="CB10" s="366">
        <v>2061282884.6300001</v>
      </c>
      <c r="CC10" s="366">
        <v>0</v>
      </c>
      <c r="CD10" s="366">
        <v>6511151.25</v>
      </c>
      <c r="CE10" s="366">
        <v>136902.04999999999</v>
      </c>
      <c r="CF10" s="366">
        <v>3.11660048811535</v>
      </c>
      <c r="CG10" s="366">
        <v>0</v>
      </c>
      <c r="CH10" s="366">
        <v>3.1166004821069699</v>
      </c>
      <c r="CI10" s="366">
        <v>44.918614437890902</v>
      </c>
      <c r="CK10"/>
      <c r="CL10"/>
      <c r="CM10"/>
      <c r="CN10"/>
      <c r="CO10"/>
      <c r="CP10"/>
      <c r="CQ10"/>
      <c r="CR10"/>
      <c r="CS10"/>
      <c r="CT10"/>
      <c r="CU10"/>
      <c r="CV10"/>
    </row>
    <row r="11" spans="1:103">
      <c r="A11" s="366" t="s">
        <v>1460</v>
      </c>
      <c r="B11" s="366" t="s">
        <v>1221</v>
      </c>
      <c r="C11" s="366" t="s">
        <v>1458</v>
      </c>
      <c r="D11" s="366" t="s">
        <v>1194</v>
      </c>
      <c r="E11" s="366" t="s">
        <v>1463</v>
      </c>
      <c r="F11" s="366" t="s">
        <v>1463</v>
      </c>
      <c r="G11" s="366" t="s">
        <v>1224</v>
      </c>
      <c r="H11" s="366">
        <v>164840051823.53</v>
      </c>
      <c r="I11" s="366">
        <v>0</v>
      </c>
      <c r="J11" s="366">
        <v>177582187.83000001</v>
      </c>
      <c r="K11" s="366">
        <v>7128793.7699999996</v>
      </c>
      <c r="L11" s="366">
        <v>156690514277.53</v>
      </c>
      <c r="M11" s="366">
        <v>0</v>
      </c>
      <c r="N11" s="366">
        <v>168802691.03</v>
      </c>
      <c r="O11" s="366">
        <v>6776352.8899999997</v>
      </c>
      <c r="P11" s="366">
        <v>172612235260.26001</v>
      </c>
      <c r="Q11" s="366">
        <v>0</v>
      </c>
      <c r="R11" s="366">
        <v>185955161.05000001</v>
      </c>
      <c r="S11" s="366">
        <v>7464915.3200000003</v>
      </c>
      <c r="T11" s="366">
        <v>140712584224.39999</v>
      </c>
      <c r="U11" s="366">
        <v>0</v>
      </c>
      <c r="V11" s="366">
        <v>151589666.97999999</v>
      </c>
      <c r="W11" s="366">
        <v>6085359.6100000003</v>
      </c>
      <c r="X11" s="366">
        <v>138210347563.95999</v>
      </c>
      <c r="Y11" s="366">
        <v>0</v>
      </c>
      <c r="Z11" s="366">
        <v>148894007.43000001</v>
      </c>
      <c r="AA11" s="366">
        <v>5977146.0499999998</v>
      </c>
      <c r="AB11" s="366">
        <v>156854670084.42001</v>
      </c>
      <c r="AC11" s="366">
        <v>0</v>
      </c>
      <c r="AD11" s="366">
        <v>168979536.08000001</v>
      </c>
      <c r="AE11" s="366">
        <v>6783452.0999999996</v>
      </c>
      <c r="AF11" s="366">
        <v>163122617151.32999</v>
      </c>
      <c r="AG11" s="366">
        <v>0</v>
      </c>
      <c r="AH11" s="366">
        <v>175731995.46000001</v>
      </c>
      <c r="AI11" s="366">
        <v>7054520.3300000001</v>
      </c>
      <c r="AJ11" s="366">
        <v>147155810320.07001</v>
      </c>
      <c r="AK11" s="366">
        <v>0</v>
      </c>
      <c r="AL11" s="366">
        <v>158530954.46000001</v>
      </c>
      <c r="AM11" s="366">
        <v>6364008.0899999999</v>
      </c>
      <c r="AN11" s="366">
        <v>75385413471.509995</v>
      </c>
      <c r="AO11" s="366">
        <v>0</v>
      </c>
      <c r="AP11" s="366">
        <v>81212705.930000007</v>
      </c>
      <c r="AQ11" s="366">
        <v>3260172.88</v>
      </c>
      <c r="AR11" s="366">
        <v>180249523909.04001</v>
      </c>
      <c r="AS11" s="366">
        <v>0</v>
      </c>
      <c r="AT11" s="366">
        <v>194182812.11000001</v>
      </c>
      <c r="AU11" s="366">
        <v>7795203.0999999996</v>
      </c>
      <c r="AV11" s="366">
        <v>177354752086.89999</v>
      </c>
      <c r="AW11" s="366">
        <v>0</v>
      </c>
      <c r="AX11" s="366">
        <v>191064274.41999999</v>
      </c>
      <c r="AY11" s="366">
        <v>7670013.6799999997</v>
      </c>
      <c r="AZ11" s="366">
        <v>190288200910.23001</v>
      </c>
      <c r="BA11" s="366">
        <v>0</v>
      </c>
      <c r="BB11" s="366">
        <v>204997478.84</v>
      </c>
      <c r="BC11" s="366">
        <v>8229343.0899999999</v>
      </c>
      <c r="BD11" s="366">
        <v>181809058825.62</v>
      </c>
      <c r="BE11" s="366">
        <v>0</v>
      </c>
      <c r="BF11" s="366">
        <v>195862899.06999999</v>
      </c>
      <c r="BG11" s="366">
        <v>7862647.8899999997</v>
      </c>
      <c r="BH11" s="366">
        <v>193033693881.09</v>
      </c>
      <c r="BI11" s="366">
        <v>0</v>
      </c>
      <c r="BJ11" s="366">
        <v>207955198.41999999</v>
      </c>
      <c r="BK11" s="366">
        <v>8348076.6900000004</v>
      </c>
      <c r="BL11" s="366">
        <v>188512555543.60001</v>
      </c>
      <c r="BM11" s="366">
        <v>0</v>
      </c>
      <c r="BN11" s="366">
        <v>203084576.09</v>
      </c>
      <c r="BO11" s="366">
        <v>8152552.2300000004</v>
      </c>
      <c r="BP11" s="366">
        <v>179289161755.73001</v>
      </c>
      <c r="BQ11" s="366">
        <v>0</v>
      </c>
      <c r="BR11" s="366">
        <v>193148213.96000001</v>
      </c>
      <c r="BS11" s="366">
        <v>7753670.5800000001</v>
      </c>
      <c r="BT11" s="366">
        <v>177712778152.26999</v>
      </c>
      <c r="BU11" s="366">
        <v>0</v>
      </c>
      <c r="BV11" s="366">
        <v>191449975.90000001</v>
      </c>
      <c r="BW11" s="366">
        <v>7685497.1299999999</v>
      </c>
      <c r="BX11" s="366">
        <v>182986680771.07999</v>
      </c>
      <c r="BY11" s="366">
        <v>0</v>
      </c>
      <c r="BZ11" s="366">
        <v>197131551.19</v>
      </c>
      <c r="CA11" s="366">
        <v>7913576.2000000002</v>
      </c>
      <c r="CB11" s="366">
        <v>228307193527.51999</v>
      </c>
      <c r="CC11" s="366">
        <v>0</v>
      </c>
      <c r="CD11" s="366">
        <v>245955339.59</v>
      </c>
      <c r="CE11" s="366">
        <v>9873540.3300000001</v>
      </c>
      <c r="CF11" s="366">
        <v>38.502257795899602</v>
      </c>
      <c r="CG11" s="366">
        <v>0</v>
      </c>
      <c r="CH11" s="366">
        <v>38.502257797079203</v>
      </c>
      <c r="CI11" s="366">
        <v>38.502257865147897</v>
      </c>
      <c r="CK11"/>
      <c r="CL11"/>
      <c r="CM11"/>
      <c r="CN11"/>
      <c r="CO11"/>
      <c r="CP11"/>
      <c r="CQ11"/>
      <c r="CR11"/>
      <c r="CS11" s="366" t="s">
        <v>1464</v>
      </c>
      <c r="CT11" s="366">
        <f>139/36.72</f>
        <v>3.7854030501089326</v>
      </c>
      <c r="CU11"/>
      <c r="CV11"/>
    </row>
    <row r="12" spans="1:103">
      <c r="A12" s="366" t="s">
        <v>1460</v>
      </c>
      <c r="B12" s="366" t="s">
        <v>1221</v>
      </c>
      <c r="C12" s="366" t="s">
        <v>1458</v>
      </c>
      <c r="D12" s="366" t="s">
        <v>1194</v>
      </c>
      <c r="E12" s="366" t="s">
        <v>1465</v>
      </c>
      <c r="F12" s="366" t="s">
        <v>1465</v>
      </c>
      <c r="G12" s="366" t="s">
        <v>1224</v>
      </c>
      <c r="H12" s="366">
        <v>164840051823.53</v>
      </c>
      <c r="I12" s="366">
        <v>0</v>
      </c>
      <c r="J12" s="366">
        <v>177582187.83000001</v>
      </c>
      <c r="K12" s="366">
        <v>1015584.67</v>
      </c>
      <c r="L12" s="366">
        <v>156690514277.53</v>
      </c>
      <c r="M12" s="366">
        <v>0</v>
      </c>
      <c r="N12" s="366">
        <v>168802691.03</v>
      </c>
      <c r="O12" s="366">
        <v>965375.12</v>
      </c>
      <c r="P12" s="366">
        <v>172612235260.26001</v>
      </c>
      <c r="Q12" s="366">
        <v>0</v>
      </c>
      <c r="R12" s="366">
        <v>185955161.05000001</v>
      </c>
      <c r="S12" s="366">
        <v>1063469.3400000001</v>
      </c>
      <c r="T12" s="366">
        <v>140712584224.39999</v>
      </c>
      <c r="U12" s="366">
        <v>0</v>
      </c>
      <c r="V12" s="366">
        <v>151589666.97999999</v>
      </c>
      <c r="W12" s="366">
        <v>866934.6</v>
      </c>
      <c r="X12" s="366">
        <v>138210347563.95999</v>
      </c>
      <c r="Y12" s="366">
        <v>0</v>
      </c>
      <c r="Z12" s="366">
        <v>148894007.43000001</v>
      </c>
      <c r="AA12" s="366">
        <v>851518.24</v>
      </c>
      <c r="AB12" s="366">
        <v>156854670084.42001</v>
      </c>
      <c r="AC12" s="366">
        <v>0</v>
      </c>
      <c r="AD12" s="366">
        <v>168979536.08000001</v>
      </c>
      <c r="AE12" s="366">
        <v>966386.49</v>
      </c>
      <c r="AF12" s="366">
        <v>163122617151.32999</v>
      </c>
      <c r="AG12" s="366">
        <v>0</v>
      </c>
      <c r="AH12" s="366">
        <v>175731995.46000001</v>
      </c>
      <c r="AI12" s="366">
        <v>1005003.51</v>
      </c>
      <c r="AJ12" s="366">
        <v>147155810320.07001</v>
      </c>
      <c r="AK12" s="366">
        <v>0</v>
      </c>
      <c r="AL12" s="366">
        <v>158530954.46000001</v>
      </c>
      <c r="AM12" s="366">
        <v>906631.51</v>
      </c>
      <c r="AN12" s="366">
        <v>75385413471.509995</v>
      </c>
      <c r="AO12" s="366">
        <v>0</v>
      </c>
      <c r="AP12" s="366">
        <v>81212705.930000007</v>
      </c>
      <c r="AQ12" s="366">
        <v>464451.87</v>
      </c>
      <c r="AR12" s="366">
        <v>180249523909.04001</v>
      </c>
      <c r="AS12" s="366">
        <v>0</v>
      </c>
      <c r="AT12" s="366">
        <v>194182812.11000001</v>
      </c>
      <c r="AU12" s="366">
        <v>1110522.9099999999</v>
      </c>
      <c r="AV12" s="366">
        <v>177354752086.89999</v>
      </c>
      <c r="AW12" s="366">
        <v>0</v>
      </c>
      <c r="AX12" s="366">
        <v>191064274.41999999</v>
      </c>
      <c r="AY12" s="366">
        <v>1092688.1299999999</v>
      </c>
      <c r="AZ12" s="366">
        <v>190288200910.23001</v>
      </c>
      <c r="BA12" s="366">
        <v>0</v>
      </c>
      <c r="BB12" s="366">
        <v>204997478.84</v>
      </c>
      <c r="BC12" s="366">
        <v>1172371.51</v>
      </c>
      <c r="BD12" s="366">
        <v>181809058825.62</v>
      </c>
      <c r="BE12" s="366">
        <v>0</v>
      </c>
      <c r="BF12" s="366">
        <v>195862899.06999999</v>
      </c>
      <c r="BG12" s="366">
        <v>1120131.25</v>
      </c>
      <c r="BH12" s="366">
        <v>193033693881.09</v>
      </c>
      <c r="BI12" s="366">
        <v>0</v>
      </c>
      <c r="BJ12" s="366">
        <v>207955198.41999999</v>
      </c>
      <c r="BK12" s="366">
        <v>1189286.58</v>
      </c>
      <c r="BL12" s="366">
        <v>188512555543.60001</v>
      </c>
      <c r="BM12" s="366">
        <v>0</v>
      </c>
      <c r="BN12" s="366">
        <v>203084576.09</v>
      </c>
      <c r="BO12" s="366">
        <v>1161431.7</v>
      </c>
      <c r="BP12" s="366">
        <v>179289161755.73001</v>
      </c>
      <c r="BQ12" s="366">
        <v>0</v>
      </c>
      <c r="BR12" s="366">
        <v>193148213.96000001</v>
      </c>
      <c r="BS12" s="366">
        <v>1104606.0900000001</v>
      </c>
      <c r="BT12" s="366">
        <v>177712778152.26999</v>
      </c>
      <c r="BU12" s="366">
        <v>0</v>
      </c>
      <c r="BV12" s="366">
        <v>191449975.90000001</v>
      </c>
      <c r="BW12" s="366">
        <v>1094893.94</v>
      </c>
      <c r="BX12" s="366">
        <v>182986680771.07999</v>
      </c>
      <c r="BY12" s="366">
        <v>0</v>
      </c>
      <c r="BZ12" s="366">
        <v>197131551.19</v>
      </c>
      <c r="CA12" s="366">
        <v>1127386.6200000001</v>
      </c>
      <c r="CB12" s="366">
        <v>228307193527.51999</v>
      </c>
      <c r="CC12" s="366">
        <v>0</v>
      </c>
      <c r="CD12" s="366">
        <v>245955339.59</v>
      </c>
      <c r="CE12" s="366">
        <v>1406607.7</v>
      </c>
      <c r="CF12" s="366">
        <v>38.502257795899602</v>
      </c>
      <c r="CG12" s="366">
        <v>0</v>
      </c>
      <c r="CH12" s="366">
        <v>38.502257797079203</v>
      </c>
      <c r="CI12" s="366">
        <v>38.502258014587802</v>
      </c>
      <c r="CK12"/>
      <c r="CL12"/>
      <c r="CM12"/>
      <c r="CN12"/>
      <c r="CO12"/>
      <c r="CP12"/>
      <c r="CQ12"/>
      <c r="CR12"/>
      <c r="CS12" s="366" t="s">
        <v>1466</v>
      </c>
      <c r="CT12" s="366">
        <f>3.412/947.817</f>
        <v>3.5998510260946996E-3</v>
      </c>
      <c r="CU12"/>
      <c r="CV12"/>
    </row>
    <row r="13" spans="1:103">
      <c r="A13" s="366" t="s">
        <v>1457</v>
      </c>
      <c r="B13" s="366" t="s">
        <v>1221</v>
      </c>
      <c r="C13" s="366" t="s">
        <v>1467</v>
      </c>
      <c r="D13" s="366" t="s">
        <v>1226</v>
      </c>
      <c r="E13" s="366" t="s">
        <v>1131</v>
      </c>
      <c r="F13" s="366" t="s">
        <v>1131</v>
      </c>
      <c r="G13" s="366" t="s">
        <v>1222</v>
      </c>
      <c r="H13" s="366">
        <v>83099254.700000003</v>
      </c>
      <c r="I13" s="366">
        <v>859764</v>
      </c>
      <c r="J13" s="366">
        <v>11582374.119999999</v>
      </c>
      <c r="K13" s="366">
        <v>877923.68</v>
      </c>
      <c r="L13" s="366">
        <v>70069336.170000002</v>
      </c>
      <c r="M13" s="366">
        <v>724953.47</v>
      </c>
      <c r="N13" s="366">
        <v>9766264.0800000001</v>
      </c>
      <c r="O13" s="366">
        <v>740265.72</v>
      </c>
      <c r="P13" s="366">
        <v>80602611.849999994</v>
      </c>
      <c r="Q13" s="366">
        <v>833933.16</v>
      </c>
      <c r="R13" s="366">
        <v>11234392.039999999</v>
      </c>
      <c r="S13" s="366">
        <v>851547.25</v>
      </c>
      <c r="T13" s="366">
        <v>74293844.099999994</v>
      </c>
      <c r="U13" s="366">
        <v>768661.2</v>
      </c>
      <c r="V13" s="366">
        <v>10355075.99</v>
      </c>
      <c r="W13" s="366">
        <v>784896.63</v>
      </c>
      <c r="X13" s="366">
        <v>83007242.709999993</v>
      </c>
      <c r="Y13" s="366">
        <v>858812.02</v>
      </c>
      <c r="Z13" s="366">
        <v>11569549.49</v>
      </c>
      <c r="AA13" s="366">
        <v>876951.6</v>
      </c>
      <c r="AB13" s="366">
        <v>80000147.890000001</v>
      </c>
      <c r="AC13" s="366">
        <v>827699.93</v>
      </c>
      <c r="AD13" s="366">
        <v>11150420.609999999</v>
      </c>
      <c r="AE13" s="366">
        <v>845182.36</v>
      </c>
      <c r="AF13" s="366">
        <v>78294428.689999998</v>
      </c>
      <c r="AG13" s="366">
        <v>810052.17</v>
      </c>
      <c r="AH13" s="366">
        <v>10912677.470000001</v>
      </c>
      <c r="AI13" s="366">
        <v>827161.85</v>
      </c>
      <c r="AJ13" s="366">
        <v>70950718.920000002</v>
      </c>
      <c r="AK13" s="366">
        <v>734072.46</v>
      </c>
      <c r="AL13" s="366">
        <v>9889111.1999999993</v>
      </c>
      <c r="AM13" s="366">
        <v>749577.32</v>
      </c>
      <c r="AN13" s="366">
        <v>90850582.829999998</v>
      </c>
      <c r="AO13" s="366">
        <v>939961.03</v>
      </c>
      <c r="AP13" s="366">
        <v>12662754.24</v>
      </c>
      <c r="AQ13" s="366">
        <v>959814.6</v>
      </c>
      <c r="AR13" s="366">
        <v>69690171.189999998</v>
      </c>
      <c r="AS13" s="366">
        <v>721030.54</v>
      </c>
      <c r="AT13" s="366">
        <v>9713416.0600000005</v>
      </c>
      <c r="AU13" s="366">
        <v>736259.93</v>
      </c>
      <c r="AV13" s="366">
        <v>90872229.540000007</v>
      </c>
      <c r="AW13" s="366">
        <v>940184.99</v>
      </c>
      <c r="AX13" s="366">
        <v>12665771.35</v>
      </c>
      <c r="AY13" s="366">
        <v>960043.3</v>
      </c>
      <c r="AZ13" s="366">
        <v>69464050.849999994</v>
      </c>
      <c r="BA13" s="366">
        <v>718691.05</v>
      </c>
      <c r="BB13" s="366">
        <v>9681899.4100000001</v>
      </c>
      <c r="BC13" s="366">
        <v>733871.03</v>
      </c>
      <c r="BD13" s="366">
        <v>59934728.170000002</v>
      </c>
      <c r="BE13" s="366">
        <v>620098.48</v>
      </c>
      <c r="BF13" s="366">
        <v>8353702.4100000001</v>
      </c>
      <c r="BG13" s="366">
        <v>633196.02</v>
      </c>
      <c r="BH13" s="366">
        <v>76200436.760000005</v>
      </c>
      <c r="BI13" s="366">
        <v>788387.24</v>
      </c>
      <c r="BJ13" s="366">
        <v>10620816.880000001</v>
      </c>
      <c r="BK13" s="366">
        <v>805039.33</v>
      </c>
      <c r="BL13" s="366">
        <v>77211385.450000003</v>
      </c>
      <c r="BM13" s="366">
        <v>798846.75</v>
      </c>
      <c r="BN13" s="366">
        <v>10761722.9</v>
      </c>
      <c r="BO13" s="366">
        <v>815719.76</v>
      </c>
      <c r="BP13" s="366">
        <v>54975567.109999999</v>
      </c>
      <c r="BQ13" s="366">
        <v>568789.86</v>
      </c>
      <c r="BR13" s="366">
        <v>7662494.54</v>
      </c>
      <c r="BS13" s="366">
        <v>580803.67000000004</v>
      </c>
      <c r="BT13" s="366">
        <v>53523692.710000001</v>
      </c>
      <c r="BU13" s="366">
        <v>553768.43999999994</v>
      </c>
      <c r="BV13" s="366">
        <v>7460132.29</v>
      </c>
      <c r="BW13" s="366">
        <v>565464.97</v>
      </c>
      <c r="BX13" s="366">
        <v>60037578.659999996</v>
      </c>
      <c r="BY13" s="366">
        <v>621162.6</v>
      </c>
      <c r="BZ13" s="366">
        <v>8368037.71</v>
      </c>
      <c r="CA13" s="366">
        <v>634282.61</v>
      </c>
      <c r="CB13" s="366">
        <v>51298477.909999996</v>
      </c>
      <c r="CC13" s="366">
        <v>530745.85</v>
      </c>
      <c r="CD13" s="366">
        <v>7149981.8499999996</v>
      </c>
      <c r="CE13" s="366">
        <v>541956.11</v>
      </c>
      <c r="CF13" s="366">
        <v>-38.268425998289999</v>
      </c>
      <c r="CG13" s="366">
        <v>-38.268425986666102</v>
      </c>
      <c r="CH13" s="366">
        <v>-38.268426007292497</v>
      </c>
      <c r="CI13" s="366">
        <v>-38.268425565192601</v>
      </c>
      <c r="CS13" s="366" t="s">
        <v>1468</v>
      </c>
      <c r="CT13" s="366">
        <f>1.026/947.817</f>
        <v>1.0824874421961202E-3</v>
      </c>
    </row>
    <row r="14" spans="1:103">
      <c r="A14" s="366" t="s">
        <v>1457</v>
      </c>
      <c r="B14" s="366" t="s">
        <v>1221</v>
      </c>
      <c r="C14" s="366" t="s">
        <v>1467</v>
      </c>
      <c r="D14" s="366" t="s">
        <v>1226</v>
      </c>
      <c r="E14" s="366" t="s">
        <v>1132</v>
      </c>
      <c r="F14" s="366" t="s">
        <v>1132</v>
      </c>
      <c r="G14" s="366" t="s">
        <v>1222</v>
      </c>
      <c r="H14" s="366">
        <v>13896492.65</v>
      </c>
      <c r="I14" s="366">
        <v>152817.59</v>
      </c>
      <c r="J14" s="366">
        <v>2049176.81</v>
      </c>
      <c r="K14" s="366">
        <v>153143.49</v>
      </c>
      <c r="L14" s="366">
        <v>11605156.68</v>
      </c>
      <c r="M14" s="366">
        <v>127620.12</v>
      </c>
      <c r="N14" s="366">
        <v>1711296.4</v>
      </c>
      <c r="O14" s="366">
        <v>127892.28</v>
      </c>
      <c r="P14" s="366">
        <v>13403737.390000001</v>
      </c>
      <c r="Q14" s="366">
        <v>147398.84</v>
      </c>
      <c r="R14" s="366">
        <v>1976515.12</v>
      </c>
      <c r="S14" s="366">
        <v>147713.18</v>
      </c>
      <c r="T14" s="366">
        <v>11453914.82</v>
      </c>
      <c r="U14" s="366">
        <v>125956.94</v>
      </c>
      <c r="V14" s="366">
        <v>1688994.28</v>
      </c>
      <c r="W14" s="366">
        <v>126225.55</v>
      </c>
      <c r="X14" s="366">
        <v>13750174.66</v>
      </c>
      <c r="Y14" s="366">
        <v>151208.54999999999</v>
      </c>
      <c r="Z14" s="366">
        <v>2027600.76</v>
      </c>
      <c r="AA14" s="366">
        <v>151531.01999999999</v>
      </c>
      <c r="AB14" s="366">
        <v>13594316.91</v>
      </c>
      <c r="AC14" s="366">
        <v>149494.60999999999</v>
      </c>
      <c r="AD14" s="366">
        <v>2004617.97</v>
      </c>
      <c r="AE14" s="366">
        <v>149813.42000000001</v>
      </c>
      <c r="AF14" s="366">
        <v>13187303.4</v>
      </c>
      <c r="AG14" s="366">
        <v>145018.74</v>
      </c>
      <c r="AH14" s="366">
        <v>1944599.76</v>
      </c>
      <c r="AI14" s="366">
        <v>145328.01</v>
      </c>
      <c r="AJ14" s="366">
        <v>13085961.130000001</v>
      </c>
      <c r="AK14" s="366">
        <v>143904.29999999999</v>
      </c>
      <c r="AL14" s="366">
        <v>1929655.83</v>
      </c>
      <c r="AM14" s="366">
        <v>144211.19</v>
      </c>
      <c r="AN14" s="366">
        <v>15667226.6</v>
      </c>
      <c r="AO14" s="366">
        <v>172290.08</v>
      </c>
      <c r="AP14" s="366">
        <v>2310289.23</v>
      </c>
      <c r="AQ14" s="366">
        <v>172657.51</v>
      </c>
      <c r="AR14" s="366">
        <v>9572943.2300000004</v>
      </c>
      <c r="AS14" s="366">
        <v>105272.18</v>
      </c>
      <c r="AT14" s="366">
        <v>1411626.21</v>
      </c>
      <c r="AU14" s="366">
        <v>105496.69</v>
      </c>
      <c r="AV14" s="366">
        <v>16799625.510000002</v>
      </c>
      <c r="AW14" s="366">
        <v>184742.89</v>
      </c>
      <c r="AX14" s="366">
        <v>2477272.7799999998</v>
      </c>
      <c r="AY14" s="366">
        <v>185136.88</v>
      </c>
      <c r="AZ14" s="366">
        <v>12296887.119999999</v>
      </c>
      <c r="BA14" s="366">
        <v>135226.97</v>
      </c>
      <c r="BB14" s="366">
        <v>1813298.97</v>
      </c>
      <c r="BC14" s="366">
        <v>135515.35999999999</v>
      </c>
      <c r="BD14" s="366">
        <v>13182572.470000001</v>
      </c>
      <c r="BE14" s="366">
        <v>144966.72</v>
      </c>
      <c r="BF14" s="366">
        <v>1943902.14</v>
      </c>
      <c r="BG14" s="366">
        <v>145275.88</v>
      </c>
      <c r="BH14" s="366">
        <v>11734102.27</v>
      </c>
      <c r="BI14" s="366">
        <v>129038.12</v>
      </c>
      <c r="BJ14" s="366">
        <v>1730310.72</v>
      </c>
      <c r="BK14" s="366">
        <v>129313.3</v>
      </c>
      <c r="BL14" s="366">
        <v>10188778.970000001</v>
      </c>
      <c r="BM14" s="366">
        <v>112044.43</v>
      </c>
      <c r="BN14" s="366">
        <v>1502437.35</v>
      </c>
      <c r="BO14" s="366">
        <v>112283.38</v>
      </c>
      <c r="BP14" s="366">
        <v>6613124.4000000004</v>
      </c>
      <c r="BQ14" s="366">
        <v>72723.509999999995</v>
      </c>
      <c r="BR14" s="366">
        <v>975171.32</v>
      </c>
      <c r="BS14" s="366">
        <v>72878.600000000006</v>
      </c>
      <c r="BT14" s="366">
        <v>7824030.96</v>
      </c>
      <c r="BU14" s="366">
        <v>86039.66</v>
      </c>
      <c r="BV14" s="366">
        <v>1153731.6100000001</v>
      </c>
      <c r="BW14" s="366">
        <v>86223.15</v>
      </c>
      <c r="BX14" s="366">
        <v>7237296.1100000003</v>
      </c>
      <c r="BY14" s="366">
        <v>79587.429999999993</v>
      </c>
      <c r="BZ14" s="366">
        <v>1067211.68</v>
      </c>
      <c r="CA14" s="366">
        <v>79757.16</v>
      </c>
      <c r="CB14" s="366">
        <v>5169067.04</v>
      </c>
      <c r="CC14" s="366">
        <v>56843.43</v>
      </c>
      <c r="CD14" s="366">
        <v>762230.63</v>
      </c>
      <c r="CE14" s="366">
        <v>56964.66</v>
      </c>
      <c r="CF14" s="366">
        <v>-62.803081538707502</v>
      </c>
      <c r="CG14" s="366">
        <v>-62.803084383152502</v>
      </c>
      <c r="CH14" s="366">
        <v>-62.803081399305903</v>
      </c>
      <c r="CI14" s="366">
        <v>-62.803080953685999</v>
      </c>
    </row>
    <row r="15" spans="1:103" ht="15" thickBot="1">
      <c r="A15" s="366" t="s">
        <v>1457</v>
      </c>
      <c r="B15" s="366" t="s">
        <v>1221</v>
      </c>
      <c r="C15" s="366" t="s">
        <v>1467</v>
      </c>
      <c r="D15" s="366" t="s">
        <v>1226</v>
      </c>
      <c r="E15" s="366" t="s">
        <v>1133</v>
      </c>
      <c r="F15" s="366" t="s">
        <v>1133</v>
      </c>
      <c r="G15" s="366" t="s">
        <v>1222</v>
      </c>
      <c r="H15" s="366">
        <v>23786850.489999998</v>
      </c>
      <c r="I15" s="366">
        <v>268960.89</v>
      </c>
      <c r="J15" s="366">
        <v>3603707.85</v>
      </c>
      <c r="K15" s="366">
        <v>269531.42</v>
      </c>
      <c r="L15" s="366">
        <v>20095741.030000001</v>
      </c>
      <c r="M15" s="366">
        <v>227225.06</v>
      </c>
      <c r="N15" s="366">
        <v>3044504.77</v>
      </c>
      <c r="O15" s="366">
        <v>227707.05</v>
      </c>
      <c r="P15" s="366">
        <v>24927485.550000001</v>
      </c>
      <c r="Q15" s="366">
        <v>281858.2</v>
      </c>
      <c r="R15" s="366">
        <v>3776514.06</v>
      </c>
      <c r="S15" s="366">
        <v>282456.08</v>
      </c>
      <c r="T15" s="366">
        <v>21778528.039999999</v>
      </c>
      <c r="U15" s="366">
        <v>246252.54</v>
      </c>
      <c r="V15" s="366">
        <v>3299447</v>
      </c>
      <c r="W15" s="366">
        <v>246774.9</v>
      </c>
      <c r="X15" s="366">
        <v>24860787.329999998</v>
      </c>
      <c r="Y15" s="366">
        <v>281104.03000000003</v>
      </c>
      <c r="Z15" s="366">
        <v>3766409.28</v>
      </c>
      <c r="AA15" s="366">
        <v>281700.32</v>
      </c>
      <c r="AB15" s="366">
        <v>23570677.219999999</v>
      </c>
      <c r="AC15" s="366">
        <v>266516.59000000003</v>
      </c>
      <c r="AD15" s="366">
        <v>3570957.6</v>
      </c>
      <c r="AE15" s="366">
        <v>267081.94</v>
      </c>
      <c r="AF15" s="366">
        <v>22127504.600000001</v>
      </c>
      <c r="AG15" s="366">
        <v>250198.46</v>
      </c>
      <c r="AH15" s="366">
        <v>3352316.95</v>
      </c>
      <c r="AI15" s="366">
        <v>250729.19</v>
      </c>
      <c r="AJ15" s="366">
        <v>17265578.18</v>
      </c>
      <c r="AK15" s="366">
        <v>195224.05</v>
      </c>
      <c r="AL15" s="366">
        <v>2615735.09</v>
      </c>
      <c r="AM15" s="366">
        <v>195638.17</v>
      </c>
      <c r="AN15" s="366">
        <v>12813859.039999999</v>
      </c>
      <c r="AO15" s="366">
        <v>144887.91</v>
      </c>
      <c r="AP15" s="366">
        <v>1941299.65</v>
      </c>
      <c r="AQ15" s="366">
        <v>145195.25</v>
      </c>
      <c r="AR15" s="366">
        <v>3353572.48</v>
      </c>
      <c r="AS15" s="366">
        <v>37919.26</v>
      </c>
      <c r="AT15" s="366">
        <v>508066.23</v>
      </c>
      <c r="AU15" s="366">
        <v>37999.699999999997</v>
      </c>
      <c r="AV15" s="366">
        <v>1557583.54</v>
      </c>
      <c r="AW15" s="366">
        <v>17611.79</v>
      </c>
      <c r="AX15" s="366">
        <v>235973.91</v>
      </c>
      <c r="AY15" s="366">
        <v>17649.150000000001</v>
      </c>
      <c r="AZ15" s="366">
        <v>208579.32</v>
      </c>
      <c r="BA15" s="366">
        <v>2358.4299999999998</v>
      </c>
      <c r="BB15" s="366">
        <v>31599.77</v>
      </c>
      <c r="BC15" s="366">
        <v>2363.44</v>
      </c>
      <c r="BD15" s="366">
        <v>115321.9</v>
      </c>
      <c r="BE15" s="366">
        <v>1303.96</v>
      </c>
      <c r="BF15" s="366">
        <v>17471.27</v>
      </c>
      <c r="BG15" s="366">
        <v>1306.73</v>
      </c>
      <c r="BH15" s="366">
        <v>522252.38</v>
      </c>
      <c r="BI15" s="366">
        <v>5905.17</v>
      </c>
      <c r="BJ15" s="366">
        <v>79121.240000000005</v>
      </c>
      <c r="BK15" s="366">
        <v>5917.7</v>
      </c>
      <c r="BL15" s="366">
        <v>0</v>
      </c>
      <c r="BM15" s="366">
        <v>0</v>
      </c>
      <c r="BN15" s="366">
        <v>0</v>
      </c>
      <c r="BO15" s="366">
        <v>0</v>
      </c>
      <c r="BP15" s="366">
        <v>0</v>
      </c>
      <c r="BQ15" s="366">
        <v>0</v>
      </c>
      <c r="BR15" s="366">
        <v>0</v>
      </c>
      <c r="BS15" s="366">
        <v>0</v>
      </c>
      <c r="BT15" s="366">
        <v>0</v>
      </c>
      <c r="BU15" s="366">
        <v>0</v>
      </c>
      <c r="BV15" s="366">
        <v>0</v>
      </c>
      <c r="BW15" s="366">
        <v>0</v>
      </c>
      <c r="BX15" s="366">
        <v>0</v>
      </c>
      <c r="BY15" s="366">
        <v>0</v>
      </c>
      <c r="BZ15" s="366">
        <v>0</v>
      </c>
      <c r="CA15" s="366">
        <v>0</v>
      </c>
      <c r="CB15" s="366">
        <v>0</v>
      </c>
      <c r="CC15" s="366">
        <v>0</v>
      </c>
      <c r="CD15" s="366">
        <v>0</v>
      </c>
      <c r="CE15" s="366">
        <v>0</v>
      </c>
      <c r="CF15" s="366">
        <v>-100</v>
      </c>
      <c r="CG15" s="366">
        <v>-100</v>
      </c>
      <c r="CH15" s="366">
        <v>-100</v>
      </c>
      <c r="CI15" s="366">
        <v>-100</v>
      </c>
      <c r="CL15" s="538" t="s">
        <v>1179</v>
      </c>
      <c r="CM15" s="538" t="s">
        <v>649</v>
      </c>
      <c r="CN15" s="538" t="s">
        <v>629</v>
      </c>
      <c r="CO15" s="538" t="s">
        <v>630</v>
      </c>
      <c r="CP15" s="538" t="s">
        <v>631</v>
      </c>
      <c r="CQ15" s="538" t="s">
        <v>632</v>
      </c>
      <c r="CR15" s="538" t="s">
        <v>633</v>
      </c>
      <c r="CS15" s="538" t="s">
        <v>1469</v>
      </c>
    </row>
    <row r="16" spans="1:103">
      <c r="A16" s="366" t="s">
        <v>1457</v>
      </c>
      <c r="B16" s="366" t="s">
        <v>1221</v>
      </c>
      <c r="C16" s="366" t="s">
        <v>1467</v>
      </c>
      <c r="D16" s="366" t="s">
        <v>1226</v>
      </c>
      <c r="E16" s="366" t="s">
        <v>1134</v>
      </c>
      <c r="F16" s="366" t="s">
        <v>1134</v>
      </c>
      <c r="G16" s="366" t="s">
        <v>1222</v>
      </c>
      <c r="H16" s="366">
        <v>181117.2</v>
      </c>
      <c r="I16" s="366">
        <v>1.2</v>
      </c>
      <c r="J16" s="366">
        <v>23414.83</v>
      </c>
      <c r="K16" s="366">
        <v>2.5499999999999998</v>
      </c>
      <c r="L16" s="366">
        <v>375161.32</v>
      </c>
      <c r="M16" s="366">
        <v>2.4900000000000002</v>
      </c>
      <c r="N16" s="366">
        <v>48500.86</v>
      </c>
      <c r="O16" s="366">
        <v>5.29</v>
      </c>
      <c r="P16" s="366">
        <v>439283.29</v>
      </c>
      <c r="Q16" s="366">
        <v>2.92</v>
      </c>
      <c r="R16" s="366">
        <v>56790.54</v>
      </c>
      <c r="S16" s="366">
        <v>6.19</v>
      </c>
      <c r="T16" s="366">
        <v>357792.09</v>
      </c>
      <c r="U16" s="366">
        <v>2.37</v>
      </c>
      <c r="V16" s="366">
        <v>46255.360000000001</v>
      </c>
      <c r="W16" s="366">
        <v>5.04</v>
      </c>
      <c r="X16" s="366">
        <v>540834.11</v>
      </c>
      <c r="Y16" s="366">
        <v>3.59</v>
      </c>
      <c r="Z16" s="366">
        <v>69919.03</v>
      </c>
      <c r="AA16" s="366">
        <v>7.62</v>
      </c>
      <c r="AB16" s="366">
        <v>360953.92</v>
      </c>
      <c r="AC16" s="366">
        <v>2.4</v>
      </c>
      <c r="AD16" s="366">
        <v>46664.12</v>
      </c>
      <c r="AE16" s="366">
        <v>5.09</v>
      </c>
      <c r="AF16" s="366">
        <v>588656.34</v>
      </c>
      <c r="AG16" s="366">
        <v>3.91</v>
      </c>
      <c r="AH16" s="366">
        <v>76101.490000000005</v>
      </c>
      <c r="AI16" s="366">
        <v>8.3000000000000007</v>
      </c>
      <c r="AJ16" s="366">
        <v>1766647.76</v>
      </c>
      <c r="AK16" s="366">
        <v>11.72</v>
      </c>
      <c r="AL16" s="366">
        <v>228392.22</v>
      </c>
      <c r="AM16" s="366">
        <v>24.91</v>
      </c>
      <c r="AN16" s="366">
        <v>2529990.1</v>
      </c>
      <c r="AO16" s="366">
        <v>16.79</v>
      </c>
      <c r="AP16" s="366">
        <v>327077.12</v>
      </c>
      <c r="AQ16" s="366">
        <v>35.67</v>
      </c>
      <c r="AR16" s="366">
        <v>1701834.01</v>
      </c>
      <c r="AS16" s="366">
        <v>11.29</v>
      </c>
      <c r="AT16" s="366">
        <v>220013.1</v>
      </c>
      <c r="AU16" s="366">
        <v>23.99</v>
      </c>
      <c r="AV16" s="366">
        <v>2213744.88</v>
      </c>
      <c r="AW16" s="366">
        <v>14.69</v>
      </c>
      <c r="AX16" s="366">
        <v>286192.94</v>
      </c>
      <c r="AY16" s="366">
        <v>31.21</v>
      </c>
      <c r="AZ16" s="366">
        <v>1859801.31</v>
      </c>
      <c r="BA16" s="366">
        <v>12.34</v>
      </c>
      <c r="BB16" s="366">
        <v>240435.11</v>
      </c>
      <c r="BC16" s="366">
        <v>26.22</v>
      </c>
      <c r="BD16" s="366">
        <v>2937277.09</v>
      </c>
      <c r="BE16" s="366">
        <v>19.489999999999998</v>
      </c>
      <c r="BF16" s="366">
        <v>379731.18</v>
      </c>
      <c r="BG16" s="366">
        <v>41.41</v>
      </c>
      <c r="BH16" s="366">
        <v>3663171.87</v>
      </c>
      <c r="BI16" s="366">
        <v>24.31</v>
      </c>
      <c r="BJ16" s="366">
        <v>473574.86</v>
      </c>
      <c r="BK16" s="366">
        <v>51.64</v>
      </c>
      <c r="BL16" s="366">
        <v>4064660.9</v>
      </c>
      <c r="BM16" s="366">
        <v>26.97</v>
      </c>
      <c r="BN16" s="366">
        <v>525479.36</v>
      </c>
      <c r="BO16" s="366">
        <v>57.3</v>
      </c>
      <c r="BP16" s="366">
        <v>3652485.18</v>
      </c>
      <c r="BQ16" s="366">
        <v>24.24</v>
      </c>
      <c r="BR16" s="366">
        <v>472193.28000000003</v>
      </c>
      <c r="BS16" s="366">
        <v>51.49</v>
      </c>
      <c r="BT16" s="366">
        <v>3036429.92</v>
      </c>
      <c r="BU16" s="366">
        <v>20.149999999999999</v>
      </c>
      <c r="BV16" s="366">
        <v>392549.66</v>
      </c>
      <c r="BW16" s="366">
        <v>42.81</v>
      </c>
      <c r="BX16" s="366">
        <v>3153903.79</v>
      </c>
      <c r="BY16" s="366">
        <v>20.93</v>
      </c>
      <c r="BZ16" s="366">
        <v>407736.68</v>
      </c>
      <c r="CA16" s="366">
        <v>44.46</v>
      </c>
      <c r="CB16" s="366">
        <v>2733944.82</v>
      </c>
      <c r="CC16" s="366">
        <v>18.14</v>
      </c>
      <c r="CD16" s="366">
        <v>353444.39</v>
      </c>
      <c r="CE16" s="366">
        <v>38.54</v>
      </c>
      <c r="CF16" s="366">
        <v>1409.48933618673</v>
      </c>
      <c r="CG16" s="366">
        <v>1411.6666666666699</v>
      </c>
      <c r="CH16" s="366">
        <v>1409.48945604132</v>
      </c>
      <c r="CI16" s="366">
        <v>1411.37254901961</v>
      </c>
      <c r="CL16" s="430" t="s">
        <v>635</v>
      </c>
      <c r="CM16" s="821">
        <f>SUM('NYC 2010'!CY2:CY5)</f>
        <v>83.854253552571876</v>
      </c>
      <c r="CN16" s="820">
        <f>Table18[[#This Row],[2010 Fuel Cons]]*Original!N47</f>
        <v>13.108948445673066</v>
      </c>
      <c r="CO16" s="820">
        <f>Table18[[#This Row],[2010 Fuel Cons]]*Original!O47</f>
        <v>45.223302411331424</v>
      </c>
      <c r="CP16" s="820">
        <f>Table18[[#This Row],[2010 Fuel Cons]]*Original!P47</f>
        <v>12.401930835339725</v>
      </c>
      <c r="CQ16" s="820">
        <f>Table18[[#This Row],[2010 Fuel Cons]]*Original!Q47</f>
        <v>8.5804022557526203</v>
      </c>
      <c r="CR16" s="820">
        <f>Table18[[#This Row],[2010 Fuel Cons]]*Original!R47</f>
        <v>4.5396696044750486</v>
      </c>
      <c r="CS16" s="822">
        <f>Table18[[#This Row],[Industrial]]/SUM(Table18[Industrial])</f>
        <v>6.6544461292565374E-2</v>
      </c>
    </row>
    <row r="17" spans="1:97">
      <c r="A17" s="366" t="s">
        <v>1457</v>
      </c>
      <c r="B17" s="366" t="s">
        <v>1221</v>
      </c>
      <c r="C17" s="366" t="s">
        <v>1467</v>
      </c>
      <c r="D17" s="366" t="s">
        <v>1226</v>
      </c>
      <c r="E17" s="366" t="s">
        <v>636</v>
      </c>
      <c r="F17" s="366" t="s">
        <v>636</v>
      </c>
      <c r="G17" s="366" t="s">
        <v>1223</v>
      </c>
      <c r="H17" s="366">
        <v>26226076079.279999</v>
      </c>
      <c r="I17" s="366">
        <v>13072703.859999999</v>
      </c>
      <c r="J17" s="366">
        <v>228182597.53999999</v>
      </c>
      <c r="K17" s="366">
        <v>13090966.449999999</v>
      </c>
      <c r="L17" s="366">
        <v>27133407032.740002</v>
      </c>
      <c r="M17" s="366">
        <v>11401911.310000001</v>
      </c>
      <c r="N17" s="366">
        <v>236076921.22999999</v>
      </c>
      <c r="O17" s="366">
        <v>11416084.17</v>
      </c>
      <c r="P17" s="366">
        <v>28048899119.830002</v>
      </c>
      <c r="Q17" s="366">
        <v>11900472.199999999</v>
      </c>
      <c r="R17" s="366">
        <v>244042251.68000001</v>
      </c>
      <c r="S17" s="366">
        <v>11915272.76</v>
      </c>
      <c r="T17" s="366">
        <v>26155533959.860001</v>
      </c>
      <c r="U17" s="366">
        <v>9959496.1799999997</v>
      </c>
      <c r="V17" s="366">
        <v>227568838.77000001</v>
      </c>
      <c r="W17" s="366">
        <v>9971752.9199999999</v>
      </c>
      <c r="X17" s="366">
        <v>24621412737.130001</v>
      </c>
      <c r="Y17" s="366">
        <v>8241035.8300000001</v>
      </c>
      <c r="Z17" s="366">
        <v>214221063.66</v>
      </c>
      <c r="AA17" s="366">
        <v>8250985.1100000003</v>
      </c>
      <c r="AB17" s="366">
        <v>25179409288.110001</v>
      </c>
      <c r="AC17" s="366">
        <v>8602528.4700000007</v>
      </c>
      <c r="AD17" s="366">
        <v>219075968.44999999</v>
      </c>
      <c r="AE17" s="366">
        <v>8612632.4299999997</v>
      </c>
      <c r="AF17" s="366">
        <v>24932913193.560001</v>
      </c>
      <c r="AG17" s="366">
        <v>7724959.5300000003</v>
      </c>
      <c r="AH17" s="366">
        <v>216931304.53</v>
      </c>
      <c r="AI17" s="366">
        <v>7733225.2599999998</v>
      </c>
      <c r="AJ17" s="366">
        <v>24072492031.060001</v>
      </c>
      <c r="AK17" s="366">
        <v>7838391.7999999998</v>
      </c>
      <c r="AL17" s="366">
        <v>209445124.16999999</v>
      </c>
      <c r="AM17" s="366">
        <v>7847302.7699999996</v>
      </c>
      <c r="AN17" s="366">
        <v>24008812375.150002</v>
      </c>
      <c r="AO17" s="366">
        <v>7159448.6399999997</v>
      </c>
      <c r="AP17" s="366">
        <v>208891072.94999999</v>
      </c>
      <c r="AQ17" s="366">
        <v>7167385.9199999999</v>
      </c>
      <c r="AR17" s="366">
        <v>24163732596.360001</v>
      </c>
      <c r="AS17" s="366">
        <v>7893125.0099999998</v>
      </c>
      <c r="AT17" s="366">
        <v>210238971.83000001</v>
      </c>
      <c r="AU17" s="366">
        <v>7902280.3700000001</v>
      </c>
      <c r="AV17" s="366">
        <v>24309477657.299999</v>
      </c>
      <c r="AW17" s="366">
        <v>7757073.9000000004</v>
      </c>
      <c r="AX17" s="366">
        <v>211507041.31</v>
      </c>
      <c r="AY17" s="366">
        <v>7766112.54</v>
      </c>
      <c r="AZ17" s="366">
        <v>24148998628.73</v>
      </c>
      <c r="BA17" s="366">
        <v>7751282.3799999999</v>
      </c>
      <c r="BB17" s="366">
        <v>210110777.47</v>
      </c>
      <c r="BC17" s="366">
        <v>7760326.8899999997</v>
      </c>
      <c r="BD17" s="366">
        <v>24400061835.529999</v>
      </c>
      <c r="BE17" s="366">
        <v>6840330.9800000004</v>
      </c>
      <c r="BF17" s="366">
        <v>212295178.00999999</v>
      </c>
      <c r="BG17" s="366">
        <v>6847792.6100000003</v>
      </c>
      <c r="BH17" s="366">
        <v>24812310378.990002</v>
      </c>
      <c r="BI17" s="366">
        <v>7629513.0499999998</v>
      </c>
      <c r="BJ17" s="366">
        <v>215881987.68000001</v>
      </c>
      <c r="BK17" s="366">
        <v>7638013.9000000004</v>
      </c>
      <c r="BL17" s="366">
        <v>24252105992.549999</v>
      </c>
      <c r="BM17" s="366">
        <v>7021966.9400000004</v>
      </c>
      <c r="BN17" s="366">
        <v>211007873.40000001</v>
      </c>
      <c r="BO17" s="366">
        <v>7029281.4299999997</v>
      </c>
      <c r="BP17" s="366">
        <v>20264309990.41</v>
      </c>
      <c r="BQ17" s="366">
        <v>6393036.7300000004</v>
      </c>
      <c r="BR17" s="366">
        <v>176311655.5</v>
      </c>
      <c r="BS17" s="366">
        <v>5873450.25</v>
      </c>
      <c r="BT17" s="366">
        <v>20870055433.77</v>
      </c>
      <c r="BU17" s="366">
        <v>7050628.9699999997</v>
      </c>
      <c r="BV17" s="366">
        <v>181582004.31</v>
      </c>
      <c r="BW17" s="366">
        <v>6049020.7800000003</v>
      </c>
      <c r="BX17" s="366">
        <v>21523343172.040001</v>
      </c>
      <c r="BY17" s="366">
        <v>7957132.2800000003</v>
      </c>
      <c r="BZ17" s="366">
        <v>187265999.59999999</v>
      </c>
      <c r="CA17" s="366">
        <v>7965290.7999999998</v>
      </c>
      <c r="CB17" s="366">
        <v>21949763750.82</v>
      </c>
      <c r="CC17" s="366">
        <v>8118653.6200000001</v>
      </c>
      <c r="CD17" s="366">
        <v>190976114.49000001</v>
      </c>
      <c r="CE17" s="366">
        <v>8123099.1799999997</v>
      </c>
      <c r="CF17" s="366">
        <v>-16.305574328134099</v>
      </c>
      <c r="CG17" s="366">
        <v>-37.8961406381923</v>
      </c>
      <c r="CH17" s="366">
        <v>-16.3055743299958</v>
      </c>
      <c r="CI17" s="366">
        <v>-37.948819813834298</v>
      </c>
      <c r="CL17" s="430" t="s">
        <v>636</v>
      </c>
      <c r="CM17" s="821">
        <f>'NYC 2010'!CY6</f>
        <v>190.40216634772901</v>
      </c>
      <c r="CN17" s="820">
        <f>Table18[[#This Row],[2010 Fuel Cons]]*Original!N48</f>
        <v>23.04200150903992</v>
      </c>
      <c r="CO17" s="820">
        <f>Table18[[#This Row],[2010 Fuel Cons]]*Original!O48</f>
        <v>36.917003759655067</v>
      </c>
      <c r="CP17" s="820">
        <f>Table18[[#This Row],[2010 Fuel Cons]]*Original!P48</f>
        <v>73.266141287384613</v>
      </c>
      <c r="CQ17" s="820">
        <f>Table18[[#This Row],[2010 Fuel Cons]]*Original!Q48</f>
        <v>22.000908836594991</v>
      </c>
      <c r="CR17" s="820">
        <f>Table18[[#This Row],[2010 Fuel Cons]]*Original!R48</f>
        <v>35.17611095505444</v>
      </c>
      <c r="CS17" s="822">
        <f>Table18[[#This Row],[Industrial]]/SUM(Table18[Industrial])</f>
        <v>0.51562680939691075</v>
      </c>
    </row>
    <row r="18" spans="1:97">
      <c r="A18" s="366" t="s">
        <v>1457</v>
      </c>
      <c r="B18" s="366" t="s">
        <v>1221</v>
      </c>
      <c r="C18" s="366" t="s">
        <v>1467</v>
      </c>
      <c r="D18" s="366" t="s">
        <v>1226</v>
      </c>
      <c r="E18" s="366" t="s">
        <v>637</v>
      </c>
      <c r="F18" s="366" t="s">
        <v>637</v>
      </c>
      <c r="G18" s="366" t="s">
        <v>1224</v>
      </c>
      <c r="H18" s="366">
        <v>55128302373.379997</v>
      </c>
      <c r="I18" s="366">
        <v>3004274.01</v>
      </c>
      <c r="J18" s="366">
        <v>59389720.149999999</v>
      </c>
      <c r="K18" s="366">
        <v>3007300.49</v>
      </c>
      <c r="L18" s="366">
        <v>54675650135.080002</v>
      </c>
      <c r="M18" s="366">
        <v>2979606.25</v>
      </c>
      <c r="N18" s="366">
        <v>58902077.890000001</v>
      </c>
      <c r="O18" s="366">
        <v>2982607.89</v>
      </c>
      <c r="P18" s="366">
        <v>57951330714.440002</v>
      </c>
      <c r="Q18" s="366">
        <v>3158117.86</v>
      </c>
      <c r="R18" s="366">
        <v>62430968.579999998</v>
      </c>
      <c r="S18" s="366">
        <v>3161299.33</v>
      </c>
      <c r="T18" s="366">
        <v>100313121212.27</v>
      </c>
      <c r="U18" s="366">
        <v>5466667.5700000003</v>
      </c>
      <c r="V18" s="366">
        <v>108067325.48</v>
      </c>
      <c r="W18" s="366">
        <v>5472174.6600000001</v>
      </c>
      <c r="X18" s="366">
        <v>103526901941.59</v>
      </c>
      <c r="Y18" s="366">
        <v>5641805.8799999999</v>
      </c>
      <c r="Z18" s="366">
        <v>111529531.45999999</v>
      </c>
      <c r="AA18" s="366">
        <v>5647489.4000000004</v>
      </c>
      <c r="AB18" s="366">
        <v>88813852860.940002</v>
      </c>
      <c r="AC18" s="366">
        <v>4840003.01</v>
      </c>
      <c r="AD18" s="366">
        <v>95679163.689999998</v>
      </c>
      <c r="AE18" s="366">
        <v>4844878.8</v>
      </c>
      <c r="AF18" s="366">
        <v>92718312266.899994</v>
      </c>
      <c r="AG18" s="366">
        <v>5052780.58</v>
      </c>
      <c r="AH18" s="366">
        <v>99885437.810000002</v>
      </c>
      <c r="AI18" s="366">
        <v>5057870.72</v>
      </c>
      <c r="AJ18" s="366">
        <v>85219500120.190002</v>
      </c>
      <c r="AK18" s="366">
        <v>4644125.03</v>
      </c>
      <c r="AL18" s="366">
        <v>91806967.480000004</v>
      </c>
      <c r="AM18" s="366">
        <v>4648803.5</v>
      </c>
      <c r="AN18" s="366">
        <v>99401442985.139999</v>
      </c>
      <c r="AO18" s="366">
        <v>5416984.71</v>
      </c>
      <c r="AP18" s="366">
        <v>107085174.53</v>
      </c>
      <c r="AQ18" s="366">
        <v>5422441.75</v>
      </c>
      <c r="AR18" s="366">
        <v>106312157787.33</v>
      </c>
      <c r="AS18" s="366">
        <v>5793591.2800000003</v>
      </c>
      <c r="AT18" s="366">
        <v>114530087.58</v>
      </c>
      <c r="AU18" s="366">
        <v>5799427.7199999997</v>
      </c>
      <c r="AV18" s="366">
        <v>104250511239.56</v>
      </c>
      <c r="AW18" s="366">
        <v>5681239.7199999997</v>
      </c>
      <c r="AX18" s="366">
        <v>112309075.76000001</v>
      </c>
      <c r="AY18" s="366">
        <v>5686962.9699999997</v>
      </c>
      <c r="AZ18" s="366">
        <v>101377977238.62</v>
      </c>
      <c r="BA18" s="366">
        <v>5524698</v>
      </c>
      <c r="BB18" s="366">
        <v>109214494.88</v>
      </c>
      <c r="BC18" s="366">
        <v>5530263.5499999998</v>
      </c>
      <c r="BD18" s="366">
        <v>111742550505.56</v>
      </c>
      <c r="BE18" s="366">
        <v>6089526.1699999999</v>
      </c>
      <c r="BF18" s="366">
        <v>120380249.66</v>
      </c>
      <c r="BG18" s="366">
        <v>6095660.7199999997</v>
      </c>
      <c r="BH18" s="366">
        <v>111351353688.42</v>
      </c>
      <c r="BI18" s="366">
        <v>6068207.4900000002</v>
      </c>
      <c r="BJ18" s="366">
        <v>119958813.33</v>
      </c>
      <c r="BK18" s="366">
        <v>6074320.5700000003</v>
      </c>
      <c r="BL18" s="366">
        <v>122055394359.60001</v>
      </c>
      <c r="BM18" s="366">
        <v>6651535.29</v>
      </c>
      <c r="BN18" s="366">
        <v>131490276.34</v>
      </c>
      <c r="BO18" s="366">
        <v>6658236.0099999998</v>
      </c>
      <c r="BP18" s="366">
        <v>110565351429.25</v>
      </c>
      <c r="BQ18" s="366">
        <v>6025373.4800000004</v>
      </c>
      <c r="BR18" s="366">
        <v>119112053.09</v>
      </c>
      <c r="BS18" s="366">
        <v>6031443.4100000001</v>
      </c>
      <c r="BT18" s="366">
        <v>111599520100.11</v>
      </c>
      <c r="BU18" s="366">
        <v>6081731.5800000001</v>
      </c>
      <c r="BV18" s="366">
        <v>120226163</v>
      </c>
      <c r="BW18" s="366">
        <v>6087858.2800000003</v>
      </c>
      <c r="BX18" s="366">
        <v>116296269696.02</v>
      </c>
      <c r="BY18" s="366">
        <v>6337685.8200000003</v>
      </c>
      <c r="BZ18" s="366">
        <v>125285971.34</v>
      </c>
      <c r="CA18" s="366">
        <v>6344070.3700000001</v>
      </c>
      <c r="CB18" s="366">
        <v>74392294420.139999</v>
      </c>
      <c r="CC18" s="366">
        <v>4054085.23</v>
      </c>
      <c r="CD18" s="366">
        <v>80142818.780000001</v>
      </c>
      <c r="CE18" s="366">
        <v>4058169.29</v>
      </c>
      <c r="CF18" s="366">
        <v>34.943923932731302</v>
      </c>
      <c r="CG18" s="366">
        <v>34.943923773450997</v>
      </c>
      <c r="CH18" s="366">
        <v>34.943923927548603</v>
      </c>
      <c r="CI18" s="366">
        <v>34.943924077237803</v>
      </c>
      <c r="CL18" s="430" t="s">
        <v>637</v>
      </c>
      <c r="CM18" s="821">
        <f>'NYC 2010'!CY7</f>
        <v>288.72888521396828</v>
      </c>
      <c r="CN18" s="820">
        <f>Table18[[#This Row],[2010 Fuel Cons]]*Original!N49</f>
        <v>47.470314953514553</v>
      </c>
      <c r="CO18" s="820">
        <f>Table18[[#This Row],[2010 Fuel Cons]]*Original!O49</f>
        <v>117.73266159030149</v>
      </c>
      <c r="CP18" s="820">
        <f>Table18[[#This Row],[2010 Fuel Cons]]*Original!P49</f>
        <v>67.907696101185451</v>
      </c>
      <c r="CQ18" s="820">
        <f>Table18[[#This Row],[2010 Fuel Cons]]*Original!Q49</f>
        <v>31.916953608934683</v>
      </c>
      <c r="CR18" s="820">
        <f>Table18[[#This Row],[2010 Fuel Cons]]*Original!R49</f>
        <v>23.701258960032117</v>
      </c>
      <c r="CS18" s="822">
        <f>Table18[[#This Row],[Industrial]]/SUM(Table18[Industrial])</f>
        <v>0.34742341334624632</v>
      </c>
    </row>
    <row r="19" spans="1:97">
      <c r="A19" s="366" t="s">
        <v>1457</v>
      </c>
      <c r="B19" s="366" t="s">
        <v>1221</v>
      </c>
      <c r="C19" s="366" t="s">
        <v>1467</v>
      </c>
      <c r="D19" s="366" t="s">
        <v>1226</v>
      </c>
      <c r="E19" s="366" t="s">
        <v>1124</v>
      </c>
      <c r="F19" s="366" t="s">
        <v>1124</v>
      </c>
      <c r="G19" s="366" t="s">
        <v>1225</v>
      </c>
      <c r="H19" s="366">
        <v>7457786325.7200003</v>
      </c>
      <c r="I19" s="366">
        <v>1239310.47</v>
      </c>
      <c r="J19" s="366">
        <v>23557550.059999999</v>
      </c>
      <c r="K19" s="366">
        <v>1241422.44</v>
      </c>
      <c r="L19" s="366">
        <v>7434553402.8999996</v>
      </c>
      <c r="M19" s="366">
        <v>990107.85</v>
      </c>
      <c r="N19" s="366">
        <v>23484162.23</v>
      </c>
      <c r="O19" s="366">
        <v>991744.81</v>
      </c>
      <c r="P19" s="366">
        <v>7495264997.04</v>
      </c>
      <c r="Q19" s="366">
        <v>1035602.59</v>
      </c>
      <c r="R19" s="366">
        <v>23675937.16</v>
      </c>
      <c r="S19" s="366">
        <v>1037320.35</v>
      </c>
      <c r="T19" s="366">
        <v>6150175508.9799995</v>
      </c>
      <c r="U19" s="366">
        <v>814219.82</v>
      </c>
      <c r="V19" s="366">
        <v>19427087.489999998</v>
      </c>
      <c r="W19" s="366">
        <v>815508.01</v>
      </c>
      <c r="X19" s="366">
        <v>5864620230.3000002</v>
      </c>
      <c r="Y19" s="366">
        <v>837714.94</v>
      </c>
      <c r="Z19" s="366">
        <v>18525079.510000002</v>
      </c>
      <c r="AA19" s="366">
        <v>839063.22</v>
      </c>
      <c r="AB19" s="366">
        <v>6065635918.1099997</v>
      </c>
      <c r="AC19" s="366">
        <v>744399.2</v>
      </c>
      <c r="AD19" s="366">
        <v>19160045.030000001</v>
      </c>
      <c r="AE19" s="366">
        <v>745523.95</v>
      </c>
      <c r="AF19" s="366">
        <v>5764928667.4399996</v>
      </c>
      <c r="AG19" s="366">
        <v>708104.64</v>
      </c>
      <c r="AH19" s="366">
        <v>18210175.210000001</v>
      </c>
      <c r="AI19" s="366">
        <v>709087.45</v>
      </c>
      <c r="AJ19" s="366">
        <v>4951330051.8900003</v>
      </c>
      <c r="AK19" s="366">
        <v>509358.68</v>
      </c>
      <c r="AL19" s="366">
        <v>15640191.4</v>
      </c>
      <c r="AM19" s="366">
        <v>510024.08</v>
      </c>
      <c r="AN19" s="366">
        <v>5463998032.2399998</v>
      </c>
      <c r="AO19" s="366">
        <v>573801.05000000005</v>
      </c>
      <c r="AP19" s="366">
        <v>17259599.77</v>
      </c>
      <c r="AQ19" s="366">
        <v>574521.11</v>
      </c>
      <c r="AR19" s="366">
        <v>5463998032.2399998</v>
      </c>
      <c r="AS19" s="366">
        <v>605178.09</v>
      </c>
      <c r="AT19" s="366">
        <v>17259599.77</v>
      </c>
      <c r="AU19" s="366">
        <v>605870.14</v>
      </c>
      <c r="AV19" s="366">
        <v>5318470946.7799997</v>
      </c>
      <c r="AW19" s="366">
        <v>569867.14</v>
      </c>
      <c r="AX19" s="366">
        <v>16799910.870000001</v>
      </c>
      <c r="AY19" s="366">
        <v>570527.01</v>
      </c>
      <c r="AZ19" s="366">
        <v>4861229054.4300003</v>
      </c>
      <c r="BA19" s="366">
        <v>481523.12</v>
      </c>
      <c r="BB19" s="366">
        <v>15355581.640000001</v>
      </c>
      <c r="BC19" s="366">
        <v>482033.02</v>
      </c>
      <c r="BD19" s="366">
        <v>4671669504.4799995</v>
      </c>
      <c r="BE19" s="366">
        <v>430829.33</v>
      </c>
      <c r="BF19" s="366">
        <v>14756803.619999999</v>
      </c>
      <c r="BG19" s="366">
        <v>431285.34</v>
      </c>
      <c r="BH19" s="366">
        <v>5295511624.4399996</v>
      </c>
      <c r="BI19" s="366">
        <v>559168.28</v>
      </c>
      <c r="BJ19" s="366">
        <v>16727387.289999999</v>
      </c>
      <c r="BK19" s="366">
        <v>559775.22</v>
      </c>
      <c r="BL19" s="366">
        <v>4789020634.25</v>
      </c>
      <c r="BM19" s="366">
        <v>487930.16</v>
      </c>
      <c r="BN19" s="366">
        <v>15127490.710000001</v>
      </c>
      <c r="BO19" s="366">
        <v>488442.18</v>
      </c>
      <c r="BP19" s="366">
        <v>3936440178.23</v>
      </c>
      <c r="BQ19" s="366">
        <v>329247.94</v>
      </c>
      <c r="BR19" s="366">
        <v>12434371.609999999</v>
      </c>
      <c r="BS19" s="366">
        <v>401485.72</v>
      </c>
      <c r="BT19" s="366">
        <v>4156015472.29</v>
      </c>
      <c r="BU19" s="366">
        <v>349570.98</v>
      </c>
      <c r="BV19" s="366">
        <v>13127962.949999999</v>
      </c>
      <c r="BW19" s="366">
        <v>423880.67</v>
      </c>
      <c r="BX19" s="366">
        <v>4317865701.3000002</v>
      </c>
      <c r="BY19" s="366">
        <v>409437.97</v>
      </c>
      <c r="BZ19" s="366">
        <v>13639213.16</v>
      </c>
      <c r="CA19" s="366">
        <v>409877</v>
      </c>
      <c r="CB19" s="366">
        <v>3793819497.71</v>
      </c>
      <c r="CC19" s="366">
        <v>327395.40000000002</v>
      </c>
      <c r="CD19" s="366">
        <v>11983863.42</v>
      </c>
      <c r="CE19" s="366">
        <v>327726.90999999997</v>
      </c>
      <c r="CF19" s="366">
        <v>-49.129415459033901</v>
      </c>
      <c r="CG19" s="366">
        <v>-73.5824550889173</v>
      </c>
      <c r="CH19" s="366">
        <v>-49.129415455012698</v>
      </c>
      <c r="CI19" s="366">
        <v>-73.600693894336203</v>
      </c>
      <c r="CL19" s="430" t="s">
        <v>1124</v>
      </c>
      <c r="CM19" s="821">
        <f>'NYC 2010'!CY8</f>
        <v>29.351640808926959</v>
      </c>
      <c r="CN19" s="820">
        <f>Table18[[#This Row],[2010 Fuel Cons]]*Original!N50</f>
        <v>0</v>
      </c>
      <c r="CO19" s="820">
        <f>Table18[[#This Row],[2010 Fuel Cons]]*Original!O50</f>
        <v>8.5383917293796205</v>
      </c>
      <c r="CP19" s="820">
        <f>Table18[[#This Row],[2010 Fuel Cons]]*Original!P50</f>
        <v>10.006369754585432</v>
      </c>
      <c r="CQ19" s="820">
        <f>Table18[[#This Row],[2010 Fuel Cons]]*Original!Q50</f>
        <v>6.003821840263309</v>
      </c>
      <c r="CR19" s="820">
        <f>Table18[[#This Row],[2010 Fuel Cons]]*Original!R50</f>
        <v>4.8030574846985967</v>
      </c>
      <c r="CS19" s="822">
        <f>Table18[[#This Row],[Industrial]]/SUM(Table18[Industrial])</f>
        <v>7.0405315964277432E-2</v>
      </c>
    </row>
    <row r="20" spans="1:97">
      <c r="A20" s="366" t="s">
        <v>1460</v>
      </c>
      <c r="B20" s="366" t="s">
        <v>1221</v>
      </c>
      <c r="C20" s="366" t="s">
        <v>1467</v>
      </c>
      <c r="D20" s="366" t="s">
        <v>1226</v>
      </c>
      <c r="E20" s="366" t="s">
        <v>1461</v>
      </c>
      <c r="F20" s="366" t="s">
        <v>1461</v>
      </c>
      <c r="G20" s="366" t="s">
        <v>1223</v>
      </c>
      <c r="H20" s="366">
        <v>26226076079.279999</v>
      </c>
      <c r="I20" s="366">
        <v>0</v>
      </c>
      <c r="J20" s="366">
        <v>228182597.53999999</v>
      </c>
      <c r="K20" s="366">
        <v>8248232.7300000004</v>
      </c>
      <c r="L20" s="366">
        <v>27133407032.740002</v>
      </c>
      <c r="M20" s="366">
        <v>0</v>
      </c>
      <c r="N20" s="366">
        <v>236076921.22999999</v>
      </c>
      <c r="O20" s="366">
        <v>10216979.68</v>
      </c>
      <c r="P20" s="366">
        <v>28048899119.830002</v>
      </c>
      <c r="Q20" s="366">
        <v>0</v>
      </c>
      <c r="R20" s="366">
        <v>244042251.68000001</v>
      </c>
      <c r="S20" s="366">
        <v>9470041.1999999993</v>
      </c>
      <c r="T20" s="366">
        <v>26155533959.860001</v>
      </c>
      <c r="U20" s="366">
        <v>0</v>
      </c>
      <c r="V20" s="366">
        <v>227568838.77000001</v>
      </c>
      <c r="W20" s="366">
        <v>8830791.6600000001</v>
      </c>
      <c r="X20" s="366">
        <v>24621412737.130001</v>
      </c>
      <c r="Y20" s="366">
        <v>0</v>
      </c>
      <c r="Z20" s="366">
        <v>214221063.66</v>
      </c>
      <c r="AA20" s="366">
        <v>7768950.4199999999</v>
      </c>
      <c r="AB20" s="366">
        <v>25179409288.110001</v>
      </c>
      <c r="AC20" s="366">
        <v>0</v>
      </c>
      <c r="AD20" s="366">
        <v>219075968.44999999</v>
      </c>
      <c r="AE20" s="366">
        <v>7724985.5899999999</v>
      </c>
      <c r="AF20" s="366">
        <v>24932913193.560001</v>
      </c>
      <c r="AG20" s="366">
        <v>0</v>
      </c>
      <c r="AH20" s="366">
        <v>216931304.53</v>
      </c>
      <c r="AI20" s="366">
        <v>8152160.3200000003</v>
      </c>
      <c r="AJ20" s="366">
        <v>24072492031.060001</v>
      </c>
      <c r="AK20" s="366">
        <v>0</v>
      </c>
      <c r="AL20" s="366">
        <v>209445124.16999999</v>
      </c>
      <c r="AM20" s="366">
        <v>7685174.3799999999</v>
      </c>
      <c r="AN20" s="366">
        <v>24008812375.150002</v>
      </c>
      <c r="AO20" s="366">
        <v>0</v>
      </c>
      <c r="AP20" s="366">
        <v>208891072.94999999</v>
      </c>
      <c r="AQ20" s="366">
        <v>6819731.6600000001</v>
      </c>
      <c r="AR20" s="366">
        <v>24163732596.360001</v>
      </c>
      <c r="AS20" s="366">
        <v>0</v>
      </c>
      <c r="AT20" s="366">
        <v>210238971.83000001</v>
      </c>
      <c r="AU20" s="366">
        <v>6424393.2999999998</v>
      </c>
      <c r="AV20" s="366">
        <v>24309477657.299999</v>
      </c>
      <c r="AW20" s="366">
        <v>0</v>
      </c>
      <c r="AX20" s="366">
        <v>211507041.31</v>
      </c>
      <c r="AY20" s="366">
        <v>5943638.4500000002</v>
      </c>
      <c r="AZ20" s="366">
        <v>24148998628.73</v>
      </c>
      <c r="BA20" s="366">
        <v>0</v>
      </c>
      <c r="BB20" s="366">
        <v>210110777.47</v>
      </c>
      <c r="BC20" s="366">
        <v>5889689.8200000003</v>
      </c>
      <c r="BD20" s="366">
        <v>24400061835.529999</v>
      </c>
      <c r="BE20" s="366">
        <v>0</v>
      </c>
      <c r="BF20" s="366">
        <v>212295178.00999999</v>
      </c>
      <c r="BG20" s="366">
        <v>5169403.26</v>
      </c>
      <c r="BH20" s="366">
        <v>24812310378.990002</v>
      </c>
      <c r="BI20" s="366">
        <v>0</v>
      </c>
      <c r="BJ20" s="366">
        <v>215881987.68000001</v>
      </c>
      <c r="BK20" s="366">
        <v>5427599.6200000001</v>
      </c>
      <c r="BL20" s="366">
        <v>24252105992.549999</v>
      </c>
      <c r="BM20" s="366">
        <v>0</v>
      </c>
      <c r="BN20" s="366">
        <v>211007873.40000001</v>
      </c>
      <c r="BO20" s="366">
        <v>5242928.18</v>
      </c>
      <c r="BP20" s="366">
        <v>20264309990.41</v>
      </c>
      <c r="BQ20" s="366">
        <v>0</v>
      </c>
      <c r="BR20" s="366">
        <v>176311655.5</v>
      </c>
      <c r="BS20" s="366">
        <v>4380828.7</v>
      </c>
      <c r="BT20" s="366">
        <v>20870055433.77</v>
      </c>
      <c r="BU20" s="366">
        <v>0</v>
      </c>
      <c r="BV20" s="366">
        <v>181582004.31</v>
      </c>
      <c r="BW20" s="366">
        <v>4511781.4400000004</v>
      </c>
      <c r="BX20" s="366">
        <v>21523343172.040001</v>
      </c>
      <c r="BY20" s="366">
        <v>0</v>
      </c>
      <c r="BZ20" s="366">
        <v>187265999.59999999</v>
      </c>
      <c r="CA20" s="366">
        <v>6137026.9299999997</v>
      </c>
      <c r="CB20" s="366">
        <v>21949763750.82</v>
      </c>
      <c r="CC20" s="366">
        <v>0</v>
      </c>
      <c r="CD20" s="366">
        <v>190976114.49000001</v>
      </c>
      <c r="CE20" s="366">
        <v>6321423.7300000004</v>
      </c>
      <c r="CF20" s="366">
        <v>-16.305574328134099</v>
      </c>
      <c r="CG20" s="366">
        <v>0</v>
      </c>
      <c r="CH20" s="366">
        <v>-16.3055743299958</v>
      </c>
      <c r="CI20" s="366">
        <v>-23.360264714548101</v>
      </c>
      <c r="CL20" s="372" t="s">
        <v>1470</v>
      </c>
    </row>
    <row r="21" spans="1:97">
      <c r="A21" s="366" t="s">
        <v>1460</v>
      </c>
      <c r="B21" s="366" t="s">
        <v>1221</v>
      </c>
      <c r="C21" s="366" t="s">
        <v>1467</v>
      </c>
      <c r="D21" s="366" t="s">
        <v>1226</v>
      </c>
      <c r="E21" s="366" t="s">
        <v>1462</v>
      </c>
      <c r="F21" s="366" t="s">
        <v>1462</v>
      </c>
      <c r="G21" s="366" t="s">
        <v>1225</v>
      </c>
      <c r="H21" s="366">
        <v>7457786325.7200003</v>
      </c>
      <c r="I21" s="366">
        <v>0</v>
      </c>
      <c r="J21" s="366">
        <v>23557550.059999999</v>
      </c>
      <c r="K21" s="366">
        <v>352441.22</v>
      </c>
      <c r="L21" s="366">
        <v>7434553402.8999996</v>
      </c>
      <c r="M21" s="366">
        <v>0</v>
      </c>
      <c r="N21" s="366">
        <v>23484162.23</v>
      </c>
      <c r="O21" s="366">
        <v>782212.2</v>
      </c>
      <c r="P21" s="366">
        <v>7495264997.04</v>
      </c>
      <c r="Q21" s="366">
        <v>0</v>
      </c>
      <c r="R21" s="366">
        <v>23675937.16</v>
      </c>
      <c r="S21" s="366">
        <v>775531.18</v>
      </c>
      <c r="T21" s="366">
        <v>6150175508.9799995</v>
      </c>
      <c r="U21" s="366">
        <v>0</v>
      </c>
      <c r="V21" s="366">
        <v>19427087.489999998</v>
      </c>
      <c r="W21" s="366">
        <v>662665.15</v>
      </c>
      <c r="X21" s="366">
        <v>5864620230.3000002</v>
      </c>
      <c r="Y21" s="366">
        <v>0</v>
      </c>
      <c r="Z21" s="366">
        <v>18525079.510000002</v>
      </c>
      <c r="AA21" s="366">
        <v>590104.92000000004</v>
      </c>
      <c r="AB21" s="366">
        <v>6065635918.1099997</v>
      </c>
      <c r="AC21" s="366">
        <v>0</v>
      </c>
      <c r="AD21" s="366">
        <v>19160045.030000001</v>
      </c>
      <c r="AE21" s="366">
        <v>593807.24</v>
      </c>
      <c r="AF21" s="366">
        <v>5764928667.4399996</v>
      </c>
      <c r="AG21" s="366">
        <v>0</v>
      </c>
      <c r="AH21" s="366">
        <v>18210175.210000001</v>
      </c>
      <c r="AI21" s="366">
        <v>639501.99</v>
      </c>
      <c r="AJ21" s="366">
        <v>4951330051.8900003</v>
      </c>
      <c r="AK21" s="366">
        <v>0</v>
      </c>
      <c r="AL21" s="366">
        <v>15640191.4</v>
      </c>
      <c r="AM21" s="366">
        <v>457680.48</v>
      </c>
      <c r="AN21" s="366">
        <v>5463998032.2399998</v>
      </c>
      <c r="AO21" s="366">
        <v>0</v>
      </c>
      <c r="AP21" s="366">
        <v>17259599.77</v>
      </c>
      <c r="AQ21" s="366">
        <v>555291.30000000005</v>
      </c>
      <c r="AR21" s="366">
        <v>5463998032.2399998</v>
      </c>
      <c r="AS21" s="366">
        <v>0</v>
      </c>
      <c r="AT21" s="366">
        <v>17259599.77</v>
      </c>
      <c r="AU21" s="366">
        <v>523578.75</v>
      </c>
      <c r="AV21" s="366">
        <v>5318470946.7799997</v>
      </c>
      <c r="AW21" s="366">
        <v>0</v>
      </c>
      <c r="AX21" s="366">
        <v>16799910.870000001</v>
      </c>
      <c r="AY21" s="366">
        <v>451818.65</v>
      </c>
      <c r="AZ21" s="366">
        <v>4861229054.4300003</v>
      </c>
      <c r="BA21" s="366">
        <v>0</v>
      </c>
      <c r="BB21" s="366">
        <v>15355581.640000001</v>
      </c>
      <c r="BC21" s="366">
        <v>413264.78</v>
      </c>
      <c r="BD21" s="366">
        <v>4671669504.4799995</v>
      </c>
      <c r="BE21" s="366">
        <v>0</v>
      </c>
      <c r="BF21" s="366">
        <v>14756803.619999999</v>
      </c>
      <c r="BG21" s="366">
        <v>339465.36</v>
      </c>
      <c r="BH21" s="366">
        <v>5295511624.4399996</v>
      </c>
      <c r="BI21" s="366">
        <v>0</v>
      </c>
      <c r="BJ21" s="366">
        <v>16727387.289999999</v>
      </c>
      <c r="BK21" s="366">
        <v>410732.94</v>
      </c>
      <c r="BL21" s="366">
        <v>4789020634.25</v>
      </c>
      <c r="BM21" s="366">
        <v>0</v>
      </c>
      <c r="BN21" s="366">
        <v>15127490.710000001</v>
      </c>
      <c r="BO21" s="366">
        <v>363080.57</v>
      </c>
      <c r="BP21" s="366">
        <v>3936440178.23</v>
      </c>
      <c r="BQ21" s="366">
        <v>0</v>
      </c>
      <c r="BR21" s="366">
        <v>12434371.609999999</v>
      </c>
      <c r="BS21" s="366">
        <v>298442.01</v>
      </c>
      <c r="BT21" s="366">
        <v>4156015472.29</v>
      </c>
      <c r="BU21" s="366">
        <v>0</v>
      </c>
      <c r="BV21" s="366">
        <v>13127962.949999999</v>
      </c>
      <c r="BW21" s="366">
        <v>315089.15999999997</v>
      </c>
      <c r="BX21" s="366">
        <v>4317865701.3000002</v>
      </c>
      <c r="BY21" s="366">
        <v>0</v>
      </c>
      <c r="BZ21" s="366">
        <v>13639213.16</v>
      </c>
      <c r="CA21" s="366">
        <v>294682.84000000003</v>
      </c>
      <c r="CB21" s="366">
        <v>3793819497.71</v>
      </c>
      <c r="CC21" s="366">
        <v>0</v>
      </c>
      <c r="CD21" s="366">
        <v>11983863.42</v>
      </c>
      <c r="CE21" s="366">
        <v>251970.1</v>
      </c>
      <c r="CF21" s="366">
        <v>-49.129415459033901</v>
      </c>
      <c r="CG21" s="366">
        <v>0</v>
      </c>
      <c r="CH21" s="366">
        <v>-49.129415455012698</v>
      </c>
      <c r="CI21" s="366">
        <v>-28.507199016051501</v>
      </c>
      <c r="CL21" s="372" t="s">
        <v>1471</v>
      </c>
    </row>
    <row r="22" spans="1:97">
      <c r="A22" s="366" t="s">
        <v>1460</v>
      </c>
      <c r="B22" s="366" t="s">
        <v>1221</v>
      </c>
      <c r="C22" s="366" t="s">
        <v>1467</v>
      </c>
      <c r="D22" s="366" t="s">
        <v>1226</v>
      </c>
      <c r="E22" s="366" t="s">
        <v>1463</v>
      </c>
      <c r="F22" s="366" t="s">
        <v>1463</v>
      </c>
      <c r="G22" s="366" t="s">
        <v>1224</v>
      </c>
      <c r="H22" s="366">
        <v>55128302373.379997</v>
      </c>
      <c r="I22" s="366">
        <v>0</v>
      </c>
      <c r="J22" s="366">
        <v>59389720.149999999</v>
      </c>
      <c r="K22" s="366">
        <v>2384118.9900000002</v>
      </c>
      <c r="L22" s="366">
        <v>54675650135.080002</v>
      </c>
      <c r="M22" s="366">
        <v>0</v>
      </c>
      <c r="N22" s="366">
        <v>58902077.890000001</v>
      </c>
      <c r="O22" s="366">
        <v>2364543.2599999998</v>
      </c>
      <c r="P22" s="366">
        <v>57951330714.440002</v>
      </c>
      <c r="Q22" s="366">
        <v>0</v>
      </c>
      <c r="R22" s="366">
        <v>62430968.579999998</v>
      </c>
      <c r="S22" s="366">
        <v>2506205.75</v>
      </c>
      <c r="T22" s="366">
        <v>100313121212.27</v>
      </c>
      <c r="U22" s="366">
        <v>0</v>
      </c>
      <c r="V22" s="366">
        <v>108067325.48</v>
      </c>
      <c r="W22" s="366">
        <v>4338214.8099999996</v>
      </c>
      <c r="X22" s="366">
        <v>103526901941.59</v>
      </c>
      <c r="Y22" s="366">
        <v>0</v>
      </c>
      <c r="Z22" s="366">
        <v>111529531.45999999</v>
      </c>
      <c r="AA22" s="366">
        <v>4477200.33</v>
      </c>
      <c r="AB22" s="366">
        <v>88813852860.940002</v>
      </c>
      <c r="AC22" s="366">
        <v>0</v>
      </c>
      <c r="AD22" s="366">
        <v>95679163.689999998</v>
      </c>
      <c r="AE22" s="366">
        <v>3840909.02</v>
      </c>
      <c r="AF22" s="366">
        <v>92718312266.899994</v>
      </c>
      <c r="AG22" s="366">
        <v>0</v>
      </c>
      <c r="AH22" s="366">
        <v>99885437.810000002</v>
      </c>
      <c r="AI22" s="366">
        <v>4009764.13</v>
      </c>
      <c r="AJ22" s="366">
        <v>85219500120.190002</v>
      </c>
      <c r="AK22" s="366">
        <v>0</v>
      </c>
      <c r="AL22" s="366">
        <v>91806967.480000004</v>
      </c>
      <c r="AM22" s="366">
        <v>3685465</v>
      </c>
      <c r="AN22" s="366">
        <v>99401442985.139999</v>
      </c>
      <c r="AO22" s="366">
        <v>0</v>
      </c>
      <c r="AP22" s="366">
        <v>107085174.53</v>
      </c>
      <c r="AQ22" s="366">
        <v>4298787.7</v>
      </c>
      <c r="AR22" s="366">
        <v>106312157787.33</v>
      </c>
      <c r="AS22" s="366">
        <v>0</v>
      </c>
      <c r="AT22" s="366">
        <v>114530087.58</v>
      </c>
      <c r="AU22" s="366">
        <v>4597653.54</v>
      </c>
      <c r="AV22" s="366">
        <v>104250511239.56</v>
      </c>
      <c r="AW22" s="366">
        <v>0</v>
      </c>
      <c r="AX22" s="366">
        <v>112309075.76000001</v>
      </c>
      <c r="AY22" s="366">
        <v>4508494.0599999996</v>
      </c>
      <c r="AZ22" s="366">
        <v>101377977238.62</v>
      </c>
      <c r="BA22" s="366">
        <v>0</v>
      </c>
      <c r="BB22" s="366">
        <v>109214494.88</v>
      </c>
      <c r="BC22" s="366">
        <v>4384266.3499999996</v>
      </c>
      <c r="BD22" s="366">
        <v>111742550505.56</v>
      </c>
      <c r="BE22" s="366">
        <v>0</v>
      </c>
      <c r="BF22" s="366">
        <v>120380249.66</v>
      </c>
      <c r="BG22" s="366">
        <v>4832500.29</v>
      </c>
      <c r="BH22" s="366">
        <v>111351353688.42</v>
      </c>
      <c r="BI22" s="366">
        <v>0</v>
      </c>
      <c r="BJ22" s="366">
        <v>119958813.33</v>
      </c>
      <c r="BK22" s="366">
        <v>4815582.3</v>
      </c>
      <c r="BL22" s="366">
        <v>122055394359.60001</v>
      </c>
      <c r="BM22" s="366">
        <v>0</v>
      </c>
      <c r="BN22" s="366">
        <v>131490276.34</v>
      </c>
      <c r="BO22" s="366">
        <v>5278497.0999999996</v>
      </c>
      <c r="BP22" s="366">
        <v>110565351429.25</v>
      </c>
      <c r="BQ22" s="366">
        <v>0</v>
      </c>
      <c r="BR22" s="366">
        <v>119112053.09</v>
      </c>
      <c r="BS22" s="366">
        <v>4781590.2699999996</v>
      </c>
      <c r="BT22" s="366">
        <v>111599520100.11</v>
      </c>
      <c r="BU22" s="366">
        <v>0</v>
      </c>
      <c r="BV22" s="366">
        <v>120226163</v>
      </c>
      <c r="BW22" s="366">
        <v>4826314.6900000004</v>
      </c>
      <c r="BX22" s="366">
        <v>116296269696.02</v>
      </c>
      <c r="BY22" s="366">
        <v>0</v>
      </c>
      <c r="BZ22" s="366">
        <v>125285971.34</v>
      </c>
      <c r="CA22" s="366">
        <v>5029433.7699999996</v>
      </c>
      <c r="CB22" s="366">
        <v>74392294420.139999</v>
      </c>
      <c r="CC22" s="366">
        <v>0</v>
      </c>
      <c r="CD22" s="366">
        <v>80142818.780000001</v>
      </c>
      <c r="CE22" s="366">
        <v>3217223.72</v>
      </c>
      <c r="CF22" s="366">
        <v>34.943923932731302</v>
      </c>
      <c r="CG22" s="366">
        <v>0</v>
      </c>
      <c r="CH22" s="366">
        <v>34.943923927548603</v>
      </c>
      <c r="CI22" s="366">
        <v>34.943924086607801</v>
      </c>
      <c r="CL22" s="423" t="s">
        <v>1184</v>
      </c>
    </row>
    <row r="23" spans="1:97">
      <c r="A23" s="366" t="s">
        <v>1460</v>
      </c>
      <c r="B23" s="366" t="s">
        <v>1221</v>
      </c>
      <c r="C23" s="366" t="s">
        <v>1467</v>
      </c>
      <c r="D23" s="366" t="s">
        <v>1226</v>
      </c>
      <c r="E23" s="366" t="s">
        <v>1465</v>
      </c>
      <c r="F23" s="366" t="s">
        <v>1465</v>
      </c>
      <c r="G23" s="366" t="s">
        <v>1224</v>
      </c>
      <c r="H23" s="366">
        <v>55128302373.379997</v>
      </c>
      <c r="I23" s="366">
        <v>0</v>
      </c>
      <c r="J23" s="366">
        <v>59389720.149999999</v>
      </c>
      <c r="K23" s="366">
        <v>339647.18</v>
      </c>
      <c r="L23" s="366">
        <v>54675650135.080002</v>
      </c>
      <c r="M23" s="366">
        <v>0</v>
      </c>
      <c r="N23" s="366">
        <v>58902077.890000001</v>
      </c>
      <c r="O23" s="366">
        <v>336858.38</v>
      </c>
      <c r="P23" s="366">
        <v>57951330714.440002</v>
      </c>
      <c r="Q23" s="366">
        <v>0</v>
      </c>
      <c r="R23" s="366">
        <v>62430968.579999998</v>
      </c>
      <c r="S23" s="366">
        <v>357039.95</v>
      </c>
      <c r="T23" s="366">
        <v>100313121212.27</v>
      </c>
      <c r="U23" s="366">
        <v>0</v>
      </c>
      <c r="V23" s="366">
        <v>108067325.48</v>
      </c>
      <c r="W23" s="366">
        <v>618032.25</v>
      </c>
      <c r="X23" s="366">
        <v>103526901941.59</v>
      </c>
      <c r="Y23" s="366">
        <v>0</v>
      </c>
      <c r="Z23" s="366">
        <v>111529531.45999999</v>
      </c>
      <c r="AA23" s="366">
        <v>637832.46</v>
      </c>
      <c r="AB23" s="366">
        <v>88813852860.940002</v>
      </c>
      <c r="AC23" s="366">
        <v>0</v>
      </c>
      <c r="AD23" s="366">
        <v>95679163.689999998</v>
      </c>
      <c r="AE23" s="366">
        <v>547184.9</v>
      </c>
      <c r="AF23" s="366">
        <v>92718312266.899994</v>
      </c>
      <c r="AG23" s="366">
        <v>0</v>
      </c>
      <c r="AH23" s="366">
        <v>99885437.810000002</v>
      </c>
      <c r="AI23" s="366">
        <v>571240.4</v>
      </c>
      <c r="AJ23" s="366">
        <v>85219500120.190002</v>
      </c>
      <c r="AK23" s="366">
        <v>0</v>
      </c>
      <c r="AL23" s="366">
        <v>91806967.480000004</v>
      </c>
      <c r="AM23" s="366">
        <v>525039.98</v>
      </c>
      <c r="AN23" s="366">
        <v>99401442985.139999</v>
      </c>
      <c r="AO23" s="366">
        <v>0</v>
      </c>
      <c r="AP23" s="366">
        <v>107085174.53</v>
      </c>
      <c r="AQ23" s="366">
        <v>612415.37</v>
      </c>
      <c r="AR23" s="366">
        <v>106312157787.33</v>
      </c>
      <c r="AS23" s="366">
        <v>0</v>
      </c>
      <c r="AT23" s="366">
        <v>114530087.58</v>
      </c>
      <c r="AU23" s="366">
        <v>654992.5</v>
      </c>
      <c r="AV23" s="366">
        <v>104250511239.56</v>
      </c>
      <c r="AW23" s="366">
        <v>0</v>
      </c>
      <c r="AX23" s="366">
        <v>112309075.76000001</v>
      </c>
      <c r="AY23" s="366">
        <v>642290.63</v>
      </c>
      <c r="AZ23" s="366">
        <v>101377977238.62</v>
      </c>
      <c r="BA23" s="366">
        <v>0</v>
      </c>
      <c r="BB23" s="366">
        <v>109214494.88</v>
      </c>
      <c r="BC23" s="366">
        <v>624592.86</v>
      </c>
      <c r="BD23" s="366">
        <v>111742550505.56</v>
      </c>
      <c r="BE23" s="366">
        <v>0</v>
      </c>
      <c r="BF23" s="366">
        <v>120380249.66</v>
      </c>
      <c r="BG23" s="366">
        <v>688449.32</v>
      </c>
      <c r="BH23" s="366">
        <v>111351353688.42</v>
      </c>
      <c r="BI23" s="366">
        <v>0</v>
      </c>
      <c r="BJ23" s="366">
        <v>119958813.33</v>
      </c>
      <c r="BK23" s="366">
        <v>686039.15</v>
      </c>
      <c r="BL23" s="366">
        <v>122055394359.60001</v>
      </c>
      <c r="BM23" s="366">
        <v>0</v>
      </c>
      <c r="BN23" s="366">
        <v>131490276.34</v>
      </c>
      <c r="BO23" s="366">
        <v>751987.07</v>
      </c>
      <c r="BP23" s="366">
        <v>110565351429.25</v>
      </c>
      <c r="BQ23" s="366">
        <v>0</v>
      </c>
      <c r="BR23" s="366">
        <v>119112053.09</v>
      </c>
      <c r="BS23" s="366">
        <v>681196.56</v>
      </c>
      <c r="BT23" s="366">
        <v>111599520100.11</v>
      </c>
      <c r="BU23" s="366">
        <v>0</v>
      </c>
      <c r="BV23" s="366">
        <v>120226163</v>
      </c>
      <c r="BW23" s="366">
        <v>687568.11</v>
      </c>
      <c r="BX23" s="366">
        <v>116296269696.02</v>
      </c>
      <c r="BY23" s="366">
        <v>0</v>
      </c>
      <c r="BZ23" s="366">
        <v>125285971.34</v>
      </c>
      <c r="CA23" s="366">
        <v>716504.93</v>
      </c>
      <c r="CB23" s="366">
        <v>74392294420.139999</v>
      </c>
      <c r="CC23" s="366">
        <v>0</v>
      </c>
      <c r="CD23" s="366">
        <v>80142818.780000001</v>
      </c>
      <c r="CE23" s="366">
        <v>458333.23</v>
      </c>
      <c r="CF23" s="366">
        <v>34.943923932731302</v>
      </c>
      <c r="CG23" s="366">
        <v>0</v>
      </c>
      <c r="CH23" s="366">
        <v>34.943923927548603</v>
      </c>
      <c r="CI23" s="366">
        <v>34.9439232794454</v>
      </c>
      <c r="CL23" s="423" t="s">
        <v>1472</v>
      </c>
    </row>
    <row r="24" spans="1:97">
      <c r="A24" s="366" t="s">
        <v>1457</v>
      </c>
      <c r="B24" s="366" t="s">
        <v>1221</v>
      </c>
      <c r="C24" s="366" t="s">
        <v>1473</v>
      </c>
      <c r="D24" s="366" t="s">
        <v>1227</v>
      </c>
      <c r="E24" s="366" t="s">
        <v>1131</v>
      </c>
      <c r="F24" s="366" t="s">
        <v>1131</v>
      </c>
      <c r="G24" s="366" t="s">
        <v>1222</v>
      </c>
      <c r="H24" s="366">
        <v>19157830.890000001</v>
      </c>
      <c r="I24" s="366">
        <v>198211.32</v>
      </c>
      <c r="J24" s="366">
        <v>2670218.4700000002</v>
      </c>
      <c r="K24" s="366">
        <v>202397.89</v>
      </c>
      <c r="L24" s="366">
        <v>16153893.289999999</v>
      </c>
      <c r="M24" s="366">
        <v>167131.9</v>
      </c>
      <c r="N24" s="366">
        <v>2251529.65</v>
      </c>
      <c r="O24" s="366">
        <v>170662.01</v>
      </c>
      <c r="P24" s="366">
        <v>18582250.98</v>
      </c>
      <c r="Q24" s="366">
        <v>192256.24</v>
      </c>
      <c r="R24" s="366">
        <v>2589994.14</v>
      </c>
      <c r="S24" s="366">
        <v>196317.02</v>
      </c>
      <c r="T24" s="366">
        <v>17127817.890000001</v>
      </c>
      <c r="U24" s="366">
        <v>177208.34</v>
      </c>
      <c r="V24" s="366">
        <v>2387275.2599999998</v>
      </c>
      <c r="W24" s="366">
        <v>180951.29</v>
      </c>
      <c r="X24" s="366">
        <v>19136618.300000001</v>
      </c>
      <c r="Y24" s="366">
        <v>197991.85</v>
      </c>
      <c r="Z24" s="366">
        <v>2667261.86</v>
      </c>
      <c r="AA24" s="366">
        <v>202173.78</v>
      </c>
      <c r="AB24" s="366">
        <v>18443358</v>
      </c>
      <c r="AC24" s="366">
        <v>190819.22</v>
      </c>
      <c r="AD24" s="366">
        <v>2570635.2400000002</v>
      </c>
      <c r="AE24" s="366">
        <v>194849.65</v>
      </c>
      <c r="AF24" s="366">
        <v>18050118.859999999</v>
      </c>
      <c r="AG24" s="366">
        <v>186750.68</v>
      </c>
      <c r="AH24" s="366">
        <v>2515825.5699999998</v>
      </c>
      <c r="AI24" s="366">
        <v>190695.17</v>
      </c>
      <c r="AJ24" s="366">
        <v>16357088.630000001</v>
      </c>
      <c r="AK24" s="366">
        <v>169234.2</v>
      </c>
      <c r="AL24" s="366">
        <v>2279851.0099999998</v>
      </c>
      <c r="AM24" s="366">
        <v>172808.72</v>
      </c>
      <c r="AN24" s="366">
        <v>20944834.079999998</v>
      </c>
      <c r="AO24" s="366">
        <v>216700.07</v>
      </c>
      <c r="AP24" s="366">
        <v>2919290.97</v>
      </c>
      <c r="AQ24" s="366">
        <v>221277.15</v>
      </c>
      <c r="AR24" s="366">
        <v>16066480.01</v>
      </c>
      <c r="AS24" s="366">
        <v>166227.5</v>
      </c>
      <c r="AT24" s="366">
        <v>2239345.98</v>
      </c>
      <c r="AU24" s="366">
        <v>169738.51</v>
      </c>
      <c r="AV24" s="366">
        <v>20949824.550000001</v>
      </c>
      <c r="AW24" s="366">
        <v>216751.7</v>
      </c>
      <c r="AX24" s="366">
        <v>2919986.55</v>
      </c>
      <c r="AY24" s="366">
        <v>221329.87</v>
      </c>
      <c r="AZ24" s="366">
        <v>16014349.869999999</v>
      </c>
      <c r="BA24" s="366">
        <v>165688.15</v>
      </c>
      <c r="BB24" s="366">
        <v>2232080.09</v>
      </c>
      <c r="BC24" s="366">
        <v>169187.76</v>
      </c>
      <c r="BD24" s="366">
        <v>13817445.060000001</v>
      </c>
      <c r="BE24" s="366">
        <v>142958.46</v>
      </c>
      <c r="BF24" s="366">
        <v>1925875.49</v>
      </c>
      <c r="BG24" s="366">
        <v>145977.99</v>
      </c>
      <c r="BH24" s="366">
        <v>17567366.710000001</v>
      </c>
      <c r="BI24" s="366">
        <v>181756.02</v>
      </c>
      <c r="BJ24" s="366">
        <v>2448539.5699999998</v>
      </c>
      <c r="BK24" s="366">
        <v>185595.01</v>
      </c>
      <c r="BL24" s="366">
        <v>17800432.390000001</v>
      </c>
      <c r="BM24" s="366">
        <v>184167.37</v>
      </c>
      <c r="BN24" s="366">
        <v>2481024.27</v>
      </c>
      <c r="BO24" s="366">
        <v>188057.3</v>
      </c>
      <c r="BP24" s="366">
        <v>12674152.390000001</v>
      </c>
      <c r="BQ24" s="366">
        <v>131129.70000000001</v>
      </c>
      <c r="BR24" s="366">
        <v>1766523.36</v>
      </c>
      <c r="BS24" s="366">
        <v>133899.38</v>
      </c>
      <c r="BT24" s="366">
        <v>12339435.02</v>
      </c>
      <c r="BU24" s="366">
        <v>127666.63</v>
      </c>
      <c r="BV24" s="366">
        <v>1719870.45</v>
      </c>
      <c r="BW24" s="366">
        <v>130363.17</v>
      </c>
      <c r="BX24" s="366">
        <v>13841156.369999999</v>
      </c>
      <c r="BY24" s="366">
        <v>143203.79</v>
      </c>
      <c r="BZ24" s="366">
        <v>1929180.38</v>
      </c>
      <c r="CA24" s="366">
        <v>146228.5</v>
      </c>
      <c r="CB24" s="366">
        <v>11826430.550000001</v>
      </c>
      <c r="CC24" s="366">
        <v>122358.97</v>
      </c>
      <c r="CD24" s="366">
        <v>1648367.89</v>
      </c>
      <c r="CE24" s="366">
        <v>124943.4</v>
      </c>
      <c r="CF24" s="366">
        <v>-38.268426013859703</v>
      </c>
      <c r="CG24" s="366">
        <v>-38.268424830630302</v>
      </c>
      <c r="CH24" s="366">
        <v>-38.268426028825999</v>
      </c>
      <c r="CI24" s="366">
        <v>-38.2684276007028</v>
      </c>
    </row>
    <row r="25" spans="1:97">
      <c r="A25" s="366" t="s">
        <v>1457</v>
      </c>
      <c r="B25" s="366" t="s">
        <v>1221</v>
      </c>
      <c r="C25" s="366" t="s">
        <v>1473</v>
      </c>
      <c r="D25" s="366" t="s">
        <v>1227</v>
      </c>
      <c r="E25" s="366" t="s">
        <v>1132</v>
      </c>
      <c r="F25" s="366" t="s">
        <v>1132</v>
      </c>
      <c r="G25" s="366" t="s">
        <v>1222</v>
      </c>
      <c r="H25" s="366">
        <v>2994049.18</v>
      </c>
      <c r="I25" s="366">
        <v>32925.1</v>
      </c>
      <c r="J25" s="366">
        <v>441502.49</v>
      </c>
      <c r="K25" s="366">
        <v>32995.31</v>
      </c>
      <c r="L25" s="366">
        <v>2500372.63</v>
      </c>
      <c r="M25" s="366">
        <v>27496.21</v>
      </c>
      <c r="N25" s="366">
        <v>368704.95</v>
      </c>
      <c r="O25" s="366">
        <v>27554.85</v>
      </c>
      <c r="P25" s="366">
        <v>2887883.29</v>
      </c>
      <c r="Q25" s="366">
        <v>31757.61</v>
      </c>
      <c r="R25" s="366">
        <v>425847.27</v>
      </c>
      <c r="S25" s="366">
        <v>31825.33</v>
      </c>
      <c r="T25" s="366">
        <v>2467787.0299999998</v>
      </c>
      <c r="U25" s="366">
        <v>27137.87</v>
      </c>
      <c r="V25" s="366">
        <v>363899.87</v>
      </c>
      <c r="W25" s="366">
        <v>27195.75</v>
      </c>
      <c r="X25" s="366">
        <v>2962524.44</v>
      </c>
      <c r="Y25" s="366">
        <v>32578.43</v>
      </c>
      <c r="Z25" s="366">
        <v>436853.85</v>
      </c>
      <c r="AA25" s="366">
        <v>32647.9</v>
      </c>
      <c r="AB25" s="366">
        <v>2928944.33</v>
      </c>
      <c r="AC25" s="366">
        <v>32209.15</v>
      </c>
      <c r="AD25" s="366">
        <v>431902.13</v>
      </c>
      <c r="AE25" s="366">
        <v>32277.84</v>
      </c>
      <c r="AF25" s="366">
        <v>2841251.81</v>
      </c>
      <c r="AG25" s="366">
        <v>31244.81</v>
      </c>
      <c r="AH25" s="366">
        <v>418970.99</v>
      </c>
      <c r="AI25" s="366">
        <v>31311.439999999999</v>
      </c>
      <c r="AJ25" s="366">
        <v>2819417.26</v>
      </c>
      <c r="AK25" s="366">
        <v>31004.7</v>
      </c>
      <c r="AL25" s="366">
        <v>415751.27</v>
      </c>
      <c r="AM25" s="366">
        <v>31070.82</v>
      </c>
      <c r="AN25" s="366">
        <v>3375560.16</v>
      </c>
      <c r="AO25" s="366">
        <v>37120.519999999997</v>
      </c>
      <c r="AP25" s="366">
        <v>497760.1</v>
      </c>
      <c r="AQ25" s="366">
        <v>37199.68</v>
      </c>
      <c r="AR25" s="366">
        <v>2062524.95</v>
      </c>
      <c r="AS25" s="366">
        <v>22681.27</v>
      </c>
      <c r="AT25" s="366">
        <v>304139.93</v>
      </c>
      <c r="AU25" s="366">
        <v>22729.64</v>
      </c>
      <c r="AV25" s="366">
        <v>3619539.56</v>
      </c>
      <c r="AW25" s="366">
        <v>39803.519999999997</v>
      </c>
      <c r="AX25" s="366">
        <v>533737.30000000005</v>
      </c>
      <c r="AY25" s="366">
        <v>39888.400000000001</v>
      </c>
      <c r="AZ25" s="366">
        <v>2649408.4300000002</v>
      </c>
      <c r="BA25" s="366">
        <v>29135.14</v>
      </c>
      <c r="BB25" s="366">
        <v>390681.77</v>
      </c>
      <c r="BC25" s="366">
        <v>29197.27</v>
      </c>
      <c r="BD25" s="366">
        <v>2840232.52</v>
      </c>
      <c r="BE25" s="366">
        <v>31233.599999999999</v>
      </c>
      <c r="BF25" s="366">
        <v>418820.69</v>
      </c>
      <c r="BG25" s="366">
        <v>31300.21</v>
      </c>
      <c r="BH25" s="366">
        <v>2528154.42</v>
      </c>
      <c r="BI25" s="366">
        <v>27801.72</v>
      </c>
      <c r="BJ25" s="366">
        <v>372801.65</v>
      </c>
      <c r="BK25" s="366">
        <v>27861.02</v>
      </c>
      <c r="BL25" s="366">
        <v>2195208.9700000002</v>
      </c>
      <c r="BM25" s="366">
        <v>24140.37</v>
      </c>
      <c r="BN25" s="366">
        <v>323705.51</v>
      </c>
      <c r="BO25" s="366">
        <v>24191.86</v>
      </c>
      <c r="BP25" s="366">
        <v>1424821.37</v>
      </c>
      <c r="BQ25" s="366">
        <v>15668.54</v>
      </c>
      <c r="BR25" s="366">
        <v>210104.16</v>
      </c>
      <c r="BS25" s="366">
        <v>15701.96</v>
      </c>
      <c r="BT25" s="366">
        <v>1685715.53</v>
      </c>
      <c r="BU25" s="366">
        <v>18537.55</v>
      </c>
      <c r="BV25" s="366">
        <v>248575.61</v>
      </c>
      <c r="BW25" s="366">
        <v>18577.09</v>
      </c>
      <c r="BX25" s="366">
        <v>1559301.4</v>
      </c>
      <c r="BY25" s="366">
        <v>17147.400000000001</v>
      </c>
      <c r="BZ25" s="366">
        <v>229934.58</v>
      </c>
      <c r="CA25" s="366">
        <v>17183.97</v>
      </c>
      <c r="CB25" s="366">
        <v>1113694.03</v>
      </c>
      <c r="CC25" s="366">
        <v>12247.12</v>
      </c>
      <c r="CD25" s="366">
        <v>164225.32</v>
      </c>
      <c r="CE25" s="366">
        <v>12273.24</v>
      </c>
      <c r="CF25" s="366">
        <v>-62.803081611371503</v>
      </c>
      <c r="CG25" s="366">
        <v>-62.803089436326701</v>
      </c>
      <c r="CH25" s="366">
        <v>-62.803081812743599</v>
      </c>
      <c r="CI25" s="366">
        <v>-62.803077164603103</v>
      </c>
    </row>
    <row r="26" spans="1:97">
      <c r="A26" s="366" t="s">
        <v>1457</v>
      </c>
      <c r="B26" s="366" t="s">
        <v>1221</v>
      </c>
      <c r="C26" s="366" t="s">
        <v>1473</v>
      </c>
      <c r="D26" s="366" t="s">
        <v>1227</v>
      </c>
      <c r="E26" s="366" t="s">
        <v>1133</v>
      </c>
      <c r="F26" s="366" t="s">
        <v>1133</v>
      </c>
      <c r="G26" s="366" t="s">
        <v>1222</v>
      </c>
      <c r="H26" s="366">
        <v>1836775.17</v>
      </c>
      <c r="I26" s="366">
        <v>20768.650000000001</v>
      </c>
      <c r="J26" s="366">
        <v>278271.44</v>
      </c>
      <c r="K26" s="366">
        <v>20812.7</v>
      </c>
      <c r="L26" s="366">
        <v>1551754.74</v>
      </c>
      <c r="M26" s="366">
        <v>17545.88</v>
      </c>
      <c r="N26" s="366">
        <v>235090.84</v>
      </c>
      <c r="O26" s="366">
        <v>17583.099999999999</v>
      </c>
      <c r="P26" s="366">
        <v>1924852.83</v>
      </c>
      <c r="Q26" s="366">
        <v>21764.55</v>
      </c>
      <c r="R26" s="366">
        <v>291615.2</v>
      </c>
      <c r="S26" s="366">
        <v>21810.720000000001</v>
      </c>
      <c r="T26" s="366">
        <v>1681696.34</v>
      </c>
      <c r="U26" s="366">
        <v>19015.150000000001</v>
      </c>
      <c r="V26" s="366">
        <v>254777</v>
      </c>
      <c r="W26" s="366">
        <v>19055.490000000002</v>
      </c>
      <c r="X26" s="366">
        <v>1919702.52</v>
      </c>
      <c r="Y26" s="366">
        <v>21706.32</v>
      </c>
      <c r="Z26" s="366">
        <v>290834.93</v>
      </c>
      <c r="AA26" s="366">
        <v>21752.36</v>
      </c>
      <c r="AB26" s="366">
        <v>1820082.68</v>
      </c>
      <c r="AC26" s="366">
        <v>20579.900000000001</v>
      </c>
      <c r="AD26" s="366">
        <v>275742.53000000003</v>
      </c>
      <c r="AE26" s="366">
        <v>20623.560000000001</v>
      </c>
      <c r="AF26" s="366">
        <v>1708643.65</v>
      </c>
      <c r="AG26" s="366">
        <v>19319.849999999999</v>
      </c>
      <c r="AH26" s="366">
        <v>258859.51</v>
      </c>
      <c r="AI26" s="366">
        <v>19360.830000000002</v>
      </c>
      <c r="AJ26" s="366">
        <v>1333214.97</v>
      </c>
      <c r="AK26" s="366">
        <v>15074.83</v>
      </c>
      <c r="AL26" s="366">
        <v>201982.07</v>
      </c>
      <c r="AM26" s="366">
        <v>15106.81</v>
      </c>
      <c r="AN26" s="366">
        <v>989461.72</v>
      </c>
      <c r="AO26" s="366">
        <v>11187.97</v>
      </c>
      <c r="AP26" s="366">
        <v>149903.45000000001</v>
      </c>
      <c r="AQ26" s="366">
        <v>11211.7</v>
      </c>
      <c r="AR26" s="366">
        <v>258956.46</v>
      </c>
      <c r="AS26" s="366">
        <v>2928.05</v>
      </c>
      <c r="AT26" s="366">
        <v>39231.9</v>
      </c>
      <c r="AU26" s="366">
        <v>2934.26</v>
      </c>
      <c r="AV26" s="366">
        <v>120273.63</v>
      </c>
      <c r="AW26" s="366">
        <v>1359.95</v>
      </c>
      <c r="AX26" s="366">
        <v>18221.45</v>
      </c>
      <c r="AY26" s="366">
        <v>1362.83</v>
      </c>
      <c r="AZ26" s="366">
        <v>16106.1</v>
      </c>
      <c r="BA26" s="366">
        <v>182.11</v>
      </c>
      <c r="BB26" s="366">
        <v>2440.0700000000002</v>
      </c>
      <c r="BC26" s="366">
        <v>182.5</v>
      </c>
      <c r="BD26" s="366">
        <v>8904.94</v>
      </c>
      <c r="BE26" s="366">
        <v>100.69</v>
      </c>
      <c r="BF26" s="366">
        <v>1349.1</v>
      </c>
      <c r="BG26" s="366">
        <v>100.9</v>
      </c>
      <c r="BH26" s="366">
        <v>40327.33</v>
      </c>
      <c r="BI26" s="366">
        <v>455.99</v>
      </c>
      <c r="BJ26" s="366">
        <v>6109.59</v>
      </c>
      <c r="BK26" s="366">
        <v>456.95</v>
      </c>
      <c r="BL26" s="366">
        <v>0</v>
      </c>
      <c r="BM26" s="366">
        <v>0</v>
      </c>
      <c r="BN26" s="366">
        <v>0</v>
      </c>
      <c r="BO26" s="366">
        <v>0</v>
      </c>
      <c r="BP26" s="366">
        <v>0</v>
      </c>
      <c r="BQ26" s="366">
        <v>0</v>
      </c>
      <c r="BR26" s="366">
        <v>0</v>
      </c>
      <c r="BS26" s="366">
        <v>0</v>
      </c>
      <c r="BT26" s="366">
        <v>0</v>
      </c>
      <c r="BU26" s="366">
        <v>0</v>
      </c>
      <c r="BV26" s="366">
        <v>0</v>
      </c>
      <c r="BW26" s="366">
        <v>0</v>
      </c>
      <c r="BX26" s="366">
        <v>0</v>
      </c>
      <c r="BY26" s="366">
        <v>0</v>
      </c>
      <c r="BZ26" s="366">
        <v>0</v>
      </c>
      <c r="CA26" s="366">
        <v>0</v>
      </c>
      <c r="CB26" s="366">
        <v>0</v>
      </c>
      <c r="CC26" s="366">
        <v>0</v>
      </c>
      <c r="CD26" s="366">
        <v>0</v>
      </c>
      <c r="CE26" s="366">
        <v>0</v>
      </c>
      <c r="CF26" s="366">
        <v>-100</v>
      </c>
      <c r="CG26" s="366">
        <v>-100</v>
      </c>
      <c r="CH26" s="366">
        <v>-100</v>
      </c>
      <c r="CI26" s="366">
        <v>-100</v>
      </c>
    </row>
    <row r="27" spans="1:97">
      <c r="A27" s="366" t="s">
        <v>1457</v>
      </c>
      <c r="B27" s="366" t="s">
        <v>1221</v>
      </c>
      <c r="C27" s="366" t="s">
        <v>1473</v>
      </c>
      <c r="D27" s="366" t="s">
        <v>1227</v>
      </c>
      <c r="E27" s="366" t="s">
        <v>1134</v>
      </c>
      <c r="F27" s="366" t="s">
        <v>1134</v>
      </c>
      <c r="G27" s="366" t="s">
        <v>1222</v>
      </c>
      <c r="H27" s="366">
        <v>32152.17</v>
      </c>
      <c r="I27" s="366">
        <v>0.21</v>
      </c>
      <c r="J27" s="366">
        <v>4156.63</v>
      </c>
      <c r="K27" s="366">
        <v>0.45</v>
      </c>
      <c r="L27" s="366">
        <v>66599.14</v>
      </c>
      <c r="M27" s="366">
        <v>0.44</v>
      </c>
      <c r="N27" s="366">
        <v>8609.94</v>
      </c>
      <c r="O27" s="366">
        <v>0.94</v>
      </c>
      <c r="P27" s="366">
        <v>77982.16</v>
      </c>
      <c r="Q27" s="366">
        <v>0.52</v>
      </c>
      <c r="R27" s="366">
        <v>10081.530000000001</v>
      </c>
      <c r="S27" s="366">
        <v>1.1000000000000001</v>
      </c>
      <c r="T27" s="366">
        <v>63515.73</v>
      </c>
      <c r="U27" s="366">
        <v>0.42</v>
      </c>
      <c r="V27" s="366">
        <v>8211.31</v>
      </c>
      <c r="W27" s="366">
        <v>0.9</v>
      </c>
      <c r="X27" s="366">
        <v>96009.600000000006</v>
      </c>
      <c r="Y27" s="366">
        <v>0.64</v>
      </c>
      <c r="Z27" s="366">
        <v>12412.12</v>
      </c>
      <c r="AA27" s="366">
        <v>1.35</v>
      </c>
      <c r="AB27" s="366">
        <v>64077.02</v>
      </c>
      <c r="AC27" s="366">
        <v>0.43</v>
      </c>
      <c r="AD27" s="366">
        <v>8283.8799999999992</v>
      </c>
      <c r="AE27" s="366">
        <v>0.9</v>
      </c>
      <c r="AF27" s="366">
        <v>104499.06</v>
      </c>
      <c r="AG27" s="366">
        <v>0.69</v>
      </c>
      <c r="AH27" s="366">
        <v>13509.64</v>
      </c>
      <c r="AI27" s="366">
        <v>1.47</v>
      </c>
      <c r="AJ27" s="366">
        <v>313617.69</v>
      </c>
      <c r="AK27" s="366">
        <v>2.08</v>
      </c>
      <c r="AL27" s="366">
        <v>40544.49</v>
      </c>
      <c r="AM27" s="366">
        <v>4.42</v>
      </c>
      <c r="AN27" s="366">
        <v>449127.25</v>
      </c>
      <c r="AO27" s="366">
        <v>2.98</v>
      </c>
      <c r="AP27" s="366">
        <v>58063.17</v>
      </c>
      <c r="AQ27" s="366">
        <v>6.33</v>
      </c>
      <c r="AR27" s="366">
        <v>302111.86</v>
      </c>
      <c r="AS27" s="366">
        <v>2</v>
      </c>
      <c r="AT27" s="366">
        <v>39057.019999999997</v>
      </c>
      <c r="AU27" s="366">
        <v>4.26</v>
      </c>
      <c r="AV27" s="366">
        <v>392986.97</v>
      </c>
      <c r="AW27" s="366">
        <v>2.61</v>
      </c>
      <c r="AX27" s="366">
        <v>50805.36</v>
      </c>
      <c r="AY27" s="366">
        <v>5.54</v>
      </c>
      <c r="AZ27" s="366">
        <v>330154.43</v>
      </c>
      <c r="BA27" s="366">
        <v>2.19</v>
      </c>
      <c r="BB27" s="366">
        <v>42682.36</v>
      </c>
      <c r="BC27" s="366">
        <v>4.6500000000000004</v>
      </c>
      <c r="BD27" s="366">
        <v>521429.38</v>
      </c>
      <c r="BE27" s="366">
        <v>3.46</v>
      </c>
      <c r="BF27" s="366">
        <v>67410.39</v>
      </c>
      <c r="BG27" s="366">
        <v>7.35</v>
      </c>
      <c r="BH27" s="366">
        <v>650291.19999999995</v>
      </c>
      <c r="BI27" s="366">
        <v>4.32</v>
      </c>
      <c r="BJ27" s="366">
        <v>84069.65</v>
      </c>
      <c r="BK27" s="366">
        <v>9.17</v>
      </c>
      <c r="BL27" s="366">
        <v>721564.07</v>
      </c>
      <c r="BM27" s="366">
        <v>4.79</v>
      </c>
      <c r="BN27" s="366">
        <v>93283.8</v>
      </c>
      <c r="BO27" s="366">
        <v>10.17</v>
      </c>
      <c r="BP27" s="366">
        <v>648394.07999999996</v>
      </c>
      <c r="BQ27" s="366">
        <v>4.3</v>
      </c>
      <c r="BR27" s="366">
        <v>83824.39</v>
      </c>
      <c r="BS27" s="366">
        <v>9.14</v>
      </c>
      <c r="BT27" s="366">
        <v>539031.12</v>
      </c>
      <c r="BU27" s="366">
        <v>3.58</v>
      </c>
      <c r="BV27" s="366">
        <v>69685.94</v>
      </c>
      <c r="BW27" s="366">
        <v>7.6</v>
      </c>
      <c r="BX27" s="366">
        <v>559885.24</v>
      </c>
      <c r="BY27" s="366">
        <v>3.72</v>
      </c>
      <c r="BZ27" s="366">
        <v>72381.960000000006</v>
      </c>
      <c r="CA27" s="366">
        <v>7.89</v>
      </c>
      <c r="CB27" s="366">
        <v>485333.56</v>
      </c>
      <c r="CC27" s="366">
        <v>3.22</v>
      </c>
      <c r="CD27" s="366">
        <v>62743.92</v>
      </c>
      <c r="CE27" s="366">
        <v>6.84</v>
      </c>
      <c r="CF27" s="366">
        <v>1409.4892817498801</v>
      </c>
      <c r="CG27" s="366">
        <v>100</v>
      </c>
      <c r="CH27" s="366">
        <v>1409.4901398488701</v>
      </c>
      <c r="CI27" s="366">
        <v>100</v>
      </c>
    </row>
    <row r="28" spans="1:97">
      <c r="A28" s="366" t="s">
        <v>1457</v>
      </c>
      <c r="B28" s="366" t="s">
        <v>1221</v>
      </c>
      <c r="C28" s="366" t="s">
        <v>1473</v>
      </c>
      <c r="D28" s="366" t="s">
        <v>1227</v>
      </c>
      <c r="E28" s="366" t="s">
        <v>636</v>
      </c>
      <c r="F28" s="366" t="s">
        <v>636</v>
      </c>
      <c r="G28" s="366" t="s">
        <v>1223</v>
      </c>
      <c r="H28" s="366">
        <v>8779889925.8299999</v>
      </c>
      <c r="I28" s="366">
        <v>4376442</v>
      </c>
      <c r="J28" s="366">
        <v>76390310.290000007</v>
      </c>
      <c r="K28" s="366">
        <v>4382555.9000000004</v>
      </c>
      <c r="L28" s="366">
        <v>8167536611.0100002</v>
      </c>
      <c r="M28" s="366">
        <v>3432135.45</v>
      </c>
      <c r="N28" s="366">
        <v>71062469.040000007</v>
      </c>
      <c r="O28" s="366">
        <v>3436401.68</v>
      </c>
      <c r="P28" s="366">
        <v>8426375735.2399998</v>
      </c>
      <c r="Q28" s="366">
        <v>3575108.23</v>
      </c>
      <c r="R28" s="366">
        <v>73314524.719999999</v>
      </c>
      <c r="S28" s="366">
        <v>3579554.58</v>
      </c>
      <c r="T28" s="366">
        <v>8840352688.2199993</v>
      </c>
      <c r="U28" s="366">
        <v>3366226.78</v>
      </c>
      <c r="V28" s="366">
        <v>76916372.599999994</v>
      </c>
      <c r="W28" s="366">
        <v>3370369.46</v>
      </c>
      <c r="X28" s="366">
        <v>8714209431.3400002</v>
      </c>
      <c r="Y28" s="366">
        <v>2916734.02</v>
      </c>
      <c r="Z28" s="366">
        <v>75818850.579999998</v>
      </c>
      <c r="AA28" s="366">
        <v>2920255.35</v>
      </c>
      <c r="AB28" s="366">
        <v>8873552676.7099991</v>
      </c>
      <c r="AC28" s="366">
        <v>3031643.38</v>
      </c>
      <c r="AD28" s="366">
        <v>77205232.420000002</v>
      </c>
      <c r="AE28" s="366">
        <v>3035204.15</v>
      </c>
      <c r="AF28" s="366">
        <v>8955689219.8500004</v>
      </c>
      <c r="AG28" s="366">
        <v>2774739.41</v>
      </c>
      <c r="AH28" s="366">
        <v>77919869.629999995</v>
      </c>
      <c r="AI28" s="366">
        <v>2777708.39</v>
      </c>
      <c r="AJ28" s="366">
        <v>8920220571.7999992</v>
      </c>
      <c r="AK28" s="366">
        <v>2904567.74</v>
      </c>
      <c r="AL28" s="366">
        <v>77611271.109999999</v>
      </c>
      <c r="AM28" s="366">
        <v>2907869.76</v>
      </c>
      <c r="AN28" s="366">
        <v>8912439822.8500004</v>
      </c>
      <c r="AO28" s="366">
        <v>2657697.27</v>
      </c>
      <c r="AP28" s="366">
        <v>77543573.920000002</v>
      </c>
      <c r="AQ28" s="366">
        <v>2660643.71</v>
      </c>
      <c r="AR28" s="366">
        <v>8929716904.9400005</v>
      </c>
      <c r="AS28" s="366">
        <v>2916907.46</v>
      </c>
      <c r="AT28" s="366">
        <v>77693894.900000006</v>
      </c>
      <c r="AU28" s="366">
        <v>2920290.82</v>
      </c>
      <c r="AV28" s="366">
        <v>9025316596.5</v>
      </c>
      <c r="AW28" s="366">
        <v>2879948.67</v>
      </c>
      <c r="AX28" s="366">
        <v>78525669.579999998</v>
      </c>
      <c r="AY28" s="366">
        <v>2883304.42</v>
      </c>
      <c r="AZ28" s="366">
        <v>9006092445.9699993</v>
      </c>
      <c r="BA28" s="366">
        <v>2890751.98</v>
      </c>
      <c r="BB28" s="366">
        <v>78358407.939999998</v>
      </c>
      <c r="BC28" s="366">
        <v>2894125.03</v>
      </c>
      <c r="BD28" s="366">
        <v>8941456437.9300003</v>
      </c>
      <c r="BE28" s="366">
        <v>2506654.36</v>
      </c>
      <c r="BF28" s="366">
        <v>77796035.879999995</v>
      </c>
      <c r="BG28" s="366">
        <v>2509388.7000000002</v>
      </c>
      <c r="BH28" s="366">
        <v>9132679086.1100006</v>
      </c>
      <c r="BI28" s="366">
        <v>2808198.56</v>
      </c>
      <c r="BJ28" s="366">
        <v>79459787.659999996</v>
      </c>
      <c r="BK28" s="366">
        <v>2811327.47</v>
      </c>
      <c r="BL28" s="366">
        <v>8939368045.1800003</v>
      </c>
      <c r="BM28" s="366">
        <v>2588309.11</v>
      </c>
      <c r="BN28" s="366">
        <v>77777865.609999999</v>
      </c>
      <c r="BO28" s="366">
        <v>2591005.2400000002</v>
      </c>
      <c r="BP28" s="366">
        <v>7358075557.3599997</v>
      </c>
      <c r="BQ28" s="366">
        <v>2321344.64</v>
      </c>
      <c r="BR28" s="366">
        <v>64019672.189999998</v>
      </c>
      <c r="BS28" s="366">
        <v>2132680.1</v>
      </c>
      <c r="BT28" s="366">
        <v>7493160956.96</v>
      </c>
      <c r="BU28" s="366">
        <v>2531449.7999999998</v>
      </c>
      <c r="BV28" s="366">
        <v>65194996.219999999</v>
      </c>
      <c r="BW28" s="366">
        <v>2171833.54</v>
      </c>
      <c r="BX28" s="366">
        <v>7693001278.3299999</v>
      </c>
      <c r="BY28" s="366">
        <v>2844085.53</v>
      </c>
      <c r="BZ28" s="366">
        <v>66933726.920000002</v>
      </c>
      <c r="CA28" s="366">
        <v>2847001.6</v>
      </c>
      <c r="CB28" s="366">
        <v>7978124434.7600002</v>
      </c>
      <c r="CC28" s="366">
        <v>2950903.23</v>
      </c>
      <c r="CD28" s="366">
        <v>69414469.459999993</v>
      </c>
      <c r="CE28" s="366">
        <v>2952519.07</v>
      </c>
      <c r="CF28" s="366">
        <v>-9.1318398959791693</v>
      </c>
      <c r="CG28" s="366">
        <v>-32.573007251095802</v>
      </c>
      <c r="CH28" s="366">
        <v>-9.1318398937217005</v>
      </c>
      <c r="CI28" s="366">
        <v>-32.630201704900102</v>
      </c>
    </row>
    <row r="29" spans="1:97">
      <c r="A29" s="366" t="s">
        <v>1457</v>
      </c>
      <c r="B29" s="366" t="s">
        <v>1221</v>
      </c>
      <c r="C29" s="366" t="s">
        <v>1473</v>
      </c>
      <c r="D29" s="366" t="s">
        <v>1227</v>
      </c>
      <c r="E29" s="366" t="s">
        <v>637</v>
      </c>
      <c r="F29" s="366" t="s">
        <v>637</v>
      </c>
      <c r="G29" s="366" t="s">
        <v>1224</v>
      </c>
      <c r="H29" s="366">
        <v>16538490712.01</v>
      </c>
      <c r="I29" s="366">
        <v>901282.2</v>
      </c>
      <c r="J29" s="366">
        <v>17816916.039999999</v>
      </c>
      <c r="K29" s="366">
        <v>902190.15</v>
      </c>
      <c r="L29" s="366">
        <v>16402695040.52</v>
      </c>
      <c r="M29" s="366">
        <v>893881.88</v>
      </c>
      <c r="N29" s="366">
        <v>17670623.370000001</v>
      </c>
      <c r="O29" s="366">
        <v>894782.37</v>
      </c>
      <c r="P29" s="366">
        <v>17385399214.330002</v>
      </c>
      <c r="Q29" s="366">
        <v>947435.36</v>
      </c>
      <c r="R29" s="366">
        <v>18729290.57</v>
      </c>
      <c r="S29" s="366">
        <v>948389.8</v>
      </c>
      <c r="T29" s="366">
        <v>10781393511.799999</v>
      </c>
      <c r="U29" s="366">
        <v>587543.22</v>
      </c>
      <c r="V29" s="366">
        <v>11614795.23</v>
      </c>
      <c r="W29" s="366">
        <v>588135.11</v>
      </c>
      <c r="X29" s="366">
        <v>9080206125.6700001</v>
      </c>
      <c r="Y29" s="366">
        <v>494835.25</v>
      </c>
      <c r="Z29" s="366">
        <v>9782106.0600000005</v>
      </c>
      <c r="AA29" s="366">
        <v>495333.74</v>
      </c>
      <c r="AB29" s="366">
        <v>21058714673.400002</v>
      </c>
      <c r="AC29" s="366">
        <v>1147616.49</v>
      </c>
      <c r="AD29" s="366">
        <v>22686553.32</v>
      </c>
      <c r="AE29" s="366">
        <v>1148772.6000000001</v>
      </c>
      <c r="AF29" s="366">
        <v>21777624145.91</v>
      </c>
      <c r="AG29" s="366">
        <v>1186794.21</v>
      </c>
      <c r="AH29" s="366">
        <v>23461034.489999998</v>
      </c>
      <c r="AI29" s="366">
        <v>1187989.78</v>
      </c>
      <c r="AJ29" s="366">
        <v>20024206441.509998</v>
      </c>
      <c r="AK29" s="366">
        <v>1091239.8999999999</v>
      </c>
      <c r="AL29" s="366">
        <v>21572077.600000001</v>
      </c>
      <c r="AM29" s="366">
        <v>1092339.2</v>
      </c>
      <c r="AN29" s="366">
        <v>110885790642.57001</v>
      </c>
      <c r="AO29" s="366">
        <v>6042836.1500000004</v>
      </c>
      <c r="AP29" s="366">
        <v>119457262.26000001</v>
      </c>
      <c r="AQ29" s="366">
        <v>6048923.6699999999</v>
      </c>
      <c r="AR29" s="366">
        <v>24943616289.810001</v>
      </c>
      <c r="AS29" s="366">
        <v>1359328.24</v>
      </c>
      <c r="AT29" s="366">
        <v>26871757.829999998</v>
      </c>
      <c r="AU29" s="366">
        <v>1360697.62</v>
      </c>
      <c r="AV29" s="366">
        <v>24884990545.43</v>
      </c>
      <c r="AW29" s="366">
        <v>1356133.37</v>
      </c>
      <c r="AX29" s="366">
        <v>26808600.309999999</v>
      </c>
      <c r="AY29" s="366">
        <v>1357499.53</v>
      </c>
      <c r="AZ29" s="366">
        <v>24888532516.400002</v>
      </c>
      <c r="BA29" s="366">
        <v>1356326.39</v>
      </c>
      <c r="BB29" s="366">
        <v>26812416.079999998</v>
      </c>
      <c r="BC29" s="366">
        <v>1357692.74</v>
      </c>
      <c r="BD29" s="366">
        <v>26425554095.150002</v>
      </c>
      <c r="BE29" s="366">
        <v>1440087.97</v>
      </c>
      <c r="BF29" s="366">
        <v>28468249.43</v>
      </c>
      <c r="BG29" s="366">
        <v>1441538.71</v>
      </c>
      <c r="BH29" s="366">
        <v>29136742367.68</v>
      </c>
      <c r="BI29" s="366">
        <v>1587836.99</v>
      </c>
      <c r="BJ29" s="366">
        <v>31389012.550000001</v>
      </c>
      <c r="BK29" s="366">
        <v>1589436.57</v>
      </c>
      <c r="BL29" s="366">
        <v>28314142341.099998</v>
      </c>
      <c r="BM29" s="366">
        <v>1543008.55</v>
      </c>
      <c r="BN29" s="366">
        <v>30502825.539999999</v>
      </c>
      <c r="BO29" s="366">
        <v>1544562.97</v>
      </c>
      <c r="BP29" s="366">
        <v>25680997378.540001</v>
      </c>
      <c r="BQ29" s="366">
        <v>1399512.58</v>
      </c>
      <c r="BR29" s="366">
        <v>27666138.48</v>
      </c>
      <c r="BS29" s="366">
        <v>1400922.44</v>
      </c>
      <c r="BT29" s="366">
        <v>25151035934.18</v>
      </c>
      <c r="BU29" s="366">
        <v>1370631.78</v>
      </c>
      <c r="BV29" s="366">
        <v>27095211.010000002</v>
      </c>
      <c r="BW29" s="366">
        <v>1372012.55</v>
      </c>
      <c r="BX29" s="366">
        <v>25757198324.759998</v>
      </c>
      <c r="BY29" s="366">
        <v>1403665.23</v>
      </c>
      <c r="BZ29" s="366">
        <v>27748229.760000002</v>
      </c>
      <c r="CA29" s="366">
        <v>1405079.28</v>
      </c>
      <c r="CB29" s="366">
        <v>14314567952.51</v>
      </c>
      <c r="CC29" s="366">
        <v>780087.22</v>
      </c>
      <c r="CD29" s="366">
        <v>15421084.060000001</v>
      </c>
      <c r="CE29" s="366">
        <v>780873.08</v>
      </c>
      <c r="CF29" s="366">
        <v>-13.446951104704</v>
      </c>
      <c r="CG29" s="366">
        <v>-13.446951465367899</v>
      </c>
      <c r="CH29" s="366">
        <v>-13.446951058315699</v>
      </c>
      <c r="CI29" s="366">
        <v>-13.4469512884839</v>
      </c>
    </row>
    <row r="30" spans="1:97">
      <c r="A30" s="366" t="s">
        <v>1457</v>
      </c>
      <c r="B30" s="366" t="s">
        <v>1221</v>
      </c>
      <c r="C30" s="366" t="s">
        <v>1473</v>
      </c>
      <c r="D30" s="366" t="s">
        <v>1227</v>
      </c>
      <c r="E30" s="366" t="s">
        <v>1124</v>
      </c>
      <c r="F30" s="366" t="s">
        <v>1124</v>
      </c>
      <c r="G30" s="366" t="s">
        <v>1225</v>
      </c>
      <c r="H30" s="366">
        <v>2237335897.71</v>
      </c>
      <c r="I30" s="366">
        <v>371793.14</v>
      </c>
      <c r="J30" s="366">
        <v>7067265.0199999996</v>
      </c>
      <c r="K30" s="366">
        <v>372426.73</v>
      </c>
      <c r="L30" s="366">
        <v>2230366020.8699999</v>
      </c>
      <c r="M30" s="366">
        <v>297032.34999999998</v>
      </c>
      <c r="N30" s="366">
        <v>7045248.6699999999</v>
      </c>
      <c r="O30" s="366">
        <v>297523.44</v>
      </c>
      <c r="P30" s="366">
        <v>2248579499.1100001</v>
      </c>
      <c r="Q30" s="366">
        <v>310680.78000000003</v>
      </c>
      <c r="R30" s="366">
        <v>7102781.1500000004</v>
      </c>
      <c r="S30" s="366">
        <v>311196.09999999998</v>
      </c>
      <c r="T30" s="366">
        <v>1845052652.7</v>
      </c>
      <c r="U30" s="366">
        <v>244265.95</v>
      </c>
      <c r="V30" s="366">
        <v>5828126.25</v>
      </c>
      <c r="W30" s="366">
        <v>244652.4</v>
      </c>
      <c r="X30" s="366">
        <v>1759386069.0899999</v>
      </c>
      <c r="Y30" s="366">
        <v>251314.48</v>
      </c>
      <c r="Z30" s="366">
        <v>5557523.8499999996</v>
      </c>
      <c r="AA30" s="366">
        <v>251718.97</v>
      </c>
      <c r="AB30" s="366">
        <v>1819690775.4300001</v>
      </c>
      <c r="AC30" s="366">
        <v>223319.76</v>
      </c>
      <c r="AD30" s="366">
        <v>5748013.5099999998</v>
      </c>
      <c r="AE30" s="366">
        <v>223657.18</v>
      </c>
      <c r="AF30" s="366">
        <v>1729478602.48</v>
      </c>
      <c r="AG30" s="366">
        <v>212431.39</v>
      </c>
      <c r="AH30" s="366">
        <v>5463052.5700000003</v>
      </c>
      <c r="AI30" s="366">
        <v>212726.24</v>
      </c>
      <c r="AJ30" s="366">
        <v>1485399017.5</v>
      </c>
      <c r="AK30" s="366">
        <v>152807.6</v>
      </c>
      <c r="AL30" s="366">
        <v>4692057.43</v>
      </c>
      <c r="AM30" s="366">
        <v>153007.22</v>
      </c>
      <c r="AN30" s="366">
        <v>1639199411.8</v>
      </c>
      <c r="AO30" s="366">
        <v>172140.31</v>
      </c>
      <c r="AP30" s="366">
        <v>5177879.9400000004</v>
      </c>
      <c r="AQ30" s="366">
        <v>172356.33</v>
      </c>
      <c r="AR30" s="366">
        <v>1639199411.8</v>
      </c>
      <c r="AS30" s="366">
        <v>181553.43</v>
      </c>
      <c r="AT30" s="366">
        <v>5177879.9400000004</v>
      </c>
      <c r="AU30" s="366">
        <v>181761.04</v>
      </c>
      <c r="AV30" s="366">
        <v>1595541286.1099999</v>
      </c>
      <c r="AW30" s="366">
        <v>170960.14</v>
      </c>
      <c r="AX30" s="366">
        <v>5039973.2699999996</v>
      </c>
      <c r="AY30" s="366">
        <v>171158.1</v>
      </c>
      <c r="AZ30" s="366">
        <v>1458368718.22</v>
      </c>
      <c r="BA30" s="366">
        <v>144456.94</v>
      </c>
      <c r="BB30" s="366">
        <v>4606674.5</v>
      </c>
      <c r="BC30" s="366">
        <v>144609.91</v>
      </c>
      <c r="BD30" s="366">
        <v>1401500853.1700001</v>
      </c>
      <c r="BE30" s="366">
        <v>129248.8</v>
      </c>
      <c r="BF30" s="366">
        <v>4427041.09</v>
      </c>
      <c r="BG30" s="366">
        <v>129385.60000000001</v>
      </c>
      <c r="BH30" s="366">
        <v>1588653489.4000001</v>
      </c>
      <c r="BI30" s="366">
        <v>167750.48000000001</v>
      </c>
      <c r="BJ30" s="366">
        <v>5018216.1900000004</v>
      </c>
      <c r="BK30" s="366">
        <v>167932.57</v>
      </c>
      <c r="BL30" s="366">
        <v>1436706192.1400001</v>
      </c>
      <c r="BM30" s="366">
        <v>146379.04999999999</v>
      </c>
      <c r="BN30" s="366">
        <v>4538247.22</v>
      </c>
      <c r="BO30" s="366">
        <v>146532.65</v>
      </c>
      <c r="BP30" s="366">
        <v>1180932055</v>
      </c>
      <c r="BQ30" s="366">
        <v>98774.38</v>
      </c>
      <c r="BR30" s="366">
        <v>3730311.49</v>
      </c>
      <c r="BS30" s="366">
        <v>120445.72</v>
      </c>
      <c r="BT30" s="366">
        <v>1246804643.3099999</v>
      </c>
      <c r="BU30" s="366">
        <v>104871.29</v>
      </c>
      <c r="BV30" s="366">
        <v>3938388.89</v>
      </c>
      <c r="BW30" s="366">
        <v>127164.2</v>
      </c>
      <c r="BX30" s="366">
        <v>1295359712.0699999</v>
      </c>
      <c r="BY30" s="366">
        <v>122831.39</v>
      </c>
      <c r="BZ30" s="366">
        <v>4091763.95</v>
      </c>
      <c r="CA30" s="366">
        <v>122963.1</v>
      </c>
      <c r="CB30" s="366">
        <v>1138145850.79</v>
      </c>
      <c r="CC30" s="366">
        <v>98218.62</v>
      </c>
      <c r="CD30" s="366">
        <v>3595159.03</v>
      </c>
      <c r="CE30" s="366">
        <v>98318.07</v>
      </c>
      <c r="CF30" s="366">
        <v>-49.129415392881498</v>
      </c>
      <c r="CG30" s="366">
        <v>-73.582455017862898</v>
      </c>
      <c r="CH30" s="366">
        <v>-49.129415412809898</v>
      </c>
      <c r="CI30" s="366">
        <v>-73.600694558094702</v>
      </c>
    </row>
    <row r="31" spans="1:97">
      <c r="A31" s="366" t="s">
        <v>1460</v>
      </c>
      <c r="B31" s="366" t="s">
        <v>1221</v>
      </c>
      <c r="C31" s="366" t="s">
        <v>1473</v>
      </c>
      <c r="D31" s="366" t="s">
        <v>1227</v>
      </c>
      <c r="E31" s="366" t="s">
        <v>1461</v>
      </c>
      <c r="F31" s="366" t="s">
        <v>1461</v>
      </c>
      <c r="G31" s="366" t="s">
        <v>1223</v>
      </c>
      <c r="H31" s="366">
        <v>8779889925.8299999</v>
      </c>
      <c r="I31" s="366">
        <v>0</v>
      </c>
      <c r="J31" s="366">
        <v>76390310.290000007</v>
      </c>
      <c r="K31" s="366">
        <v>2761319.51</v>
      </c>
      <c r="L31" s="366">
        <v>8167536611.0100002</v>
      </c>
      <c r="M31" s="366">
        <v>0</v>
      </c>
      <c r="N31" s="366">
        <v>71062469.040000007</v>
      </c>
      <c r="O31" s="366">
        <v>3075454.38</v>
      </c>
      <c r="P31" s="366">
        <v>8426375735.2399998</v>
      </c>
      <c r="Q31" s="366">
        <v>0</v>
      </c>
      <c r="R31" s="366">
        <v>73314524.719999999</v>
      </c>
      <c r="S31" s="366">
        <v>2844964.61</v>
      </c>
      <c r="T31" s="366">
        <v>8840352688.2199993</v>
      </c>
      <c r="U31" s="366">
        <v>0</v>
      </c>
      <c r="V31" s="366">
        <v>76916372.599999994</v>
      </c>
      <c r="W31" s="366">
        <v>2984734.05</v>
      </c>
      <c r="X31" s="366">
        <v>8714209431.3400002</v>
      </c>
      <c r="Y31" s="366">
        <v>0</v>
      </c>
      <c r="Z31" s="366">
        <v>75818850.579999998</v>
      </c>
      <c r="AA31" s="366">
        <v>2749649.73</v>
      </c>
      <c r="AB31" s="366">
        <v>8873552676.7099991</v>
      </c>
      <c r="AC31" s="366">
        <v>0</v>
      </c>
      <c r="AD31" s="366">
        <v>77205232.420000002</v>
      </c>
      <c r="AE31" s="366">
        <v>2722385.81</v>
      </c>
      <c r="AF31" s="366">
        <v>8955689219.8500004</v>
      </c>
      <c r="AG31" s="366">
        <v>0</v>
      </c>
      <c r="AH31" s="366">
        <v>77919869.629999995</v>
      </c>
      <c r="AI31" s="366">
        <v>2928186.28</v>
      </c>
      <c r="AJ31" s="366">
        <v>8920220571.7999992</v>
      </c>
      <c r="AK31" s="366">
        <v>0</v>
      </c>
      <c r="AL31" s="366">
        <v>77611271.109999999</v>
      </c>
      <c r="AM31" s="366">
        <v>2847792.01</v>
      </c>
      <c r="AN31" s="366">
        <v>8912439822.8500004</v>
      </c>
      <c r="AO31" s="366">
        <v>0</v>
      </c>
      <c r="AP31" s="366">
        <v>77543573.920000002</v>
      </c>
      <c r="AQ31" s="366">
        <v>2531589.11</v>
      </c>
      <c r="AR31" s="366">
        <v>8929716904.9400005</v>
      </c>
      <c r="AS31" s="366">
        <v>0</v>
      </c>
      <c r="AT31" s="366">
        <v>77693894.900000006</v>
      </c>
      <c r="AU31" s="366">
        <v>2374137.08</v>
      </c>
      <c r="AV31" s="366">
        <v>9025316596.5</v>
      </c>
      <c r="AW31" s="366">
        <v>0</v>
      </c>
      <c r="AX31" s="366">
        <v>78525669.579999998</v>
      </c>
      <c r="AY31" s="366">
        <v>2206679.2000000002</v>
      </c>
      <c r="AZ31" s="366">
        <v>9006092445.9699993</v>
      </c>
      <c r="BA31" s="366">
        <v>0</v>
      </c>
      <c r="BB31" s="366">
        <v>78358407.939999998</v>
      </c>
      <c r="BC31" s="366">
        <v>2196492.36</v>
      </c>
      <c r="BD31" s="366">
        <v>8941456437.9300003</v>
      </c>
      <c r="BE31" s="366">
        <v>0</v>
      </c>
      <c r="BF31" s="366">
        <v>77796035.879999995</v>
      </c>
      <c r="BG31" s="366">
        <v>1894339.22</v>
      </c>
      <c r="BH31" s="366">
        <v>9132679086.1100006</v>
      </c>
      <c r="BI31" s="366">
        <v>0</v>
      </c>
      <c r="BJ31" s="366">
        <v>79459787.659999996</v>
      </c>
      <c r="BK31" s="366">
        <v>1997739.22</v>
      </c>
      <c r="BL31" s="366">
        <v>8939368045.1800003</v>
      </c>
      <c r="BM31" s="366">
        <v>0</v>
      </c>
      <c r="BN31" s="366">
        <v>77777865.609999999</v>
      </c>
      <c r="BO31" s="366">
        <v>1932552.36</v>
      </c>
      <c r="BP31" s="366">
        <v>7358075557.3599997</v>
      </c>
      <c r="BQ31" s="366">
        <v>0</v>
      </c>
      <c r="BR31" s="366">
        <v>64019672.189999998</v>
      </c>
      <c r="BS31" s="366">
        <v>1590701.51</v>
      </c>
      <c r="BT31" s="366">
        <v>7493160956.96</v>
      </c>
      <c r="BU31" s="366">
        <v>0</v>
      </c>
      <c r="BV31" s="366">
        <v>65194996.219999999</v>
      </c>
      <c r="BW31" s="366">
        <v>1619904.88</v>
      </c>
      <c r="BX31" s="366">
        <v>7693001278.3299999</v>
      </c>
      <c r="BY31" s="366">
        <v>0</v>
      </c>
      <c r="BZ31" s="366">
        <v>66933726.920000002</v>
      </c>
      <c r="CA31" s="366">
        <v>2193532.65</v>
      </c>
      <c r="CB31" s="366">
        <v>7978124434.7600002</v>
      </c>
      <c r="CC31" s="366">
        <v>0</v>
      </c>
      <c r="CD31" s="366">
        <v>69414469.459999993</v>
      </c>
      <c r="CE31" s="366">
        <v>2297660.5</v>
      </c>
      <c r="CF31" s="366">
        <v>-9.1318398959791693</v>
      </c>
      <c r="CG31" s="366">
        <v>0</v>
      </c>
      <c r="CH31" s="366">
        <v>-9.1318398937217005</v>
      </c>
      <c r="CI31" s="366">
        <v>-16.791211894200501</v>
      </c>
    </row>
    <row r="32" spans="1:97">
      <c r="A32" s="366" t="s">
        <v>1460</v>
      </c>
      <c r="B32" s="366" t="s">
        <v>1221</v>
      </c>
      <c r="C32" s="366" t="s">
        <v>1473</v>
      </c>
      <c r="D32" s="366" t="s">
        <v>1227</v>
      </c>
      <c r="E32" s="366" t="s">
        <v>1462</v>
      </c>
      <c r="F32" s="366" t="s">
        <v>1462</v>
      </c>
      <c r="G32" s="366" t="s">
        <v>1225</v>
      </c>
      <c r="H32" s="366">
        <v>2237335897.71</v>
      </c>
      <c r="I32" s="366">
        <v>0</v>
      </c>
      <c r="J32" s="366">
        <v>7067265.0199999996</v>
      </c>
      <c r="K32" s="366">
        <v>105732.37</v>
      </c>
      <c r="L32" s="366">
        <v>2230366020.8699999</v>
      </c>
      <c r="M32" s="366">
        <v>0</v>
      </c>
      <c r="N32" s="366">
        <v>7045248.6699999999</v>
      </c>
      <c r="O32" s="366">
        <v>234663.66</v>
      </c>
      <c r="P32" s="366">
        <v>2248579499.1100001</v>
      </c>
      <c r="Q32" s="366">
        <v>0</v>
      </c>
      <c r="R32" s="366">
        <v>7102781.1500000004</v>
      </c>
      <c r="S32" s="366">
        <v>232659.35</v>
      </c>
      <c r="T32" s="366">
        <v>1845052652.7</v>
      </c>
      <c r="U32" s="366">
        <v>0</v>
      </c>
      <c r="V32" s="366">
        <v>5828126.25</v>
      </c>
      <c r="W32" s="366">
        <v>198799.55</v>
      </c>
      <c r="X32" s="366">
        <v>1759386069.0899999</v>
      </c>
      <c r="Y32" s="366">
        <v>0</v>
      </c>
      <c r="Z32" s="366">
        <v>5557523.8499999996</v>
      </c>
      <c r="AA32" s="366">
        <v>177031.48</v>
      </c>
      <c r="AB32" s="366">
        <v>1819690775.4300001</v>
      </c>
      <c r="AC32" s="366">
        <v>0</v>
      </c>
      <c r="AD32" s="366">
        <v>5748013.5099999998</v>
      </c>
      <c r="AE32" s="366">
        <v>178142.17</v>
      </c>
      <c r="AF32" s="366">
        <v>1729478602.48</v>
      </c>
      <c r="AG32" s="366">
        <v>0</v>
      </c>
      <c r="AH32" s="366">
        <v>5463052.5700000003</v>
      </c>
      <c r="AI32" s="366">
        <v>191850.6</v>
      </c>
      <c r="AJ32" s="366">
        <v>1485399017.5</v>
      </c>
      <c r="AK32" s="366">
        <v>0</v>
      </c>
      <c r="AL32" s="366">
        <v>4692057.43</v>
      </c>
      <c r="AM32" s="366">
        <v>137304.14000000001</v>
      </c>
      <c r="AN32" s="366">
        <v>1639199411.8</v>
      </c>
      <c r="AO32" s="366">
        <v>0</v>
      </c>
      <c r="AP32" s="366">
        <v>5177879.9400000004</v>
      </c>
      <c r="AQ32" s="366">
        <v>166587.39000000001</v>
      </c>
      <c r="AR32" s="366">
        <v>1639199411.8</v>
      </c>
      <c r="AS32" s="366">
        <v>0</v>
      </c>
      <c r="AT32" s="366">
        <v>5177879.9400000004</v>
      </c>
      <c r="AU32" s="366">
        <v>157073.62</v>
      </c>
      <c r="AV32" s="366">
        <v>1595541286.1099999</v>
      </c>
      <c r="AW32" s="366">
        <v>0</v>
      </c>
      <c r="AX32" s="366">
        <v>5039973.2699999996</v>
      </c>
      <c r="AY32" s="366">
        <v>135545.59</v>
      </c>
      <c r="AZ32" s="366">
        <v>1458368718.22</v>
      </c>
      <c r="BA32" s="366">
        <v>0</v>
      </c>
      <c r="BB32" s="366">
        <v>4606674.5</v>
      </c>
      <c r="BC32" s="366">
        <v>123979.43</v>
      </c>
      <c r="BD32" s="366">
        <v>1401500853.1700001</v>
      </c>
      <c r="BE32" s="366">
        <v>0</v>
      </c>
      <c r="BF32" s="366">
        <v>4427041.09</v>
      </c>
      <c r="BG32" s="366">
        <v>101839.61</v>
      </c>
      <c r="BH32" s="366">
        <v>1588653489.4000001</v>
      </c>
      <c r="BI32" s="366">
        <v>0</v>
      </c>
      <c r="BJ32" s="366">
        <v>5018216.1900000004</v>
      </c>
      <c r="BK32" s="366">
        <v>123219.88</v>
      </c>
      <c r="BL32" s="366">
        <v>1436706192.1400001</v>
      </c>
      <c r="BM32" s="366">
        <v>0</v>
      </c>
      <c r="BN32" s="366">
        <v>4538247.22</v>
      </c>
      <c r="BO32" s="366">
        <v>108924.17</v>
      </c>
      <c r="BP32" s="366">
        <v>1180932055</v>
      </c>
      <c r="BQ32" s="366">
        <v>0</v>
      </c>
      <c r="BR32" s="366">
        <v>3730311.49</v>
      </c>
      <c r="BS32" s="366">
        <v>89532.6</v>
      </c>
      <c r="BT32" s="366">
        <v>1246804643.3099999</v>
      </c>
      <c r="BU32" s="366">
        <v>0</v>
      </c>
      <c r="BV32" s="366">
        <v>3938388.89</v>
      </c>
      <c r="BW32" s="366">
        <v>94526.75</v>
      </c>
      <c r="BX32" s="366">
        <v>1295359712.0699999</v>
      </c>
      <c r="BY32" s="366">
        <v>0</v>
      </c>
      <c r="BZ32" s="366">
        <v>4091763.95</v>
      </c>
      <c r="CA32" s="366">
        <v>88404.85</v>
      </c>
      <c r="CB32" s="366">
        <v>1138145850.79</v>
      </c>
      <c r="CC32" s="366">
        <v>0</v>
      </c>
      <c r="CD32" s="366">
        <v>3595159.03</v>
      </c>
      <c r="CE32" s="366">
        <v>75591.03</v>
      </c>
      <c r="CF32" s="366">
        <v>-49.129415392881498</v>
      </c>
      <c r="CG32" s="366">
        <v>0</v>
      </c>
      <c r="CH32" s="366">
        <v>-49.129415412809898</v>
      </c>
      <c r="CI32" s="366">
        <v>-28.507201720721898</v>
      </c>
    </row>
    <row r="33" spans="1:87">
      <c r="A33" s="366" t="s">
        <v>1460</v>
      </c>
      <c r="B33" s="366" t="s">
        <v>1221</v>
      </c>
      <c r="C33" s="366" t="s">
        <v>1473</v>
      </c>
      <c r="D33" s="366" t="s">
        <v>1227</v>
      </c>
      <c r="E33" s="366" t="s">
        <v>1463</v>
      </c>
      <c r="F33" s="366" t="s">
        <v>1463</v>
      </c>
      <c r="G33" s="366" t="s">
        <v>1224</v>
      </c>
      <c r="H33" s="366">
        <v>16538490712.01</v>
      </c>
      <c r="I33" s="366">
        <v>0</v>
      </c>
      <c r="J33" s="366">
        <v>17816916.039999999</v>
      </c>
      <c r="K33" s="366">
        <v>715235.7</v>
      </c>
      <c r="L33" s="366">
        <v>16402695040.52</v>
      </c>
      <c r="M33" s="366">
        <v>0</v>
      </c>
      <c r="N33" s="366">
        <v>17670623.370000001</v>
      </c>
      <c r="O33" s="366">
        <v>709362.98</v>
      </c>
      <c r="P33" s="366">
        <v>17385399214.330002</v>
      </c>
      <c r="Q33" s="366">
        <v>0</v>
      </c>
      <c r="R33" s="366">
        <v>18729290.57</v>
      </c>
      <c r="S33" s="366">
        <v>751861.72</v>
      </c>
      <c r="T33" s="366">
        <v>10781393511.799999</v>
      </c>
      <c r="U33" s="366">
        <v>0</v>
      </c>
      <c r="V33" s="366">
        <v>11614795.23</v>
      </c>
      <c r="W33" s="366">
        <v>466260.05</v>
      </c>
      <c r="X33" s="366">
        <v>9080206125.6700001</v>
      </c>
      <c r="Y33" s="366">
        <v>0</v>
      </c>
      <c r="Z33" s="366">
        <v>9782106.0600000005</v>
      </c>
      <c r="AA33" s="366">
        <v>392689.25</v>
      </c>
      <c r="AB33" s="366">
        <v>21058714673.400002</v>
      </c>
      <c r="AC33" s="366">
        <v>0</v>
      </c>
      <c r="AD33" s="366">
        <v>22686553.32</v>
      </c>
      <c r="AE33" s="366">
        <v>910720.62</v>
      </c>
      <c r="AF33" s="366">
        <v>21777624145.91</v>
      </c>
      <c r="AG33" s="366">
        <v>0</v>
      </c>
      <c r="AH33" s="366">
        <v>23461034.489999998</v>
      </c>
      <c r="AI33" s="366">
        <v>941811.11</v>
      </c>
      <c r="AJ33" s="366">
        <v>20024206441.509998</v>
      </c>
      <c r="AK33" s="366">
        <v>0</v>
      </c>
      <c r="AL33" s="366">
        <v>21572077.600000001</v>
      </c>
      <c r="AM33" s="366">
        <v>865981.52</v>
      </c>
      <c r="AN33" s="366">
        <v>110885790642.57001</v>
      </c>
      <c r="AO33" s="366">
        <v>0</v>
      </c>
      <c r="AP33" s="366">
        <v>119457262.26000001</v>
      </c>
      <c r="AQ33" s="366">
        <v>4795448.22</v>
      </c>
      <c r="AR33" s="366">
        <v>24943616289.810001</v>
      </c>
      <c r="AS33" s="366">
        <v>0</v>
      </c>
      <c r="AT33" s="366">
        <v>26871757.829999998</v>
      </c>
      <c r="AU33" s="366">
        <v>1078729.92</v>
      </c>
      <c r="AV33" s="366">
        <v>24884990545.43</v>
      </c>
      <c r="AW33" s="366">
        <v>0</v>
      </c>
      <c r="AX33" s="366">
        <v>26808600.309999999</v>
      </c>
      <c r="AY33" s="366">
        <v>1076194.55</v>
      </c>
      <c r="AZ33" s="366">
        <v>24888532516.400002</v>
      </c>
      <c r="BA33" s="366">
        <v>0</v>
      </c>
      <c r="BB33" s="366">
        <v>26812416.079999998</v>
      </c>
      <c r="BC33" s="366">
        <v>1076347.73</v>
      </c>
      <c r="BD33" s="366">
        <v>26425554095.150002</v>
      </c>
      <c r="BE33" s="366">
        <v>0</v>
      </c>
      <c r="BF33" s="366">
        <v>28468249.43</v>
      </c>
      <c r="BG33" s="366">
        <v>1142818.8899999999</v>
      </c>
      <c r="BH33" s="366">
        <v>29136742367.68</v>
      </c>
      <c r="BI33" s="366">
        <v>0</v>
      </c>
      <c r="BJ33" s="366">
        <v>31389012.550000001</v>
      </c>
      <c r="BK33" s="366">
        <v>1260068.93</v>
      </c>
      <c r="BL33" s="366">
        <v>28314142341.099998</v>
      </c>
      <c r="BM33" s="366">
        <v>0</v>
      </c>
      <c r="BN33" s="366">
        <v>30502825.539999999</v>
      </c>
      <c r="BO33" s="366">
        <v>1224494.1599999999</v>
      </c>
      <c r="BP33" s="366">
        <v>25680997378.540001</v>
      </c>
      <c r="BQ33" s="366">
        <v>0</v>
      </c>
      <c r="BR33" s="366">
        <v>27666138.48</v>
      </c>
      <c r="BS33" s="366">
        <v>1110619.25</v>
      </c>
      <c r="BT33" s="366">
        <v>25151035934.18</v>
      </c>
      <c r="BU33" s="366">
        <v>0</v>
      </c>
      <c r="BV33" s="366">
        <v>27095211.010000002</v>
      </c>
      <c r="BW33" s="366">
        <v>1087700.1499999999</v>
      </c>
      <c r="BX33" s="366">
        <v>25757198324.759998</v>
      </c>
      <c r="BY33" s="366">
        <v>0</v>
      </c>
      <c r="BZ33" s="366">
        <v>27748229.760000002</v>
      </c>
      <c r="CA33" s="366">
        <v>1113914.69</v>
      </c>
      <c r="CB33" s="366">
        <v>14314567952.51</v>
      </c>
      <c r="CC33" s="366">
        <v>0</v>
      </c>
      <c r="CD33" s="366">
        <v>15421084.060000001</v>
      </c>
      <c r="CE33" s="366">
        <v>619058.30000000005</v>
      </c>
      <c r="CF33" s="366">
        <v>-13.446951104704</v>
      </c>
      <c r="CG33" s="366">
        <v>0</v>
      </c>
      <c r="CH33" s="366">
        <v>-13.446951058315699</v>
      </c>
      <c r="CI33" s="366">
        <v>-13.4469518230144</v>
      </c>
    </row>
    <row r="34" spans="1:87">
      <c r="A34" s="366" t="s">
        <v>1460</v>
      </c>
      <c r="B34" s="366" t="s">
        <v>1221</v>
      </c>
      <c r="C34" s="366" t="s">
        <v>1473</v>
      </c>
      <c r="D34" s="366" t="s">
        <v>1227</v>
      </c>
      <c r="E34" s="366" t="s">
        <v>1465</v>
      </c>
      <c r="F34" s="366" t="s">
        <v>1465</v>
      </c>
      <c r="G34" s="366" t="s">
        <v>1224</v>
      </c>
      <c r="H34" s="366">
        <v>16538490712.01</v>
      </c>
      <c r="I34" s="366">
        <v>0</v>
      </c>
      <c r="J34" s="366">
        <v>17816916.039999999</v>
      </c>
      <c r="K34" s="366">
        <v>101894.15</v>
      </c>
      <c r="L34" s="366">
        <v>16402695040.52</v>
      </c>
      <c r="M34" s="366">
        <v>0</v>
      </c>
      <c r="N34" s="366">
        <v>17670623.370000001</v>
      </c>
      <c r="O34" s="366">
        <v>101057.51</v>
      </c>
      <c r="P34" s="366">
        <v>17385399214.330002</v>
      </c>
      <c r="Q34" s="366">
        <v>0</v>
      </c>
      <c r="R34" s="366">
        <v>18729290.57</v>
      </c>
      <c r="S34" s="366">
        <v>107111.98</v>
      </c>
      <c r="T34" s="366">
        <v>10781393511.799999</v>
      </c>
      <c r="U34" s="366">
        <v>0</v>
      </c>
      <c r="V34" s="366">
        <v>11614795.23</v>
      </c>
      <c r="W34" s="366">
        <v>66424.5</v>
      </c>
      <c r="X34" s="366">
        <v>9080206125.6700001</v>
      </c>
      <c r="Y34" s="366">
        <v>0</v>
      </c>
      <c r="Z34" s="366">
        <v>9782106.0600000005</v>
      </c>
      <c r="AA34" s="366">
        <v>55943.43</v>
      </c>
      <c r="AB34" s="366">
        <v>21058714673.400002</v>
      </c>
      <c r="AC34" s="366">
        <v>0</v>
      </c>
      <c r="AD34" s="366">
        <v>22686553.32</v>
      </c>
      <c r="AE34" s="366">
        <v>129743.39</v>
      </c>
      <c r="AF34" s="366">
        <v>21777624145.91</v>
      </c>
      <c r="AG34" s="366">
        <v>0</v>
      </c>
      <c r="AH34" s="366">
        <v>23461034.489999998</v>
      </c>
      <c r="AI34" s="366">
        <v>134172.62</v>
      </c>
      <c r="AJ34" s="366">
        <v>20024206441.509998</v>
      </c>
      <c r="AK34" s="366">
        <v>0</v>
      </c>
      <c r="AL34" s="366">
        <v>21572077.600000001</v>
      </c>
      <c r="AM34" s="366">
        <v>123369.76</v>
      </c>
      <c r="AN34" s="366">
        <v>110885790642.57001</v>
      </c>
      <c r="AO34" s="366">
        <v>0</v>
      </c>
      <c r="AP34" s="366">
        <v>119457262.26000001</v>
      </c>
      <c r="AQ34" s="366">
        <v>683170.8</v>
      </c>
      <c r="AR34" s="366">
        <v>24943616289.810001</v>
      </c>
      <c r="AS34" s="366">
        <v>0</v>
      </c>
      <c r="AT34" s="366">
        <v>26871757.829999998</v>
      </c>
      <c r="AU34" s="366">
        <v>153678.39000000001</v>
      </c>
      <c r="AV34" s="366">
        <v>24884990545.43</v>
      </c>
      <c r="AW34" s="366">
        <v>0</v>
      </c>
      <c r="AX34" s="366">
        <v>26808600.309999999</v>
      </c>
      <c r="AY34" s="366">
        <v>153317.20000000001</v>
      </c>
      <c r="AZ34" s="366">
        <v>24888532516.400002</v>
      </c>
      <c r="BA34" s="366">
        <v>0</v>
      </c>
      <c r="BB34" s="366">
        <v>26812416.079999998</v>
      </c>
      <c r="BC34" s="366">
        <v>153339.01999999999</v>
      </c>
      <c r="BD34" s="366">
        <v>26425554095.150002</v>
      </c>
      <c r="BE34" s="366">
        <v>0</v>
      </c>
      <c r="BF34" s="366">
        <v>28468249.43</v>
      </c>
      <c r="BG34" s="366">
        <v>162808.66</v>
      </c>
      <c r="BH34" s="366">
        <v>29136742367.68</v>
      </c>
      <c r="BI34" s="366">
        <v>0</v>
      </c>
      <c r="BJ34" s="366">
        <v>31389012.550000001</v>
      </c>
      <c r="BK34" s="366">
        <v>179512.37</v>
      </c>
      <c r="BL34" s="366">
        <v>28314142341.099998</v>
      </c>
      <c r="BM34" s="366">
        <v>0</v>
      </c>
      <c r="BN34" s="366">
        <v>30502825.539999999</v>
      </c>
      <c r="BO34" s="366">
        <v>174444.31</v>
      </c>
      <c r="BP34" s="366">
        <v>25680997378.540001</v>
      </c>
      <c r="BQ34" s="366">
        <v>0</v>
      </c>
      <c r="BR34" s="366">
        <v>27666138.48</v>
      </c>
      <c r="BS34" s="366">
        <v>158221.42000000001</v>
      </c>
      <c r="BT34" s="366">
        <v>25151035934.18</v>
      </c>
      <c r="BU34" s="366">
        <v>0</v>
      </c>
      <c r="BV34" s="366">
        <v>27095211.010000002</v>
      </c>
      <c r="BW34" s="366">
        <v>154956.31</v>
      </c>
      <c r="BX34" s="366">
        <v>25757198324.759998</v>
      </c>
      <c r="BY34" s="366">
        <v>0</v>
      </c>
      <c r="BZ34" s="366">
        <v>27748229.760000002</v>
      </c>
      <c r="CA34" s="366">
        <v>158690.9</v>
      </c>
      <c r="CB34" s="366">
        <v>14314567952.51</v>
      </c>
      <c r="CC34" s="366">
        <v>0</v>
      </c>
      <c r="CD34" s="366">
        <v>15421084.060000001</v>
      </c>
      <c r="CE34" s="366">
        <v>88192.5</v>
      </c>
      <c r="CF34" s="366">
        <v>-13.446951104704</v>
      </c>
      <c r="CG34" s="366">
        <v>0</v>
      </c>
      <c r="CH34" s="366">
        <v>-13.446951058315699</v>
      </c>
      <c r="CI34" s="366">
        <v>-13.446944697021401</v>
      </c>
    </row>
    <row r="35" spans="1:87">
      <c r="A35" s="366" t="s">
        <v>1457</v>
      </c>
      <c r="B35" s="366" t="s">
        <v>1221</v>
      </c>
      <c r="C35" s="366" t="s">
        <v>1474</v>
      </c>
      <c r="D35" s="366" t="s">
        <v>1228</v>
      </c>
      <c r="E35" s="366" t="s">
        <v>1229</v>
      </c>
      <c r="F35" s="366" t="s">
        <v>1475</v>
      </c>
      <c r="G35" s="366" t="s">
        <v>1230</v>
      </c>
      <c r="H35" s="366">
        <v>442833</v>
      </c>
      <c r="I35" s="366">
        <v>206847.19</v>
      </c>
      <c r="J35" s="366">
        <v>0</v>
      </c>
      <c r="K35" s="366">
        <v>602006.87</v>
      </c>
      <c r="L35" s="366">
        <v>426472</v>
      </c>
      <c r="M35" s="366">
        <v>199204.97</v>
      </c>
      <c r="N35" s="366">
        <v>0</v>
      </c>
      <c r="O35" s="366">
        <v>579765</v>
      </c>
      <c r="P35" s="366">
        <v>464257</v>
      </c>
      <c r="Q35" s="366">
        <v>216854.33</v>
      </c>
      <c r="R35" s="366">
        <v>0</v>
      </c>
      <c r="S35" s="366">
        <v>631131.61</v>
      </c>
      <c r="T35" s="366">
        <v>471481</v>
      </c>
      <c r="U35" s="366">
        <v>220228.66</v>
      </c>
      <c r="V35" s="366">
        <v>0</v>
      </c>
      <c r="W35" s="366">
        <v>640952.24</v>
      </c>
      <c r="X35" s="366">
        <v>469628</v>
      </c>
      <c r="Y35" s="366">
        <v>219363.13</v>
      </c>
      <c r="Z35" s="366">
        <v>0</v>
      </c>
      <c r="AA35" s="366">
        <v>638433.18999999994</v>
      </c>
      <c r="AB35" s="366">
        <v>877897.81</v>
      </c>
      <c r="AC35" s="366">
        <v>410065.86</v>
      </c>
      <c r="AD35" s="366">
        <v>0</v>
      </c>
      <c r="AE35" s="366">
        <v>1193453.33</v>
      </c>
      <c r="AF35" s="366">
        <v>913745.16</v>
      </c>
      <c r="AG35" s="366">
        <v>426810.14</v>
      </c>
      <c r="AH35" s="366">
        <v>0</v>
      </c>
      <c r="AI35" s="366">
        <v>1242185.8</v>
      </c>
      <c r="AJ35" s="366">
        <v>830739.99</v>
      </c>
      <c r="AK35" s="366">
        <v>388038.45</v>
      </c>
      <c r="AL35" s="366">
        <v>0</v>
      </c>
      <c r="AM35" s="366">
        <v>1129344.8899999999</v>
      </c>
      <c r="AN35" s="366">
        <v>940254.15</v>
      </c>
      <c r="AO35" s="366">
        <v>439192.49</v>
      </c>
      <c r="AP35" s="366">
        <v>0</v>
      </c>
      <c r="AQ35" s="366">
        <v>1278223.3</v>
      </c>
      <c r="AR35" s="366">
        <v>1025278.94</v>
      </c>
      <c r="AS35" s="366">
        <v>478907.55</v>
      </c>
      <c r="AT35" s="366">
        <v>0</v>
      </c>
      <c r="AU35" s="366">
        <v>1393809.79</v>
      </c>
      <c r="AV35" s="366">
        <v>1008772.58</v>
      </c>
      <c r="AW35" s="366">
        <v>471197.43</v>
      </c>
      <c r="AX35" s="366">
        <v>0</v>
      </c>
      <c r="AY35" s="366">
        <v>1371370.3</v>
      </c>
      <c r="AZ35" s="366">
        <v>1041898.42</v>
      </c>
      <c r="BA35" s="366">
        <v>486670.51</v>
      </c>
      <c r="BB35" s="366">
        <v>0</v>
      </c>
      <c r="BC35" s="366">
        <v>1416403.05</v>
      </c>
      <c r="BD35" s="366">
        <v>1053162.98</v>
      </c>
      <c r="BE35" s="366">
        <v>491932.18</v>
      </c>
      <c r="BF35" s="366">
        <v>0</v>
      </c>
      <c r="BG35" s="366">
        <v>1431716.59</v>
      </c>
      <c r="BH35" s="366">
        <v>1097743.3500000001</v>
      </c>
      <c r="BI35" s="366">
        <v>512755.65</v>
      </c>
      <c r="BJ35" s="366">
        <v>0</v>
      </c>
      <c r="BK35" s="366">
        <v>1492321.12</v>
      </c>
      <c r="BL35" s="366">
        <v>1115386.08</v>
      </c>
      <c r="BM35" s="366">
        <v>520996.57</v>
      </c>
      <c r="BN35" s="366">
        <v>0</v>
      </c>
      <c r="BO35" s="366">
        <v>1516305.43</v>
      </c>
      <c r="BP35" s="366">
        <v>1038543.86</v>
      </c>
      <c r="BQ35" s="366">
        <v>485103.59</v>
      </c>
      <c r="BR35" s="366">
        <v>0</v>
      </c>
      <c r="BS35" s="366">
        <v>1411842.7</v>
      </c>
      <c r="BT35" s="366">
        <v>1035014.93</v>
      </c>
      <c r="BU35" s="366">
        <v>483455.23</v>
      </c>
      <c r="BV35" s="366">
        <v>0</v>
      </c>
      <c r="BW35" s="366">
        <v>1407045.32</v>
      </c>
      <c r="BX35" s="366">
        <v>1074730.93</v>
      </c>
      <c r="BY35" s="366">
        <v>502006.56</v>
      </c>
      <c r="BZ35" s="366">
        <v>0</v>
      </c>
      <c r="CA35" s="366">
        <v>1461037.02</v>
      </c>
      <c r="CB35" s="366">
        <v>1039033.24</v>
      </c>
      <c r="CC35" s="366">
        <v>485332.18</v>
      </c>
      <c r="CD35" s="366">
        <v>0</v>
      </c>
      <c r="CE35" s="366">
        <v>1412508</v>
      </c>
      <c r="CF35" s="366">
        <v>134.633200326082</v>
      </c>
      <c r="CG35" s="366">
        <v>134.633199513129</v>
      </c>
      <c r="CH35" s="366">
        <v>0</v>
      </c>
      <c r="CI35" s="366">
        <v>134.633202773915</v>
      </c>
    </row>
    <row r="36" spans="1:87">
      <c r="A36" s="366" t="s">
        <v>1457</v>
      </c>
      <c r="B36" s="366" t="s">
        <v>1231</v>
      </c>
      <c r="C36" s="366" t="s">
        <v>1476</v>
      </c>
      <c r="D36" s="366" t="s">
        <v>1232</v>
      </c>
      <c r="E36" s="366" t="s">
        <v>1236</v>
      </c>
      <c r="F36" s="366" t="s">
        <v>1236</v>
      </c>
      <c r="G36" s="366" t="s">
        <v>1234</v>
      </c>
      <c r="H36" s="366">
        <v>17241220767.810001</v>
      </c>
      <c r="I36" s="366">
        <v>11130380.02</v>
      </c>
      <c r="J36" s="366">
        <v>171946107.41</v>
      </c>
      <c r="K36" s="366">
        <v>11141873.52</v>
      </c>
      <c r="L36" s="366">
        <v>17323987851.259998</v>
      </c>
      <c r="M36" s="366">
        <v>11183631.24</v>
      </c>
      <c r="N36" s="366">
        <v>171705220.19</v>
      </c>
      <c r="O36" s="366">
        <v>11195179.57</v>
      </c>
      <c r="P36" s="366">
        <v>17387033983.830002</v>
      </c>
      <c r="Q36" s="366">
        <v>11392334.43</v>
      </c>
      <c r="R36" s="366">
        <v>171259600.75</v>
      </c>
      <c r="S36" s="366">
        <v>11405295.189999999</v>
      </c>
      <c r="T36" s="366">
        <v>16774649083.690001</v>
      </c>
      <c r="U36" s="366">
        <v>10907038.57</v>
      </c>
      <c r="V36" s="366">
        <v>164154550.71000001</v>
      </c>
      <c r="W36" s="366">
        <v>10918875.43</v>
      </c>
      <c r="X36" s="366">
        <v>16579181773.799999</v>
      </c>
      <c r="Y36" s="366">
        <v>10698461.710000001</v>
      </c>
      <c r="Z36" s="366">
        <v>161203766.88</v>
      </c>
      <c r="AA36" s="366">
        <v>10709505.33</v>
      </c>
      <c r="AB36" s="366">
        <v>17519851145.209999</v>
      </c>
      <c r="AC36" s="366">
        <v>11219286.949999999</v>
      </c>
      <c r="AD36" s="366">
        <v>169251777.53</v>
      </c>
      <c r="AE36" s="366">
        <v>11230265.039999999</v>
      </c>
      <c r="AF36" s="366">
        <v>16916037826.83</v>
      </c>
      <c r="AG36" s="366">
        <v>10749236.1</v>
      </c>
      <c r="AH36" s="366">
        <v>162355489.37</v>
      </c>
      <c r="AI36" s="366">
        <v>10759167.73</v>
      </c>
      <c r="AJ36" s="366">
        <v>16693732044.4</v>
      </c>
      <c r="AK36" s="366">
        <v>10525567.699999999</v>
      </c>
      <c r="AL36" s="366">
        <v>159170776.5</v>
      </c>
      <c r="AM36" s="366">
        <v>10534709.779999999</v>
      </c>
      <c r="AN36" s="366">
        <v>16742659593.75</v>
      </c>
      <c r="AO36" s="366">
        <v>10473647.18</v>
      </c>
      <c r="AP36" s="366">
        <v>158581102.09</v>
      </c>
      <c r="AQ36" s="366">
        <v>10482155.35</v>
      </c>
      <c r="AR36" s="366">
        <v>16563104422.48</v>
      </c>
      <c r="AS36" s="366">
        <v>10279300.109999999</v>
      </c>
      <c r="AT36" s="366">
        <v>155833320.02000001</v>
      </c>
      <c r="AU36" s="366">
        <v>10287063.66</v>
      </c>
      <c r="AV36" s="366">
        <v>17213569780.41</v>
      </c>
      <c r="AW36" s="366">
        <v>10597644.85</v>
      </c>
      <c r="AX36" s="366">
        <v>160863235.5</v>
      </c>
      <c r="AY36" s="366">
        <v>10605034.57</v>
      </c>
      <c r="AZ36" s="366">
        <v>17784264564.369999</v>
      </c>
      <c r="BA36" s="366">
        <v>10915274.210000001</v>
      </c>
      <c r="BB36" s="366">
        <v>165771053.43000001</v>
      </c>
      <c r="BC36" s="366">
        <v>10922896.66</v>
      </c>
      <c r="BD36" s="366">
        <v>18103690663.369999</v>
      </c>
      <c r="BE36" s="366">
        <v>11088357.220000001</v>
      </c>
      <c r="BF36" s="366">
        <v>168314481.80000001</v>
      </c>
      <c r="BG36" s="366">
        <v>11096077.6</v>
      </c>
      <c r="BH36" s="366">
        <v>18370641895.669998</v>
      </c>
      <c r="BI36" s="366">
        <v>9089757.1500000004</v>
      </c>
      <c r="BJ36" s="366">
        <v>1033915.09</v>
      </c>
      <c r="BK36" s="366">
        <v>9099655.2100000009</v>
      </c>
      <c r="BL36" s="366">
        <v>18253238957.490002</v>
      </c>
      <c r="BM36" s="366">
        <v>9014317.6600000001</v>
      </c>
      <c r="BN36" s="366">
        <v>168821959.81</v>
      </c>
      <c r="BO36" s="366">
        <v>9024133</v>
      </c>
      <c r="BP36" s="366">
        <v>14951063606.389999</v>
      </c>
      <c r="BQ36" s="366">
        <v>6957601.2699999996</v>
      </c>
      <c r="BR36" s="366">
        <v>137922422.46000001</v>
      </c>
      <c r="BS36" s="366">
        <v>7377563.2599999998</v>
      </c>
      <c r="BT36" s="366">
        <v>18240637855.110001</v>
      </c>
      <c r="BU36" s="366">
        <v>7974252.0999999996</v>
      </c>
      <c r="BV36" s="366">
        <v>167826145</v>
      </c>
      <c r="BW36" s="366">
        <v>8983453.4100000001</v>
      </c>
      <c r="BX36" s="366">
        <v>18871590216.599998</v>
      </c>
      <c r="BY36" s="366">
        <v>7809623</v>
      </c>
      <c r="BZ36" s="366">
        <v>173169864.37</v>
      </c>
      <c r="CA36" s="366">
        <v>7821189.7800000003</v>
      </c>
      <c r="CB36" s="366">
        <v>19255462446.580002</v>
      </c>
      <c r="CC36" s="366">
        <v>7942823.0700000003</v>
      </c>
      <c r="CD36" s="366">
        <v>175460335.19</v>
      </c>
      <c r="CE36" s="366">
        <v>7954583.9199999999</v>
      </c>
      <c r="CF36" s="366">
        <v>11.682709164832801</v>
      </c>
      <c r="CG36" s="366">
        <v>-28.638347875565199</v>
      </c>
      <c r="CH36" s="366">
        <v>2.0437960666480399</v>
      </c>
      <c r="CI36" s="366">
        <v>-28.606406223143001</v>
      </c>
    </row>
    <row r="37" spans="1:87">
      <c r="A37" s="366" t="s">
        <v>1457</v>
      </c>
      <c r="B37" s="366" t="s">
        <v>1231</v>
      </c>
      <c r="C37" s="366" t="s">
        <v>1476</v>
      </c>
      <c r="D37" s="366" t="s">
        <v>1232</v>
      </c>
      <c r="E37" s="366" t="s">
        <v>1235</v>
      </c>
      <c r="F37" s="366" t="s">
        <v>1235</v>
      </c>
      <c r="G37" s="366" t="s">
        <v>1234</v>
      </c>
      <c r="H37" s="366">
        <v>91007294.349999994</v>
      </c>
      <c r="I37" s="366">
        <v>75131.67</v>
      </c>
      <c r="J37" s="366">
        <v>1027050.23</v>
      </c>
      <c r="K37" s="366">
        <v>75198.33</v>
      </c>
      <c r="L37" s="366">
        <v>103079349.62</v>
      </c>
      <c r="M37" s="366">
        <v>85097.84</v>
      </c>
      <c r="N37" s="366">
        <v>1165781.96</v>
      </c>
      <c r="O37" s="366">
        <v>85173.33</v>
      </c>
      <c r="P37" s="366">
        <v>115158578.77</v>
      </c>
      <c r="Q37" s="366">
        <v>94647.13</v>
      </c>
      <c r="R37" s="366">
        <v>1305179.2</v>
      </c>
      <c r="S37" s="366">
        <v>94698.54</v>
      </c>
      <c r="T37" s="366">
        <v>122278921.75</v>
      </c>
      <c r="U37" s="366">
        <v>100723.7</v>
      </c>
      <c r="V37" s="366">
        <v>1388838.21</v>
      </c>
      <c r="W37" s="366">
        <v>100795.78</v>
      </c>
      <c r="X37" s="366">
        <v>132001246.54000001</v>
      </c>
      <c r="Y37" s="366">
        <v>108974.5</v>
      </c>
      <c r="Z37" s="366">
        <v>1502457.96</v>
      </c>
      <c r="AA37" s="366">
        <v>109071.18</v>
      </c>
      <c r="AB37" s="366">
        <v>151349440.19999999</v>
      </c>
      <c r="AC37" s="366">
        <v>125225.37</v>
      </c>
      <c r="AD37" s="366">
        <v>1726344.2</v>
      </c>
      <c r="AE37" s="366">
        <v>125357.85</v>
      </c>
      <c r="AF37" s="366">
        <v>157538265.13</v>
      </c>
      <c r="AG37" s="366">
        <v>130635.15</v>
      </c>
      <c r="AH37" s="366">
        <v>1800748.04</v>
      </c>
      <c r="AI37" s="366">
        <v>130795.58</v>
      </c>
      <c r="AJ37" s="366">
        <v>166747525.43000001</v>
      </c>
      <c r="AK37" s="366">
        <v>138577.82999999999</v>
      </c>
      <c r="AL37" s="366">
        <v>1910049.68</v>
      </c>
      <c r="AM37" s="366">
        <v>138771.48000000001</v>
      </c>
      <c r="AN37" s="366">
        <v>178566729.74000001</v>
      </c>
      <c r="AO37" s="366">
        <v>148728.14000000001</v>
      </c>
      <c r="AP37" s="366">
        <v>2049756.39</v>
      </c>
      <c r="AQ37" s="366">
        <v>148961.04999999999</v>
      </c>
      <c r="AR37" s="366">
        <v>187864595.00999999</v>
      </c>
      <c r="AS37" s="366">
        <v>156817.19</v>
      </c>
      <c r="AT37" s="366">
        <v>2161031.77</v>
      </c>
      <c r="AU37" s="366">
        <v>157089.09</v>
      </c>
      <c r="AV37" s="366">
        <v>206935151.69</v>
      </c>
      <c r="AW37" s="366">
        <v>173115.93</v>
      </c>
      <c r="AX37" s="366">
        <v>2385410.17</v>
      </c>
      <c r="AY37" s="366">
        <v>173445.02</v>
      </c>
      <c r="AZ37" s="366">
        <v>206573212.46000001</v>
      </c>
      <c r="BA37" s="366">
        <v>162978.5</v>
      </c>
      <c r="BB37" s="366">
        <v>2381237.9700000002</v>
      </c>
      <c r="BC37" s="366">
        <v>163462.49</v>
      </c>
      <c r="BD37" s="366">
        <v>203106591.09</v>
      </c>
      <c r="BE37" s="366">
        <v>169913.06</v>
      </c>
      <c r="BF37" s="366">
        <v>2339056.87</v>
      </c>
      <c r="BG37" s="366">
        <v>170236.07</v>
      </c>
      <c r="BH37" s="366">
        <v>198670402.16999999</v>
      </c>
      <c r="BI37" s="366">
        <v>132421.9</v>
      </c>
      <c r="BJ37" s="366">
        <v>0</v>
      </c>
      <c r="BK37" s="366">
        <v>133271.87</v>
      </c>
      <c r="BL37" s="366">
        <v>189990459.15000001</v>
      </c>
      <c r="BM37" s="366">
        <v>126636.36</v>
      </c>
      <c r="BN37" s="366">
        <v>2185407.7200000002</v>
      </c>
      <c r="BO37" s="366">
        <v>127449.2</v>
      </c>
      <c r="BP37" s="366">
        <v>149583613.43000001</v>
      </c>
      <c r="BQ37" s="366">
        <v>93599.46</v>
      </c>
      <c r="BR37" s="366">
        <v>1719793.2</v>
      </c>
      <c r="BS37" s="366">
        <v>100343.52</v>
      </c>
      <c r="BT37" s="366">
        <v>175061869.53</v>
      </c>
      <c r="BU37" s="366">
        <v>102398.26</v>
      </c>
      <c r="BV37" s="366">
        <v>2011416.97</v>
      </c>
      <c r="BW37" s="366">
        <v>117434.82</v>
      </c>
      <c r="BX37" s="366">
        <v>173395652.30000001</v>
      </c>
      <c r="BY37" s="366">
        <v>95527.14</v>
      </c>
      <c r="BZ37" s="366">
        <v>1990684.27</v>
      </c>
      <c r="CA37" s="366">
        <v>96585.919999999998</v>
      </c>
      <c r="CB37" s="366">
        <v>177597929.69999999</v>
      </c>
      <c r="CC37" s="366">
        <v>97842.26</v>
      </c>
      <c r="CD37" s="366">
        <v>2042400.65</v>
      </c>
      <c r="CE37" s="366">
        <v>98926.7</v>
      </c>
      <c r="CF37" s="366">
        <v>95.146917583315698</v>
      </c>
      <c r="CG37" s="366">
        <v>30.227718883394999</v>
      </c>
      <c r="CH37" s="366">
        <v>98.860833710148697</v>
      </c>
      <c r="CI37" s="366">
        <v>31.5543842529482</v>
      </c>
    </row>
    <row r="38" spans="1:87">
      <c r="A38" s="366" t="s">
        <v>1457</v>
      </c>
      <c r="B38" s="366" t="s">
        <v>1231</v>
      </c>
      <c r="C38" s="366" t="s">
        <v>1476</v>
      </c>
      <c r="D38" s="366" t="s">
        <v>1232</v>
      </c>
      <c r="E38" s="366" t="s">
        <v>1233</v>
      </c>
      <c r="F38" s="366" t="s">
        <v>637</v>
      </c>
      <c r="G38" s="366" t="s">
        <v>1234</v>
      </c>
      <c r="H38" s="366">
        <v>0</v>
      </c>
      <c r="I38" s="366">
        <v>0</v>
      </c>
      <c r="J38" s="366">
        <v>0</v>
      </c>
      <c r="K38" s="366">
        <v>0</v>
      </c>
      <c r="L38" s="366">
        <v>0</v>
      </c>
      <c r="M38" s="366">
        <v>0</v>
      </c>
      <c r="N38" s="366">
        <v>0</v>
      </c>
      <c r="O38" s="366">
        <v>0</v>
      </c>
      <c r="P38" s="366">
        <v>0</v>
      </c>
      <c r="Q38" s="366">
        <v>0</v>
      </c>
      <c r="R38" s="366">
        <v>0</v>
      </c>
      <c r="S38" s="366">
        <v>0</v>
      </c>
      <c r="T38" s="366">
        <v>0</v>
      </c>
      <c r="U38" s="366">
        <v>0</v>
      </c>
      <c r="V38" s="366">
        <v>0</v>
      </c>
      <c r="W38" s="366">
        <v>0</v>
      </c>
      <c r="X38" s="366">
        <v>0</v>
      </c>
      <c r="Y38" s="366">
        <v>0</v>
      </c>
      <c r="Z38" s="366">
        <v>0</v>
      </c>
      <c r="AA38" s="366">
        <v>0</v>
      </c>
      <c r="AB38" s="366">
        <v>0</v>
      </c>
      <c r="AC38" s="366">
        <v>0</v>
      </c>
      <c r="AD38" s="366">
        <v>0</v>
      </c>
      <c r="AE38" s="366">
        <v>0</v>
      </c>
      <c r="AF38" s="366">
        <v>0</v>
      </c>
      <c r="AG38" s="366">
        <v>0</v>
      </c>
      <c r="AH38" s="366">
        <v>0</v>
      </c>
      <c r="AI38" s="366">
        <v>0</v>
      </c>
      <c r="AJ38" s="366">
        <v>0</v>
      </c>
      <c r="AK38" s="366">
        <v>0</v>
      </c>
      <c r="AL38" s="366">
        <v>0</v>
      </c>
      <c r="AM38" s="366">
        <v>0</v>
      </c>
      <c r="AN38" s="366">
        <v>0</v>
      </c>
      <c r="AO38" s="366">
        <v>0</v>
      </c>
      <c r="AP38" s="366">
        <v>0</v>
      </c>
      <c r="AQ38" s="366">
        <v>0</v>
      </c>
      <c r="AR38" s="366">
        <v>0</v>
      </c>
      <c r="AS38" s="366">
        <v>0</v>
      </c>
      <c r="AT38" s="366">
        <v>0</v>
      </c>
      <c r="AU38" s="366">
        <v>0</v>
      </c>
      <c r="AV38" s="366">
        <v>0</v>
      </c>
      <c r="AW38" s="366">
        <v>0</v>
      </c>
      <c r="AX38" s="366">
        <v>0</v>
      </c>
      <c r="AY38" s="366">
        <v>0</v>
      </c>
      <c r="AZ38" s="366">
        <v>0</v>
      </c>
      <c r="BA38" s="366">
        <v>0</v>
      </c>
      <c r="BB38" s="366">
        <v>0</v>
      </c>
      <c r="BC38" s="366">
        <v>0</v>
      </c>
      <c r="BD38" s="366">
        <v>0</v>
      </c>
      <c r="BE38" s="366">
        <v>0</v>
      </c>
      <c r="BF38" s="366">
        <v>0</v>
      </c>
      <c r="BG38" s="366">
        <v>0</v>
      </c>
      <c r="BH38" s="366">
        <v>0</v>
      </c>
      <c r="BI38" s="366">
        <v>0</v>
      </c>
      <c r="BJ38" s="366">
        <v>0</v>
      </c>
      <c r="BK38" s="366">
        <v>0</v>
      </c>
      <c r="BL38" s="366">
        <v>0</v>
      </c>
      <c r="BM38" s="366">
        <v>0</v>
      </c>
      <c r="BN38" s="366">
        <v>0</v>
      </c>
      <c r="BO38" s="366">
        <v>0</v>
      </c>
      <c r="BP38" s="366">
        <v>0</v>
      </c>
      <c r="BQ38" s="366">
        <v>0</v>
      </c>
      <c r="BR38" s="366">
        <v>0</v>
      </c>
      <c r="BS38" s="366">
        <v>0</v>
      </c>
      <c r="BT38" s="366">
        <v>0</v>
      </c>
      <c r="BU38" s="366">
        <v>0</v>
      </c>
      <c r="BV38" s="366">
        <v>0</v>
      </c>
      <c r="BW38" s="366">
        <v>0</v>
      </c>
      <c r="BX38" s="366">
        <v>0</v>
      </c>
      <c r="BY38" s="366">
        <v>0</v>
      </c>
      <c r="BZ38" s="366">
        <v>0</v>
      </c>
      <c r="CA38" s="366">
        <v>0</v>
      </c>
      <c r="CB38" s="366">
        <v>0</v>
      </c>
      <c r="CC38" s="366">
        <v>0</v>
      </c>
      <c r="CD38" s="366">
        <v>0</v>
      </c>
      <c r="CE38" s="366">
        <v>0</v>
      </c>
      <c r="CF38" s="366">
        <v>0</v>
      </c>
      <c r="CG38" s="366">
        <v>0</v>
      </c>
      <c r="CH38" s="366">
        <v>0</v>
      </c>
      <c r="CI38" s="366">
        <v>0</v>
      </c>
    </row>
    <row r="39" spans="1:87">
      <c r="A39" s="366" t="s">
        <v>1457</v>
      </c>
      <c r="B39" s="366" t="s">
        <v>1231</v>
      </c>
      <c r="C39" s="366" t="s">
        <v>1476</v>
      </c>
      <c r="D39" s="366" t="s">
        <v>1232</v>
      </c>
      <c r="E39" s="366" t="s">
        <v>636</v>
      </c>
      <c r="F39" s="366" t="s">
        <v>636</v>
      </c>
      <c r="G39" s="366" t="s">
        <v>1234</v>
      </c>
      <c r="H39" s="366">
        <v>0</v>
      </c>
      <c r="I39" s="366">
        <v>0</v>
      </c>
      <c r="J39" s="366">
        <v>0</v>
      </c>
      <c r="K39" s="366">
        <v>0</v>
      </c>
      <c r="L39" s="366">
        <v>188770.47</v>
      </c>
      <c r="M39" s="366">
        <v>18.96</v>
      </c>
      <c r="N39" s="366">
        <v>492.72</v>
      </c>
      <c r="O39" s="366">
        <v>18.98</v>
      </c>
      <c r="P39" s="366">
        <v>379161.59999999998</v>
      </c>
      <c r="Q39" s="366">
        <v>48.26</v>
      </c>
      <c r="R39" s="366">
        <v>989.68</v>
      </c>
      <c r="S39" s="366">
        <v>48.32</v>
      </c>
      <c r="T39" s="366">
        <v>550757.29</v>
      </c>
      <c r="U39" s="366">
        <v>62.92</v>
      </c>
      <c r="V39" s="366">
        <v>1437.58</v>
      </c>
      <c r="W39" s="366">
        <v>62.99</v>
      </c>
      <c r="X39" s="366">
        <v>727182.05</v>
      </c>
      <c r="Y39" s="366">
        <v>73.02</v>
      </c>
      <c r="Z39" s="366">
        <v>1898.08</v>
      </c>
      <c r="AA39" s="366">
        <v>73.11</v>
      </c>
      <c r="AB39" s="366">
        <v>909382.11</v>
      </c>
      <c r="AC39" s="366">
        <v>93.21</v>
      </c>
      <c r="AD39" s="366">
        <v>2373.65</v>
      </c>
      <c r="AE39" s="366">
        <v>93.32</v>
      </c>
      <c r="AF39" s="366">
        <v>1063161.44</v>
      </c>
      <c r="AG39" s="366">
        <v>98.82</v>
      </c>
      <c r="AH39" s="366">
        <v>2775.04</v>
      </c>
      <c r="AI39" s="366">
        <v>98.93</v>
      </c>
      <c r="AJ39" s="366">
        <v>1226104.25</v>
      </c>
      <c r="AK39" s="366">
        <v>119.77</v>
      </c>
      <c r="AL39" s="366">
        <v>3200.35</v>
      </c>
      <c r="AM39" s="366">
        <v>119.91</v>
      </c>
      <c r="AN39" s="366">
        <v>1406993.82</v>
      </c>
      <c r="AO39" s="366">
        <v>125.87</v>
      </c>
      <c r="AP39" s="366">
        <v>3672.51</v>
      </c>
      <c r="AQ39" s="366">
        <v>126.01</v>
      </c>
      <c r="AR39" s="366">
        <v>1583482.92</v>
      </c>
      <c r="AS39" s="366">
        <v>155.16999999999999</v>
      </c>
      <c r="AT39" s="366">
        <v>4133.18</v>
      </c>
      <c r="AU39" s="366">
        <v>155.35</v>
      </c>
      <c r="AV39" s="366">
        <v>1813721.5</v>
      </c>
      <c r="AW39" s="366">
        <v>173.63</v>
      </c>
      <c r="AX39" s="366">
        <v>4734.1400000000003</v>
      </c>
      <c r="AY39" s="366">
        <v>173.83</v>
      </c>
      <c r="AZ39" s="366">
        <v>51579462.060000002</v>
      </c>
      <c r="BA39" s="366">
        <v>4966.75</v>
      </c>
      <c r="BB39" s="366">
        <v>134631.67999999999</v>
      </c>
      <c r="BC39" s="366">
        <v>4972.55</v>
      </c>
      <c r="BD39" s="366">
        <v>87437912.780000001</v>
      </c>
      <c r="BE39" s="366">
        <v>8370.34</v>
      </c>
      <c r="BF39" s="366">
        <v>228228.69</v>
      </c>
      <c r="BG39" s="366">
        <v>8380.1</v>
      </c>
      <c r="BH39" s="366">
        <v>124490113.08</v>
      </c>
      <c r="BI39" s="366">
        <v>10813.48</v>
      </c>
      <c r="BJ39" s="366">
        <v>31108.78</v>
      </c>
      <c r="BK39" s="366">
        <v>10824.74</v>
      </c>
      <c r="BL39" s="366">
        <v>159596277.86000001</v>
      </c>
      <c r="BM39" s="366">
        <v>13862.88</v>
      </c>
      <c r="BN39" s="366">
        <v>416575.01</v>
      </c>
      <c r="BO39" s="366">
        <v>13877.32</v>
      </c>
      <c r="BP39" s="366">
        <v>159102026.52000001</v>
      </c>
      <c r="BQ39" s="366">
        <v>15058.18</v>
      </c>
      <c r="BR39" s="366">
        <v>415284.93</v>
      </c>
      <c r="BS39" s="366">
        <v>13834.34</v>
      </c>
      <c r="BT39" s="366">
        <v>229628106.66999999</v>
      </c>
      <c r="BU39" s="366">
        <v>23272.9</v>
      </c>
      <c r="BV39" s="366">
        <v>599370.68999999994</v>
      </c>
      <c r="BW39" s="366">
        <v>19966.77</v>
      </c>
      <c r="BX39" s="366">
        <v>274957546.25999999</v>
      </c>
      <c r="BY39" s="366">
        <v>30495.360000000001</v>
      </c>
      <c r="BZ39" s="366">
        <v>321924.58</v>
      </c>
      <c r="CA39" s="366">
        <v>30526.63</v>
      </c>
      <c r="CB39" s="366">
        <v>389504965.45999998</v>
      </c>
      <c r="CC39" s="366">
        <v>43220.36</v>
      </c>
      <c r="CD39" s="366">
        <v>454460.89</v>
      </c>
      <c r="CE39" s="366">
        <v>43264.21</v>
      </c>
      <c r="CF39" s="366">
        <v>100</v>
      </c>
      <c r="CG39" s="366">
        <v>100</v>
      </c>
      <c r="CH39" s="366">
        <v>100</v>
      </c>
      <c r="CI39" s="366">
        <v>100</v>
      </c>
    </row>
    <row r="40" spans="1:87">
      <c r="A40" s="366" t="s">
        <v>1457</v>
      </c>
      <c r="B40" s="366" t="s">
        <v>1231</v>
      </c>
      <c r="C40" s="366" t="s">
        <v>1476</v>
      </c>
      <c r="D40" s="366" t="s">
        <v>1232</v>
      </c>
      <c r="E40" s="366" t="s">
        <v>909</v>
      </c>
      <c r="F40" s="366" t="s">
        <v>909</v>
      </c>
      <c r="G40" s="366" t="s">
        <v>1234</v>
      </c>
      <c r="H40" s="366">
        <v>0</v>
      </c>
      <c r="I40" s="366">
        <v>0</v>
      </c>
      <c r="J40" s="366">
        <v>0</v>
      </c>
      <c r="K40" s="366">
        <v>0</v>
      </c>
      <c r="L40" s="366">
        <v>0</v>
      </c>
      <c r="M40" s="366">
        <v>0</v>
      </c>
      <c r="N40" s="366">
        <v>0</v>
      </c>
      <c r="O40" s="366">
        <v>0</v>
      </c>
      <c r="P40" s="366">
        <v>0</v>
      </c>
      <c r="Q40" s="366">
        <v>0</v>
      </c>
      <c r="R40" s="366">
        <v>0</v>
      </c>
      <c r="S40" s="366">
        <v>0</v>
      </c>
      <c r="T40" s="366">
        <v>0</v>
      </c>
      <c r="U40" s="366">
        <v>0</v>
      </c>
      <c r="V40" s="366">
        <v>0</v>
      </c>
      <c r="W40" s="366">
        <v>0</v>
      </c>
      <c r="X40" s="366">
        <v>0</v>
      </c>
      <c r="Y40" s="366">
        <v>0</v>
      </c>
      <c r="Z40" s="366">
        <v>0</v>
      </c>
      <c r="AA40" s="366">
        <v>0</v>
      </c>
      <c r="AB40" s="366">
        <v>0</v>
      </c>
      <c r="AC40" s="366">
        <v>0</v>
      </c>
      <c r="AD40" s="366">
        <v>0</v>
      </c>
      <c r="AE40" s="366">
        <v>0</v>
      </c>
      <c r="AF40" s="366">
        <v>0</v>
      </c>
      <c r="AG40" s="366">
        <v>0</v>
      </c>
      <c r="AH40" s="366">
        <v>0</v>
      </c>
      <c r="AI40" s="366">
        <v>0</v>
      </c>
      <c r="AJ40" s="366">
        <v>0</v>
      </c>
      <c r="AK40" s="366">
        <v>0</v>
      </c>
      <c r="AL40" s="366">
        <v>0</v>
      </c>
      <c r="AM40" s="366">
        <v>0</v>
      </c>
      <c r="AN40" s="366">
        <v>0</v>
      </c>
      <c r="AO40" s="366">
        <v>0</v>
      </c>
      <c r="AP40" s="366">
        <v>0</v>
      </c>
      <c r="AQ40" s="366">
        <v>0</v>
      </c>
      <c r="AR40" s="366">
        <v>0</v>
      </c>
      <c r="AS40" s="366">
        <v>0</v>
      </c>
      <c r="AT40" s="366">
        <v>0</v>
      </c>
      <c r="AU40" s="366">
        <v>0</v>
      </c>
      <c r="AV40" s="366">
        <v>0</v>
      </c>
      <c r="AW40" s="366">
        <v>0</v>
      </c>
      <c r="AX40" s="366">
        <v>0</v>
      </c>
      <c r="AY40" s="366">
        <v>0</v>
      </c>
      <c r="AZ40" s="366">
        <v>0</v>
      </c>
      <c r="BA40" s="366">
        <v>0</v>
      </c>
      <c r="BB40" s="366">
        <v>0</v>
      </c>
      <c r="BC40" s="366">
        <v>0</v>
      </c>
      <c r="BD40" s="366">
        <v>0</v>
      </c>
      <c r="BE40" s="366">
        <v>0</v>
      </c>
      <c r="BF40" s="366">
        <v>0</v>
      </c>
      <c r="BG40" s="366">
        <v>0</v>
      </c>
      <c r="BH40" s="366">
        <v>0</v>
      </c>
      <c r="BI40" s="366">
        <v>0</v>
      </c>
      <c r="BJ40" s="366">
        <v>0</v>
      </c>
      <c r="BK40" s="366">
        <v>0</v>
      </c>
      <c r="BL40" s="366">
        <v>0</v>
      </c>
      <c r="BM40" s="366">
        <v>0</v>
      </c>
      <c r="BN40" s="366">
        <v>0</v>
      </c>
      <c r="BO40" s="366">
        <v>0</v>
      </c>
      <c r="BP40" s="366">
        <v>0</v>
      </c>
      <c r="BQ40" s="366">
        <v>0</v>
      </c>
      <c r="BR40" s="366">
        <v>0</v>
      </c>
      <c r="BS40" s="366">
        <v>0</v>
      </c>
      <c r="BT40" s="366">
        <v>0</v>
      </c>
      <c r="BU40" s="366">
        <v>0</v>
      </c>
      <c r="BV40" s="366">
        <v>0</v>
      </c>
      <c r="BW40" s="366">
        <v>0</v>
      </c>
      <c r="BX40" s="366">
        <v>0</v>
      </c>
      <c r="BY40" s="366">
        <v>0</v>
      </c>
      <c r="BZ40" s="366">
        <v>0</v>
      </c>
      <c r="CA40" s="366">
        <v>0</v>
      </c>
      <c r="CB40" s="366">
        <v>0</v>
      </c>
      <c r="CC40" s="366">
        <v>0</v>
      </c>
      <c r="CD40" s="366">
        <v>0</v>
      </c>
      <c r="CE40" s="366">
        <v>0</v>
      </c>
      <c r="CF40" s="366">
        <v>0</v>
      </c>
      <c r="CG40" s="366">
        <v>0</v>
      </c>
      <c r="CH40" s="366">
        <v>0</v>
      </c>
      <c r="CI40" s="366">
        <v>0</v>
      </c>
    </row>
    <row r="41" spans="1:87">
      <c r="A41" s="366" t="s">
        <v>1457</v>
      </c>
      <c r="B41" s="366" t="s">
        <v>1231</v>
      </c>
      <c r="C41" s="366" t="s">
        <v>1477</v>
      </c>
      <c r="D41" s="366" t="s">
        <v>1237</v>
      </c>
      <c r="E41" s="366" t="s">
        <v>1236</v>
      </c>
      <c r="F41" s="366" t="s">
        <v>1236</v>
      </c>
      <c r="G41" s="366" t="s">
        <v>1234</v>
      </c>
      <c r="H41" s="366">
        <v>366138397.18000001</v>
      </c>
      <c r="I41" s="366">
        <v>268443.02</v>
      </c>
      <c r="J41" s="366">
        <v>4127988.42</v>
      </c>
      <c r="K41" s="366">
        <v>268847.53000000003</v>
      </c>
      <c r="L41" s="366">
        <v>377312392.30000001</v>
      </c>
      <c r="M41" s="366">
        <v>276635.5</v>
      </c>
      <c r="N41" s="366">
        <v>4229360.51</v>
      </c>
      <c r="O41" s="366">
        <v>277052.34999999998</v>
      </c>
      <c r="P41" s="366">
        <v>384637399.33999997</v>
      </c>
      <c r="Q41" s="366">
        <v>286242.21999999997</v>
      </c>
      <c r="R41" s="366">
        <v>4286383.37</v>
      </c>
      <c r="S41" s="366">
        <v>286717.09000000003</v>
      </c>
      <c r="T41" s="366">
        <v>378991645.92000002</v>
      </c>
      <c r="U41" s="366">
        <v>279953.7</v>
      </c>
      <c r="V41" s="366">
        <v>4198752.34</v>
      </c>
      <c r="W41" s="366">
        <v>280397</v>
      </c>
      <c r="X41" s="366">
        <v>358613889.62</v>
      </c>
      <c r="Y41" s="366">
        <v>262926.25</v>
      </c>
      <c r="Z41" s="366">
        <v>3949607.44</v>
      </c>
      <c r="AA41" s="366">
        <v>263322.44</v>
      </c>
      <c r="AB41" s="366">
        <v>360312238.20999998</v>
      </c>
      <c r="AC41" s="366">
        <v>262187.28000000003</v>
      </c>
      <c r="AD41" s="366">
        <v>3944807.84</v>
      </c>
      <c r="AE41" s="366">
        <v>262561.96000000002</v>
      </c>
      <c r="AF41" s="366">
        <v>352353140.55000001</v>
      </c>
      <c r="AG41" s="366">
        <v>254455.38</v>
      </c>
      <c r="AH41" s="366">
        <v>3834690.76</v>
      </c>
      <c r="AI41" s="366">
        <v>254798.92</v>
      </c>
      <c r="AJ41" s="366">
        <v>348891803.72000003</v>
      </c>
      <c r="AK41" s="366">
        <v>250034.48</v>
      </c>
      <c r="AL41" s="366">
        <v>3774269.22</v>
      </c>
      <c r="AM41" s="366">
        <v>250352</v>
      </c>
      <c r="AN41" s="366">
        <v>358529907.74000001</v>
      </c>
      <c r="AO41" s="366">
        <v>254967.31</v>
      </c>
      <c r="AP41" s="366">
        <v>3855154.32</v>
      </c>
      <c r="AQ41" s="366">
        <v>255270.34</v>
      </c>
      <c r="AR41" s="366">
        <v>368635664.86000001</v>
      </c>
      <c r="AS41" s="366">
        <v>259702.98</v>
      </c>
      <c r="AT41" s="366">
        <v>3939781.83</v>
      </c>
      <c r="AU41" s="366">
        <v>259992.22</v>
      </c>
      <c r="AV41" s="366">
        <v>380207020.16000003</v>
      </c>
      <c r="AW41" s="366">
        <v>266195.49</v>
      </c>
      <c r="AX41" s="366">
        <v>4038660.85</v>
      </c>
      <c r="AY41" s="366">
        <v>266467.49</v>
      </c>
      <c r="AZ41" s="366">
        <v>368431079.25</v>
      </c>
      <c r="BA41" s="366">
        <v>311168.67</v>
      </c>
      <c r="BB41" s="366">
        <v>3912883.3</v>
      </c>
      <c r="BC41" s="366">
        <v>311448.09000000003</v>
      </c>
      <c r="BD41" s="366">
        <v>358926809.81</v>
      </c>
      <c r="BE41" s="366">
        <v>251185.01</v>
      </c>
      <c r="BF41" s="366">
        <v>3811205.51</v>
      </c>
      <c r="BG41" s="366">
        <v>251441.56</v>
      </c>
      <c r="BH41" s="366">
        <v>352223905.92000002</v>
      </c>
      <c r="BI41" s="366">
        <v>428311.37</v>
      </c>
      <c r="BJ41" s="366">
        <v>376003.09</v>
      </c>
      <c r="BK41" s="366">
        <v>428617.57</v>
      </c>
      <c r="BL41" s="366">
        <v>338529259.54000002</v>
      </c>
      <c r="BM41" s="366">
        <v>411586.05</v>
      </c>
      <c r="BN41" s="366">
        <v>3592995.94</v>
      </c>
      <c r="BO41" s="366">
        <v>411880.27</v>
      </c>
      <c r="BP41" s="366">
        <v>270466790.97000003</v>
      </c>
      <c r="BQ41" s="366">
        <v>362287.86</v>
      </c>
      <c r="BR41" s="366">
        <v>2869851.89</v>
      </c>
      <c r="BS41" s="366">
        <v>329005.78000000003</v>
      </c>
      <c r="BT41" s="366">
        <v>282977083.17000002</v>
      </c>
      <c r="BU41" s="366">
        <v>414034.44</v>
      </c>
      <c r="BV41" s="366">
        <v>3001702.88</v>
      </c>
      <c r="BW41" s="366">
        <v>344147.96</v>
      </c>
      <c r="BX41" s="366">
        <v>286088344.08999997</v>
      </c>
      <c r="BY41" s="366">
        <v>448039.12</v>
      </c>
      <c r="BZ41" s="366">
        <v>3033685.89</v>
      </c>
      <c r="CA41" s="366">
        <v>448317.81</v>
      </c>
      <c r="CB41" s="366">
        <v>283718319.01999998</v>
      </c>
      <c r="CC41" s="366">
        <v>444150.17</v>
      </c>
      <c r="CD41" s="366">
        <v>3005925.51</v>
      </c>
      <c r="CE41" s="366">
        <v>444426.46</v>
      </c>
      <c r="CF41" s="366">
        <v>-22.510634993434198</v>
      </c>
      <c r="CG41" s="366">
        <v>65.4541697526723</v>
      </c>
      <c r="CH41" s="366">
        <v>-27.18183279206</v>
      </c>
      <c r="CI41" s="366">
        <v>65.307994460652097</v>
      </c>
    </row>
    <row r="42" spans="1:87">
      <c r="A42" s="366" t="s">
        <v>1457</v>
      </c>
      <c r="B42" s="366" t="s">
        <v>1231</v>
      </c>
      <c r="C42" s="366" t="s">
        <v>1477</v>
      </c>
      <c r="D42" s="366" t="s">
        <v>1237</v>
      </c>
      <c r="E42" s="366" t="s">
        <v>1235</v>
      </c>
      <c r="F42" s="366" t="s">
        <v>1235</v>
      </c>
      <c r="G42" s="366" t="s">
        <v>1234</v>
      </c>
      <c r="H42" s="366">
        <v>121490182.95999999</v>
      </c>
      <c r="I42" s="366">
        <v>117119.82</v>
      </c>
      <c r="J42" s="366">
        <v>1542980.94</v>
      </c>
      <c r="K42" s="366">
        <v>117248.56</v>
      </c>
      <c r="L42" s="366">
        <v>128247530.38</v>
      </c>
      <c r="M42" s="366">
        <v>123634.09</v>
      </c>
      <c r="N42" s="366">
        <v>1647675.99</v>
      </c>
      <c r="O42" s="366">
        <v>123769.99</v>
      </c>
      <c r="P42" s="366">
        <v>133886700.81999999</v>
      </c>
      <c r="Q42" s="366">
        <v>126146.29</v>
      </c>
      <c r="R42" s="366">
        <v>1739841.69</v>
      </c>
      <c r="S42" s="366">
        <v>126236.1</v>
      </c>
      <c r="T42" s="366">
        <v>135065444.53</v>
      </c>
      <c r="U42" s="366">
        <v>128731.81</v>
      </c>
      <c r="V42" s="366">
        <v>1775060.39</v>
      </c>
      <c r="W42" s="366">
        <v>128848.68</v>
      </c>
      <c r="X42" s="366">
        <v>130817432.29000001</v>
      </c>
      <c r="Y42" s="366">
        <v>126111.55</v>
      </c>
      <c r="Z42" s="366">
        <v>1738517.98</v>
      </c>
      <c r="AA42" s="366">
        <v>126250.17</v>
      </c>
      <c r="AB42" s="366">
        <v>134173331.36</v>
      </c>
      <c r="AC42" s="366">
        <v>130811.91</v>
      </c>
      <c r="AD42" s="366">
        <v>1802902.77</v>
      </c>
      <c r="AE42" s="366">
        <v>130980.18</v>
      </c>
      <c r="AF42" s="366">
        <v>134253603.06</v>
      </c>
      <c r="AG42" s="366">
        <v>132356.24</v>
      </c>
      <c r="AH42" s="366">
        <v>1823798.12</v>
      </c>
      <c r="AI42" s="366">
        <v>132550.71</v>
      </c>
      <c r="AJ42" s="366">
        <v>135989624.63</v>
      </c>
      <c r="AK42" s="366">
        <v>135552.74</v>
      </c>
      <c r="AL42" s="366">
        <v>1867464.03</v>
      </c>
      <c r="AM42" s="366">
        <v>135776.18</v>
      </c>
      <c r="AN42" s="366">
        <v>142928229.15000001</v>
      </c>
      <c r="AO42" s="366">
        <v>144029.85</v>
      </c>
      <c r="AP42" s="366">
        <v>1983864.52</v>
      </c>
      <c r="AQ42" s="366">
        <v>144292.47</v>
      </c>
      <c r="AR42" s="366">
        <v>150273243.31999999</v>
      </c>
      <c r="AS42" s="366">
        <v>153071.57999999999</v>
      </c>
      <c r="AT42" s="366">
        <v>2108025.9700000002</v>
      </c>
      <c r="AU42" s="366">
        <v>153376.92000000001</v>
      </c>
      <c r="AV42" s="366">
        <v>158455606.87</v>
      </c>
      <c r="AW42" s="366">
        <v>163137.60999999999</v>
      </c>
      <c r="AX42" s="366">
        <v>2246238.52</v>
      </c>
      <c r="AY42" s="366">
        <v>163490.39000000001</v>
      </c>
      <c r="AZ42" s="366">
        <v>177742751.91999999</v>
      </c>
      <c r="BA42" s="366">
        <v>206004.2</v>
      </c>
      <c r="BB42" s="366">
        <v>2519774.6800000002</v>
      </c>
      <c r="BC42" s="366">
        <v>206576.73</v>
      </c>
      <c r="BD42" s="366">
        <v>199047278.97</v>
      </c>
      <c r="BE42" s="366">
        <v>204928.67</v>
      </c>
      <c r="BF42" s="366">
        <v>2821914.43</v>
      </c>
      <c r="BG42" s="366">
        <v>205371.82</v>
      </c>
      <c r="BH42" s="366">
        <v>223365118.13</v>
      </c>
      <c r="BI42" s="366">
        <v>333234.93</v>
      </c>
      <c r="BJ42" s="366">
        <v>440094.49</v>
      </c>
      <c r="BK42" s="366">
        <v>334525.75</v>
      </c>
      <c r="BL42" s="366">
        <v>244565718.75</v>
      </c>
      <c r="BM42" s="366">
        <v>364863.77</v>
      </c>
      <c r="BN42" s="366">
        <v>3467454.88</v>
      </c>
      <c r="BO42" s="366">
        <v>366277.11</v>
      </c>
      <c r="BP42" s="366">
        <v>222027267.41</v>
      </c>
      <c r="BQ42" s="366">
        <v>355875.33</v>
      </c>
      <c r="BR42" s="366">
        <v>3147983.91</v>
      </c>
      <c r="BS42" s="366">
        <v>332522.09999999998</v>
      </c>
      <c r="BT42" s="366">
        <v>263574052.22</v>
      </c>
      <c r="BU42" s="366">
        <v>451714.78</v>
      </c>
      <c r="BV42" s="366">
        <v>3737131.5</v>
      </c>
      <c r="BW42" s="366">
        <v>394745.19</v>
      </c>
      <c r="BX42" s="366">
        <v>302218535.13999999</v>
      </c>
      <c r="BY42" s="366">
        <v>545889.26</v>
      </c>
      <c r="BZ42" s="366">
        <v>4285141.8099999996</v>
      </c>
      <c r="CA42" s="366">
        <v>548365.86</v>
      </c>
      <c r="CB42" s="366">
        <v>293678805.57999998</v>
      </c>
      <c r="CC42" s="366">
        <v>530464.18000000005</v>
      </c>
      <c r="CD42" s="366">
        <v>4164065.94</v>
      </c>
      <c r="CE42" s="366">
        <v>532870.80000000005</v>
      </c>
      <c r="CF42" s="366">
        <v>141.73048259931599</v>
      </c>
      <c r="CG42" s="366">
        <v>352.92434704903098</v>
      </c>
      <c r="CH42" s="366">
        <v>169.871508587786</v>
      </c>
      <c r="CI42" s="366">
        <v>354.47961151932299</v>
      </c>
    </row>
    <row r="43" spans="1:87">
      <c r="A43" s="366" t="s">
        <v>1457</v>
      </c>
      <c r="B43" s="366" t="s">
        <v>1231</v>
      </c>
      <c r="C43" s="366" t="s">
        <v>1477</v>
      </c>
      <c r="D43" s="366" t="s">
        <v>1237</v>
      </c>
      <c r="E43" s="366" t="s">
        <v>1233</v>
      </c>
      <c r="F43" s="366" t="s">
        <v>637</v>
      </c>
      <c r="G43" s="366" t="s">
        <v>1234</v>
      </c>
      <c r="H43" s="366">
        <v>0</v>
      </c>
      <c r="I43" s="366">
        <v>0</v>
      </c>
      <c r="J43" s="366">
        <v>0</v>
      </c>
      <c r="K43" s="366">
        <v>0</v>
      </c>
      <c r="L43" s="366">
        <v>207512.59</v>
      </c>
      <c r="M43" s="366">
        <v>122.29</v>
      </c>
      <c r="N43" s="366">
        <v>2607.33</v>
      </c>
      <c r="O43" s="366">
        <v>122.5</v>
      </c>
      <c r="P43" s="366">
        <v>425842.58</v>
      </c>
      <c r="Q43" s="366">
        <v>264.45999999999998</v>
      </c>
      <c r="R43" s="366">
        <v>5208.7</v>
      </c>
      <c r="S43" s="366">
        <v>264.72000000000003</v>
      </c>
      <c r="T43" s="366">
        <v>633521.18999999994</v>
      </c>
      <c r="U43" s="366">
        <v>383.38</v>
      </c>
      <c r="V43" s="366">
        <v>7537.84</v>
      </c>
      <c r="W43" s="366">
        <v>383.91</v>
      </c>
      <c r="X43" s="366">
        <v>804560.59</v>
      </c>
      <c r="Y43" s="366">
        <v>474.13</v>
      </c>
      <c r="Z43" s="366">
        <v>9304.86</v>
      </c>
      <c r="AA43" s="366">
        <v>474.97</v>
      </c>
      <c r="AB43" s="366">
        <v>1000274.46</v>
      </c>
      <c r="AC43" s="366">
        <v>573.59</v>
      </c>
      <c r="AD43" s="366">
        <v>11235.05</v>
      </c>
      <c r="AE43" s="366">
        <v>574.86</v>
      </c>
      <c r="AF43" s="366">
        <v>1181682.19</v>
      </c>
      <c r="AG43" s="366">
        <v>658.87</v>
      </c>
      <c r="AH43" s="366">
        <v>12878.9</v>
      </c>
      <c r="AI43" s="366">
        <v>660.62</v>
      </c>
      <c r="AJ43" s="366">
        <v>1374297.45</v>
      </c>
      <c r="AK43" s="366">
        <v>744.46</v>
      </c>
      <c r="AL43" s="366">
        <v>14520.29</v>
      </c>
      <c r="AM43" s="366">
        <v>746.8</v>
      </c>
      <c r="AN43" s="366">
        <v>1624978.9</v>
      </c>
      <c r="AO43" s="366">
        <v>854.48</v>
      </c>
      <c r="AP43" s="366">
        <v>16627.48</v>
      </c>
      <c r="AQ43" s="366">
        <v>857.59</v>
      </c>
      <c r="AR43" s="366">
        <v>1892485.97</v>
      </c>
      <c r="AS43" s="366">
        <v>965.13</v>
      </c>
      <c r="AT43" s="366">
        <v>18734.189999999999</v>
      </c>
      <c r="AU43" s="366">
        <v>969.16</v>
      </c>
      <c r="AV43" s="366">
        <v>2186329.15</v>
      </c>
      <c r="AW43" s="366">
        <v>1080.29</v>
      </c>
      <c r="AX43" s="366">
        <v>20914.57</v>
      </c>
      <c r="AY43" s="366">
        <v>1085.42</v>
      </c>
      <c r="AZ43" s="366">
        <v>1927977.9</v>
      </c>
      <c r="BA43" s="366">
        <v>1474.2</v>
      </c>
      <c r="BB43" s="366">
        <v>18443.16</v>
      </c>
      <c r="BC43" s="366">
        <v>1873.44</v>
      </c>
      <c r="BD43" s="366">
        <v>1674253.88</v>
      </c>
      <c r="BE43" s="366">
        <v>827.27</v>
      </c>
      <c r="BF43" s="366">
        <v>16016.02</v>
      </c>
      <c r="BG43" s="366">
        <v>831.2</v>
      </c>
      <c r="BH43" s="366">
        <v>1422095.31</v>
      </c>
      <c r="BI43" s="366">
        <v>2076.65</v>
      </c>
      <c r="BJ43" s="366">
        <v>13603.86</v>
      </c>
      <c r="BK43" s="366">
        <v>3119.79</v>
      </c>
      <c r="BL43" s="366">
        <v>1723036.78</v>
      </c>
      <c r="BM43" s="366">
        <v>2516.1</v>
      </c>
      <c r="BN43" s="366">
        <v>16585.009999999998</v>
      </c>
      <c r="BO43" s="366">
        <v>3780</v>
      </c>
      <c r="BP43" s="366">
        <v>1319045.8600000001</v>
      </c>
      <c r="BQ43" s="366">
        <v>2232.0300000000002</v>
      </c>
      <c r="BR43" s="366">
        <v>12726.17</v>
      </c>
      <c r="BS43" s="366">
        <v>2893.72</v>
      </c>
      <c r="BT43" s="366">
        <v>1312449.1200000001</v>
      </c>
      <c r="BU43" s="366">
        <v>2525.19</v>
      </c>
      <c r="BV43" s="366">
        <v>12698.99</v>
      </c>
      <c r="BW43" s="366">
        <v>2879.25</v>
      </c>
      <c r="BX43" s="366">
        <v>1249609.3700000001</v>
      </c>
      <c r="BY43" s="366">
        <v>2645.75</v>
      </c>
      <c r="BZ43" s="366">
        <v>12134.79</v>
      </c>
      <c r="CA43" s="366">
        <v>4183.68</v>
      </c>
      <c r="CB43" s="366">
        <v>1039662.15</v>
      </c>
      <c r="CC43" s="366">
        <v>2201.2399999999998</v>
      </c>
      <c r="CD43" s="366">
        <v>10125.280000000001</v>
      </c>
      <c r="CE43" s="366">
        <v>3480.78</v>
      </c>
      <c r="CF43" s="366">
        <v>100</v>
      </c>
      <c r="CG43" s="366">
        <v>100</v>
      </c>
      <c r="CH43" s="366">
        <v>100</v>
      </c>
      <c r="CI43" s="366">
        <v>100</v>
      </c>
    </row>
    <row r="44" spans="1:87">
      <c r="A44" s="366" t="s">
        <v>1457</v>
      </c>
      <c r="B44" s="366" t="s">
        <v>1231</v>
      </c>
      <c r="C44" s="366" t="s">
        <v>1477</v>
      </c>
      <c r="D44" s="366" t="s">
        <v>1237</v>
      </c>
      <c r="E44" s="366" t="s">
        <v>636</v>
      </c>
      <c r="F44" s="366" t="s">
        <v>636</v>
      </c>
      <c r="G44" s="366" t="s">
        <v>1234</v>
      </c>
      <c r="H44" s="366">
        <v>0</v>
      </c>
      <c r="I44" s="366">
        <v>0</v>
      </c>
      <c r="J44" s="366">
        <v>0</v>
      </c>
      <c r="K44" s="366">
        <v>0</v>
      </c>
      <c r="L44" s="366">
        <v>0</v>
      </c>
      <c r="M44" s="366">
        <v>0</v>
      </c>
      <c r="N44" s="366">
        <v>0</v>
      </c>
      <c r="O44" s="366">
        <v>0</v>
      </c>
      <c r="P44" s="366">
        <v>0</v>
      </c>
      <c r="Q44" s="366">
        <v>0</v>
      </c>
      <c r="R44" s="366">
        <v>0</v>
      </c>
      <c r="S44" s="366">
        <v>0</v>
      </c>
      <c r="T44" s="366">
        <v>0</v>
      </c>
      <c r="U44" s="366">
        <v>0</v>
      </c>
      <c r="V44" s="366">
        <v>0</v>
      </c>
      <c r="W44" s="366">
        <v>0</v>
      </c>
      <c r="X44" s="366">
        <v>0</v>
      </c>
      <c r="Y44" s="366">
        <v>0</v>
      </c>
      <c r="Z44" s="366">
        <v>0</v>
      </c>
      <c r="AA44" s="366">
        <v>0</v>
      </c>
      <c r="AB44" s="366">
        <v>0</v>
      </c>
      <c r="AC44" s="366">
        <v>0</v>
      </c>
      <c r="AD44" s="366">
        <v>0</v>
      </c>
      <c r="AE44" s="366">
        <v>0</v>
      </c>
      <c r="AF44" s="366">
        <v>0</v>
      </c>
      <c r="AG44" s="366">
        <v>0</v>
      </c>
      <c r="AH44" s="366">
        <v>0</v>
      </c>
      <c r="AI44" s="366">
        <v>0</v>
      </c>
      <c r="AJ44" s="366">
        <v>0</v>
      </c>
      <c r="AK44" s="366">
        <v>0</v>
      </c>
      <c r="AL44" s="366">
        <v>0</v>
      </c>
      <c r="AM44" s="366">
        <v>0</v>
      </c>
      <c r="AN44" s="366">
        <v>0</v>
      </c>
      <c r="AO44" s="366">
        <v>0</v>
      </c>
      <c r="AP44" s="366">
        <v>0</v>
      </c>
      <c r="AQ44" s="366">
        <v>0</v>
      </c>
      <c r="AR44" s="366">
        <v>0</v>
      </c>
      <c r="AS44" s="366">
        <v>0</v>
      </c>
      <c r="AT44" s="366">
        <v>0</v>
      </c>
      <c r="AU44" s="366">
        <v>0</v>
      </c>
      <c r="AV44" s="366">
        <v>0</v>
      </c>
      <c r="AW44" s="366">
        <v>0</v>
      </c>
      <c r="AX44" s="366">
        <v>0</v>
      </c>
      <c r="AY44" s="366">
        <v>0</v>
      </c>
      <c r="AZ44" s="366">
        <v>484245.59</v>
      </c>
      <c r="BA44" s="366">
        <v>144.55000000000001</v>
      </c>
      <c r="BB44" s="366">
        <v>3918.3</v>
      </c>
      <c r="BC44" s="366">
        <v>144.72</v>
      </c>
      <c r="BD44" s="366">
        <v>989858.74</v>
      </c>
      <c r="BE44" s="366">
        <v>293.75</v>
      </c>
      <c r="BF44" s="366">
        <v>8009.5</v>
      </c>
      <c r="BG44" s="366">
        <v>294.08999999999997</v>
      </c>
      <c r="BH44" s="366">
        <v>1532410.74</v>
      </c>
      <c r="BI44" s="366">
        <v>412.64</v>
      </c>
      <c r="BJ44" s="366">
        <v>12399.59</v>
      </c>
      <c r="BK44" s="366">
        <v>413.07</v>
      </c>
      <c r="BL44" s="366">
        <v>2070892.22</v>
      </c>
      <c r="BM44" s="366">
        <v>557.63</v>
      </c>
      <c r="BN44" s="366">
        <v>16756.740000000002</v>
      </c>
      <c r="BO44" s="366">
        <v>558.22</v>
      </c>
      <c r="BP44" s="366">
        <v>2252897.2999999998</v>
      </c>
      <c r="BQ44" s="366">
        <v>661</v>
      </c>
      <c r="BR44" s="366">
        <v>18229.45</v>
      </c>
      <c r="BS44" s="366">
        <v>607.28</v>
      </c>
      <c r="BT44" s="366">
        <v>3001733.65</v>
      </c>
      <c r="BU44" s="366">
        <v>943.1</v>
      </c>
      <c r="BV44" s="366">
        <v>24288.7</v>
      </c>
      <c r="BW44" s="366">
        <v>809.13</v>
      </c>
      <c r="BX44" s="366">
        <v>3771484.98</v>
      </c>
      <c r="BY44" s="366">
        <v>1296.71</v>
      </c>
      <c r="BZ44" s="366">
        <v>30517.19</v>
      </c>
      <c r="CA44" s="366">
        <v>1298.04</v>
      </c>
      <c r="CB44" s="366">
        <v>10614688.92</v>
      </c>
      <c r="CC44" s="366">
        <v>3651.27</v>
      </c>
      <c r="CD44" s="366">
        <v>85889.37</v>
      </c>
      <c r="CE44" s="366">
        <v>3654.98</v>
      </c>
      <c r="CF44" s="366">
        <v>100</v>
      </c>
      <c r="CG44" s="366">
        <v>100</v>
      </c>
      <c r="CH44" s="366">
        <v>100</v>
      </c>
      <c r="CI44" s="366">
        <v>100</v>
      </c>
    </row>
    <row r="45" spans="1:87">
      <c r="A45" s="366" t="s">
        <v>1457</v>
      </c>
      <c r="B45" s="366" t="s">
        <v>1231</v>
      </c>
      <c r="C45" s="366" t="s">
        <v>1478</v>
      </c>
      <c r="D45" s="366" t="s">
        <v>1238</v>
      </c>
      <c r="E45" s="366" t="s">
        <v>1236</v>
      </c>
      <c r="F45" s="366" t="s">
        <v>1236</v>
      </c>
      <c r="G45" s="366" t="s">
        <v>1234</v>
      </c>
      <c r="H45" s="366">
        <v>0</v>
      </c>
      <c r="I45" s="366">
        <v>0</v>
      </c>
      <c r="J45" s="366">
        <v>0</v>
      </c>
      <c r="K45" s="366">
        <v>0</v>
      </c>
      <c r="L45" s="366">
        <v>0</v>
      </c>
      <c r="M45" s="366">
        <v>0</v>
      </c>
      <c r="N45" s="366">
        <v>0</v>
      </c>
      <c r="O45" s="366">
        <v>0</v>
      </c>
      <c r="P45" s="366">
        <v>0</v>
      </c>
      <c r="Q45" s="366">
        <v>0</v>
      </c>
      <c r="R45" s="366">
        <v>0</v>
      </c>
      <c r="S45" s="366">
        <v>0</v>
      </c>
      <c r="T45" s="366">
        <v>0</v>
      </c>
      <c r="U45" s="366">
        <v>0</v>
      </c>
      <c r="V45" s="366">
        <v>0</v>
      </c>
      <c r="W45" s="366">
        <v>0</v>
      </c>
      <c r="X45" s="366">
        <v>0</v>
      </c>
      <c r="Y45" s="366">
        <v>0</v>
      </c>
      <c r="Z45" s="366">
        <v>0</v>
      </c>
      <c r="AA45" s="366">
        <v>0</v>
      </c>
      <c r="AB45" s="366">
        <v>0</v>
      </c>
      <c r="AC45" s="366">
        <v>0</v>
      </c>
      <c r="AD45" s="366">
        <v>0</v>
      </c>
      <c r="AE45" s="366">
        <v>0</v>
      </c>
      <c r="AF45" s="366">
        <v>0</v>
      </c>
      <c r="AG45" s="366">
        <v>0</v>
      </c>
      <c r="AH45" s="366">
        <v>0</v>
      </c>
      <c r="AI45" s="366">
        <v>0</v>
      </c>
      <c r="AJ45" s="366">
        <v>0</v>
      </c>
      <c r="AK45" s="366">
        <v>0</v>
      </c>
      <c r="AL45" s="366">
        <v>0</v>
      </c>
      <c r="AM45" s="366">
        <v>0</v>
      </c>
      <c r="AN45" s="366">
        <v>0</v>
      </c>
      <c r="AO45" s="366">
        <v>0</v>
      </c>
      <c r="AP45" s="366">
        <v>0</v>
      </c>
      <c r="AQ45" s="366">
        <v>0</v>
      </c>
      <c r="AR45" s="366">
        <v>0</v>
      </c>
      <c r="AS45" s="366">
        <v>0</v>
      </c>
      <c r="AT45" s="366">
        <v>0</v>
      </c>
      <c r="AU45" s="366">
        <v>0</v>
      </c>
      <c r="AV45" s="366">
        <v>0</v>
      </c>
      <c r="AW45" s="366">
        <v>0</v>
      </c>
      <c r="AX45" s="366">
        <v>0</v>
      </c>
      <c r="AY45" s="366">
        <v>0</v>
      </c>
      <c r="AZ45" s="366">
        <v>11631113.42</v>
      </c>
      <c r="BA45" s="366">
        <v>19430.03</v>
      </c>
      <c r="BB45" s="366">
        <v>274910.36</v>
      </c>
      <c r="BC45" s="366">
        <v>19446.53</v>
      </c>
      <c r="BD45" s="366">
        <v>23568183.850000001</v>
      </c>
      <c r="BE45" s="366">
        <v>39449.870000000003</v>
      </c>
      <c r="BF45" s="366">
        <v>557052.25</v>
      </c>
      <c r="BG45" s="366">
        <v>39484.43</v>
      </c>
      <c r="BH45" s="366">
        <v>36785344.18</v>
      </c>
      <c r="BI45" s="366">
        <v>61134.92</v>
      </c>
      <c r="BJ45" s="366">
        <v>7420.63</v>
      </c>
      <c r="BK45" s="366">
        <v>61182.47</v>
      </c>
      <c r="BL45" s="366">
        <v>50206277.93</v>
      </c>
      <c r="BM45" s="366">
        <v>83439.66</v>
      </c>
      <c r="BN45" s="366">
        <v>1186664.19</v>
      </c>
      <c r="BO45" s="366">
        <v>83504.56</v>
      </c>
      <c r="BP45" s="366">
        <v>58688461.590000004</v>
      </c>
      <c r="BQ45" s="366">
        <v>97368.56</v>
      </c>
      <c r="BR45" s="366">
        <v>1387147.16</v>
      </c>
      <c r="BS45" s="366">
        <v>97612.38</v>
      </c>
      <c r="BT45" s="366">
        <v>76756224.590000004</v>
      </c>
      <c r="BU45" s="366">
        <v>127124.67</v>
      </c>
      <c r="BV45" s="366">
        <v>1814192.71</v>
      </c>
      <c r="BW45" s="366">
        <v>127663.22</v>
      </c>
      <c r="BX45" s="366">
        <v>92327326.689999998</v>
      </c>
      <c r="BY45" s="366">
        <v>152693.54</v>
      </c>
      <c r="BZ45" s="366">
        <v>2182227.75</v>
      </c>
      <c r="CA45" s="366">
        <v>152801.99</v>
      </c>
      <c r="CB45" s="366">
        <v>89828310.769999996</v>
      </c>
      <c r="CC45" s="366">
        <v>148560.6</v>
      </c>
      <c r="CD45" s="366">
        <v>2123159.34</v>
      </c>
      <c r="CE45" s="366">
        <v>148666.10999999999</v>
      </c>
      <c r="CF45" s="366">
        <v>100</v>
      </c>
      <c r="CG45" s="366">
        <v>100</v>
      </c>
      <c r="CH45" s="366">
        <v>100</v>
      </c>
      <c r="CI45" s="366">
        <v>100</v>
      </c>
    </row>
    <row r="46" spans="1:87">
      <c r="A46" s="366" t="s">
        <v>1457</v>
      </c>
      <c r="B46" s="366" t="s">
        <v>1231</v>
      </c>
      <c r="C46" s="366" t="s">
        <v>1478</v>
      </c>
      <c r="D46" s="366" t="s">
        <v>1238</v>
      </c>
      <c r="E46" s="366" t="s">
        <v>1235</v>
      </c>
      <c r="F46" s="366" t="s">
        <v>1235</v>
      </c>
      <c r="G46" s="366" t="s">
        <v>1234</v>
      </c>
      <c r="H46" s="366">
        <v>593693069.88</v>
      </c>
      <c r="I46" s="366">
        <v>1362756.54</v>
      </c>
      <c r="J46" s="366">
        <v>18831026.43</v>
      </c>
      <c r="K46" s="366">
        <v>1364045.94</v>
      </c>
      <c r="L46" s="366">
        <v>607371546.53999996</v>
      </c>
      <c r="M46" s="366">
        <v>1394153.97</v>
      </c>
      <c r="N46" s="366">
        <v>19255375.550000001</v>
      </c>
      <c r="O46" s="366">
        <v>1395473.07</v>
      </c>
      <c r="P46" s="366">
        <v>618701473.75</v>
      </c>
      <c r="Q46" s="366">
        <v>1421051.56</v>
      </c>
      <c r="R46" s="366">
        <v>19604877.48</v>
      </c>
      <c r="S46" s="366">
        <v>1421812.26</v>
      </c>
      <c r="T46" s="366">
        <v>592294563.60000002</v>
      </c>
      <c r="U46" s="366">
        <v>1359972.91</v>
      </c>
      <c r="V46" s="366">
        <v>18758843.219999999</v>
      </c>
      <c r="W46" s="366">
        <v>1360980.21</v>
      </c>
      <c r="X46" s="366">
        <v>542241514.98000002</v>
      </c>
      <c r="Y46" s="366">
        <v>1244655.21</v>
      </c>
      <c r="Z46" s="366">
        <v>17165098.16</v>
      </c>
      <c r="AA46" s="366">
        <v>1245832.8700000001</v>
      </c>
      <c r="AB46" s="366">
        <v>594082417.63999999</v>
      </c>
      <c r="AC46" s="366">
        <v>1363222.47</v>
      </c>
      <c r="AD46" s="366">
        <v>18796934.739999998</v>
      </c>
      <c r="AE46" s="366">
        <v>1364792.63</v>
      </c>
      <c r="AF46" s="366">
        <v>592530666.75999999</v>
      </c>
      <c r="AG46" s="366">
        <v>1359235.06</v>
      </c>
      <c r="AH46" s="366">
        <v>18738684.210000001</v>
      </c>
      <c r="AI46" s="366">
        <v>1361080.29</v>
      </c>
      <c r="AJ46" s="366">
        <v>581418892.15999997</v>
      </c>
      <c r="AK46" s="366">
        <v>1333326.57</v>
      </c>
      <c r="AL46" s="366">
        <v>18378295.120000001</v>
      </c>
      <c r="AM46" s="366">
        <v>1335411.1299999999</v>
      </c>
      <c r="AN46" s="366">
        <v>583491345.84000003</v>
      </c>
      <c r="AO46" s="366">
        <v>1337659.03</v>
      </c>
      <c r="AP46" s="366">
        <v>18434791.030000001</v>
      </c>
      <c r="AQ46" s="366">
        <v>1340025.94</v>
      </c>
      <c r="AR46" s="366">
        <v>567604819.92999995</v>
      </c>
      <c r="AS46" s="366">
        <v>1300831.01</v>
      </c>
      <c r="AT46" s="366">
        <v>17924105.399999999</v>
      </c>
      <c r="AU46" s="366">
        <v>1303400.9099999999</v>
      </c>
      <c r="AV46" s="366">
        <v>581505836.88999999</v>
      </c>
      <c r="AW46" s="366">
        <v>1332269.8</v>
      </c>
      <c r="AX46" s="366">
        <v>18354096.18</v>
      </c>
      <c r="AY46" s="366">
        <v>1335176.6100000001</v>
      </c>
      <c r="AZ46" s="366">
        <v>580303708.66999996</v>
      </c>
      <c r="BA46" s="366">
        <v>1312176.6100000001</v>
      </c>
      <c r="BB46" s="366">
        <v>18314755.920000002</v>
      </c>
      <c r="BC46" s="366">
        <v>1315313.51</v>
      </c>
      <c r="BD46" s="366">
        <v>575277507.45000005</v>
      </c>
      <c r="BE46" s="366">
        <v>1317814.6100000001</v>
      </c>
      <c r="BF46" s="366">
        <v>18154679.510000002</v>
      </c>
      <c r="BG46" s="366">
        <v>1320690.1200000001</v>
      </c>
      <c r="BH46" s="366">
        <v>585424779.41999996</v>
      </c>
      <c r="BI46" s="366">
        <v>1278874.05</v>
      </c>
      <c r="BJ46" s="366">
        <v>3021894.25</v>
      </c>
      <c r="BK46" s="366">
        <v>1282650.93</v>
      </c>
      <c r="BL46" s="366">
        <v>585776210.25</v>
      </c>
      <c r="BM46" s="366">
        <v>1279566.6399999999</v>
      </c>
      <c r="BN46" s="366">
        <v>18482850.109999999</v>
      </c>
      <c r="BO46" s="366">
        <v>1283345.6000000001</v>
      </c>
      <c r="BP46" s="366">
        <v>535183019.85000002</v>
      </c>
      <c r="BQ46" s="366">
        <v>1155371.3999999999</v>
      </c>
      <c r="BR46" s="366">
        <v>16884955.760000002</v>
      </c>
      <c r="BS46" s="366">
        <v>1172431.6499999999</v>
      </c>
      <c r="BT46" s="366">
        <v>569543192</v>
      </c>
      <c r="BU46" s="366">
        <v>1215003.21</v>
      </c>
      <c r="BV46" s="366">
        <v>17967296.73</v>
      </c>
      <c r="BW46" s="366">
        <v>1247624.51</v>
      </c>
      <c r="BX46" s="366">
        <v>573044386.48000002</v>
      </c>
      <c r="BY46" s="366">
        <v>1210275.3799999999</v>
      </c>
      <c r="BZ46" s="366">
        <v>18075934.300000001</v>
      </c>
      <c r="CA46" s="366">
        <v>1214537.56</v>
      </c>
      <c r="CB46" s="366">
        <v>470515589.18000001</v>
      </c>
      <c r="CC46" s="366">
        <v>990392.05</v>
      </c>
      <c r="CD46" s="366">
        <v>14759145.08</v>
      </c>
      <c r="CE46" s="366">
        <v>993875.61</v>
      </c>
      <c r="CF46" s="366">
        <v>-20.747670294500399</v>
      </c>
      <c r="CG46" s="366">
        <v>-27.3243590524247</v>
      </c>
      <c r="CH46" s="366">
        <v>-21.623257580441901</v>
      </c>
      <c r="CI46" s="366">
        <v>-27.1376732370172</v>
      </c>
    </row>
    <row r="47" spans="1:87">
      <c r="A47" s="366" t="s">
        <v>1457</v>
      </c>
      <c r="B47" s="366" t="s">
        <v>1231</v>
      </c>
      <c r="C47" s="366" t="s">
        <v>1478</v>
      </c>
      <c r="D47" s="366" t="s">
        <v>1238</v>
      </c>
      <c r="E47" s="366" t="s">
        <v>1233</v>
      </c>
      <c r="F47" s="366" t="s">
        <v>637</v>
      </c>
      <c r="G47" s="366" t="s">
        <v>1234</v>
      </c>
      <c r="H47" s="366">
        <v>0</v>
      </c>
      <c r="I47" s="366">
        <v>0</v>
      </c>
      <c r="J47" s="366">
        <v>0</v>
      </c>
      <c r="K47" s="366">
        <v>0</v>
      </c>
      <c r="L47" s="366">
        <v>0</v>
      </c>
      <c r="M47" s="366">
        <v>0</v>
      </c>
      <c r="N47" s="366">
        <v>0</v>
      </c>
      <c r="O47" s="366">
        <v>0</v>
      </c>
      <c r="P47" s="366">
        <v>0</v>
      </c>
      <c r="Q47" s="366">
        <v>0</v>
      </c>
      <c r="R47" s="366">
        <v>0</v>
      </c>
      <c r="S47" s="366">
        <v>0</v>
      </c>
      <c r="T47" s="366">
        <v>0</v>
      </c>
      <c r="U47" s="366">
        <v>0</v>
      </c>
      <c r="V47" s="366">
        <v>0</v>
      </c>
      <c r="W47" s="366">
        <v>0</v>
      </c>
      <c r="X47" s="366">
        <v>0</v>
      </c>
      <c r="Y47" s="366">
        <v>0</v>
      </c>
      <c r="Z47" s="366">
        <v>0</v>
      </c>
      <c r="AA47" s="366">
        <v>0</v>
      </c>
      <c r="AB47" s="366">
        <v>0</v>
      </c>
      <c r="AC47" s="366">
        <v>0</v>
      </c>
      <c r="AD47" s="366">
        <v>0</v>
      </c>
      <c r="AE47" s="366">
        <v>0</v>
      </c>
      <c r="AF47" s="366">
        <v>0</v>
      </c>
      <c r="AG47" s="366">
        <v>0</v>
      </c>
      <c r="AH47" s="366">
        <v>0</v>
      </c>
      <c r="AI47" s="366">
        <v>0</v>
      </c>
      <c r="AJ47" s="366">
        <v>0</v>
      </c>
      <c r="AK47" s="366">
        <v>0</v>
      </c>
      <c r="AL47" s="366">
        <v>0</v>
      </c>
      <c r="AM47" s="366">
        <v>0</v>
      </c>
      <c r="AN47" s="366">
        <v>0</v>
      </c>
      <c r="AO47" s="366">
        <v>0</v>
      </c>
      <c r="AP47" s="366">
        <v>0</v>
      </c>
      <c r="AQ47" s="366">
        <v>0</v>
      </c>
      <c r="AR47" s="366">
        <v>0</v>
      </c>
      <c r="AS47" s="366">
        <v>0</v>
      </c>
      <c r="AT47" s="366">
        <v>0</v>
      </c>
      <c r="AU47" s="366">
        <v>0</v>
      </c>
      <c r="AV47" s="366">
        <v>0</v>
      </c>
      <c r="AW47" s="366">
        <v>0</v>
      </c>
      <c r="AX47" s="366">
        <v>0</v>
      </c>
      <c r="AY47" s="366">
        <v>0</v>
      </c>
      <c r="AZ47" s="366">
        <v>644655.11</v>
      </c>
      <c r="BA47" s="366">
        <v>1210.04</v>
      </c>
      <c r="BB47" s="366">
        <v>23623.19</v>
      </c>
      <c r="BC47" s="366">
        <v>1294.8699999999999</v>
      </c>
      <c r="BD47" s="366">
        <v>1306198.98</v>
      </c>
      <c r="BE47" s="366">
        <v>2423.44</v>
      </c>
      <c r="BF47" s="366">
        <v>47865.27</v>
      </c>
      <c r="BG47" s="366">
        <v>2431.7600000000002</v>
      </c>
      <c r="BH47" s="366">
        <v>2038686.31</v>
      </c>
      <c r="BI47" s="366">
        <v>3940.4</v>
      </c>
      <c r="BJ47" s="366">
        <v>0</v>
      </c>
      <c r="BK47" s="366">
        <v>4865.17</v>
      </c>
      <c r="BL47" s="366">
        <v>2782465.5</v>
      </c>
      <c r="BM47" s="366">
        <v>5377.98</v>
      </c>
      <c r="BN47" s="366">
        <v>101962.61</v>
      </c>
      <c r="BO47" s="366">
        <v>6640.14</v>
      </c>
      <c r="BP47" s="366">
        <v>3252536.62</v>
      </c>
      <c r="BQ47" s="366">
        <v>6347.02</v>
      </c>
      <c r="BR47" s="366">
        <v>119188.22</v>
      </c>
      <c r="BS47" s="366">
        <v>7761.93</v>
      </c>
      <c r="BT47" s="366">
        <v>4253843.88</v>
      </c>
      <c r="BU47" s="366">
        <v>8380.08</v>
      </c>
      <c r="BV47" s="366">
        <v>155880.82999999999</v>
      </c>
      <c r="BW47" s="366">
        <v>10151.469999999999</v>
      </c>
      <c r="BX47" s="366">
        <v>5116784.32</v>
      </c>
      <c r="BY47" s="366">
        <v>0</v>
      </c>
      <c r="BZ47" s="366">
        <v>0</v>
      </c>
      <c r="CA47" s="366">
        <v>0</v>
      </c>
      <c r="CB47" s="366">
        <v>4977564.3099999996</v>
      </c>
      <c r="CC47" s="366">
        <v>0</v>
      </c>
      <c r="CD47" s="366">
        <v>0</v>
      </c>
      <c r="CE47" s="366">
        <v>0</v>
      </c>
      <c r="CF47" s="366">
        <v>100</v>
      </c>
      <c r="CG47" s="366">
        <v>0</v>
      </c>
      <c r="CH47" s="366">
        <v>0</v>
      </c>
      <c r="CI47" s="366">
        <v>0</v>
      </c>
    </row>
    <row r="48" spans="1:87">
      <c r="A48" s="366" t="s">
        <v>1457</v>
      </c>
      <c r="B48" s="366" t="s">
        <v>1231</v>
      </c>
      <c r="C48" s="366" t="s">
        <v>1478</v>
      </c>
      <c r="D48" s="366" t="s">
        <v>1238</v>
      </c>
      <c r="E48" s="366" t="s">
        <v>636</v>
      </c>
      <c r="F48" s="366" t="s">
        <v>636</v>
      </c>
      <c r="G48" s="366" t="s">
        <v>1234</v>
      </c>
      <c r="H48" s="366">
        <v>0</v>
      </c>
      <c r="I48" s="366">
        <v>0</v>
      </c>
      <c r="J48" s="366">
        <v>0</v>
      </c>
      <c r="K48" s="366">
        <v>0</v>
      </c>
      <c r="L48" s="366">
        <v>0</v>
      </c>
      <c r="M48" s="366">
        <v>0</v>
      </c>
      <c r="N48" s="366">
        <v>0</v>
      </c>
      <c r="O48" s="366">
        <v>0</v>
      </c>
      <c r="P48" s="366">
        <v>0</v>
      </c>
      <c r="Q48" s="366">
        <v>0</v>
      </c>
      <c r="R48" s="366">
        <v>0</v>
      </c>
      <c r="S48" s="366">
        <v>0</v>
      </c>
      <c r="T48" s="366">
        <v>0</v>
      </c>
      <c r="U48" s="366">
        <v>0</v>
      </c>
      <c r="V48" s="366">
        <v>0</v>
      </c>
      <c r="W48" s="366">
        <v>0</v>
      </c>
      <c r="X48" s="366">
        <v>0</v>
      </c>
      <c r="Y48" s="366">
        <v>0</v>
      </c>
      <c r="Z48" s="366">
        <v>0</v>
      </c>
      <c r="AA48" s="366">
        <v>0</v>
      </c>
      <c r="AB48" s="366">
        <v>0</v>
      </c>
      <c r="AC48" s="366">
        <v>0</v>
      </c>
      <c r="AD48" s="366">
        <v>0</v>
      </c>
      <c r="AE48" s="366">
        <v>0</v>
      </c>
      <c r="AF48" s="366">
        <v>0</v>
      </c>
      <c r="AG48" s="366">
        <v>0</v>
      </c>
      <c r="AH48" s="366">
        <v>0</v>
      </c>
      <c r="AI48" s="366">
        <v>0</v>
      </c>
      <c r="AJ48" s="366">
        <v>0</v>
      </c>
      <c r="AK48" s="366">
        <v>0</v>
      </c>
      <c r="AL48" s="366">
        <v>0</v>
      </c>
      <c r="AM48" s="366">
        <v>0</v>
      </c>
      <c r="AN48" s="366">
        <v>0</v>
      </c>
      <c r="AO48" s="366">
        <v>0</v>
      </c>
      <c r="AP48" s="366">
        <v>0</v>
      </c>
      <c r="AQ48" s="366">
        <v>0</v>
      </c>
      <c r="AR48" s="366">
        <v>0</v>
      </c>
      <c r="AS48" s="366">
        <v>0</v>
      </c>
      <c r="AT48" s="366">
        <v>0</v>
      </c>
      <c r="AU48" s="366">
        <v>0</v>
      </c>
      <c r="AV48" s="366">
        <v>0</v>
      </c>
      <c r="AW48" s="366">
        <v>0</v>
      </c>
      <c r="AX48" s="366">
        <v>0</v>
      </c>
      <c r="AY48" s="366">
        <v>0</v>
      </c>
      <c r="AZ48" s="366">
        <v>0</v>
      </c>
      <c r="BA48" s="366">
        <v>0</v>
      </c>
      <c r="BB48" s="366">
        <v>0</v>
      </c>
      <c r="BC48" s="366">
        <v>0</v>
      </c>
      <c r="BD48" s="366">
        <v>0</v>
      </c>
      <c r="BE48" s="366">
        <v>0</v>
      </c>
      <c r="BF48" s="366">
        <v>0</v>
      </c>
      <c r="BG48" s="366">
        <v>0</v>
      </c>
      <c r="BH48" s="366">
        <v>679590.47</v>
      </c>
      <c r="BI48" s="366">
        <v>440.37</v>
      </c>
      <c r="BJ48" s="366">
        <v>13232.95</v>
      </c>
      <c r="BK48" s="366">
        <v>440.83</v>
      </c>
      <c r="BL48" s="366">
        <v>927510.28</v>
      </c>
      <c r="BM48" s="366">
        <v>601.02</v>
      </c>
      <c r="BN48" s="366">
        <v>18060.43</v>
      </c>
      <c r="BO48" s="366">
        <v>601.64</v>
      </c>
      <c r="BP48" s="366">
        <v>1084192.45</v>
      </c>
      <c r="BQ48" s="366">
        <v>765.49</v>
      </c>
      <c r="BR48" s="366">
        <v>21111.33</v>
      </c>
      <c r="BS48" s="366">
        <v>703.28</v>
      </c>
      <c r="BT48" s="366">
        <v>1417955.36</v>
      </c>
      <c r="BU48" s="366">
        <v>1072.08</v>
      </c>
      <c r="BV48" s="366">
        <v>27610.35</v>
      </c>
      <c r="BW48" s="366">
        <v>919.78</v>
      </c>
      <c r="BX48" s="366">
        <v>1705594.77</v>
      </c>
      <c r="BY48" s="366">
        <v>0</v>
      </c>
      <c r="BZ48" s="366">
        <v>0</v>
      </c>
      <c r="CA48" s="366">
        <v>0</v>
      </c>
      <c r="CB48" s="366">
        <v>1894752.86</v>
      </c>
      <c r="CC48" s="366">
        <v>195</v>
      </c>
      <c r="CD48" s="366">
        <v>4586.8999999999996</v>
      </c>
      <c r="CE48" s="366">
        <v>195.19</v>
      </c>
      <c r="CF48" s="366">
        <v>100</v>
      </c>
      <c r="CG48" s="366">
        <v>100</v>
      </c>
      <c r="CH48" s="366">
        <v>100</v>
      </c>
      <c r="CI48" s="366">
        <v>100</v>
      </c>
    </row>
    <row r="49" spans="1:87">
      <c r="A49" s="366" t="s">
        <v>1457</v>
      </c>
      <c r="B49" s="366" t="s">
        <v>1231</v>
      </c>
      <c r="C49" s="366" t="s">
        <v>1478</v>
      </c>
      <c r="D49" s="366" t="s">
        <v>1238</v>
      </c>
      <c r="E49" s="366" t="s">
        <v>1134</v>
      </c>
      <c r="F49" s="366" t="s">
        <v>1134</v>
      </c>
      <c r="G49" s="366" t="s">
        <v>1234</v>
      </c>
      <c r="H49" s="366">
        <v>0</v>
      </c>
      <c r="I49" s="366">
        <v>0</v>
      </c>
      <c r="J49" s="366">
        <v>0</v>
      </c>
      <c r="K49" s="366">
        <v>0</v>
      </c>
      <c r="L49" s="366">
        <v>0</v>
      </c>
      <c r="M49" s="366">
        <v>0</v>
      </c>
      <c r="N49" s="366">
        <v>0</v>
      </c>
      <c r="O49" s="366">
        <v>0</v>
      </c>
      <c r="P49" s="366">
        <v>0</v>
      </c>
      <c r="Q49" s="366">
        <v>0</v>
      </c>
      <c r="R49" s="366">
        <v>0</v>
      </c>
      <c r="S49" s="366">
        <v>0</v>
      </c>
      <c r="T49" s="366">
        <v>0</v>
      </c>
      <c r="U49" s="366">
        <v>0</v>
      </c>
      <c r="V49" s="366">
        <v>0</v>
      </c>
      <c r="W49" s="366">
        <v>0</v>
      </c>
      <c r="X49" s="366">
        <v>0</v>
      </c>
      <c r="Y49" s="366">
        <v>0</v>
      </c>
      <c r="Z49" s="366">
        <v>0</v>
      </c>
      <c r="AA49" s="366">
        <v>0</v>
      </c>
      <c r="AB49" s="366">
        <v>0</v>
      </c>
      <c r="AC49" s="366">
        <v>0</v>
      </c>
      <c r="AD49" s="366">
        <v>0</v>
      </c>
      <c r="AE49" s="366">
        <v>0</v>
      </c>
      <c r="AF49" s="366">
        <v>0</v>
      </c>
      <c r="AG49" s="366">
        <v>0</v>
      </c>
      <c r="AH49" s="366">
        <v>0</v>
      </c>
      <c r="AI49" s="366">
        <v>0</v>
      </c>
      <c r="AJ49" s="366">
        <v>0</v>
      </c>
      <c r="AK49" s="366">
        <v>0</v>
      </c>
      <c r="AL49" s="366">
        <v>0</v>
      </c>
      <c r="AM49" s="366">
        <v>0</v>
      </c>
      <c r="AN49" s="366">
        <v>0</v>
      </c>
      <c r="AO49" s="366">
        <v>0</v>
      </c>
      <c r="AP49" s="366">
        <v>0</v>
      </c>
      <c r="AQ49" s="366">
        <v>0</v>
      </c>
      <c r="AR49" s="366">
        <v>0</v>
      </c>
      <c r="AS49" s="366">
        <v>0</v>
      </c>
      <c r="AT49" s="366">
        <v>0</v>
      </c>
      <c r="AU49" s="366">
        <v>0</v>
      </c>
      <c r="AV49" s="366">
        <v>0</v>
      </c>
      <c r="AW49" s="366">
        <v>0</v>
      </c>
      <c r="AX49" s="366">
        <v>0</v>
      </c>
      <c r="AY49" s="366">
        <v>0</v>
      </c>
      <c r="AZ49" s="366">
        <v>0</v>
      </c>
      <c r="BA49" s="366">
        <v>0</v>
      </c>
      <c r="BB49" s="366">
        <v>0</v>
      </c>
      <c r="BC49" s="366">
        <v>0</v>
      </c>
      <c r="BD49" s="366">
        <v>0</v>
      </c>
      <c r="BE49" s="366">
        <v>0</v>
      </c>
      <c r="BF49" s="366">
        <v>0</v>
      </c>
      <c r="BG49" s="366">
        <v>0</v>
      </c>
      <c r="BH49" s="366">
        <v>0</v>
      </c>
      <c r="BI49" s="366">
        <v>0</v>
      </c>
      <c r="BJ49" s="366">
        <v>0</v>
      </c>
      <c r="BK49" s="366">
        <v>0</v>
      </c>
      <c r="BL49" s="366">
        <v>0</v>
      </c>
      <c r="BM49" s="366">
        <v>0</v>
      </c>
      <c r="BN49" s="366">
        <v>0</v>
      </c>
      <c r="BO49" s="366">
        <v>0</v>
      </c>
      <c r="BP49" s="366">
        <v>0</v>
      </c>
      <c r="BQ49" s="366">
        <v>0</v>
      </c>
      <c r="BR49" s="366">
        <v>0</v>
      </c>
      <c r="BS49" s="366">
        <v>0</v>
      </c>
      <c r="BT49" s="366">
        <v>0</v>
      </c>
      <c r="BU49" s="366">
        <v>0</v>
      </c>
      <c r="BV49" s="366">
        <v>0</v>
      </c>
      <c r="BW49" s="366">
        <v>0</v>
      </c>
      <c r="BX49" s="366">
        <v>0</v>
      </c>
      <c r="BY49" s="366">
        <v>0</v>
      </c>
      <c r="BZ49" s="366">
        <v>0</v>
      </c>
      <c r="CA49" s="366">
        <v>0</v>
      </c>
      <c r="CB49" s="366">
        <v>86727091.159999996</v>
      </c>
      <c r="CC49" s="366">
        <v>355.75</v>
      </c>
      <c r="CD49" s="366">
        <v>2731437.82</v>
      </c>
      <c r="CE49" s="366">
        <v>422.53</v>
      </c>
      <c r="CF49" s="366">
        <v>100</v>
      </c>
      <c r="CG49" s="366">
        <v>100</v>
      </c>
      <c r="CH49" s="366">
        <v>100</v>
      </c>
      <c r="CI49" s="366">
        <v>100</v>
      </c>
    </row>
    <row r="50" spans="1:87">
      <c r="A50" s="366" t="s">
        <v>1457</v>
      </c>
      <c r="B50" s="366" t="s">
        <v>1231</v>
      </c>
      <c r="C50" s="366" t="s">
        <v>1479</v>
      </c>
      <c r="D50" s="366" t="s">
        <v>1239</v>
      </c>
      <c r="E50" s="366" t="s">
        <v>1235</v>
      </c>
      <c r="F50" s="366" t="s">
        <v>1235</v>
      </c>
      <c r="G50" s="366" t="s">
        <v>1234</v>
      </c>
      <c r="H50" s="366">
        <v>38600985.119999997</v>
      </c>
      <c r="I50" s="366">
        <v>61694.52</v>
      </c>
      <c r="J50" s="366">
        <v>941745.16</v>
      </c>
      <c r="K50" s="366">
        <v>61743.4</v>
      </c>
      <c r="L50" s="366">
        <v>38741310.93</v>
      </c>
      <c r="M50" s="366">
        <v>61918.8</v>
      </c>
      <c r="N50" s="366">
        <v>944295.49</v>
      </c>
      <c r="O50" s="366">
        <v>61967.85</v>
      </c>
      <c r="P50" s="366">
        <v>38882146.859999999</v>
      </c>
      <c r="Q50" s="366">
        <v>62248.39</v>
      </c>
      <c r="R50" s="366">
        <v>946851.91</v>
      </c>
      <c r="S50" s="366">
        <v>62275.45</v>
      </c>
      <c r="T50" s="366">
        <v>39023494.780000001</v>
      </c>
      <c r="U50" s="366">
        <v>62422.239999999998</v>
      </c>
      <c r="V50" s="366">
        <v>949414.44</v>
      </c>
      <c r="W50" s="366">
        <v>62460.53</v>
      </c>
      <c r="X50" s="366">
        <v>39165356.539999999</v>
      </c>
      <c r="Y50" s="366">
        <v>62596.54</v>
      </c>
      <c r="Z50" s="366">
        <v>951983.09</v>
      </c>
      <c r="AA50" s="366">
        <v>62646.13</v>
      </c>
      <c r="AB50" s="366">
        <v>39307734</v>
      </c>
      <c r="AC50" s="366">
        <v>62771.28</v>
      </c>
      <c r="AD50" s="366">
        <v>954557.87</v>
      </c>
      <c r="AE50" s="366">
        <v>62832.25</v>
      </c>
      <c r="AF50" s="366">
        <v>39450421.07</v>
      </c>
      <c r="AG50" s="366">
        <v>62946.13</v>
      </c>
      <c r="AH50" s="366">
        <v>957133.74</v>
      </c>
      <c r="AI50" s="366">
        <v>63018.57</v>
      </c>
      <c r="AJ50" s="366">
        <v>39593041.469999999</v>
      </c>
      <c r="AK50" s="366">
        <v>63120.49</v>
      </c>
      <c r="AL50" s="366">
        <v>959701.56</v>
      </c>
      <c r="AM50" s="366">
        <v>63204.480000000003</v>
      </c>
      <c r="AN50" s="366">
        <v>39735661.869999997</v>
      </c>
      <c r="AO50" s="366">
        <v>63294.46</v>
      </c>
      <c r="AP50" s="366">
        <v>962262.96</v>
      </c>
      <c r="AQ50" s="366">
        <v>63390.080000000002</v>
      </c>
      <c r="AR50" s="366">
        <v>39875942.149999999</v>
      </c>
      <c r="AS50" s="366">
        <v>63464.12</v>
      </c>
      <c r="AT50" s="366">
        <v>964761.31</v>
      </c>
      <c r="AU50" s="366">
        <v>63571.44</v>
      </c>
      <c r="AV50" s="366">
        <v>40020902.659999996</v>
      </c>
      <c r="AW50" s="366">
        <v>63641.27</v>
      </c>
      <c r="AX50" s="366">
        <v>967366.46</v>
      </c>
      <c r="AY50" s="366">
        <v>63760.39</v>
      </c>
      <c r="AZ50" s="366">
        <v>39815717.619999997</v>
      </c>
      <c r="BA50" s="366">
        <v>64614.65</v>
      </c>
      <c r="BB50" s="366">
        <v>962406.82</v>
      </c>
      <c r="BC50" s="366">
        <v>64725.78</v>
      </c>
      <c r="BD50" s="366">
        <v>39633563.130000003</v>
      </c>
      <c r="BE50" s="366">
        <v>63016.4</v>
      </c>
      <c r="BF50" s="366">
        <v>957868.42</v>
      </c>
      <c r="BG50" s="366">
        <v>63134.35</v>
      </c>
      <c r="BH50" s="366">
        <v>39437514.729999997</v>
      </c>
      <c r="BI50" s="366">
        <v>67302.55</v>
      </c>
      <c r="BJ50" s="366">
        <v>953061.27</v>
      </c>
      <c r="BK50" s="366">
        <v>67393.789999999994</v>
      </c>
      <c r="BL50" s="366">
        <v>39239869.960000001</v>
      </c>
      <c r="BM50" s="366">
        <v>66962.3</v>
      </c>
      <c r="BN50" s="366">
        <v>948215.12</v>
      </c>
      <c r="BO50" s="366">
        <v>67053.08</v>
      </c>
      <c r="BP50" s="366">
        <v>39040620.799999997</v>
      </c>
      <c r="BQ50" s="366">
        <v>67713.56</v>
      </c>
      <c r="BR50" s="366">
        <v>943329.75</v>
      </c>
      <c r="BS50" s="366">
        <v>66709.62</v>
      </c>
      <c r="BT50" s="366">
        <v>38839759.200000003</v>
      </c>
      <c r="BU50" s="366">
        <v>68451.59</v>
      </c>
      <c r="BV50" s="366">
        <v>938404.99</v>
      </c>
      <c r="BW50" s="366">
        <v>66363.38</v>
      </c>
      <c r="BX50" s="366">
        <v>38637277.07</v>
      </c>
      <c r="BY50" s="366">
        <v>68995.63</v>
      </c>
      <c r="BZ50" s="366">
        <v>933440.63</v>
      </c>
      <c r="CA50" s="366">
        <v>69067.62</v>
      </c>
      <c r="CB50" s="366">
        <v>38808980.890000001</v>
      </c>
      <c r="CC50" s="366">
        <v>69301.75</v>
      </c>
      <c r="CD50" s="366">
        <v>937570.15</v>
      </c>
      <c r="CE50" s="366">
        <v>69374.06</v>
      </c>
      <c r="CF50" s="366">
        <v>0.538835393328437</v>
      </c>
      <c r="CG50" s="366">
        <v>12.3304792710925</v>
      </c>
      <c r="CH50" s="366">
        <v>-0.44332693995475497</v>
      </c>
      <c r="CI50" s="366">
        <v>12.3586650556983</v>
      </c>
    </row>
    <row r="51" spans="1:87">
      <c r="A51" s="366" t="s">
        <v>1457</v>
      </c>
      <c r="B51" s="366" t="s">
        <v>1231</v>
      </c>
      <c r="C51" s="366" t="s">
        <v>1479</v>
      </c>
      <c r="D51" s="366" t="s">
        <v>1239</v>
      </c>
      <c r="E51" s="366" t="s">
        <v>1233</v>
      </c>
      <c r="F51" s="366" t="s">
        <v>637</v>
      </c>
      <c r="G51" s="366" t="s">
        <v>1234</v>
      </c>
      <c r="H51" s="366">
        <v>0</v>
      </c>
      <c r="I51" s="366">
        <v>0</v>
      </c>
      <c r="J51" s="366">
        <v>0</v>
      </c>
      <c r="K51" s="366">
        <v>0</v>
      </c>
      <c r="L51" s="366">
        <v>0</v>
      </c>
      <c r="M51" s="366">
        <v>0</v>
      </c>
      <c r="N51" s="366">
        <v>0</v>
      </c>
      <c r="O51" s="366">
        <v>0</v>
      </c>
      <c r="P51" s="366">
        <v>0</v>
      </c>
      <c r="Q51" s="366">
        <v>0</v>
      </c>
      <c r="R51" s="366">
        <v>0</v>
      </c>
      <c r="S51" s="366">
        <v>0</v>
      </c>
      <c r="T51" s="366">
        <v>0</v>
      </c>
      <c r="U51" s="366">
        <v>0</v>
      </c>
      <c r="V51" s="366">
        <v>0</v>
      </c>
      <c r="W51" s="366">
        <v>0</v>
      </c>
      <c r="X51" s="366">
        <v>0</v>
      </c>
      <c r="Y51" s="366">
        <v>0</v>
      </c>
      <c r="Z51" s="366">
        <v>0</v>
      </c>
      <c r="AA51" s="366">
        <v>0</v>
      </c>
      <c r="AB51" s="366">
        <v>0</v>
      </c>
      <c r="AC51" s="366">
        <v>0</v>
      </c>
      <c r="AD51" s="366">
        <v>0</v>
      </c>
      <c r="AE51" s="366">
        <v>0</v>
      </c>
      <c r="AF51" s="366">
        <v>0</v>
      </c>
      <c r="AG51" s="366">
        <v>0</v>
      </c>
      <c r="AH51" s="366">
        <v>0</v>
      </c>
      <c r="AI51" s="366">
        <v>0</v>
      </c>
      <c r="AJ51" s="366">
        <v>0</v>
      </c>
      <c r="AK51" s="366">
        <v>0</v>
      </c>
      <c r="AL51" s="366">
        <v>0</v>
      </c>
      <c r="AM51" s="366">
        <v>0</v>
      </c>
      <c r="AN51" s="366">
        <v>0</v>
      </c>
      <c r="AO51" s="366">
        <v>0</v>
      </c>
      <c r="AP51" s="366">
        <v>0</v>
      </c>
      <c r="AQ51" s="366">
        <v>0</v>
      </c>
      <c r="AR51" s="366">
        <v>0</v>
      </c>
      <c r="AS51" s="366">
        <v>0</v>
      </c>
      <c r="AT51" s="366">
        <v>0</v>
      </c>
      <c r="AU51" s="366">
        <v>0</v>
      </c>
      <c r="AV51" s="366">
        <v>0</v>
      </c>
      <c r="AW51" s="366">
        <v>0</v>
      </c>
      <c r="AX51" s="366">
        <v>0</v>
      </c>
      <c r="AY51" s="366">
        <v>0</v>
      </c>
      <c r="AZ51" s="366">
        <v>33840.129999999997</v>
      </c>
      <c r="BA51" s="366">
        <v>57.4</v>
      </c>
      <c r="BB51" s="366">
        <v>983.32</v>
      </c>
      <c r="BC51" s="366">
        <v>68.33</v>
      </c>
      <c r="BD51" s="366">
        <v>67890.070000000007</v>
      </c>
      <c r="BE51" s="366">
        <v>103.59</v>
      </c>
      <c r="BF51" s="366">
        <v>1972.73</v>
      </c>
      <c r="BG51" s="366">
        <v>109.72</v>
      </c>
      <c r="BH51" s="366">
        <v>132671.73000000001</v>
      </c>
      <c r="BI51" s="366">
        <v>283.11</v>
      </c>
      <c r="BJ51" s="366">
        <v>3855.14</v>
      </c>
      <c r="BK51" s="366">
        <v>405.34</v>
      </c>
      <c r="BL51" s="366">
        <v>177444.02</v>
      </c>
      <c r="BM51" s="366">
        <v>378.66</v>
      </c>
      <c r="BN51" s="366">
        <v>5156.12</v>
      </c>
      <c r="BO51" s="366">
        <v>542.14</v>
      </c>
      <c r="BP51" s="366">
        <v>222492.62</v>
      </c>
      <c r="BQ51" s="366">
        <v>507.26</v>
      </c>
      <c r="BR51" s="366">
        <v>6465.13</v>
      </c>
      <c r="BS51" s="366">
        <v>679.77</v>
      </c>
      <c r="BT51" s="366">
        <v>267818.82</v>
      </c>
      <c r="BU51" s="366">
        <v>649.67999999999995</v>
      </c>
      <c r="BV51" s="366">
        <v>7782.2</v>
      </c>
      <c r="BW51" s="366">
        <v>818.25</v>
      </c>
      <c r="BX51" s="366">
        <v>313423.90000000002</v>
      </c>
      <c r="BY51" s="366">
        <v>798.43</v>
      </c>
      <c r="BZ51" s="366">
        <v>9107.3799999999992</v>
      </c>
      <c r="CA51" s="366">
        <v>1264.31</v>
      </c>
      <c r="CB51" s="366">
        <v>262467.25</v>
      </c>
      <c r="CC51" s="366">
        <v>668.62</v>
      </c>
      <c r="CD51" s="366">
        <v>7626.7</v>
      </c>
      <c r="CE51" s="366">
        <v>1058.76</v>
      </c>
      <c r="CF51" s="366">
        <v>100</v>
      </c>
      <c r="CG51" s="366">
        <v>100</v>
      </c>
      <c r="CH51" s="366">
        <v>100</v>
      </c>
      <c r="CI51" s="366">
        <v>100</v>
      </c>
    </row>
    <row r="52" spans="1:87">
      <c r="A52" s="366" t="s">
        <v>1457</v>
      </c>
      <c r="B52" s="366" t="s">
        <v>1231</v>
      </c>
      <c r="C52" s="366" t="s">
        <v>1479</v>
      </c>
      <c r="D52" s="366" t="s">
        <v>1239</v>
      </c>
      <c r="E52" s="366" t="s">
        <v>1236</v>
      </c>
      <c r="F52" s="366" t="s">
        <v>1236</v>
      </c>
      <c r="G52" s="366" t="s">
        <v>1234</v>
      </c>
      <c r="H52" s="366">
        <v>0</v>
      </c>
      <c r="I52" s="366">
        <v>0</v>
      </c>
      <c r="J52" s="366">
        <v>0</v>
      </c>
      <c r="K52" s="366">
        <v>0</v>
      </c>
      <c r="L52" s="366">
        <v>0</v>
      </c>
      <c r="M52" s="366">
        <v>0</v>
      </c>
      <c r="N52" s="366">
        <v>0</v>
      </c>
      <c r="O52" s="366">
        <v>0</v>
      </c>
      <c r="P52" s="366">
        <v>0</v>
      </c>
      <c r="Q52" s="366">
        <v>0</v>
      </c>
      <c r="R52" s="366">
        <v>0</v>
      </c>
      <c r="S52" s="366">
        <v>0</v>
      </c>
      <c r="T52" s="366">
        <v>0</v>
      </c>
      <c r="U52" s="366">
        <v>0</v>
      </c>
      <c r="V52" s="366">
        <v>0</v>
      </c>
      <c r="W52" s="366">
        <v>0</v>
      </c>
      <c r="X52" s="366">
        <v>0</v>
      </c>
      <c r="Y52" s="366">
        <v>0</v>
      </c>
      <c r="Z52" s="366">
        <v>0</v>
      </c>
      <c r="AA52" s="366">
        <v>0</v>
      </c>
      <c r="AB52" s="366">
        <v>0</v>
      </c>
      <c r="AC52" s="366">
        <v>0</v>
      </c>
      <c r="AD52" s="366">
        <v>0</v>
      </c>
      <c r="AE52" s="366">
        <v>0</v>
      </c>
      <c r="AF52" s="366">
        <v>0</v>
      </c>
      <c r="AG52" s="366">
        <v>0</v>
      </c>
      <c r="AH52" s="366">
        <v>0</v>
      </c>
      <c r="AI52" s="366">
        <v>0</v>
      </c>
      <c r="AJ52" s="366">
        <v>0</v>
      </c>
      <c r="AK52" s="366">
        <v>0</v>
      </c>
      <c r="AL52" s="366">
        <v>0</v>
      </c>
      <c r="AM52" s="366">
        <v>0</v>
      </c>
      <c r="AN52" s="366">
        <v>0</v>
      </c>
      <c r="AO52" s="366">
        <v>0</v>
      </c>
      <c r="AP52" s="366">
        <v>0</v>
      </c>
      <c r="AQ52" s="366">
        <v>0</v>
      </c>
      <c r="AR52" s="366">
        <v>0</v>
      </c>
      <c r="AS52" s="366">
        <v>0</v>
      </c>
      <c r="AT52" s="366">
        <v>0</v>
      </c>
      <c r="AU52" s="366">
        <v>0</v>
      </c>
      <c r="AV52" s="366">
        <v>0</v>
      </c>
      <c r="AW52" s="366">
        <v>0</v>
      </c>
      <c r="AX52" s="366">
        <v>0</v>
      </c>
      <c r="AY52" s="366">
        <v>0</v>
      </c>
      <c r="AZ52" s="366">
        <v>272993.34999999998</v>
      </c>
      <c r="BA52" s="366">
        <v>427.83</v>
      </c>
      <c r="BB52" s="366">
        <v>6146.39</v>
      </c>
      <c r="BC52" s="366">
        <v>428.37</v>
      </c>
      <c r="BD52" s="366">
        <v>547679.25</v>
      </c>
      <c r="BE52" s="366">
        <v>869.43</v>
      </c>
      <c r="BF52" s="366">
        <v>12330.89</v>
      </c>
      <c r="BG52" s="366">
        <v>869.65</v>
      </c>
      <c r="BH52" s="366">
        <v>824065.58</v>
      </c>
      <c r="BI52" s="366">
        <v>1248.4100000000001</v>
      </c>
      <c r="BJ52" s="366">
        <v>18553.68</v>
      </c>
      <c r="BK52" s="366">
        <v>1253.4000000000001</v>
      </c>
      <c r="BL52" s="366">
        <v>1102160.25</v>
      </c>
      <c r="BM52" s="366">
        <v>1669.7</v>
      </c>
      <c r="BN52" s="366">
        <v>24814.93</v>
      </c>
      <c r="BO52" s="366">
        <v>1676.38</v>
      </c>
      <c r="BP52" s="366">
        <v>1381971.18</v>
      </c>
      <c r="BQ52" s="366">
        <v>2069.54</v>
      </c>
      <c r="BR52" s="366">
        <v>31114.82</v>
      </c>
      <c r="BS52" s="366">
        <v>2101.98</v>
      </c>
      <c r="BT52" s="366">
        <v>1663506.35</v>
      </c>
      <c r="BU52" s="366">
        <v>2462.1799999999998</v>
      </c>
      <c r="BV52" s="366">
        <v>37453.53</v>
      </c>
      <c r="BW52" s="366">
        <v>2530.19</v>
      </c>
      <c r="BX52" s="366">
        <v>1946773.76</v>
      </c>
      <c r="BY52" s="366">
        <v>2853.2</v>
      </c>
      <c r="BZ52" s="366">
        <v>43831.24</v>
      </c>
      <c r="CA52" s="366">
        <v>2872.51</v>
      </c>
      <c r="CB52" s="366">
        <v>1952808.75</v>
      </c>
      <c r="CC52" s="366">
        <v>2862.04</v>
      </c>
      <c r="CD52" s="366">
        <v>43967.12</v>
      </c>
      <c r="CE52" s="366">
        <v>2881.41</v>
      </c>
      <c r="CF52" s="366">
        <v>100</v>
      </c>
      <c r="CG52" s="366">
        <v>100</v>
      </c>
      <c r="CH52" s="366">
        <v>100</v>
      </c>
      <c r="CI52" s="366">
        <v>100</v>
      </c>
    </row>
    <row r="53" spans="1:87">
      <c r="A53" s="366" t="s">
        <v>1457</v>
      </c>
      <c r="B53" s="366" t="s">
        <v>1231</v>
      </c>
      <c r="C53" s="366" t="s">
        <v>1480</v>
      </c>
      <c r="D53" s="366" t="s">
        <v>1240</v>
      </c>
      <c r="E53" s="366" t="s">
        <v>1236</v>
      </c>
      <c r="F53" s="366" t="s">
        <v>1236</v>
      </c>
      <c r="G53" s="366" t="s">
        <v>1234</v>
      </c>
      <c r="H53" s="366">
        <v>1985823083</v>
      </c>
      <c r="I53" s="366">
        <v>1280453.8400000001</v>
      </c>
      <c r="J53" s="366">
        <v>19787676.370000001</v>
      </c>
      <c r="K53" s="366">
        <v>1281774.76</v>
      </c>
      <c r="L53" s="366">
        <v>1985823083</v>
      </c>
      <c r="M53" s="366">
        <v>1279841.8500000001</v>
      </c>
      <c r="N53" s="366">
        <v>19656903.32</v>
      </c>
      <c r="O53" s="366">
        <v>1281161.6200000001</v>
      </c>
      <c r="P53" s="366">
        <v>1985823083</v>
      </c>
      <c r="Q53" s="366">
        <v>1298180.3</v>
      </c>
      <c r="R53" s="366">
        <v>19517151.170000002</v>
      </c>
      <c r="S53" s="366">
        <v>1299653.53</v>
      </c>
      <c r="T53" s="366">
        <v>1985823083</v>
      </c>
      <c r="U53" s="366">
        <v>1282314.96</v>
      </c>
      <c r="V53" s="366">
        <v>19303514.02</v>
      </c>
      <c r="W53" s="366">
        <v>1283697.42</v>
      </c>
      <c r="X53" s="366">
        <v>1983837259.9200001</v>
      </c>
      <c r="Y53" s="366">
        <v>1263872.29</v>
      </c>
      <c r="Z53" s="366">
        <v>19050207.300000001</v>
      </c>
      <c r="AA53" s="366">
        <v>1265163.01</v>
      </c>
      <c r="AB53" s="366">
        <v>1985823083</v>
      </c>
      <c r="AC53" s="366">
        <v>1247245.1499999999</v>
      </c>
      <c r="AD53" s="366">
        <v>18823076.210000001</v>
      </c>
      <c r="AE53" s="366">
        <v>1248448.42</v>
      </c>
      <c r="AF53" s="366">
        <v>2075750180</v>
      </c>
      <c r="AG53" s="366">
        <v>1283869.75</v>
      </c>
      <c r="AH53" s="366">
        <v>19399582.48</v>
      </c>
      <c r="AI53" s="366">
        <v>1285035.9099999999</v>
      </c>
      <c r="AJ53" s="366">
        <v>2067222448</v>
      </c>
      <c r="AK53" s="366">
        <v>1260962.28</v>
      </c>
      <c r="AL53" s="366">
        <v>19075751.809999999</v>
      </c>
      <c r="AM53" s="366">
        <v>1262038.1399999999</v>
      </c>
      <c r="AN53" s="366">
        <v>2082276524</v>
      </c>
      <c r="AO53" s="366">
        <v>1255339.48</v>
      </c>
      <c r="AP53" s="366">
        <v>19012261.079999998</v>
      </c>
      <c r="AQ53" s="366">
        <v>1256342.33</v>
      </c>
      <c r="AR53" s="366">
        <v>2258424839</v>
      </c>
      <c r="AS53" s="366">
        <v>1349621.97</v>
      </c>
      <c r="AT53" s="366">
        <v>20463204.32</v>
      </c>
      <c r="AU53" s="366">
        <v>1350627.09</v>
      </c>
      <c r="AV53" s="366">
        <v>2239086423</v>
      </c>
      <c r="AW53" s="366">
        <v>1291323.79</v>
      </c>
      <c r="AX53" s="366">
        <v>19602925.579999998</v>
      </c>
      <c r="AY53" s="366">
        <v>1292206.72</v>
      </c>
      <c r="AZ53" s="366">
        <v>2206395319</v>
      </c>
      <c r="BA53" s="366">
        <v>1179948.04</v>
      </c>
      <c r="BB53" s="366">
        <v>18813995.84</v>
      </c>
      <c r="BC53" s="366">
        <v>1180865.6399999999</v>
      </c>
      <c r="BD53" s="366">
        <v>2044735615</v>
      </c>
      <c r="BE53" s="366">
        <v>1144328.56</v>
      </c>
      <c r="BF53" s="366">
        <v>17372560.920000002</v>
      </c>
      <c r="BG53" s="366">
        <v>1145103.5</v>
      </c>
      <c r="BH53" s="366">
        <v>2379098747</v>
      </c>
      <c r="BI53" s="366">
        <v>1116379.18</v>
      </c>
      <c r="BJ53" s="366">
        <v>0</v>
      </c>
      <c r="BK53" s="366">
        <v>1117592.79</v>
      </c>
      <c r="BL53" s="366">
        <v>2914674537.8000002</v>
      </c>
      <c r="BM53" s="366">
        <v>1366205.25</v>
      </c>
      <c r="BN53" s="366">
        <v>25084654.59</v>
      </c>
      <c r="BO53" s="366">
        <v>1367690.39</v>
      </c>
      <c r="BP53" s="366">
        <v>1334379043.5999999</v>
      </c>
      <c r="BQ53" s="366">
        <v>593219.72</v>
      </c>
      <c r="BR53" s="366">
        <v>11459431.85</v>
      </c>
      <c r="BS53" s="366">
        <v>625181.56000000006</v>
      </c>
      <c r="BT53" s="366">
        <v>1536403976.0899999</v>
      </c>
      <c r="BU53" s="366">
        <v>651624.27</v>
      </c>
      <c r="BV53" s="366">
        <v>13370297.59</v>
      </c>
      <c r="BW53" s="366">
        <v>726722.84</v>
      </c>
      <c r="BX53" s="366">
        <v>1974190713.73</v>
      </c>
      <c r="BY53" s="366">
        <v>802450.21</v>
      </c>
      <c r="BZ53" s="366">
        <v>17416983.899999999</v>
      </c>
      <c r="CA53" s="366">
        <v>803636.9</v>
      </c>
      <c r="CB53" s="366">
        <v>2096321271.8299999</v>
      </c>
      <c r="CC53" s="366">
        <v>846499.83</v>
      </c>
      <c r="CD53" s="366">
        <v>18225966.57</v>
      </c>
      <c r="CE53" s="366">
        <v>847750.95</v>
      </c>
      <c r="CF53" s="366">
        <v>5.5643521205861601</v>
      </c>
      <c r="CG53" s="366">
        <v>-33.8906406809636</v>
      </c>
      <c r="CH53" s="366">
        <v>-7.8923354657634404</v>
      </c>
      <c r="CI53" s="366">
        <v>-33.861160598918303</v>
      </c>
    </row>
    <row r="54" spans="1:87">
      <c r="A54" s="366" t="s">
        <v>1457</v>
      </c>
      <c r="B54" s="366" t="s">
        <v>1231</v>
      </c>
      <c r="C54" s="366" t="s">
        <v>1480</v>
      </c>
      <c r="D54" s="366" t="s">
        <v>1240</v>
      </c>
      <c r="E54" s="366" t="s">
        <v>1235</v>
      </c>
      <c r="F54" s="366" t="s">
        <v>1235</v>
      </c>
      <c r="G54" s="366" t="s">
        <v>1234</v>
      </c>
      <c r="H54" s="366">
        <v>0</v>
      </c>
      <c r="I54" s="366">
        <v>0</v>
      </c>
      <c r="J54" s="366">
        <v>0</v>
      </c>
      <c r="K54" s="366">
        <v>0</v>
      </c>
      <c r="L54" s="366">
        <v>0</v>
      </c>
      <c r="M54" s="366">
        <v>0</v>
      </c>
      <c r="N54" s="366">
        <v>0</v>
      </c>
      <c r="O54" s="366">
        <v>0</v>
      </c>
      <c r="P54" s="366">
        <v>0</v>
      </c>
      <c r="Q54" s="366">
        <v>0</v>
      </c>
      <c r="R54" s="366">
        <v>0</v>
      </c>
      <c r="S54" s="366">
        <v>0</v>
      </c>
      <c r="T54" s="366">
        <v>0</v>
      </c>
      <c r="U54" s="366">
        <v>0</v>
      </c>
      <c r="V54" s="366">
        <v>0</v>
      </c>
      <c r="W54" s="366">
        <v>0</v>
      </c>
      <c r="X54" s="366">
        <v>0</v>
      </c>
      <c r="Y54" s="366">
        <v>0</v>
      </c>
      <c r="Z54" s="366">
        <v>0</v>
      </c>
      <c r="AA54" s="366">
        <v>0</v>
      </c>
      <c r="AB54" s="366">
        <v>0</v>
      </c>
      <c r="AC54" s="366">
        <v>0</v>
      </c>
      <c r="AD54" s="366">
        <v>0</v>
      </c>
      <c r="AE54" s="366">
        <v>0</v>
      </c>
      <c r="AF54" s="366">
        <v>0</v>
      </c>
      <c r="AG54" s="366">
        <v>0</v>
      </c>
      <c r="AH54" s="366">
        <v>0</v>
      </c>
      <c r="AI54" s="366">
        <v>0</v>
      </c>
      <c r="AJ54" s="366">
        <v>0</v>
      </c>
      <c r="AK54" s="366">
        <v>0</v>
      </c>
      <c r="AL54" s="366">
        <v>0</v>
      </c>
      <c r="AM54" s="366">
        <v>0</v>
      </c>
      <c r="AN54" s="366">
        <v>0</v>
      </c>
      <c r="AO54" s="366">
        <v>0</v>
      </c>
      <c r="AP54" s="366">
        <v>0</v>
      </c>
      <c r="AQ54" s="366">
        <v>0</v>
      </c>
      <c r="AR54" s="366">
        <v>0</v>
      </c>
      <c r="AS54" s="366">
        <v>0</v>
      </c>
      <c r="AT54" s="366">
        <v>0</v>
      </c>
      <c r="AU54" s="366">
        <v>0</v>
      </c>
      <c r="AV54" s="366">
        <v>0</v>
      </c>
      <c r="AW54" s="366">
        <v>0</v>
      </c>
      <c r="AX54" s="366">
        <v>0</v>
      </c>
      <c r="AY54" s="366">
        <v>0</v>
      </c>
      <c r="AZ54" s="366">
        <v>0</v>
      </c>
      <c r="BA54" s="366">
        <v>0</v>
      </c>
      <c r="BB54" s="366">
        <v>0</v>
      </c>
      <c r="BC54" s="366">
        <v>0</v>
      </c>
      <c r="BD54" s="366">
        <v>0</v>
      </c>
      <c r="BE54" s="366">
        <v>0</v>
      </c>
      <c r="BF54" s="366">
        <v>0</v>
      </c>
      <c r="BG54" s="366">
        <v>0</v>
      </c>
      <c r="BH54" s="366">
        <v>0</v>
      </c>
      <c r="BI54" s="366">
        <v>0</v>
      </c>
      <c r="BJ54" s="366">
        <v>0</v>
      </c>
      <c r="BK54" s="366">
        <v>0</v>
      </c>
      <c r="BL54" s="366">
        <v>0</v>
      </c>
      <c r="BM54" s="366">
        <v>0</v>
      </c>
      <c r="BN54" s="366">
        <v>0</v>
      </c>
      <c r="BO54" s="366">
        <v>0</v>
      </c>
      <c r="BP54" s="366">
        <v>0</v>
      </c>
      <c r="BQ54" s="366">
        <v>0</v>
      </c>
      <c r="BR54" s="366">
        <v>0</v>
      </c>
      <c r="BS54" s="366">
        <v>0</v>
      </c>
      <c r="BT54" s="366">
        <v>0</v>
      </c>
      <c r="BU54" s="366">
        <v>0</v>
      </c>
      <c r="BV54" s="366">
        <v>0</v>
      </c>
      <c r="BW54" s="366">
        <v>0</v>
      </c>
      <c r="BX54" s="366">
        <v>1998168.74</v>
      </c>
      <c r="BY54" s="366">
        <v>1100.83</v>
      </c>
      <c r="BZ54" s="366">
        <v>23033.55</v>
      </c>
      <c r="CA54" s="366">
        <v>1113.03</v>
      </c>
      <c r="CB54" s="366">
        <v>2163386.25</v>
      </c>
      <c r="CC54" s="366">
        <v>1191.8499999999999</v>
      </c>
      <c r="CD54" s="366">
        <v>24938.07</v>
      </c>
      <c r="CE54" s="366">
        <v>1205.06</v>
      </c>
      <c r="CF54" s="366">
        <v>100</v>
      </c>
      <c r="CG54" s="366">
        <v>100</v>
      </c>
      <c r="CH54" s="366">
        <v>100</v>
      </c>
      <c r="CI54" s="366">
        <v>100</v>
      </c>
    </row>
    <row r="55" spans="1:87">
      <c r="A55" s="366" t="s">
        <v>1457</v>
      </c>
      <c r="B55" s="366" t="s">
        <v>1231</v>
      </c>
      <c r="C55" s="366" t="s">
        <v>1480</v>
      </c>
      <c r="D55" s="366" t="s">
        <v>1240</v>
      </c>
      <c r="E55" s="366" t="s">
        <v>636</v>
      </c>
      <c r="F55" s="366" t="s">
        <v>636</v>
      </c>
      <c r="G55" s="366" t="s">
        <v>1234</v>
      </c>
      <c r="H55" s="366">
        <v>0</v>
      </c>
      <c r="I55" s="366">
        <v>0</v>
      </c>
      <c r="J55" s="366">
        <v>0</v>
      </c>
      <c r="K55" s="366">
        <v>0</v>
      </c>
      <c r="L55" s="366">
        <v>0</v>
      </c>
      <c r="M55" s="366">
        <v>0</v>
      </c>
      <c r="N55" s="366">
        <v>0</v>
      </c>
      <c r="O55" s="366">
        <v>0</v>
      </c>
      <c r="P55" s="366">
        <v>0</v>
      </c>
      <c r="Q55" s="366">
        <v>0</v>
      </c>
      <c r="R55" s="366">
        <v>0</v>
      </c>
      <c r="S55" s="366">
        <v>0</v>
      </c>
      <c r="T55" s="366">
        <v>0</v>
      </c>
      <c r="U55" s="366">
        <v>0</v>
      </c>
      <c r="V55" s="366">
        <v>0</v>
      </c>
      <c r="W55" s="366">
        <v>0</v>
      </c>
      <c r="X55" s="366">
        <v>0</v>
      </c>
      <c r="Y55" s="366">
        <v>0</v>
      </c>
      <c r="Z55" s="366">
        <v>0</v>
      </c>
      <c r="AA55" s="366">
        <v>0</v>
      </c>
      <c r="AB55" s="366">
        <v>0</v>
      </c>
      <c r="AC55" s="366">
        <v>0</v>
      </c>
      <c r="AD55" s="366">
        <v>0</v>
      </c>
      <c r="AE55" s="366">
        <v>0</v>
      </c>
      <c r="AF55" s="366">
        <v>0</v>
      </c>
      <c r="AG55" s="366">
        <v>0</v>
      </c>
      <c r="AH55" s="366">
        <v>0</v>
      </c>
      <c r="AI55" s="366">
        <v>0</v>
      </c>
      <c r="AJ55" s="366">
        <v>0</v>
      </c>
      <c r="AK55" s="366">
        <v>0</v>
      </c>
      <c r="AL55" s="366">
        <v>0</v>
      </c>
      <c r="AM55" s="366">
        <v>0</v>
      </c>
      <c r="AN55" s="366">
        <v>0</v>
      </c>
      <c r="AO55" s="366">
        <v>0</v>
      </c>
      <c r="AP55" s="366">
        <v>0</v>
      </c>
      <c r="AQ55" s="366">
        <v>0</v>
      </c>
      <c r="AR55" s="366">
        <v>0</v>
      </c>
      <c r="AS55" s="366">
        <v>0</v>
      </c>
      <c r="AT55" s="366">
        <v>0</v>
      </c>
      <c r="AU55" s="366">
        <v>0</v>
      </c>
      <c r="AV55" s="366">
        <v>0</v>
      </c>
      <c r="AW55" s="366">
        <v>0</v>
      </c>
      <c r="AX55" s="366">
        <v>0</v>
      </c>
      <c r="AY55" s="366">
        <v>0</v>
      </c>
      <c r="AZ55" s="366">
        <v>0</v>
      </c>
      <c r="BA55" s="366">
        <v>0</v>
      </c>
      <c r="BB55" s="366">
        <v>0</v>
      </c>
      <c r="BC55" s="366">
        <v>0</v>
      </c>
      <c r="BD55" s="366">
        <v>0</v>
      </c>
      <c r="BE55" s="366">
        <v>0</v>
      </c>
      <c r="BF55" s="366">
        <v>0</v>
      </c>
      <c r="BG55" s="366">
        <v>0</v>
      </c>
      <c r="BH55" s="366">
        <v>0</v>
      </c>
      <c r="BI55" s="366">
        <v>0</v>
      </c>
      <c r="BJ55" s="366">
        <v>0</v>
      </c>
      <c r="BK55" s="366">
        <v>0</v>
      </c>
      <c r="BL55" s="366">
        <v>0</v>
      </c>
      <c r="BM55" s="366">
        <v>0</v>
      </c>
      <c r="BN55" s="366">
        <v>0</v>
      </c>
      <c r="BO55" s="366">
        <v>0</v>
      </c>
      <c r="BP55" s="366">
        <v>1335714.76</v>
      </c>
      <c r="BQ55" s="366">
        <v>126.42</v>
      </c>
      <c r="BR55" s="366">
        <v>3486.46</v>
      </c>
      <c r="BS55" s="366">
        <v>116.14</v>
      </c>
      <c r="BT55" s="366">
        <v>7720623</v>
      </c>
      <c r="BU55" s="366">
        <v>782.49</v>
      </c>
      <c r="BV55" s="366">
        <v>20152.22</v>
      </c>
      <c r="BW55" s="366">
        <v>671.33</v>
      </c>
      <c r="BX55" s="366">
        <v>21979856.120000001</v>
      </c>
      <c r="BY55" s="366">
        <v>2437.77</v>
      </c>
      <c r="BZ55" s="366">
        <v>22498.58</v>
      </c>
      <c r="CA55" s="366">
        <v>2440.27</v>
      </c>
      <c r="CB55" s="366">
        <v>64901587.359999999</v>
      </c>
      <c r="CC55" s="366">
        <v>7201.63</v>
      </c>
      <c r="CD55" s="366">
        <v>66433.259999999995</v>
      </c>
      <c r="CE55" s="366">
        <v>7208.93</v>
      </c>
      <c r="CF55" s="366">
        <v>100</v>
      </c>
      <c r="CG55" s="366">
        <v>100</v>
      </c>
      <c r="CH55" s="366">
        <v>100</v>
      </c>
      <c r="CI55" s="366">
        <v>100</v>
      </c>
    </row>
    <row r="56" spans="1:87">
      <c r="A56" s="366" t="s">
        <v>1457</v>
      </c>
      <c r="B56" s="366" t="s">
        <v>1231</v>
      </c>
      <c r="C56" s="366" t="s">
        <v>1481</v>
      </c>
      <c r="D56" s="366" t="s">
        <v>1241</v>
      </c>
      <c r="E56" s="366" t="s">
        <v>1236</v>
      </c>
      <c r="F56" s="366" t="s">
        <v>1236</v>
      </c>
      <c r="G56" s="366" t="s">
        <v>1234</v>
      </c>
      <c r="H56" s="366">
        <v>0</v>
      </c>
      <c r="I56" s="366">
        <v>0</v>
      </c>
      <c r="J56" s="366">
        <v>0</v>
      </c>
      <c r="K56" s="366">
        <v>0</v>
      </c>
      <c r="L56" s="366">
        <v>0</v>
      </c>
      <c r="M56" s="366">
        <v>0</v>
      </c>
      <c r="N56" s="366">
        <v>0</v>
      </c>
      <c r="O56" s="366">
        <v>0</v>
      </c>
      <c r="P56" s="366">
        <v>0</v>
      </c>
      <c r="Q56" s="366">
        <v>0</v>
      </c>
      <c r="R56" s="366">
        <v>0</v>
      </c>
      <c r="S56" s="366">
        <v>0</v>
      </c>
      <c r="T56" s="366">
        <v>0</v>
      </c>
      <c r="U56" s="366">
        <v>0</v>
      </c>
      <c r="V56" s="366">
        <v>0</v>
      </c>
      <c r="W56" s="366">
        <v>0</v>
      </c>
      <c r="X56" s="366">
        <v>0</v>
      </c>
      <c r="Y56" s="366">
        <v>0</v>
      </c>
      <c r="Z56" s="366">
        <v>0</v>
      </c>
      <c r="AA56" s="366">
        <v>0</v>
      </c>
      <c r="AB56" s="366">
        <v>0</v>
      </c>
      <c r="AC56" s="366">
        <v>0</v>
      </c>
      <c r="AD56" s="366">
        <v>0</v>
      </c>
      <c r="AE56" s="366">
        <v>0</v>
      </c>
      <c r="AF56" s="366">
        <v>0</v>
      </c>
      <c r="AG56" s="366">
        <v>0</v>
      </c>
      <c r="AH56" s="366">
        <v>0</v>
      </c>
      <c r="AI56" s="366">
        <v>0</v>
      </c>
      <c r="AJ56" s="366">
        <v>0</v>
      </c>
      <c r="AK56" s="366">
        <v>0</v>
      </c>
      <c r="AL56" s="366">
        <v>0</v>
      </c>
      <c r="AM56" s="366">
        <v>0</v>
      </c>
      <c r="AN56" s="366">
        <v>0</v>
      </c>
      <c r="AO56" s="366">
        <v>0</v>
      </c>
      <c r="AP56" s="366">
        <v>0</v>
      </c>
      <c r="AQ56" s="366">
        <v>0</v>
      </c>
      <c r="AR56" s="366">
        <v>0</v>
      </c>
      <c r="AS56" s="366">
        <v>0</v>
      </c>
      <c r="AT56" s="366">
        <v>0</v>
      </c>
      <c r="AU56" s="366">
        <v>0</v>
      </c>
      <c r="AV56" s="366">
        <v>0</v>
      </c>
      <c r="AW56" s="366">
        <v>0</v>
      </c>
      <c r="AX56" s="366">
        <v>0</v>
      </c>
      <c r="AY56" s="366">
        <v>0</v>
      </c>
      <c r="AZ56" s="366">
        <v>6165880.1699999999</v>
      </c>
      <c r="BA56" s="366">
        <v>4837.28</v>
      </c>
      <c r="BB56" s="366">
        <v>65463.4</v>
      </c>
      <c r="BC56" s="366">
        <v>4850.54</v>
      </c>
      <c r="BD56" s="366">
        <v>12584063.720000001</v>
      </c>
      <c r="BE56" s="366">
        <v>8810.52</v>
      </c>
      <c r="BF56" s="366">
        <v>133605.51</v>
      </c>
      <c r="BG56" s="366">
        <v>8819.52</v>
      </c>
      <c r="BH56" s="366">
        <v>19254550.649999999</v>
      </c>
      <c r="BI56" s="366">
        <v>19283.96</v>
      </c>
      <c r="BJ56" s="366">
        <v>0</v>
      </c>
      <c r="BK56" s="366">
        <v>19396.48</v>
      </c>
      <c r="BL56" s="366">
        <v>26177340.960000001</v>
      </c>
      <c r="BM56" s="366">
        <v>26217.33</v>
      </c>
      <c r="BN56" s="366">
        <v>277925.89</v>
      </c>
      <c r="BO56" s="366">
        <v>26370.3</v>
      </c>
      <c r="BP56" s="366">
        <v>33352434.649999999</v>
      </c>
      <c r="BQ56" s="366">
        <v>35815.919999999998</v>
      </c>
      <c r="BR56" s="366">
        <v>354104.15</v>
      </c>
      <c r="BS56" s="366">
        <v>33598.29</v>
      </c>
      <c r="BT56" s="366">
        <v>40779831.710000001</v>
      </c>
      <c r="BU56" s="366">
        <v>46741.72</v>
      </c>
      <c r="BV56" s="366">
        <v>294105.21999999997</v>
      </c>
      <c r="BW56" s="366">
        <v>41080.43</v>
      </c>
      <c r="BX56" s="366">
        <v>49205405.229999997</v>
      </c>
      <c r="BY56" s="366">
        <v>59365.14</v>
      </c>
      <c r="BZ56" s="366">
        <v>354870.68</v>
      </c>
      <c r="CA56" s="366">
        <v>59824.27</v>
      </c>
      <c r="CB56" s="366">
        <v>53771088.789999999</v>
      </c>
      <c r="CC56" s="366">
        <v>64873.53</v>
      </c>
      <c r="CD56" s="366">
        <v>387798.51</v>
      </c>
      <c r="CE56" s="366">
        <v>65375.26</v>
      </c>
      <c r="CF56" s="366">
        <v>100</v>
      </c>
      <c r="CG56" s="366">
        <v>100</v>
      </c>
      <c r="CH56" s="366">
        <v>100</v>
      </c>
      <c r="CI56" s="366">
        <v>100</v>
      </c>
    </row>
    <row r="57" spans="1:87">
      <c r="A57" s="366" t="s">
        <v>1457</v>
      </c>
      <c r="B57" s="366" t="s">
        <v>1231</v>
      </c>
      <c r="C57" s="366" t="s">
        <v>1481</v>
      </c>
      <c r="D57" s="366" t="s">
        <v>1241</v>
      </c>
      <c r="E57" s="366" t="s">
        <v>1235</v>
      </c>
      <c r="F57" s="366" t="s">
        <v>1235</v>
      </c>
      <c r="G57" s="366" t="s">
        <v>1234</v>
      </c>
      <c r="H57" s="366">
        <v>51309025</v>
      </c>
      <c r="I57" s="366">
        <v>49463.29</v>
      </c>
      <c r="J57" s="366">
        <v>650953.34</v>
      </c>
      <c r="K57" s="366">
        <v>49517.66</v>
      </c>
      <c r="L57" s="366">
        <v>52663657.390000001</v>
      </c>
      <c r="M57" s="366">
        <v>50769.19</v>
      </c>
      <c r="N57" s="366">
        <v>676013.14</v>
      </c>
      <c r="O57" s="366">
        <v>50825</v>
      </c>
      <c r="P57" s="366">
        <v>54018289.770000003</v>
      </c>
      <c r="Q57" s="366">
        <v>50895.32</v>
      </c>
      <c r="R57" s="366">
        <v>701478</v>
      </c>
      <c r="S57" s="366">
        <v>50931.56</v>
      </c>
      <c r="T57" s="366">
        <v>55372922.159999996</v>
      </c>
      <c r="U57" s="366">
        <v>52776.32</v>
      </c>
      <c r="V57" s="366">
        <v>727347.91</v>
      </c>
      <c r="W57" s="366">
        <v>52824.23</v>
      </c>
      <c r="X57" s="366">
        <v>56727554.549999997</v>
      </c>
      <c r="Y57" s="366">
        <v>54686.9</v>
      </c>
      <c r="Z57" s="366">
        <v>753622.89</v>
      </c>
      <c r="AA57" s="366">
        <v>54747.01</v>
      </c>
      <c r="AB57" s="366">
        <v>58082186.93</v>
      </c>
      <c r="AC57" s="366">
        <v>56627.06</v>
      </c>
      <c r="AD57" s="366">
        <v>780302.92</v>
      </c>
      <c r="AE57" s="366">
        <v>56699.91</v>
      </c>
      <c r="AF57" s="366">
        <v>59436819.32</v>
      </c>
      <c r="AG57" s="366">
        <v>58596.82</v>
      </c>
      <c r="AH57" s="366">
        <v>807388.02</v>
      </c>
      <c r="AI57" s="366">
        <v>58682.91</v>
      </c>
      <c r="AJ57" s="366">
        <v>60791451.710000001</v>
      </c>
      <c r="AK57" s="366">
        <v>60596.15</v>
      </c>
      <c r="AL57" s="366">
        <v>834878.17</v>
      </c>
      <c r="AM57" s="366">
        <v>60696.03</v>
      </c>
      <c r="AN57" s="366">
        <v>62146084.090000004</v>
      </c>
      <c r="AO57" s="366">
        <v>62625.08</v>
      </c>
      <c r="AP57" s="366">
        <v>862773.38</v>
      </c>
      <c r="AQ57" s="366">
        <v>62739.27</v>
      </c>
      <c r="AR57" s="366">
        <v>63500716.479999997</v>
      </c>
      <c r="AS57" s="366">
        <v>64683.199999999997</v>
      </c>
      <c r="AT57" s="366">
        <v>891073.66</v>
      </c>
      <c r="AU57" s="366">
        <v>64812.23</v>
      </c>
      <c r="AV57" s="366">
        <v>64855348.869999997</v>
      </c>
      <c r="AW57" s="366">
        <v>66771.679999999993</v>
      </c>
      <c r="AX57" s="366">
        <v>919778.99</v>
      </c>
      <c r="AY57" s="366">
        <v>66916.070000000007</v>
      </c>
      <c r="AZ57" s="366">
        <v>60041632.399999999</v>
      </c>
      <c r="BA57" s="366">
        <v>64022.7</v>
      </c>
      <c r="BB57" s="366">
        <v>851510.83</v>
      </c>
      <c r="BC57" s="366">
        <v>64149.14</v>
      </c>
      <c r="BD57" s="366">
        <v>54982267.990000002</v>
      </c>
      <c r="BE57" s="366">
        <v>56606.87</v>
      </c>
      <c r="BF57" s="366">
        <v>779758.89</v>
      </c>
      <c r="BG57" s="366">
        <v>56729.279999999999</v>
      </c>
      <c r="BH57" s="366">
        <v>49663878.189999998</v>
      </c>
      <c r="BI57" s="366">
        <v>57651.02</v>
      </c>
      <c r="BJ57" s="366">
        <v>0</v>
      </c>
      <c r="BK57" s="366">
        <v>57740.22</v>
      </c>
      <c r="BL57" s="366">
        <v>44093083.990000002</v>
      </c>
      <c r="BM57" s="366">
        <v>51184.31</v>
      </c>
      <c r="BN57" s="366">
        <v>625328.41</v>
      </c>
      <c r="BO57" s="366">
        <v>51263.5</v>
      </c>
      <c r="BP57" s="366">
        <v>38277048.259999998</v>
      </c>
      <c r="BQ57" s="366">
        <v>45638.879999999997</v>
      </c>
      <c r="BR57" s="366">
        <v>542845.35</v>
      </c>
      <c r="BS57" s="366">
        <v>44501.66</v>
      </c>
      <c r="BT57" s="366">
        <v>32201580.73</v>
      </c>
      <c r="BU57" s="366">
        <v>39409.47</v>
      </c>
      <c r="BV57" s="366">
        <v>323382.71999999997</v>
      </c>
      <c r="BW57" s="366">
        <v>37438.199999999997</v>
      </c>
      <c r="BX57" s="366">
        <v>26256851.98</v>
      </c>
      <c r="BY57" s="366">
        <v>32823.480000000003</v>
      </c>
      <c r="BZ57" s="366">
        <v>263683.08</v>
      </c>
      <c r="CA57" s="366">
        <v>32862.949999999997</v>
      </c>
      <c r="CB57" s="366">
        <v>28693179.390000001</v>
      </c>
      <c r="CC57" s="366">
        <v>35869.11</v>
      </c>
      <c r="CD57" s="366">
        <v>288149.78000000003</v>
      </c>
      <c r="CE57" s="366">
        <v>35912.25</v>
      </c>
      <c r="CF57" s="366">
        <v>-44.077714612585197</v>
      </c>
      <c r="CG57" s="366">
        <v>-27.4833720118496</v>
      </c>
      <c r="CH57" s="366">
        <v>-55.734188259945</v>
      </c>
      <c r="CI57" s="366">
        <v>-27.4758742638485</v>
      </c>
    </row>
    <row r="58" spans="1:87">
      <c r="A58" s="366" t="s">
        <v>1457</v>
      </c>
      <c r="B58" s="366" t="s">
        <v>1231</v>
      </c>
      <c r="C58" s="366" t="s">
        <v>1481</v>
      </c>
      <c r="D58" s="366" t="s">
        <v>1241</v>
      </c>
      <c r="E58" s="366" t="s">
        <v>636</v>
      </c>
      <c r="F58" s="366" t="s">
        <v>636</v>
      </c>
      <c r="G58" s="366" t="s">
        <v>1234</v>
      </c>
      <c r="H58" s="366">
        <v>0</v>
      </c>
      <c r="I58" s="366">
        <v>0</v>
      </c>
      <c r="J58" s="366">
        <v>0</v>
      </c>
      <c r="K58" s="366">
        <v>0</v>
      </c>
      <c r="L58" s="366">
        <v>0</v>
      </c>
      <c r="M58" s="366">
        <v>0</v>
      </c>
      <c r="N58" s="366">
        <v>0</v>
      </c>
      <c r="O58" s="366">
        <v>0</v>
      </c>
      <c r="P58" s="366">
        <v>0</v>
      </c>
      <c r="Q58" s="366">
        <v>0</v>
      </c>
      <c r="R58" s="366">
        <v>0</v>
      </c>
      <c r="S58" s="366">
        <v>0</v>
      </c>
      <c r="T58" s="366">
        <v>0</v>
      </c>
      <c r="U58" s="366">
        <v>0</v>
      </c>
      <c r="V58" s="366">
        <v>0</v>
      </c>
      <c r="W58" s="366">
        <v>0</v>
      </c>
      <c r="X58" s="366">
        <v>0</v>
      </c>
      <c r="Y58" s="366">
        <v>0</v>
      </c>
      <c r="Z58" s="366">
        <v>0</v>
      </c>
      <c r="AA58" s="366">
        <v>0</v>
      </c>
      <c r="AB58" s="366">
        <v>0</v>
      </c>
      <c r="AC58" s="366">
        <v>0</v>
      </c>
      <c r="AD58" s="366">
        <v>0</v>
      </c>
      <c r="AE58" s="366">
        <v>0</v>
      </c>
      <c r="AF58" s="366">
        <v>0</v>
      </c>
      <c r="AG58" s="366">
        <v>0</v>
      </c>
      <c r="AH58" s="366">
        <v>0</v>
      </c>
      <c r="AI58" s="366">
        <v>0</v>
      </c>
      <c r="AJ58" s="366">
        <v>0</v>
      </c>
      <c r="AK58" s="366">
        <v>0</v>
      </c>
      <c r="AL58" s="366">
        <v>0</v>
      </c>
      <c r="AM58" s="366">
        <v>0</v>
      </c>
      <c r="AN58" s="366">
        <v>0</v>
      </c>
      <c r="AO58" s="366">
        <v>0</v>
      </c>
      <c r="AP58" s="366">
        <v>0</v>
      </c>
      <c r="AQ58" s="366">
        <v>0</v>
      </c>
      <c r="AR58" s="366">
        <v>0</v>
      </c>
      <c r="AS58" s="366">
        <v>0</v>
      </c>
      <c r="AT58" s="366">
        <v>0</v>
      </c>
      <c r="AU58" s="366">
        <v>0</v>
      </c>
      <c r="AV58" s="366">
        <v>0</v>
      </c>
      <c r="AW58" s="366">
        <v>0</v>
      </c>
      <c r="AX58" s="366">
        <v>0</v>
      </c>
      <c r="AY58" s="366">
        <v>0</v>
      </c>
      <c r="AZ58" s="366">
        <v>0</v>
      </c>
      <c r="BA58" s="366">
        <v>0</v>
      </c>
      <c r="BB58" s="366">
        <v>0</v>
      </c>
      <c r="BC58" s="366">
        <v>0</v>
      </c>
      <c r="BD58" s="366">
        <v>0</v>
      </c>
      <c r="BE58" s="366">
        <v>0</v>
      </c>
      <c r="BF58" s="366">
        <v>0</v>
      </c>
      <c r="BG58" s="366">
        <v>0</v>
      </c>
      <c r="BH58" s="366">
        <v>0</v>
      </c>
      <c r="BI58" s="366">
        <v>0</v>
      </c>
      <c r="BJ58" s="366">
        <v>0</v>
      </c>
      <c r="BK58" s="366">
        <v>0</v>
      </c>
      <c r="BL58" s="366">
        <v>0</v>
      </c>
      <c r="BM58" s="366">
        <v>0</v>
      </c>
      <c r="BN58" s="366">
        <v>0</v>
      </c>
      <c r="BO58" s="366">
        <v>0</v>
      </c>
      <c r="BP58" s="366">
        <v>0</v>
      </c>
      <c r="BQ58" s="366">
        <v>0</v>
      </c>
      <c r="BR58" s="366">
        <v>0</v>
      </c>
      <c r="BS58" s="366">
        <v>0</v>
      </c>
      <c r="BT58" s="366">
        <v>0</v>
      </c>
      <c r="BU58" s="366">
        <v>0</v>
      </c>
      <c r="BV58" s="366">
        <v>0</v>
      </c>
      <c r="BW58" s="366">
        <v>0</v>
      </c>
      <c r="BX58" s="366">
        <v>0</v>
      </c>
      <c r="BY58" s="366">
        <v>0</v>
      </c>
      <c r="BZ58" s="366">
        <v>0</v>
      </c>
      <c r="CA58" s="366">
        <v>0</v>
      </c>
      <c r="CB58" s="366">
        <v>0</v>
      </c>
      <c r="CC58" s="366">
        <v>0</v>
      </c>
      <c r="CD58" s="366">
        <v>0</v>
      </c>
      <c r="CE58" s="366">
        <v>0</v>
      </c>
      <c r="CF58" s="366">
        <v>0</v>
      </c>
      <c r="CG58" s="366">
        <v>0</v>
      </c>
      <c r="CH58" s="366">
        <v>0</v>
      </c>
      <c r="CI58" s="366">
        <v>0</v>
      </c>
    </row>
    <row r="59" spans="1:87">
      <c r="A59" s="366" t="s">
        <v>1460</v>
      </c>
      <c r="B59" s="366" t="s">
        <v>1231</v>
      </c>
      <c r="C59" s="366" t="s">
        <v>1476</v>
      </c>
      <c r="D59" s="366" t="s">
        <v>1232</v>
      </c>
      <c r="E59" s="366" t="s">
        <v>1482</v>
      </c>
      <c r="F59" s="366" t="s">
        <v>1482</v>
      </c>
      <c r="G59" s="366" t="s">
        <v>1234</v>
      </c>
      <c r="H59" s="366">
        <v>0</v>
      </c>
      <c r="I59" s="366">
        <v>0</v>
      </c>
      <c r="J59" s="366">
        <v>0</v>
      </c>
      <c r="K59" s="366">
        <v>0</v>
      </c>
      <c r="L59" s="366">
        <v>0</v>
      </c>
      <c r="M59" s="366">
        <v>0</v>
      </c>
      <c r="N59" s="366">
        <v>0</v>
      </c>
      <c r="O59" s="366">
        <v>0</v>
      </c>
      <c r="P59" s="366">
        <v>0</v>
      </c>
      <c r="Q59" s="366">
        <v>0</v>
      </c>
      <c r="R59" s="366">
        <v>0</v>
      </c>
      <c r="S59" s="366">
        <v>0</v>
      </c>
      <c r="T59" s="366">
        <v>0</v>
      </c>
      <c r="U59" s="366">
        <v>0</v>
      </c>
      <c r="V59" s="366">
        <v>0</v>
      </c>
      <c r="W59" s="366">
        <v>0</v>
      </c>
      <c r="X59" s="366">
        <v>0</v>
      </c>
      <c r="Y59" s="366">
        <v>0</v>
      </c>
      <c r="Z59" s="366">
        <v>0</v>
      </c>
      <c r="AA59" s="366">
        <v>0</v>
      </c>
      <c r="AB59" s="366">
        <v>0</v>
      </c>
      <c r="AC59" s="366">
        <v>0</v>
      </c>
      <c r="AD59" s="366">
        <v>0</v>
      </c>
      <c r="AE59" s="366">
        <v>0</v>
      </c>
      <c r="AF59" s="366">
        <v>0</v>
      </c>
      <c r="AG59" s="366">
        <v>0</v>
      </c>
      <c r="AH59" s="366">
        <v>0</v>
      </c>
      <c r="AI59" s="366">
        <v>0</v>
      </c>
      <c r="AJ59" s="366">
        <v>0</v>
      </c>
      <c r="AK59" s="366">
        <v>0</v>
      </c>
      <c r="AL59" s="366">
        <v>0</v>
      </c>
      <c r="AM59" s="366">
        <v>0</v>
      </c>
      <c r="AN59" s="366">
        <v>0</v>
      </c>
      <c r="AO59" s="366">
        <v>0</v>
      </c>
      <c r="AP59" s="366">
        <v>0</v>
      </c>
      <c r="AQ59" s="366">
        <v>0</v>
      </c>
      <c r="AR59" s="366">
        <v>0</v>
      </c>
      <c r="AS59" s="366">
        <v>0</v>
      </c>
      <c r="AT59" s="366">
        <v>0</v>
      </c>
      <c r="AU59" s="366">
        <v>0</v>
      </c>
      <c r="AV59" s="366">
        <v>0</v>
      </c>
      <c r="AW59" s="366">
        <v>0</v>
      </c>
      <c r="AX59" s="366">
        <v>0</v>
      </c>
      <c r="AY59" s="366">
        <v>0</v>
      </c>
      <c r="AZ59" s="366">
        <v>0</v>
      </c>
      <c r="BA59" s="366">
        <v>0</v>
      </c>
      <c r="BB59" s="366">
        <v>0</v>
      </c>
      <c r="BC59" s="366">
        <v>0</v>
      </c>
      <c r="BD59" s="366">
        <v>0</v>
      </c>
      <c r="BE59" s="366">
        <v>0</v>
      </c>
      <c r="BF59" s="366">
        <v>0</v>
      </c>
      <c r="BG59" s="366">
        <v>0</v>
      </c>
      <c r="BH59" s="366">
        <v>0</v>
      </c>
      <c r="BI59" s="366">
        <v>0</v>
      </c>
      <c r="BJ59" s="366">
        <v>0</v>
      </c>
      <c r="BK59" s="366">
        <v>0</v>
      </c>
      <c r="BL59" s="366">
        <v>0</v>
      </c>
      <c r="BM59" s="366">
        <v>0</v>
      </c>
      <c r="BN59" s="366">
        <v>0</v>
      </c>
      <c r="BO59" s="366">
        <v>0</v>
      </c>
      <c r="BP59" s="366">
        <v>0</v>
      </c>
      <c r="BQ59" s="366">
        <v>0</v>
      </c>
      <c r="BR59" s="366">
        <v>0</v>
      </c>
      <c r="BS59" s="366">
        <v>0</v>
      </c>
      <c r="BT59" s="366">
        <v>0</v>
      </c>
      <c r="BU59" s="366">
        <v>0</v>
      </c>
      <c r="BV59" s="366">
        <v>0</v>
      </c>
      <c r="BW59" s="366">
        <v>0</v>
      </c>
      <c r="BX59" s="366">
        <v>0</v>
      </c>
      <c r="BY59" s="366">
        <v>0</v>
      </c>
      <c r="BZ59" s="366">
        <v>0</v>
      </c>
      <c r="CA59" s="366">
        <v>0</v>
      </c>
      <c r="CB59" s="366">
        <v>0</v>
      </c>
      <c r="CC59" s="366">
        <v>0</v>
      </c>
      <c r="CD59" s="366">
        <v>0</v>
      </c>
      <c r="CE59" s="366">
        <v>0</v>
      </c>
      <c r="CF59" s="366">
        <v>0</v>
      </c>
      <c r="CG59" s="366">
        <v>0</v>
      </c>
      <c r="CH59" s="366">
        <v>0</v>
      </c>
      <c r="CI59" s="366">
        <v>0</v>
      </c>
    </row>
    <row r="60" spans="1:87">
      <c r="A60" s="366" t="s">
        <v>1460</v>
      </c>
      <c r="B60" s="366" t="s">
        <v>1231</v>
      </c>
      <c r="C60" s="366" t="s">
        <v>1476</v>
      </c>
      <c r="D60" s="366" t="s">
        <v>1232</v>
      </c>
      <c r="E60" s="366" t="s">
        <v>1483</v>
      </c>
      <c r="F60" s="366" t="s">
        <v>1483</v>
      </c>
      <c r="G60" s="366" t="s">
        <v>1234</v>
      </c>
      <c r="H60" s="366">
        <v>0</v>
      </c>
      <c r="I60" s="366">
        <v>0</v>
      </c>
      <c r="J60" s="366">
        <v>0</v>
      </c>
      <c r="K60" s="366">
        <v>0</v>
      </c>
      <c r="L60" s="366">
        <v>0</v>
      </c>
      <c r="M60" s="366">
        <v>0</v>
      </c>
      <c r="N60" s="366">
        <v>0</v>
      </c>
      <c r="O60" s="366">
        <v>0</v>
      </c>
      <c r="P60" s="366">
        <v>0</v>
      </c>
      <c r="Q60" s="366">
        <v>0</v>
      </c>
      <c r="R60" s="366">
        <v>0</v>
      </c>
      <c r="S60" s="366">
        <v>0</v>
      </c>
      <c r="T60" s="366">
        <v>0</v>
      </c>
      <c r="U60" s="366">
        <v>0</v>
      </c>
      <c r="V60" s="366">
        <v>0</v>
      </c>
      <c r="W60" s="366">
        <v>0</v>
      </c>
      <c r="X60" s="366">
        <v>0</v>
      </c>
      <c r="Y60" s="366">
        <v>0</v>
      </c>
      <c r="Z60" s="366">
        <v>0</v>
      </c>
      <c r="AA60" s="366">
        <v>0</v>
      </c>
      <c r="AB60" s="366">
        <v>0</v>
      </c>
      <c r="AC60" s="366">
        <v>0</v>
      </c>
      <c r="AD60" s="366">
        <v>0</v>
      </c>
      <c r="AE60" s="366">
        <v>0</v>
      </c>
      <c r="AF60" s="366">
        <v>0</v>
      </c>
      <c r="AG60" s="366">
        <v>0</v>
      </c>
      <c r="AH60" s="366">
        <v>0</v>
      </c>
      <c r="AI60" s="366">
        <v>0</v>
      </c>
      <c r="AJ60" s="366">
        <v>0</v>
      </c>
      <c r="AK60" s="366">
        <v>0</v>
      </c>
      <c r="AL60" s="366">
        <v>0</v>
      </c>
      <c r="AM60" s="366">
        <v>0</v>
      </c>
      <c r="AN60" s="366">
        <v>0</v>
      </c>
      <c r="AO60" s="366">
        <v>0</v>
      </c>
      <c r="AP60" s="366">
        <v>0</v>
      </c>
      <c r="AQ60" s="366">
        <v>0</v>
      </c>
      <c r="AR60" s="366">
        <v>0</v>
      </c>
      <c r="AS60" s="366">
        <v>0</v>
      </c>
      <c r="AT60" s="366">
        <v>0</v>
      </c>
      <c r="AU60" s="366">
        <v>0</v>
      </c>
      <c r="AV60" s="366">
        <v>0</v>
      </c>
      <c r="AW60" s="366">
        <v>0</v>
      </c>
      <c r="AX60" s="366">
        <v>0</v>
      </c>
      <c r="AY60" s="366">
        <v>0</v>
      </c>
      <c r="AZ60" s="366">
        <v>0</v>
      </c>
      <c r="BA60" s="366">
        <v>0</v>
      </c>
      <c r="BB60" s="366">
        <v>0</v>
      </c>
      <c r="BC60" s="366">
        <v>0</v>
      </c>
      <c r="BD60" s="366">
        <v>0</v>
      </c>
      <c r="BE60" s="366">
        <v>0</v>
      </c>
      <c r="BF60" s="366">
        <v>0</v>
      </c>
      <c r="BG60" s="366">
        <v>0</v>
      </c>
      <c r="BH60" s="366">
        <v>0</v>
      </c>
      <c r="BI60" s="366">
        <v>0</v>
      </c>
      <c r="BJ60" s="366">
        <v>0</v>
      </c>
      <c r="BK60" s="366">
        <v>0</v>
      </c>
      <c r="BL60" s="366">
        <v>0</v>
      </c>
      <c r="BM60" s="366">
        <v>0</v>
      </c>
      <c r="BN60" s="366">
        <v>0</v>
      </c>
      <c r="BO60" s="366">
        <v>0</v>
      </c>
      <c r="BP60" s="366">
        <v>0</v>
      </c>
      <c r="BQ60" s="366">
        <v>0</v>
      </c>
      <c r="BR60" s="366">
        <v>0</v>
      </c>
      <c r="BS60" s="366">
        <v>0</v>
      </c>
      <c r="BT60" s="366">
        <v>0</v>
      </c>
      <c r="BU60" s="366">
        <v>0</v>
      </c>
      <c r="BV60" s="366">
        <v>0</v>
      </c>
      <c r="BW60" s="366">
        <v>0</v>
      </c>
      <c r="BX60" s="366">
        <v>0</v>
      </c>
      <c r="BY60" s="366">
        <v>0</v>
      </c>
      <c r="BZ60" s="366">
        <v>0</v>
      </c>
      <c r="CA60" s="366">
        <v>0</v>
      </c>
      <c r="CB60" s="366">
        <v>0</v>
      </c>
      <c r="CC60" s="366">
        <v>0</v>
      </c>
      <c r="CD60" s="366">
        <v>0</v>
      </c>
      <c r="CE60" s="366">
        <v>0</v>
      </c>
      <c r="CF60" s="366">
        <v>0</v>
      </c>
      <c r="CG60" s="366">
        <v>0</v>
      </c>
      <c r="CH60" s="366">
        <v>0</v>
      </c>
      <c r="CI60" s="366">
        <v>0</v>
      </c>
    </row>
    <row r="61" spans="1:87">
      <c r="A61" s="366" t="s">
        <v>1460</v>
      </c>
      <c r="B61" s="366" t="s">
        <v>1231</v>
      </c>
      <c r="C61" s="366" t="s">
        <v>1477</v>
      </c>
      <c r="D61" s="366" t="s">
        <v>1237</v>
      </c>
      <c r="E61" s="366" t="s">
        <v>1482</v>
      </c>
      <c r="F61" s="366" t="s">
        <v>1482</v>
      </c>
      <c r="G61" s="366" t="s">
        <v>1234</v>
      </c>
      <c r="H61" s="366">
        <v>0</v>
      </c>
      <c r="I61" s="366">
        <v>0</v>
      </c>
      <c r="J61" s="366">
        <v>0</v>
      </c>
      <c r="K61" s="366">
        <v>0</v>
      </c>
      <c r="L61" s="366">
        <v>207512.59</v>
      </c>
      <c r="M61" s="366">
        <v>0</v>
      </c>
      <c r="N61" s="366">
        <v>2607.33</v>
      </c>
      <c r="O61" s="366">
        <v>8.92</v>
      </c>
      <c r="P61" s="366">
        <v>425842.58</v>
      </c>
      <c r="Q61" s="366">
        <v>0</v>
      </c>
      <c r="R61" s="366">
        <v>5208.7</v>
      </c>
      <c r="S61" s="366">
        <v>28.16</v>
      </c>
      <c r="T61" s="366">
        <v>633521.18999999994</v>
      </c>
      <c r="U61" s="366">
        <v>0</v>
      </c>
      <c r="V61" s="366">
        <v>7537.84</v>
      </c>
      <c r="W61" s="366">
        <v>56.53</v>
      </c>
      <c r="X61" s="366">
        <v>804560.59</v>
      </c>
      <c r="Y61" s="366">
        <v>0</v>
      </c>
      <c r="Z61" s="366">
        <v>9304.86</v>
      </c>
      <c r="AA61" s="366">
        <v>90.39</v>
      </c>
      <c r="AB61" s="366">
        <v>1000274.46</v>
      </c>
      <c r="AC61" s="366">
        <v>0</v>
      </c>
      <c r="AD61" s="366">
        <v>11235.05</v>
      </c>
      <c r="AE61" s="366">
        <v>135.5</v>
      </c>
      <c r="AF61" s="366">
        <v>1181682.19</v>
      </c>
      <c r="AG61" s="366">
        <v>0</v>
      </c>
      <c r="AH61" s="366">
        <v>12878.9</v>
      </c>
      <c r="AI61" s="366">
        <v>187.39</v>
      </c>
      <c r="AJ61" s="366">
        <v>1374297.45</v>
      </c>
      <c r="AK61" s="366">
        <v>0</v>
      </c>
      <c r="AL61" s="366">
        <v>14520.29</v>
      </c>
      <c r="AM61" s="366">
        <v>249.7</v>
      </c>
      <c r="AN61" s="366">
        <v>1624978.9</v>
      </c>
      <c r="AO61" s="366">
        <v>0</v>
      </c>
      <c r="AP61" s="366">
        <v>16627.48</v>
      </c>
      <c r="AQ61" s="366">
        <v>332.81</v>
      </c>
      <c r="AR61" s="366">
        <v>1892485.97</v>
      </c>
      <c r="AS61" s="366">
        <v>0</v>
      </c>
      <c r="AT61" s="366">
        <v>18734.189999999999</v>
      </c>
      <c r="AU61" s="366">
        <v>431.34</v>
      </c>
      <c r="AV61" s="366">
        <v>2186329.15</v>
      </c>
      <c r="AW61" s="366">
        <v>0</v>
      </c>
      <c r="AX61" s="366">
        <v>20914.57</v>
      </c>
      <c r="AY61" s="366">
        <v>548.85</v>
      </c>
      <c r="AZ61" s="366">
        <v>1927977.9</v>
      </c>
      <c r="BA61" s="366">
        <v>0</v>
      </c>
      <c r="BB61" s="366">
        <v>18443.16</v>
      </c>
      <c r="BC61" s="366">
        <v>42637.14</v>
      </c>
      <c r="BD61" s="366">
        <v>1674253.88</v>
      </c>
      <c r="BE61" s="366">
        <v>0</v>
      </c>
      <c r="BF61" s="366">
        <v>16016.02</v>
      </c>
      <c r="BG61" s="366">
        <v>68402.39</v>
      </c>
      <c r="BH61" s="366">
        <v>1422095.31</v>
      </c>
      <c r="BI61" s="366">
        <v>0</v>
      </c>
      <c r="BJ61" s="366">
        <v>13603.86</v>
      </c>
      <c r="BK61" s="366">
        <v>84751.11</v>
      </c>
      <c r="BL61" s="366">
        <v>1723036.78</v>
      </c>
      <c r="BM61" s="366">
        <v>0</v>
      </c>
      <c r="BN61" s="366">
        <v>16585.009999999998</v>
      </c>
      <c r="BO61" s="366">
        <v>134976.57</v>
      </c>
      <c r="BP61" s="366">
        <v>1319045.8600000001</v>
      </c>
      <c r="BQ61" s="366">
        <v>0</v>
      </c>
      <c r="BR61" s="366">
        <v>12726.17</v>
      </c>
      <c r="BS61" s="366">
        <v>103329.36</v>
      </c>
      <c r="BT61" s="366">
        <v>1312449.1200000001</v>
      </c>
      <c r="BU61" s="366">
        <v>0</v>
      </c>
      <c r="BV61" s="366">
        <v>12698.99</v>
      </c>
      <c r="BW61" s="366">
        <v>102812.59</v>
      </c>
      <c r="BX61" s="366">
        <v>1249609.3700000001</v>
      </c>
      <c r="BY61" s="366">
        <v>0</v>
      </c>
      <c r="BZ61" s="366">
        <v>12134.79</v>
      </c>
      <c r="CA61" s="366">
        <v>164241.79999999999</v>
      </c>
      <c r="CB61" s="366">
        <v>1039662.15</v>
      </c>
      <c r="CC61" s="366">
        <v>0</v>
      </c>
      <c r="CD61" s="366">
        <v>10125.280000000001</v>
      </c>
      <c r="CE61" s="366">
        <v>136647.49</v>
      </c>
      <c r="CF61" s="366">
        <v>100</v>
      </c>
      <c r="CG61" s="366">
        <v>0</v>
      </c>
      <c r="CH61" s="366">
        <v>100</v>
      </c>
      <c r="CI61" s="366">
        <v>100</v>
      </c>
    </row>
    <row r="62" spans="1:87">
      <c r="A62" s="366" t="s">
        <v>1460</v>
      </c>
      <c r="B62" s="366" t="s">
        <v>1231</v>
      </c>
      <c r="C62" s="366" t="s">
        <v>1477</v>
      </c>
      <c r="D62" s="366" t="s">
        <v>1237</v>
      </c>
      <c r="E62" s="366" t="s">
        <v>1483</v>
      </c>
      <c r="F62" s="366" t="s">
        <v>1483</v>
      </c>
      <c r="G62" s="366" t="s">
        <v>1234</v>
      </c>
      <c r="H62" s="366">
        <v>0</v>
      </c>
      <c r="I62" s="366">
        <v>0</v>
      </c>
      <c r="J62" s="366">
        <v>0</v>
      </c>
      <c r="K62" s="366">
        <v>0</v>
      </c>
      <c r="L62" s="366">
        <v>207512.59</v>
      </c>
      <c r="M62" s="366">
        <v>0</v>
      </c>
      <c r="N62" s="366">
        <v>2607.33</v>
      </c>
      <c r="O62" s="366">
        <v>8.92</v>
      </c>
      <c r="P62" s="366">
        <v>425842.58</v>
      </c>
      <c r="Q62" s="366">
        <v>0</v>
      </c>
      <c r="R62" s="366">
        <v>5208.7</v>
      </c>
      <c r="S62" s="366">
        <v>28.16</v>
      </c>
      <c r="T62" s="366">
        <v>633521.18999999994</v>
      </c>
      <c r="U62" s="366">
        <v>0</v>
      </c>
      <c r="V62" s="366">
        <v>7537.84</v>
      </c>
      <c r="W62" s="366">
        <v>56.53</v>
      </c>
      <c r="X62" s="366">
        <v>804560.59</v>
      </c>
      <c r="Y62" s="366">
        <v>0</v>
      </c>
      <c r="Z62" s="366">
        <v>9304.86</v>
      </c>
      <c r="AA62" s="366">
        <v>90.39</v>
      </c>
      <c r="AB62" s="366">
        <v>1000274.46</v>
      </c>
      <c r="AC62" s="366">
        <v>0</v>
      </c>
      <c r="AD62" s="366">
        <v>11235.05</v>
      </c>
      <c r="AE62" s="366">
        <v>135.5</v>
      </c>
      <c r="AF62" s="366">
        <v>1181682.19</v>
      </c>
      <c r="AG62" s="366">
        <v>0</v>
      </c>
      <c r="AH62" s="366">
        <v>12878.9</v>
      </c>
      <c r="AI62" s="366">
        <v>187.39</v>
      </c>
      <c r="AJ62" s="366">
        <v>1374297.45</v>
      </c>
      <c r="AK62" s="366">
        <v>0</v>
      </c>
      <c r="AL62" s="366">
        <v>14520.29</v>
      </c>
      <c r="AM62" s="366">
        <v>249.7</v>
      </c>
      <c r="AN62" s="366">
        <v>1624978.9</v>
      </c>
      <c r="AO62" s="366">
        <v>0</v>
      </c>
      <c r="AP62" s="366">
        <v>16627.48</v>
      </c>
      <c r="AQ62" s="366">
        <v>332.81</v>
      </c>
      <c r="AR62" s="366">
        <v>1892485.97</v>
      </c>
      <c r="AS62" s="366">
        <v>0</v>
      </c>
      <c r="AT62" s="366">
        <v>18734.189999999999</v>
      </c>
      <c r="AU62" s="366">
        <v>431.34</v>
      </c>
      <c r="AV62" s="366">
        <v>2186329.15</v>
      </c>
      <c r="AW62" s="366">
        <v>0</v>
      </c>
      <c r="AX62" s="366">
        <v>20914.57</v>
      </c>
      <c r="AY62" s="366">
        <v>548.85</v>
      </c>
      <c r="AZ62" s="366">
        <v>1927977.9</v>
      </c>
      <c r="BA62" s="366">
        <v>0</v>
      </c>
      <c r="BB62" s="366">
        <v>18443.16</v>
      </c>
      <c r="BC62" s="366">
        <v>42637.14</v>
      </c>
      <c r="BD62" s="366">
        <v>1674253.88</v>
      </c>
      <c r="BE62" s="366">
        <v>0</v>
      </c>
      <c r="BF62" s="366">
        <v>16016.02</v>
      </c>
      <c r="BG62" s="366">
        <v>68402.39</v>
      </c>
      <c r="BH62" s="366">
        <v>1422095.31</v>
      </c>
      <c r="BI62" s="366">
        <v>0</v>
      </c>
      <c r="BJ62" s="366">
        <v>13603.86</v>
      </c>
      <c r="BK62" s="366">
        <v>84751.11</v>
      </c>
      <c r="BL62" s="366">
        <v>1723036.78</v>
      </c>
      <c r="BM62" s="366">
        <v>0</v>
      </c>
      <c r="BN62" s="366">
        <v>16585.009999999998</v>
      </c>
      <c r="BO62" s="366">
        <v>134976.57</v>
      </c>
      <c r="BP62" s="366">
        <v>1319045.8600000001</v>
      </c>
      <c r="BQ62" s="366">
        <v>0</v>
      </c>
      <c r="BR62" s="366">
        <v>12726.17</v>
      </c>
      <c r="BS62" s="366">
        <v>103329.36</v>
      </c>
      <c r="BT62" s="366">
        <v>1312449.1200000001</v>
      </c>
      <c r="BU62" s="366">
        <v>0</v>
      </c>
      <c r="BV62" s="366">
        <v>12698.99</v>
      </c>
      <c r="BW62" s="366">
        <v>102812.59</v>
      </c>
      <c r="BX62" s="366">
        <v>1249609.3700000001</v>
      </c>
      <c r="BY62" s="366">
        <v>0</v>
      </c>
      <c r="BZ62" s="366">
        <v>12134.79</v>
      </c>
      <c r="CA62" s="366">
        <v>164241.79999999999</v>
      </c>
      <c r="CB62" s="366">
        <v>1039662.15</v>
      </c>
      <c r="CC62" s="366">
        <v>0</v>
      </c>
      <c r="CD62" s="366">
        <v>10125.280000000001</v>
      </c>
      <c r="CE62" s="366">
        <v>136647.49</v>
      </c>
      <c r="CF62" s="366">
        <v>100</v>
      </c>
      <c r="CG62" s="366">
        <v>0</v>
      </c>
      <c r="CH62" s="366">
        <v>100</v>
      </c>
      <c r="CI62" s="366">
        <v>100</v>
      </c>
    </row>
    <row r="63" spans="1:87">
      <c r="A63" s="366" t="s">
        <v>1460</v>
      </c>
      <c r="B63" s="366" t="s">
        <v>1231</v>
      </c>
      <c r="C63" s="366" t="s">
        <v>1478</v>
      </c>
      <c r="D63" s="366" t="s">
        <v>1238</v>
      </c>
      <c r="E63" s="366" t="s">
        <v>1482</v>
      </c>
      <c r="F63" s="366" t="s">
        <v>1482</v>
      </c>
      <c r="G63" s="366" t="s">
        <v>1234</v>
      </c>
      <c r="H63" s="366">
        <v>0</v>
      </c>
      <c r="I63" s="366">
        <v>0</v>
      </c>
      <c r="J63" s="366">
        <v>0</v>
      </c>
      <c r="K63" s="366">
        <v>0</v>
      </c>
      <c r="L63" s="366">
        <v>0</v>
      </c>
      <c r="M63" s="366">
        <v>0</v>
      </c>
      <c r="N63" s="366">
        <v>0</v>
      </c>
      <c r="O63" s="366">
        <v>0</v>
      </c>
      <c r="P63" s="366">
        <v>0</v>
      </c>
      <c r="Q63" s="366">
        <v>0</v>
      </c>
      <c r="R63" s="366">
        <v>0</v>
      </c>
      <c r="S63" s="366">
        <v>0</v>
      </c>
      <c r="T63" s="366">
        <v>0</v>
      </c>
      <c r="U63" s="366">
        <v>0</v>
      </c>
      <c r="V63" s="366">
        <v>0</v>
      </c>
      <c r="W63" s="366">
        <v>0</v>
      </c>
      <c r="X63" s="366">
        <v>0</v>
      </c>
      <c r="Y63" s="366">
        <v>0</v>
      </c>
      <c r="Z63" s="366">
        <v>0</v>
      </c>
      <c r="AA63" s="366">
        <v>0</v>
      </c>
      <c r="AB63" s="366">
        <v>0</v>
      </c>
      <c r="AC63" s="366">
        <v>0</v>
      </c>
      <c r="AD63" s="366">
        <v>0</v>
      </c>
      <c r="AE63" s="366">
        <v>0</v>
      </c>
      <c r="AF63" s="366">
        <v>0</v>
      </c>
      <c r="AG63" s="366">
        <v>0</v>
      </c>
      <c r="AH63" s="366">
        <v>0</v>
      </c>
      <c r="AI63" s="366">
        <v>0</v>
      </c>
      <c r="AJ63" s="366">
        <v>0</v>
      </c>
      <c r="AK63" s="366">
        <v>0</v>
      </c>
      <c r="AL63" s="366">
        <v>0</v>
      </c>
      <c r="AM63" s="366">
        <v>0</v>
      </c>
      <c r="AN63" s="366">
        <v>0</v>
      </c>
      <c r="AO63" s="366">
        <v>0</v>
      </c>
      <c r="AP63" s="366">
        <v>0</v>
      </c>
      <c r="AQ63" s="366">
        <v>0</v>
      </c>
      <c r="AR63" s="366">
        <v>0</v>
      </c>
      <c r="AS63" s="366">
        <v>0</v>
      </c>
      <c r="AT63" s="366">
        <v>0</v>
      </c>
      <c r="AU63" s="366">
        <v>0</v>
      </c>
      <c r="AV63" s="366">
        <v>0</v>
      </c>
      <c r="AW63" s="366">
        <v>0</v>
      </c>
      <c r="AX63" s="366">
        <v>0</v>
      </c>
      <c r="AY63" s="366">
        <v>0</v>
      </c>
      <c r="AZ63" s="366">
        <v>644655.11</v>
      </c>
      <c r="BA63" s="366">
        <v>0</v>
      </c>
      <c r="BB63" s="366">
        <v>23623.19</v>
      </c>
      <c r="BC63" s="366">
        <v>9059.73</v>
      </c>
      <c r="BD63" s="366">
        <v>1306198.98</v>
      </c>
      <c r="BE63" s="366">
        <v>0</v>
      </c>
      <c r="BF63" s="366">
        <v>47865.27</v>
      </c>
      <c r="BG63" s="366">
        <v>33328.83</v>
      </c>
      <c r="BH63" s="366">
        <v>2038686.31</v>
      </c>
      <c r="BI63" s="366">
        <v>0</v>
      </c>
      <c r="BJ63" s="366">
        <v>0</v>
      </c>
      <c r="BK63" s="366">
        <v>75386.89</v>
      </c>
      <c r="BL63" s="366">
        <v>2782465.5</v>
      </c>
      <c r="BM63" s="366">
        <v>0</v>
      </c>
      <c r="BN63" s="366">
        <v>101962.61</v>
      </c>
      <c r="BO63" s="366">
        <v>134783.88</v>
      </c>
      <c r="BP63" s="366">
        <v>3252536.62</v>
      </c>
      <c r="BQ63" s="366">
        <v>0</v>
      </c>
      <c r="BR63" s="366">
        <v>119188.22</v>
      </c>
      <c r="BS63" s="366">
        <v>157554.34</v>
      </c>
      <c r="BT63" s="366">
        <v>4253843.88</v>
      </c>
      <c r="BU63" s="366">
        <v>0</v>
      </c>
      <c r="BV63" s="366">
        <v>155880.82999999999</v>
      </c>
      <c r="BW63" s="366">
        <v>206058.12</v>
      </c>
      <c r="BX63" s="366">
        <v>5116784.32</v>
      </c>
      <c r="BY63" s="366">
        <v>0</v>
      </c>
      <c r="BZ63" s="366">
        <v>0</v>
      </c>
      <c r="CA63" s="366">
        <v>414034.41</v>
      </c>
      <c r="CB63" s="366">
        <v>4977564.3099999996</v>
      </c>
      <c r="CC63" s="366">
        <v>0</v>
      </c>
      <c r="CD63" s="366">
        <v>0</v>
      </c>
      <c r="CE63" s="366">
        <v>402769.16</v>
      </c>
      <c r="CF63" s="366">
        <v>100</v>
      </c>
      <c r="CG63" s="366">
        <v>0</v>
      </c>
      <c r="CH63" s="366">
        <v>0</v>
      </c>
      <c r="CI63" s="366">
        <v>100</v>
      </c>
    </row>
    <row r="64" spans="1:87">
      <c r="A64" s="366" t="s">
        <v>1460</v>
      </c>
      <c r="B64" s="366" t="s">
        <v>1231</v>
      </c>
      <c r="C64" s="366" t="s">
        <v>1478</v>
      </c>
      <c r="D64" s="366" t="s">
        <v>1238</v>
      </c>
      <c r="E64" s="366" t="s">
        <v>1483</v>
      </c>
      <c r="F64" s="366" t="s">
        <v>1483</v>
      </c>
      <c r="G64" s="366" t="s">
        <v>1234</v>
      </c>
      <c r="H64" s="366">
        <v>0</v>
      </c>
      <c r="I64" s="366">
        <v>0</v>
      </c>
      <c r="J64" s="366">
        <v>0</v>
      </c>
      <c r="K64" s="366">
        <v>0</v>
      </c>
      <c r="L64" s="366">
        <v>0</v>
      </c>
      <c r="M64" s="366">
        <v>0</v>
      </c>
      <c r="N64" s="366">
        <v>0</v>
      </c>
      <c r="O64" s="366">
        <v>0</v>
      </c>
      <c r="P64" s="366">
        <v>0</v>
      </c>
      <c r="Q64" s="366">
        <v>0</v>
      </c>
      <c r="R64" s="366">
        <v>0</v>
      </c>
      <c r="S64" s="366">
        <v>0</v>
      </c>
      <c r="T64" s="366">
        <v>0</v>
      </c>
      <c r="U64" s="366">
        <v>0</v>
      </c>
      <c r="V64" s="366">
        <v>0</v>
      </c>
      <c r="W64" s="366">
        <v>0</v>
      </c>
      <c r="X64" s="366">
        <v>0</v>
      </c>
      <c r="Y64" s="366">
        <v>0</v>
      </c>
      <c r="Z64" s="366">
        <v>0</v>
      </c>
      <c r="AA64" s="366">
        <v>0</v>
      </c>
      <c r="AB64" s="366">
        <v>0</v>
      </c>
      <c r="AC64" s="366">
        <v>0</v>
      </c>
      <c r="AD64" s="366">
        <v>0</v>
      </c>
      <c r="AE64" s="366">
        <v>0</v>
      </c>
      <c r="AF64" s="366">
        <v>0</v>
      </c>
      <c r="AG64" s="366">
        <v>0</v>
      </c>
      <c r="AH64" s="366">
        <v>0</v>
      </c>
      <c r="AI64" s="366">
        <v>0</v>
      </c>
      <c r="AJ64" s="366">
        <v>0</v>
      </c>
      <c r="AK64" s="366">
        <v>0</v>
      </c>
      <c r="AL64" s="366">
        <v>0</v>
      </c>
      <c r="AM64" s="366">
        <v>0</v>
      </c>
      <c r="AN64" s="366">
        <v>0</v>
      </c>
      <c r="AO64" s="366">
        <v>0</v>
      </c>
      <c r="AP64" s="366">
        <v>0</v>
      </c>
      <c r="AQ64" s="366">
        <v>0</v>
      </c>
      <c r="AR64" s="366">
        <v>0</v>
      </c>
      <c r="AS64" s="366">
        <v>0</v>
      </c>
      <c r="AT64" s="366">
        <v>0</v>
      </c>
      <c r="AU64" s="366">
        <v>0</v>
      </c>
      <c r="AV64" s="366">
        <v>0</v>
      </c>
      <c r="AW64" s="366">
        <v>0</v>
      </c>
      <c r="AX64" s="366">
        <v>0</v>
      </c>
      <c r="AY64" s="366">
        <v>0</v>
      </c>
      <c r="AZ64" s="366">
        <v>644655.11</v>
      </c>
      <c r="BA64" s="366">
        <v>0</v>
      </c>
      <c r="BB64" s="366">
        <v>23623.19</v>
      </c>
      <c r="BC64" s="366">
        <v>9059.73</v>
      </c>
      <c r="BD64" s="366">
        <v>1306198.98</v>
      </c>
      <c r="BE64" s="366">
        <v>0</v>
      </c>
      <c r="BF64" s="366">
        <v>47865.27</v>
      </c>
      <c r="BG64" s="366">
        <v>33328.83</v>
      </c>
      <c r="BH64" s="366">
        <v>2038686.31</v>
      </c>
      <c r="BI64" s="366">
        <v>0</v>
      </c>
      <c r="BJ64" s="366">
        <v>0</v>
      </c>
      <c r="BK64" s="366">
        <v>75386.89</v>
      </c>
      <c r="BL64" s="366">
        <v>2782465.5</v>
      </c>
      <c r="BM64" s="366">
        <v>0</v>
      </c>
      <c r="BN64" s="366">
        <v>101962.61</v>
      </c>
      <c r="BO64" s="366">
        <v>134783.88</v>
      </c>
      <c r="BP64" s="366">
        <v>3252536.62</v>
      </c>
      <c r="BQ64" s="366">
        <v>0</v>
      </c>
      <c r="BR64" s="366">
        <v>119188.22</v>
      </c>
      <c r="BS64" s="366">
        <v>157554.34</v>
      </c>
      <c r="BT64" s="366">
        <v>4253843.88</v>
      </c>
      <c r="BU64" s="366">
        <v>0</v>
      </c>
      <c r="BV64" s="366">
        <v>155880.82999999999</v>
      </c>
      <c r="BW64" s="366">
        <v>206058.12</v>
      </c>
      <c r="BX64" s="366">
        <v>5116784.32</v>
      </c>
      <c r="BY64" s="366">
        <v>0</v>
      </c>
      <c r="BZ64" s="366">
        <v>0</v>
      </c>
      <c r="CA64" s="366">
        <v>414034.41</v>
      </c>
      <c r="CB64" s="366">
        <v>4977564.3099999996</v>
      </c>
      <c r="CC64" s="366">
        <v>0</v>
      </c>
      <c r="CD64" s="366">
        <v>0</v>
      </c>
      <c r="CE64" s="366">
        <v>402769.16</v>
      </c>
      <c r="CF64" s="366">
        <v>100</v>
      </c>
      <c r="CG64" s="366">
        <v>0</v>
      </c>
      <c r="CH64" s="366">
        <v>0</v>
      </c>
      <c r="CI64" s="366">
        <v>100</v>
      </c>
    </row>
    <row r="65" spans="1:87">
      <c r="A65" s="366" t="s">
        <v>1460</v>
      </c>
      <c r="B65" s="366" t="s">
        <v>1231</v>
      </c>
      <c r="C65" s="366" t="s">
        <v>1479</v>
      </c>
      <c r="D65" s="366" t="s">
        <v>1239</v>
      </c>
      <c r="E65" s="366" t="s">
        <v>1482</v>
      </c>
      <c r="F65" s="366" t="s">
        <v>1482</v>
      </c>
      <c r="G65" s="366" t="s">
        <v>1234</v>
      </c>
      <c r="H65" s="366">
        <v>0</v>
      </c>
      <c r="I65" s="366">
        <v>0</v>
      </c>
      <c r="J65" s="366">
        <v>0</v>
      </c>
      <c r="K65" s="366">
        <v>0</v>
      </c>
      <c r="L65" s="366">
        <v>0</v>
      </c>
      <c r="M65" s="366">
        <v>0</v>
      </c>
      <c r="N65" s="366">
        <v>0</v>
      </c>
      <c r="O65" s="366">
        <v>0</v>
      </c>
      <c r="P65" s="366">
        <v>0</v>
      </c>
      <c r="Q65" s="366">
        <v>0</v>
      </c>
      <c r="R65" s="366">
        <v>0</v>
      </c>
      <c r="S65" s="366">
        <v>0</v>
      </c>
      <c r="T65" s="366">
        <v>0</v>
      </c>
      <c r="U65" s="366">
        <v>0</v>
      </c>
      <c r="V65" s="366">
        <v>0</v>
      </c>
      <c r="W65" s="366">
        <v>0</v>
      </c>
      <c r="X65" s="366">
        <v>0</v>
      </c>
      <c r="Y65" s="366">
        <v>0</v>
      </c>
      <c r="Z65" s="366">
        <v>0</v>
      </c>
      <c r="AA65" s="366">
        <v>0</v>
      </c>
      <c r="AB65" s="366">
        <v>0</v>
      </c>
      <c r="AC65" s="366">
        <v>0</v>
      </c>
      <c r="AD65" s="366">
        <v>0</v>
      </c>
      <c r="AE65" s="366">
        <v>0</v>
      </c>
      <c r="AF65" s="366">
        <v>0</v>
      </c>
      <c r="AG65" s="366">
        <v>0</v>
      </c>
      <c r="AH65" s="366">
        <v>0</v>
      </c>
      <c r="AI65" s="366">
        <v>0</v>
      </c>
      <c r="AJ65" s="366">
        <v>0</v>
      </c>
      <c r="AK65" s="366">
        <v>0</v>
      </c>
      <c r="AL65" s="366">
        <v>0</v>
      </c>
      <c r="AM65" s="366">
        <v>0</v>
      </c>
      <c r="AN65" s="366">
        <v>0</v>
      </c>
      <c r="AO65" s="366">
        <v>0</v>
      </c>
      <c r="AP65" s="366">
        <v>0</v>
      </c>
      <c r="AQ65" s="366">
        <v>0</v>
      </c>
      <c r="AR65" s="366">
        <v>0</v>
      </c>
      <c r="AS65" s="366">
        <v>0</v>
      </c>
      <c r="AT65" s="366">
        <v>0</v>
      </c>
      <c r="AU65" s="366">
        <v>0</v>
      </c>
      <c r="AV65" s="366">
        <v>0</v>
      </c>
      <c r="AW65" s="366">
        <v>0</v>
      </c>
      <c r="AX65" s="366">
        <v>0</v>
      </c>
      <c r="AY65" s="366">
        <v>0</v>
      </c>
      <c r="AZ65" s="366">
        <v>33840.129999999997</v>
      </c>
      <c r="BA65" s="366">
        <v>0</v>
      </c>
      <c r="BB65" s="366">
        <v>983.32</v>
      </c>
      <c r="BC65" s="366">
        <v>1167.05</v>
      </c>
      <c r="BD65" s="366">
        <v>67890.070000000007</v>
      </c>
      <c r="BE65" s="366">
        <v>0</v>
      </c>
      <c r="BF65" s="366">
        <v>1972.73</v>
      </c>
      <c r="BG65" s="366">
        <v>3787.24</v>
      </c>
      <c r="BH65" s="366">
        <v>132671.73000000001</v>
      </c>
      <c r="BI65" s="366">
        <v>0</v>
      </c>
      <c r="BJ65" s="366">
        <v>3855.14</v>
      </c>
      <c r="BK65" s="366">
        <v>10226.68</v>
      </c>
      <c r="BL65" s="366">
        <v>177444.02</v>
      </c>
      <c r="BM65" s="366">
        <v>0</v>
      </c>
      <c r="BN65" s="366">
        <v>5156.12</v>
      </c>
      <c r="BO65" s="366">
        <v>17456.990000000002</v>
      </c>
      <c r="BP65" s="366">
        <v>222492.62</v>
      </c>
      <c r="BQ65" s="366">
        <v>0</v>
      </c>
      <c r="BR65" s="366">
        <v>6465.13</v>
      </c>
      <c r="BS65" s="366">
        <v>21888.880000000001</v>
      </c>
      <c r="BT65" s="366">
        <v>267818.82</v>
      </c>
      <c r="BU65" s="366">
        <v>0</v>
      </c>
      <c r="BV65" s="366">
        <v>7782.2</v>
      </c>
      <c r="BW65" s="366">
        <v>26348.09</v>
      </c>
      <c r="BX65" s="366">
        <v>313423.90000000002</v>
      </c>
      <c r="BY65" s="366">
        <v>0</v>
      </c>
      <c r="BZ65" s="366">
        <v>9107.3799999999992</v>
      </c>
      <c r="CA65" s="366">
        <v>49747.82</v>
      </c>
      <c r="CB65" s="366">
        <v>262467.25</v>
      </c>
      <c r="CC65" s="366">
        <v>0</v>
      </c>
      <c r="CD65" s="366">
        <v>7626.7</v>
      </c>
      <c r="CE65" s="366">
        <v>41659.79</v>
      </c>
      <c r="CF65" s="366">
        <v>100</v>
      </c>
      <c r="CG65" s="366">
        <v>0</v>
      </c>
      <c r="CH65" s="366">
        <v>100</v>
      </c>
      <c r="CI65" s="366">
        <v>100</v>
      </c>
    </row>
    <row r="66" spans="1:87">
      <c r="A66" s="366" t="s">
        <v>1460</v>
      </c>
      <c r="B66" s="366" t="s">
        <v>1231</v>
      </c>
      <c r="C66" s="366" t="s">
        <v>1479</v>
      </c>
      <c r="D66" s="366" t="s">
        <v>1239</v>
      </c>
      <c r="E66" s="366" t="s">
        <v>1483</v>
      </c>
      <c r="F66" s="366" t="s">
        <v>1483</v>
      </c>
      <c r="G66" s="366" t="s">
        <v>1234</v>
      </c>
      <c r="H66" s="366">
        <v>0</v>
      </c>
      <c r="I66" s="366">
        <v>0</v>
      </c>
      <c r="J66" s="366">
        <v>0</v>
      </c>
      <c r="K66" s="366">
        <v>0</v>
      </c>
      <c r="L66" s="366">
        <v>0</v>
      </c>
      <c r="M66" s="366">
        <v>0</v>
      </c>
      <c r="N66" s="366">
        <v>0</v>
      </c>
      <c r="O66" s="366">
        <v>0</v>
      </c>
      <c r="P66" s="366">
        <v>0</v>
      </c>
      <c r="Q66" s="366">
        <v>0</v>
      </c>
      <c r="R66" s="366">
        <v>0</v>
      </c>
      <c r="S66" s="366">
        <v>0</v>
      </c>
      <c r="T66" s="366">
        <v>0</v>
      </c>
      <c r="U66" s="366">
        <v>0</v>
      </c>
      <c r="V66" s="366">
        <v>0</v>
      </c>
      <c r="W66" s="366">
        <v>0</v>
      </c>
      <c r="X66" s="366">
        <v>0</v>
      </c>
      <c r="Y66" s="366">
        <v>0</v>
      </c>
      <c r="Z66" s="366">
        <v>0</v>
      </c>
      <c r="AA66" s="366">
        <v>0</v>
      </c>
      <c r="AB66" s="366">
        <v>0</v>
      </c>
      <c r="AC66" s="366">
        <v>0</v>
      </c>
      <c r="AD66" s="366">
        <v>0</v>
      </c>
      <c r="AE66" s="366">
        <v>0</v>
      </c>
      <c r="AF66" s="366">
        <v>0</v>
      </c>
      <c r="AG66" s="366">
        <v>0</v>
      </c>
      <c r="AH66" s="366">
        <v>0</v>
      </c>
      <c r="AI66" s="366">
        <v>0</v>
      </c>
      <c r="AJ66" s="366">
        <v>0</v>
      </c>
      <c r="AK66" s="366">
        <v>0</v>
      </c>
      <c r="AL66" s="366">
        <v>0</v>
      </c>
      <c r="AM66" s="366">
        <v>0</v>
      </c>
      <c r="AN66" s="366">
        <v>0</v>
      </c>
      <c r="AO66" s="366">
        <v>0</v>
      </c>
      <c r="AP66" s="366">
        <v>0</v>
      </c>
      <c r="AQ66" s="366">
        <v>0</v>
      </c>
      <c r="AR66" s="366">
        <v>0</v>
      </c>
      <c r="AS66" s="366">
        <v>0</v>
      </c>
      <c r="AT66" s="366">
        <v>0</v>
      </c>
      <c r="AU66" s="366">
        <v>0</v>
      </c>
      <c r="AV66" s="366">
        <v>0</v>
      </c>
      <c r="AW66" s="366">
        <v>0</v>
      </c>
      <c r="AX66" s="366">
        <v>0</v>
      </c>
      <c r="AY66" s="366">
        <v>0</v>
      </c>
      <c r="AZ66" s="366">
        <v>33840.129999999997</v>
      </c>
      <c r="BA66" s="366">
        <v>0</v>
      </c>
      <c r="BB66" s="366">
        <v>983.32</v>
      </c>
      <c r="BC66" s="366">
        <v>1167.05</v>
      </c>
      <c r="BD66" s="366">
        <v>67890.070000000007</v>
      </c>
      <c r="BE66" s="366">
        <v>0</v>
      </c>
      <c r="BF66" s="366">
        <v>1972.73</v>
      </c>
      <c r="BG66" s="366">
        <v>3787.24</v>
      </c>
      <c r="BH66" s="366">
        <v>132671.73000000001</v>
      </c>
      <c r="BI66" s="366">
        <v>0</v>
      </c>
      <c r="BJ66" s="366">
        <v>3855.14</v>
      </c>
      <c r="BK66" s="366">
        <v>10226.68</v>
      </c>
      <c r="BL66" s="366">
        <v>177444.02</v>
      </c>
      <c r="BM66" s="366">
        <v>0</v>
      </c>
      <c r="BN66" s="366">
        <v>5156.12</v>
      </c>
      <c r="BO66" s="366">
        <v>17456.990000000002</v>
      </c>
      <c r="BP66" s="366">
        <v>222492.62</v>
      </c>
      <c r="BQ66" s="366">
        <v>0</v>
      </c>
      <c r="BR66" s="366">
        <v>6465.13</v>
      </c>
      <c r="BS66" s="366">
        <v>21888.880000000001</v>
      </c>
      <c r="BT66" s="366">
        <v>267818.82</v>
      </c>
      <c r="BU66" s="366">
        <v>0</v>
      </c>
      <c r="BV66" s="366">
        <v>7782.2</v>
      </c>
      <c r="BW66" s="366">
        <v>26348.09</v>
      </c>
      <c r="BX66" s="366">
        <v>313423.90000000002</v>
      </c>
      <c r="BY66" s="366">
        <v>0</v>
      </c>
      <c r="BZ66" s="366">
        <v>9107.3799999999992</v>
      </c>
      <c r="CA66" s="366">
        <v>49747.82</v>
      </c>
      <c r="CB66" s="366">
        <v>262467.25</v>
      </c>
      <c r="CC66" s="366">
        <v>0</v>
      </c>
      <c r="CD66" s="366">
        <v>7626.7</v>
      </c>
      <c r="CE66" s="366">
        <v>41659.79</v>
      </c>
      <c r="CF66" s="366">
        <v>100</v>
      </c>
      <c r="CG66" s="366">
        <v>0</v>
      </c>
      <c r="CH66" s="366">
        <v>100</v>
      </c>
      <c r="CI66" s="366">
        <v>100</v>
      </c>
    </row>
    <row r="67" spans="1:87">
      <c r="A67" s="366" t="s">
        <v>1460</v>
      </c>
      <c r="B67" s="366" t="s">
        <v>1231</v>
      </c>
      <c r="C67" s="366" t="s">
        <v>1476</v>
      </c>
      <c r="D67" s="366" t="s">
        <v>1232</v>
      </c>
      <c r="E67" s="366" t="s">
        <v>1461</v>
      </c>
      <c r="F67" s="366" t="s">
        <v>1461</v>
      </c>
      <c r="G67" s="366" t="s">
        <v>1234</v>
      </c>
      <c r="H67" s="366">
        <v>0</v>
      </c>
      <c r="I67" s="366">
        <v>0</v>
      </c>
      <c r="J67" s="366">
        <v>0</v>
      </c>
      <c r="K67" s="366">
        <v>0</v>
      </c>
      <c r="L67" s="366">
        <v>188770.47</v>
      </c>
      <c r="M67" s="366">
        <v>0</v>
      </c>
      <c r="N67" s="366">
        <v>492.72</v>
      </c>
      <c r="O67" s="366">
        <v>21.32</v>
      </c>
      <c r="P67" s="366">
        <v>379161.59999999998</v>
      </c>
      <c r="Q67" s="366">
        <v>0</v>
      </c>
      <c r="R67" s="366">
        <v>989.68</v>
      </c>
      <c r="S67" s="366">
        <v>38.4</v>
      </c>
      <c r="T67" s="366">
        <v>550757.29</v>
      </c>
      <c r="U67" s="366">
        <v>0</v>
      </c>
      <c r="V67" s="366">
        <v>1437.58</v>
      </c>
      <c r="W67" s="366">
        <v>55.79</v>
      </c>
      <c r="X67" s="366">
        <v>727182.05</v>
      </c>
      <c r="Y67" s="366">
        <v>0</v>
      </c>
      <c r="Z67" s="366">
        <v>1898.08</v>
      </c>
      <c r="AA67" s="366">
        <v>68.84</v>
      </c>
      <c r="AB67" s="366">
        <v>909382.11</v>
      </c>
      <c r="AC67" s="366">
        <v>0</v>
      </c>
      <c r="AD67" s="366">
        <v>2373.65</v>
      </c>
      <c r="AE67" s="366">
        <v>83.7</v>
      </c>
      <c r="AF67" s="366">
        <v>1063161.44</v>
      </c>
      <c r="AG67" s="366">
        <v>0</v>
      </c>
      <c r="AH67" s="366">
        <v>2775.04</v>
      </c>
      <c r="AI67" s="366">
        <v>104.28</v>
      </c>
      <c r="AJ67" s="366">
        <v>1226104.25</v>
      </c>
      <c r="AK67" s="366">
        <v>0</v>
      </c>
      <c r="AL67" s="366">
        <v>3200.35</v>
      </c>
      <c r="AM67" s="366">
        <v>117.43</v>
      </c>
      <c r="AN67" s="366">
        <v>1406993.82</v>
      </c>
      <c r="AO67" s="366">
        <v>0</v>
      </c>
      <c r="AP67" s="366">
        <v>3672.51</v>
      </c>
      <c r="AQ67" s="366">
        <v>119.9</v>
      </c>
      <c r="AR67" s="366">
        <v>1583482.92</v>
      </c>
      <c r="AS67" s="366">
        <v>0</v>
      </c>
      <c r="AT67" s="366">
        <v>4133.18</v>
      </c>
      <c r="AU67" s="366">
        <v>126.3</v>
      </c>
      <c r="AV67" s="366">
        <v>1813721.5</v>
      </c>
      <c r="AW67" s="366">
        <v>0</v>
      </c>
      <c r="AX67" s="366">
        <v>4734.1400000000003</v>
      </c>
      <c r="AY67" s="366">
        <v>133.04</v>
      </c>
      <c r="AZ67" s="366">
        <v>51579462.060000002</v>
      </c>
      <c r="BA67" s="366">
        <v>0</v>
      </c>
      <c r="BB67" s="366">
        <v>134631.67999999999</v>
      </c>
      <c r="BC67" s="366">
        <v>3773.91</v>
      </c>
      <c r="BD67" s="366">
        <v>87437912.780000001</v>
      </c>
      <c r="BE67" s="366">
        <v>0</v>
      </c>
      <c r="BF67" s="366">
        <v>228228.69</v>
      </c>
      <c r="BG67" s="366">
        <v>5557.39</v>
      </c>
      <c r="BH67" s="366">
        <v>124490113.08</v>
      </c>
      <c r="BI67" s="366">
        <v>0</v>
      </c>
      <c r="BJ67" s="366">
        <v>31108.78</v>
      </c>
      <c r="BK67" s="366">
        <v>8169.52</v>
      </c>
      <c r="BL67" s="366">
        <v>159596277.86000001</v>
      </c>
      <c r="BM67" s="366">
        <v>0</v>
      </c>
      <c r="BN67" s="366">
        <v>416575.01</v>
      </c>
      <c r="BO67" s="366">
        <v>10350.67</v>
      </c>
      <c r="BP67" s="366">
        <v>159102026.52000001</v>
      </c>
      <c r="BQ67" s="366">
        <v>0</v>
      </c>
      <c r="BR67" s="366">
        <v>415284.93</v>
      </c>
      <c r="BS67" s="366">
        <v>10318.620000000001</v>
      </c>
      <c r="BT67" s="366">
        <v>229628106.66999999</v>
      </c>
      <c r="BU67" s="366">
        <v>0</v>
      </c>
      <c r="BV67" s="366">
        <v>599370.68999999994</v>
      </c>
      <c r="BW67" s="366">
        <v>14892.61</v>
      </c>
      <c r="BX67" s="366">
        <v>274957546.25999999</v>
      </c>
      <c r="BY67" s="366">
        <v>0</v>
      </c>
      <c r="BZ67" s="366">
        <v>321924.58</v>
      </c>
      <c r="CA67" s="366">
        <v>23519.89</v>
      </c>
      <c r="CB67" s="366">
        <v>389504965.45999998</v>
      </c>
      <c r="CC67" s="366">
        <v>0</v>
      </c>
      <c r="CD67" s="366">
        <v>454460.89</v>
      </c>
      <c r="CE67" s="366">
        <v>33652.65</v>
      </c>
      <c r="CF67" s="366">
        <v>100</v>
      </c>
      <c r="CG67" s="366">
        <v>0</v>
      </c>
      <c r="CH67" s="366">
        <v>100</v>
      </c>
      <c r="CI67" s="366">
        <v>100</v>
      </c>
    </row>
    <row r="68" spans="1:87">
      <c r="A68" s="366" t="s">
        <v>1460</v>
      </c>
      <c r="B68" s="366" t="s">
        <v>1231</v>
      </c>
      <c r="C68" s="366" t="s">
        <v>1477</v>
      </c>
      <c r="D68" s="366" t="s">
        <v>1237</v>
      </c>
      <c r="E68" s="366" t="s">
        <v>1461</v>
      </c>
      <c r="F68" s="366" t="s">
        <v>1461</v>
      </c>
      <c r="G68" s="366" t="s">
        <v>1234</v>
      </c>
      <c r="H68" s="366">
        <v>0</v>
      </c>
      <c r="I68" s="366">
        <v>0</v>
      </c>
      <c r="J68" s="366">
        <v>0</v>
      </c>
      <c r="K68" s="366">
        <v>0</v>
      </c>
      <c r="L68" s="366">
        <v>0</v>
      </c>
      <c r="M68" s="366">
        <v>0</v>
      </c>
      <c r="N68" s="366">
        <v>0</v>
      </c>
      <c r="O68" s="366">
        <v>0</v>
      </c>
      <c r="P68" s="366">
        <v>0</v>
      </c>
      <c r="Q68" s="366">
        <v>0</v>
      </c>
      <c r="R68" s="366">
        <v>0</v>
      </c>
      <c r="S68" s="366">
        <v>0</v>
      </c>
      <c r="T68" s="366">
        <v>0</v>
      </c>
      <c r="U68" s="366">
        <v>0</v>
      </c>
      <c r="V68" s="366">
        <v>0</v>
      </c>
      <c r="W68" s="366">
        <v>0</v>
      </c>
      <c r="X68" s="366">
        <v>0</v>
      </c>
      <c r="Y68" s="366">
        <v>0</v>
      </c>
      <c r="Z68" s="366">
        <v>0</v>
      </c>
      <c r="AA68" s="366">
        <v>0</v>
      </c>
      <c r="AB68" s="366">
        <v>0</v>
      </c>
      <c r="AC68" s="366">
        <v>0</v>
      </c>
      <c r="AD68" s="366">
        <v>0</v>
      </c>
      <c r="AE68" s="366">
        <v>0</v>
      </c>
      <c r="AF68" s="366">
        <v>0</v>
      </c>
      <c r="AG68" s="366">
        <v>0</v>
      </c>
      <c r="AH68" s="366">
        <v>0</v>
      </c>
      <c r="AI68" s="366">
        <v>0</v>
      </c>
      <c r="AJ68" s="366">
        <v>0</v>
      </c>
      <c r="AK68" s="366">
        <v>0</v>
      </c>
      <c r="AL68" s="366">
        <v>0</v>
      </c>
      <c r="AM68" s="366">
        <v>0</v>
      </c>
      <c r="AN68" s="366">
        <v>0</v>
      </c>
      <c r="AO68" s="366">
        <v>0</v>
      </c>
      <c r="AP68" s="366">
        <v>0</v>
      </c>
      <c r="AQ68" s="366">
        <v>0</v>
      </c>
      <c r="AR68" s="366">
        <v>0</v>
      </c>
      <c r="AS68" s="366">
        <v>0</v>
      </c>
      <c r="AT68" s="366">
        <v>0</v>
      </c>
      <c r="AU68" s="366">
        <v>0</v>
      </c>
      <c r="AV68" s="366">
        <v>0</v>
      </c>
      <c r="AW68" s="366">
        <v>0</v>
      </c>
      <c r="AX68" s="366">
        <v>0</v>
      </c>
      <c r="AY68" s="366">
        <v>0</v>
      </c>
      <c r="AZ68" s="366">
        <v>484245.59</v>
      </c>
      <c r="BA68" s="366">
        <v>0</v>
      </c>
      <c r="BB68" s="366">
        <v>3918.3</v>
      </c>
      <c r="BC68" s="366">
        <v>109.84</v>
      </c>
      <c r="BD68" s="366">
        <v>989858.74</v>
      </c>
      <c r="BE68" s="366">
        <v>0</v>
      </c>
      <c r="BF68" s="366">
        <v>8009.5</v>
      </c>
      <c r="BG68" s="366">
        <v>195.03</v>
      </c>
      <c r="BH68" s="366">
        <v>1532410.74</v>
      </c>
      <c r="BI68" s="366">
        <v>0</v>
      </c>
      <c r="BJ68" s="366">
        <v>12399.59</v>
      </c>
      <c r="BK68" s="366">
        <v>311.74</v>
      </c>
      <c r="BL68" s="366">
        <v>2070892.22</v>
      </c>
      <c r="BM68" s="366">
        <v>0</v>
      </c>
      <c r="BN68" s="366">
        <v>16756.740000000002</v>
      </c>
      <c r="BO68" s="366">
        <v>416.36</v>
      </c>
      <c r="BP68" s="366">
        <v>2252897.2999999998</v>
      </c>
      <c r="BQ68" s="366">
        <v>0</v>
      </c>
      <c r="BR68" s="366">
        <v>18229.45</v>
      </c>
      <c r="BS68" s="366">
        <v>452.95</v>
      </c>
      <c r="BT68" s="366">
        <v>3001733.65</v>
      </c>
      <c r="BU68" s="366">
        <v>0</v>
      </c>
      <c r="BV68" s="366">
        <v>24288.7</v>
      </c>
      <c r="BW68" s="366">
        <v>603.5</v>
      </c>
      <c r="BX68" s="366">
        <v>3771484.98</v>
      </c>
      <c r="BY68" s="366">
        <v>0</v>
      </c>
      <c r="BZ68" s="366">
        <v>30517.19</v>
      </c>
      <c r="CA68" s="366">
        <v>1000.1</v>
      </c>
      <c r="CB68" s="366">
        <v>10614688.92</v>
      </c>
      <c r="CC68" s="366">
        <v>0</v>
      </c>
      <c r="CD68" s="366">
        <v>85889.37</v>
      </c>
      <c r="CE68" s="366">
        <v>2842.99</v>
      </c>
      <c r="CF68" s="366">
        <v>100</v>
      </c>
      <c r="CG68" s="366">
        <v>0</v>
      </c>
      <c r="CH68" s="366">
        <v>100</v>
      </c>
      <c r="CI68" s="366">
        <v>100</v>
      </c>
    </row>
    <row r="69" spans="1:87">
      <c r="A69" s="366" t="s">
        <v>1460</v>
      </c>
      <c r="B69" s="366" t="s">
        <v>1231</v>
      </c>
      <c r="C69" s="366" t="s">
        <v>1478</v>
      </c>
      <c r="D69" s="366" t="s">
        <v>1238</v>
      </c>
      <c r="E69" s="366" t="s">
        <v>1461</v>
      </c>
      <c r="F69" s="366" t="s">
        <v>1461</v>
      </c>
      <c r="G69" s="366" t="s">
        <v>1234</v>
      </c>
      <c r="H69" s="366">
        <v>0</v>
      </c>
      <c r="I69" s="366">
        <v>0</v>
      </c>
      <c r="J69" s="366">
        <v>0</v>
      </c>
      <c r="K69" s="366">
        <v>0</v>
      </c>
      <c r="L69" s="366">
        <v>0</v>
      </c>
      <c r="M69" s="366">
        <v>0</v>
      </c>
      <c r="N69" s="366">
        <v>0</v>
      </c>
      <c r="O69" s="366">
        <v>0</v>
      </c>
      <c r="P69" s="366">
        <v>0</v>
      </c>
      <c r="Q69" s="366">
        <v>0</v>
      </c>
      <c r="R69" s="366">
        <v>0</v>
      </c>
      <c r="S69" s="366">
        <v>0</v>
      </c>
      <c r="T69" s="366">
        <v>0</v>
      </c>
      <c r="U69" s="366">
        <v>0</v>
      </c>
      <c r="V69" s="366">
        <v>0</v>
      </c>
      <c r="W69" s="366">
        <v>0</v>
      </c>
      <c r="X69" s="366">
        <v>0</v>
      </c>
      <c r="Y69" s="366">
        <v>0</v>
      </c>
      <c r="Z69" s="366">
        <v>0</v>
      </c>
      <c r="AA69" s="366">
        <v>0</v>
      </c>
      <c r="AB69" s="366">
        <v>0</v>
      </c>
      <c r="AC69" s="366">
        <v>0</v>
      </c>
      <c r="AD69" s="366">
        <v>0</v>
      </c>
      <c r="AE69" s="366">
        <v>0</v>
      </c>
      <c r="AF69" s="366">
        <v>0</v>
      </c>
      <c r="AG69" s="366">
        <v>0</v>
      </c>
      <c r="AH69" s="366">
        <v>0</v>
      </c>
      <c r="AI69" s="366">
        <v>0</v>
      </c>
      <c r="AJ69" s="366">
        <v>0</v>
      </c>
      <c r="AK69" s="366">
        <v>0</v>
      </c>
      <c r="AL69" s="366">
        <v>0</v>
      </c>
      <c r="AM69" s="366">
        <v>0</v>
      </c>
      <c r="AN69" s="366">
        <v>0</v>
      </c>
      <c r="AO69" s="366">
        <v>0</v>
      </c>
      <c r="AP69" s="366">
        <v>0</v>
      </c>
      <c r="AQ69" s="366">
        <v>0</v>
      </c>
      <c r="AR69" s="366">
        <v>0</v>
      </c>
      <c r="AS69" s="366">
        <v>0</v>
      </c>
      <c r="AT69" s="366">
        <v>0</v>
      </c>
      <c r="AU69" s="366">
        <v>0</v>
      </c>
      <c r="AV69" s="366">
        <v>0</v>
      </c>
      <c r="AW69" s="366">
        <v>0</v>
      </c>
      <c r="AX69" s="366">
        <v>0</v>
      </c>
      <c r="AY69" s="366">
        <v>0</v>
      </c>
      <c r="AZ69" s="366">
        <v>0</v>
      </c>
      <c r="BA69" s="366">
        <v>0</v>
      </c>
      <c r="BB69" s="366">
        <v>0</v>
      </c>
      <c r="BC69" s="366">
        <v>0</v>
      </c>
      <c r="BD69" s="366">
        <v>0</v>
      </c>
      <c r="BE69" s="366">
        <v>0</v>
      </c>
      <c r="BF69" s="366">
        <v>0</v>
      </c>
      <c r="BG69" s="366">
        <v>0</v>
      </c>
      <c r="BH69" s="366">
        <v>679590.47</v>
      </c>
      <c r="BI69" s="366">
        <v>0</v>
      </c>
      <c r="BJ69" s="366">
        <v>13232.95</v>
      </c>
      <c r="BK69" s="366">
        <v>332.7</v>
      </c>
      <c r="BL69" s="366">
        <v>927510.28</v>
      </c>
      <c r="BM69" s="366">
        <v>0</v>
      </c>
      <c r="BN69" s="366">
        <v>18060.43</v>
      </c>
      <c r="BO69" s="366">
        <v>448.75</v>
      </c>
      <c r="BP69" s="366">
        <v>1084192.45</v>
      </c>
      <c r="BQ69" s="366">
        <v>0</v>
      </c>
      <c r="BR69" s="366">
        <v>21111.33</v>
      </c>
      <c r="BS69" s="366">
        <v>524.54999999999995</v>
      </c>
      <c r="BT69" s="366">
        <v>1417955.36</v>
      </c>
      <c r="BU69" s="366">
        <v>0</v>
      </c>
      <c r="BV69" s="366">
        <v>27610.35</v>
      </c>
      <c r="BW69" s="366">
        <v>686.04</v>
      </c>
      <c r="BX69" s="366">
        <v>1705594.77</v>
      </c>
      <c r="BY69" s="366">
        <v>0</v>
      </c>
      <c r="BZ69" s="366">
        <v>0</v>
      </c>
      <c r="CA69" s="366">
        <v>1088.3900000000001</v>
      </c>
      <c r="CB69" s="366">
        <v>1894752.86</v>
      </c>
      <c r="CC69" s="366">
        <v>0</v>
      </c>
      <c r="CD69" s="366">
        <v>4586.8999999999996</v>
      </c>
      <c r="CE69" s="366">
        <v>1221.23</v>
      </c>
      <c r="CF69" s="366">
        <v>100</v>
      </c>
      <c r="CG69" s="366">
        <v>0</v>
      </c>
      <c r="CH69" s="366">
        <v>100</v>
      </c>
      <c r="CI69" s="366">
        <v>100</v>
      </c>
    </row>
    <row r="70" spans="1:87">
      <c r="A70" s="366" t="s">
        <v>1460</v>
      </c>
      <c r="B70" s="366" t="s">
        <v>1231</v>
      </c>
      <c r="C70" s="366" t="s">
        <v>1481</v>
      </c>
      <c r="D70" s="366" t="s">
        <v>1241</v>
      </c>
      <c r="E70" s="366" t="s">
        <v>1461</v>
      </c>
      <c r="F70" s="366" t="s">
        <v>1461</v>
      </c>
      <c r="G70" s="366" t="s">
        <v>1234</v>
      </c>
      <c r="H70" s="366">
        <v>0</v>
      </c>
      <c r="I70" s="366">
        <v>0</v>
      </c>
      <c r="J70" s="366">
        <v>0</v>
      </c>
      <c r="K70" s="366">
        <v>0</v>
      </c>
      <c r="L70" s="366">
        <v>0</v>
      </c>
      <c r="M70" s="366">
        <v>0</v>
      </c>
      <c r="N70" s="366">
        <v>0</v>
      </c>
      <c r="O70" s="366">
        <v>0</v>
      </c>
      <c r="P70" s="366">
        <v>0</v>
      </c>
      <c r="Q70" s="366">
        <v>0</v>
      </c>
      <c r="R70" s="366">
        <v>0</v>
      </c>
      <c r="S70" s="366">
        <v>0</v>
      </c>
      <c r="T70" s="366">
        <v>0</v>
      </c>
      <c r="U70" s="366">
        <v>0</v>
      </c>
      <c r="V70" s="366">
        <v>0</v>
      </c>
      <c r="W70" s="366">
        <v>0</v>
      </c>
      <c r="X70" s="366">
        <v>0</v>
      </c>
      <c r="Y70" s="366">
        <v>0</v>
      </c>
      <c r="Z70" s="366">
        <v>0</v>
      </c>
      <c r="AA70" s="366">
        <v>0</v>
      </c>
      <c r="AB70" s="366">
        <v>0</v>
      </c>
      <c r="AC70" s="366">
        <v>0</v>
      </c>
      <c r="AD70" s="366">
        <v>0</v>
      </c>
      <c r="AE70" s="366">
        <v>0</v>
      </c>
      <c r="AF70" s="366">
        <v>0</v>
      </c>
      <c r="AG70" s="366">
        <v>0</v>
      </c>
      <c r="AH70" s="366">
        <v>0</v>
      </c>
      <c r="AI70" s="366">
        <v>0</v>
      </c>
      <c r="AJ70" s="366">
        <v>0</v>
      </c>
      <c r="AK70" s="366">
        <v>0</v>
      </c>
      <c r="AL70" s="366">
        <v>0</v>
      </c>
      <c r="AM70" s="366">
        <v>0</v>
      </c>
      <c r="AN70" s="366">
        <v>0</v>
      </c>
      <c r="AO70" s="366">
        <v>0</v>
      </c>
      <c r="AP70" s="366">
        <v>0</v>
      </c>
      <c r="AQ70" s="366">
        <v>0</v>
      </c>
      <c r="AR70" s="366">
        <v>0</v>
      </c>
      <c r="AS70" s="366">
        <v>0</v>
      </c>
      <c r="AT70" s="366">
        <v>0</v>
      </c>
      <c r="AU70" s="366">
        <v>0</v>
      </c>
      <c r="AV70" s="366">
        <v>0</v>
      </c>
      <c r="AW70" s="366">
        <v>0</v>
      </c>
      <c r="AX70" s="366">
        <v>0</v>
      </c>
      <c r="AY70" s="366">
        <v>0</v>
      </c>
      <c r="AZ70" s="366">
        <v>0</v>
      </c>
      <c r="BA70" s="366">
        <v>0</v>
      </c>
      <c r="BB70" s="366">
        <v>0</v>
      </c>
      <c r="BC70" s="366">
        <v>0</v>
      </c>
      <c r="BD70" s="366">
        <v>0</v>
      </c>
      <c r="BE70" s="366">
        <v>0</v>
      </c>
      <c r="BF70" s="366">
        <v>0</v>
      </c>
      <c r="BG70" s="366">
        <v>0</v>
      </c>
      <c r="BH70" s="366">
        <v>0</v>
      </c>
      <c r="BI70" s="366">
        <v>0</v>
      </c>
      <c r="BJ70" s="366">
        <v>0</v>
      </c>
      <c r="BK70" s="366">
        <v>0</v>
      </c>
      <c r="BL70" s="366">
        <v>0</v>
      </c>
      <c r="BM70" s="366">
        <v>0</v>
      </c>
      <c r="BN70" s="366">
        <v>0</v>
      </c>
      <c r="BO70" s="366">
        <v>0</v>
      </c>
      <c r="BP70" s="366">
        <v>0</v>
      </c>
      <c r="BQ70" s="366">
        <v>0</v>
      </c>
      <c r="BR70" s="366">
        <v>0</v>
      </c>
      <c r="BS70" s="366">
        <v>0</v>
      </c>
      <c r="BT70" s="366">
        <v>0</v>
      </c>
      <c r="BU70" s="366">
        <v>0</v>
      </c>
      <c r="BV70" s="366">
        <v>0</v>
      </c>
      <c r="BW70" s="366">
        <v>0</v>
      </c>
      <c r="BX70" s="366">
        <v>0</v>
      </c>
      <c r="BY70" s="366">
        <v>0</v>
      </c>
      <c r="BZ70" s="366">
        <v>0</v>
      </c>
      <c r="CA70" s="366">
        <v>0</v>
      </c>
      <c r="CB70" s="366">
        <v>0</v>
      </c>
      <c r="CC70" s="366">
        <v>0</v>
      </c>
      <c r="CD70" s="366">
        <v>0</v>
      </c>
      <c r="CE70" s="366">
        <v>0</v>
      </c>
      <c r="CF70" s="366">
        <v>0</v>
      </c>
      <c r="CG70" s="366">
        <v>0</v>
      </c>
      <c r="CH70" s="366">
        <v>0</v>
      </c>
      <c r="CI70" s="366">
        <v>0</v>
      </c>
    </row>
    <row r="71" spans="1:87">
      <c r="A71" s="366" t="s">
        <v>1460</v>
      </c>
      <c r="B71" s="366" t="s">
        <v>1231</v>
      </c>
      <c r="C71" s="366" t="s">
        <v>1480</v>
      </c>
      <c r="D71" s="366" t="s">
        <v>1240</v>
      </c>
      <c r="E71" s="366" t="s">
        <v>1461</v>
      </c>
      <c r="F71" s="366" t="s">
        <v>1461</v>
      </c>
      <c r="G71" s="366" t="s">
        <v>1234</v>
      </c>
      <c r="H71" s="366">
        <v>0</v>
      </c>
      <c r="I71" s="366">
        <v>0</v>
      </c>
      <c r="J71" s="366">
        <v>0</v>
      </c>
      <c r="K71" s="366">
        <v>0</v>
      </c>
      <c r="L71" s="366">
        <v>0</v>
      </c>
      <c r="M71" s="366">
        <v>0</v>
      </c>
      <c r="N71" s="366">
        <v>0</v>
      </c>
      <c r="O71" s="366">
        <v>0</v>
      </c>
      <c r="P71" s="366">
        <v>0</v>
      </c>
      <c r="Q71" s="366">
        <v>0</v>
      </c>
      <c r="R71" s="366">
        <v>0</v>
      </c>
      <c r="S71" s="366">
        <v>0</v>
      </c>
      <c r="T71" s="366">
        <v>0</v>
      </c>
      <c r="U71" s="366">
        <v>0</v>
      </c>
      <c r="V71" s="366">
        <v>0</v>
      </c>
      <c r="W71" s="366">
        <v>0</v>
      </c>
      <c r="X71" s="366">
        <v>0</v>
      </c>
      <c r="Y71" s="366">
        <v>0</v>
      </c>
      <c r="Z71" s="366">
        <v>0</v>
      </c>
      <c r="AA71" s="366">
        <v>0</v>
      </c>
      <c r="AB71" s="366">
        <v>0</v>
      </c>
      <c r="AC71" s="366">
        <v>0</v>
      </c>
      <c r="AD71" s="366">
        <v>0</v>
      </c>
      <c r="AE71" s="366">
        <v>0</v>
      </c>
      <c r="AF71" s="366">
        <v>0</v>
      </c>
      <c r="AG71" s="366">
        <v>0</v>
      </c>
      <c r="AH71" s="366">
        <v>0</v>
      </c>
      <c r="AI71" s="366">
        <v>0</v>
      </c>
      <c r="AJ71" s="366">
        <v>0</v>
      </c>
      <c r="AK71" s="366">
        <v>0</v>
      </c>
      <c r="AL71" s="366">
        <v>0</v>
      </c>
      <c r="AM71" s="366">
        <v>0</v>
      </c>
      <c r="AN71" s="366">
        <v>0</v>
      </c>
      <c r="AO71" s="366">
        <v>0</v>
      </c>
      <c r="AP71" s="366">
        <v>0</v>
      </c>
      <c r="AQ71" s="366">
        <v>0</v>
      </c>
      <c r="AR71" s="366">
        <v>0</v>
      </c>
      <c r="AS71" s="366">
        <v>0</v>
      </c>
      <c r="AT71" s="366">
        <v>0</v>
      </c>
      <c r="AU71" s="366">
        <v>0</v>
      </c>
      <c r="AV71" s="366">
        <v>0</v>
      </c>
      <c r="AW71" s="366">
        <v>0</v>
      </c>
      <c r="AX71" s="366">
        <v>0</v>
      </c>
      <c r="AY71" s="366">
        <v>0</v>
      </c>
      <c r="AZ71" s="366">
        <v>0</v>
      </c>
      <c r="BA71" s="366">
        <v>0</v>
      </c>
      <c r="BB71" s="366">
        <v>0</v>
      </c>
      <c r="BC71" s="366">
        <v>0</v>
      </c>
      <c r="BD71" s="366">
        <v>0</v>
      </c>
      <c r="BE71" s="366">
        <v>0</v>
      </c>
      <c r="BF71" s="366">
        <v>0</v>
      </c>
      <c r="BG71" s="366">
        <v>0</v>
      </c>
      <c r="BH71" s="366">
        <v>0</v>
      </c>
      <c r="BI71" s="366">
        <v>0</v>
      </c>
      <c r="BJ71" s="366">
        <v>0</v>
      </c>
      <c r="BK71" s="366">
        <v>0</v>
      </c>
      <c r="BL71" s="366">
        <v>0</v>
      </c>
      <c r="BM71" s="366">
        <v>0</v>
      </c>
      <c r="BN71" s="366">
        <v>0</v>
      </c>
      <c r="BO71" s="366">
        <v>0</v>
      </c>
      <c r="BP71" s="366">
        <v>1335714.76</v>
      </c>
      <c r="BQ71" s="366">
        <v>0</v>
      </c>
      <c r="BR71" s="366">
        <v>3486.46</v>
      </c>
      <c r="BS71" s="366">
        <v>86.63</v>
      </c>
      <c r="BT71" s="366">
        <v>7720623</v>
      </c>
      <c r="BU71" s="366">
        <v>0</v>
      </c>
      <c r="BV71" s="366">
        <v>20152.22</v>
      </c>
      <c r="BW71" s="366">
        <v>500.72</v>
      </c>
      <c r="BX71" s="366">
        <v>21979856.120000001</v>
      </c>
      <c r="BY71" s="366">
        <v>0</v>
      </c>
      <c r="BZ71" s="366">
        <v>22498.58</v>
      </c>
      <c r="CA71" s="366">
        <v>1880.16</v>
      </c>
      <c r="CB71" s="366">
        <v>64901587.359999999</v>
      </c>
      <c r="CC71" s="366">
        <v>0</v>
      </c>
      <c r="CD71" s="366">
        <v>66433.259999999995</v>
      </c>
      <c r="CE71" s="366">
        <v>5607.4</v>
      </c>
      <c r="CF71" s="366">
        <v>100</v>
      </c>
      <c r="CG71" s="366">
        <v>0</v>
      </c>
      <c r="CH71" s="366">
        <v>100</v>
      </c>
      <c r="CI71" s="366">
        <v>100</v>
      </c>
    </row>
    <row r="72" spans="1:87">
      <c r="A72" s="366" t="s">
        <v>1457</v>
      </c>
      <c r="B72" s="366" t="s">
        <v>1231</v>
      </c>
      <c r="C72" s="366" t="s">
        <v>1242</v>
      </c>
      <c r="D72" s="366" t="s">
        <v>1242</v>
      </c>
      <c r="E72" s="366" t="s">
        <v>1235</v>
      </c>
      <c r="F72" s="366" t="s">
        <v>1235</v>
      </c>
      <c r="G72" s="366" t="s">
        <v>1234</v>
      </c>
      <c r="H72" s="366">
        <v>339477973.55000001</v>
      </c>
      <c r="I72" s="366">
        <v>674530.21</v>
      </c>
      <c r="J72" s="366">
        <v>9300446.9800000004</v>
      </c>
      <c r="K72" s="366">
        <v>674663.89</v>
      </c>
      <c r="L72" s="366">
        <v>322626655.74000001</v>
      </c>
      <c r="M72" s="366">
        <v>640397.9</v>
      </c>
      <c r="N72" s="366">
        <v>8829112.8399999999</v>
      </c>
      <c r="O72" s="366">
        <v>640608.16</v>
      </c>
      <c r="P72" s="366">
        <v>323209653.19999999</v>
      </c>
      <c r="Q72" s="366">
        <v>640904.59</v>
      </c>
      <c r="R72" s="366">
        <v>8835400.9800000004</v>
      </c>
      <c r="S72" s="366">
        <v>641198.59</v>
      </c>
      <c r="T72" s="366">
        <v>270725155.25999999</v>
      </c>
      <c r="U72" s="366">
        <v>536286.21</v>
      </c>
      <c r="V72" s="366">
        <v>7392582.6900000004</v>
      </c>
      <c r="W72" s="366">
        <v>536602.29</v>
      </c>
      <c r="X72" s="366">
        <v>267982573.47999999</v>
      </c>
      <c r="Y72" s="366">
        <v>530313.98</v>
      </c>
      <c r="Z72" s="366">
        <v>7309712.4000000004</v>
      </c>
      <c r="AA72" s="366">
        <v>530695.98</v>
      </c>
      <c r="AB72" s="366">
        <v>266429810.18000001</v>
      </c>
      <c r="AC72" s="366">
        <v>526704.94999999995</v>
      </c>
      <c r="AD72" s="366">
        <v>7259441.75</v>
      </c>
      <c r="AE72" s="366">
        <v>527153.44999999995</v>
      </c>
      <c r="AF72" s="366">
        <v>252812610.78999999</v>
      </c>
      <c r="AG72" s="366">
        <v>499276.27</v>
      </c>
      <c r="AH72" s="366">
        <v>6880917.1900000004</v>
      </c>
      <c r="AI72" s="366">
        <v>499767.05</v>
      </c>
      <c r="AJ72" s="366">
        <v>253623586.61000001</v>
      </c>
      <c r="AK72" s="366">
        <v>500367.38</v>
      </c>
      <c r="AL72" s="366">
        <v>6895486.9299999997</v>
      </c>
      <c r="AM72" s="366">
        <v>500925.15</v>
      </c>
      <c r="AN72" s="366">
        <v>253820639.81</v>
      </c>
      <c r="AO72" s="366">
        <v>500245.27</v>
      </c>
      <c r="AP72" s="366">
        <v>6893351.9100000001</v>
      </c>
      <c r="AQ72" s="366">
        <v>500868.94</v>
      </c>
      <c r="AR72" s="366">
        <v>259790075.16</v>
      </c>
      <c r="AS72" s="366">
        <v>511487.52</v>
      </c>
      <c r="AT72" s="366">
        <v>7048365.9400000004</v>
      </c>
      <c r="AU72" s="366">
        <v>512192.85</v>
      </c>
      <c r="AV72" s="366">
        <v>250565731.63</v>
      </c>
      <c r="AW72" s="366">
        <v>492821.66</v>
      </c>
      <c r="AX72" s="366">
        <v>6790209.2199999997</v>
      </c>
      <c r="AY72" s="366">
        <v>493566.57</v>
      </c>
      <c r="AZ72" s="366">
        <v>243438549.34999999</v>
      </c>
      <c r="BA72" s="366">
        <v>476984.23</v>
      </c>
      <c r="BB72" s="366">
        <v>6597066.0499999998</v>
      </c>
      <c r="BC72" s="366">
        <v>477869.77</v>
      </c>
      <c r="BD72" s="366">
        <v>238732893.25</v>
      </c>
      <c r="BE72" s="366">
        <v>466234.78</v>
      </c>
      <c r="BF72" s="366">
        <v>6469545.0599999996</v>
      </c>
      <c r="BG72" s="366">
        <v>467239.23</v>
      </c>
      <c r="BH72" s="366">
        <v>240132444.91999999</v>
      </c>
      <c r="BI72" s="366">
        <v>467429.71</v>
      </c>
      <c r="BJ72" s="366">
        <v>6507472.2300000004</v>
      </c>
      <c r="BK72" s="366">
        <v>468576.86</v>
      </c>
      <c r="BL72" s="366">
        <v>220337837.56999999</v>
      </c>
      <c r="BM72" s="366">
        <v>427487</v>
      </c>
      <c r="BN72" s="366">
        <v>5971048.0199999996</v>
      </c>
      <c r="BO72" s="366">
        <v>428665.13</v>
      </c>
      <c r="BP72" s="366">
        <v>173681281.78</v>
      </c>
      <c r="BQ72" s="366">
        <v>335853.96</v>
      </c>
      <c r="BR72" s="366">
        <v>4706678.09</v>
      </c>
      <c r="BS72" s="366">
        <v>336881.57</v>
      </c>
      <c r="BT72" s="366">
        <v>202132231.52000001</v>
      </c>
      <c r="BU72" s="366">
        <v>389575.72</v>
      </c>
      <c r="BV72" s="366">
        <v>5477684.9699999997</v>
      </c>
      <c r="BW72" s="366">
        <v>390886.84</v>
      </c>
      <c r="BX72" s="366">
        <v>208939390.88999999</v>
      </c>
      <c r="BY72" s="366">
        <v>413191.14</v>
      </c>
      <c r="BZ72" s="366">
        <v>5662155.6699999999</v>
      </c>
      <c r="CA72" s="366">
        <v>403034.43</v>
      </c>
      <c r="CB72" s="366">
        <v>217598675.84999999</v>
      </c>
      <c r="CC72" s="366">
        <v>430315.44</v>
      </c>
      <c r="CD72" s="366">
        <v>5633966.4000000004</v>
      </c>
      <c r="CE72" s="366">
        <v>430336.75</v>
      </c>
      <c r="CF72" s="366">
        <v>-35.901975148926397</v>
      </c>
      <c r="CG72" s="366">
        <v>-36.205164183825097</v>
      </c>
      <c r="CH72" s="366">
        <v>-39.422627620850101</v>
      </c>
      <c r="CI72" s="366">
        <v>-36.214646081028597</v>
      </c>
    </row>
    <row r="73" spans="1:87">
      <c r="A73" s="366" t="s">
        <v>1457</v>
      </c>
      <c r="B73" s="366" t="s">
        <v>1231</v>
      </c>
      <c r="C73" s="366" t="s">
        <v>1242</v>
      </c>
      <c r="D73" s="366" t="s">
        <v>1242</v>
      </c>
      <c r="E73" s="366" t="s">
        <v>1233</v>
      </c>
      <c r="F73" s="366" t="s">
        <v>637</v>
      </c>
      <c r="G73" s="366" t="s">
        <v>1234</v>
      </c>
      <c r="H73" s="366">
        <v>6523813.1399999997</v>
      </c>
      <c r="I73" s="366">
        <v>12532.5</v>
      </c>
      <c r="J73" s="366">
        <v>247859.85</v>
      </c>
      <c r="K73" s="366">
        <v>12535.75</v>
      </c>
      <c r="L73" s="366">
        <v>6537035.4900000002</v>
      </c>
      <c r="M73" s="366">
        <v>12412.81</v>
      </c>
      <c r="N73" s="366">
        <v>247859.85</v>
      </c>
      <c r="O73" s="366">
        <v>12417.98</v>
      </c>
      <c r="P73" s="366">
        <v>40484746.729999997</v>
      </c>
      <c r="Q73" s="366">
        <v>75975.679999999993</v>
      </c>
      <c r="R73" s="366">
        <v>1531931.04</v>
      </c>
      <c r="S73" s="366">
        <v>76019.539999999994</v>
      </c>
      <c r="T73" s="366">
        <v>42055202.25</v>
      </c>
      <c r="U73" s="366">
        <v>77989.48</v>
      </c>
      <c r="V73" s="366">
        <v>1588150.77</v>
      </c>
      <c r="W73" s="366">
        <v>78047.34</v>
      </c>
      <c r="X73" s="366">
        <v>40570785.479999997</v>
      </c>
      <c r="Y73" s="366">
        <v>74336.25</v>
      </c>
      <c r="Z73" s="366">
        <v>1529013.78</v>
      </c>
      <c r="AA73" s="366">
        <v>74403.92</v>
      </c>
      <c r="AB73" s="366">
        <v>37590231.829999998</v>
      </c>
      <c r="AC73" s="366">
        <v>68040.81</v>
      </c>
      <c r="AD73" s="366">
        <v>1413841.49</v>
      </c>
      <c r="AE73" s="366">
        <v>68114.48</v>
      </c>
      <c r="AF73" s="366">
        <v>36192538.210000001</v>
      </c>
      <c r="AG73" s="366">
        <v>64707.62</v>
      </c>
      <c r="AH73" s="366">
        <v>1358545.67</v>
      </c>
      <c r="AI73" s="366">
        <v>64789.13</v>
      </c>
      <c r="AJ73" s="366">
        <v>37340822.5</v>
      </c>
      <c r="AK73" s="366">
        <v>65931.839999999997</v>
      </c>
      <c r="AL73" s="366">
        <v>1398847.29</v>
      </c>
      <c r="AM73" s="366">
        <v>66026.850000000006</v>
      </c>
      <c r="AN73" s="366">
        <v>38351608.590000004</v>
      </c>
      <c r="AO73" s="366">
        <v>66865.37</v>
      </c>
      <c r="AP73" s="366">
        <v>1433847.52</v>
      </c>
      <c r="AQ73" s="366">
        <v>66974.16</v>
      </c>
      <c r="AR73" s="366">
        <v>39662225.57</v>
      </c>
      <c r="AS73" s="366">
        <v>68269.240000000005</v>
      </c>
      <c r="AT73" s="366">
        <v>1349170.12</v>
      </c>
      <c r="AU73" s="366">
        <v>68393.33</v>
      </c>
      <c r="AV73" s="366">
        <v>40318337.229999997</v>
      </c>
      <c r="AW73" s="366">
        <v>68504.639999999999</v>
      </c>
      <c r="AX73" s="366">
        <v>1353506.32</v>
      </c>
      <c r="AY73" s="366">
        <v>68642.570000000007</v>
      </c>
      <c r="AZ73" s="366">
        <v>40655649.850000001</v>
      </c>
      <c r="BA73" s="366">
        <v>70819.53</v>
      </c>
      <c r="BB73" s="366">
        <v>1364830.07</v>
      </c>
      <c r="BC73" s="366">
        <v>73786.039999999994</v>
      </c>
      <c r="BD73" s="366">
        <v>36798317.109999999</v>
      </c>
      <c r="BE73" s="366">
        <v>65451.59</v>
      </c>
      <c r="BF73" s="366">
        <v>1235337.52</v>
      </c>
      <c r="BG73" s="366">
        <v>70330.23</v>
      </c>
      <c r="BH73" s="366">
        <v>39251095.259999998</v>
      </c>
      <c r="BI73" s="366">
        <v>71255.61</v>
      </c>
      <c r="BJ73" s="366">
        <v>1317678.48</v>
      </c>
      <c r="BK73" s="366">
        <v>78799.210000000006</v>
      </c>
      <c r="BL73" s="366">
        <v>30250532.329999998</v>
      </c>
      <c r="BM73" s="366">
        <v>56027.02</v>
      </c>
      <c r="BN73" s="366">
        <v>1015525.18</v>
      </c>
      <c r="BO73" s="366">
        <v>63644.08</v>
      </c>
      <c r="BP73" s="366">
        <v>21419168.25</v>
      </c>
      <c r="BQ73" s="366">
        <v>40456.99</v>
      </c>
      <c r="BR73" s="366">
        <v>719051.96</v>
      </c>
      <c r="BS73" s="366">
        <v>47127.14</v>
      </c>
      <c r="BT73" s="366">
        <v>33248656.149999999</v>
      </c>
      <c r="BU73" s="366">
        <v>64021.73</v>
      </c>
      <c r="BV73" s="366">
        <v>1116173.6599999999</v>
      </c>
      <c r="BW73" s="366">
        <v>76357.679999999993</v>
      </c>
      <c r="BX73" s="366">
        <v>43719633.609999999</v>
      </c>
      <c r="BY73" s="366">
        <v>73474.19</v>
      </c>
      <c r="BZ73" s="366">
        <v>1467689.5</v>
      </c>
      <c r="CA73" s="366">
        <v>103914.63</v>
      </c>
      <c r="CB73" s="366">
        <v>45325026.960000001</v>
      </c>
      <c r="CC73" s="366">
        <v>76172.179999999993</v>
      </c>
      <c r="CD73" s="366">
        <v>1452467.94</v>
      </c>
      <c r="CE73" s="366">
        <v>76248.91</v>
      </c>
      <c r="CF73" s="366">
        <v>594.76280186651695</v>
      </c>
      <c r="CG73" s="366">
        <v>507.79716736485102</v>
      </c>
      <c r="CH73" s="366">
        <v>486.00371944064398</v>
      </c>
      <c r="CI73" s="366">
        <v>508.25168019464297</v>
      </c>
    </row>
    <row r="74" spans="1:87">
      <c r="A74" s="366" t="s">
        <v>1460</v>
      </c>
      <c r="B74" s="366" t="s">
        <v>1231</v>
      </c>
      <c r="C74" s="366" t="s">
        <v>1242</v>
      </c>
      <c r="D74" s="366" t="s">
        <v>1242</v>
      </c>
      <c r="E74" s="366" t="s">
        <v>1482</v>
      </c>
      <c r="F74" s="366" t="s">
        <v>1482</v>
      </c>
      <c r="G74" s="366" t="s">
        <v>1234</v>
      </c>
      <c r="H74" s="366">
        <v>6523813.1399999997</v>
      </c>
      <c r="I74" s="366">
        <v>0</v>
      </c>
      <c r="J74" s="366">
        <v>247859.85</v>
      </c>
      <c r="K74" s="366">
        <v>365.84</v>
      </c>
      <c r="L74" s="366">
        <v>6537035.4900000002</v>
      </c>
      <c r="M74" s="366">
        <v>0</v>
      </c>
      <c r="N74" s="366">
        <v>247859.85</v>
      </c>
      <c r="O74" s="366">
        <v>580.84</v>
      </c>
      <c r="P74" s="366">
        <v>40484746.729999997</v>
      </c>
      <c r="Q74" s="366">
        <v>0</v>
      </c>
      <c r="R74" s="366">
        <v>1531931.04</v>
      </c>
      <c r="S74" s="366">
        <v>4924.12</v>
      </c>
      <c r="T74" s="366">
        <v>42055202.25</v>
      </c>
      <c r="U74" s="366">
        <v>0</v>
      </c>
      <c r="V74" s="366">
        <v>1588150.77</v>
      </c>
      <c r="W74" s="366">
        <v>6493.53</v>
      </c>
      <c r="X74" s="366">
        <v>40570785.479999997</v>
      </c>
      <c r="Y74" s="366">
        <v>0</v>
      </c>
      <c r="Z74" s="366">
        <v>1529013.78</v>
      </c>
      <c r="AA74" s="366">
        <v>7594.08</v>
      </c>
      <c r="AB74" s="366">
        <v>37590231.829999998</v>
      </c>
      <c r="AC74" s="366">
        <v>0</v>
      </c>
      <c r="AD74" s="366">
        <v>1413841.49</v>
      </c>
      <c r="AE74" s="366">
        <v>8268.23</v>
      </c>
      <c r="AF74" s="366">
        <v>36192538.210000001</v>
      </c>
      <c r="AG74" s="366">
        <v>0</v>
      </c>
      <c r="AH74" s="366">
        <v>1358545.67</v>
      </c>
      <c r="AI74" s="366">
        <v>9147.0499999999993</v>
      </c>
      <c r="AJ74" s="366">
        <v>37340822.5</v>
      </c>
      <c r="AK74" s="366">
        <v>0</v>
      </c>
      <c r="AL74" s="366">
        <v>1398847.29</v>
      </c>
      <c r="AM74" s="366">
        <v>10661.14</v>
      </c>
      <c r="AN74" s="366">
        <v>38351608.590000004</v>
      </c>
      <c r="AO74" s="366">
        <v>0</v>
      </c>
      <c r="AP74" s="366">
        <v>1433847.52</v>
      </c>
      <c r="AQ74" s="366">
        <v>12206.74</v>
      </c>
      <c r="AR74" s="366">
        <v>39662225.57</v>
      </c>
      <c r="AS74" s="366">
        <v>0</v>
      </c>
      <c r="AT74" s="366">
        <v>1349170.12</v>
      </c>
      <c r="AU74" s="366">
        <v>13923.86</v>
      </c>
      <c r="AV74" s="366">
        <v>40318337.229999997</v>
      </c>
      <c r="AW74" s="366">
        <v>0</v>
      </c>
      <c r="AX74" s="366">
        <v>1353506.32</v>
      </c>
      <c r="AY74" s="366">
        <v>15475.66</v>
      </c>
      <c r="AZ74" s="366">
        <v>40655649.850000001</v>
      </c>
      <c r="BA74" s="366">
        <v>0</v>
      </c>
      <c r="BB74" s="366">
        <v>1364830.07</v>
      </c>
      <c r="BC74" s="366">
        <v>332797.51</v>
      </c>
      <c r="BD74" s="366">
        <v>36798317.109999999</v>
      </c>
      <c r="BE74" s="366">
        <v>0</v>
      </c>
      <c r="BF74" s="366">
        <v>1235337.52</v>
      </c>
      <c r="BG74" s="366">
        <v>547306.07999999996</v>
      </c>
      <c r="BH74" s="366">
        <v>39251095.259999998</v>
      </c>
      <c r="BI74" s="366">
        <v>0</v>
      </c>
      <c r="BJ74" s="366">
        <v>1317678.48</v>
      </c>
      <c r="BK74" s="366">
        <v>846272.97</v>
      </c>
      <c r="BL74" s="366">
        <v>30250532.329999998</v>
      </c>
      <c r="BM74" s="366">
        <v>0</v>
      </c>
      <c r="BN74" s="366">
        <v>1015525.18</v>
      </c>
      <c r="BO74" s="366">
        <v>854512.75</v>
      </c>
      <c r="BP74" s="366">
        <v>21419168.25</v>
      </c>
      <c r="BQ74" s="366">
        <v>0</v>
      </c>
      <c r="BR74" s="366">
        <v>719051.96</v>
      </c>
      <c r="BS74" s="366">
        <v>748283.43</v>
      </c>
      <c r="BT74" s="366">
        <v>33248656.149999999</v>
      </c>
      <c r="BU74" s="366">
        <v>0</v>
      </c>
      <c r="BV74" s="366">
        <v>1116173.6599999999</v>
      </c>
      <c r="BW74" s="366">
        <v>1383895.14</v>
      </c>
      <c r="BX74" s="366">
        <v>43719633.609999999</v>
      </c>
      <c r="BY74" s="366">
        <v>0</v>
      </c>
      <c r="BZ74" s="366">
        <v>1505802.85</v>
      </c>
      <c r="CA74" s="366">
        <v>59055.38</v>
      </c>
      <c r="CB74" s="366">
        <v>45325026.960000001</v>
      </c>
      <c r="CC74" s="366">
        <v>0</v>
      </c>
      <c r="CD74" s="366">
        <v>1452467.94</v>
      </c>
      <c r="CE74" s="366">
        <v>59055.38</v>
      </c>
      <c r="CF74" s="366">
        <v>594.76280186651695</v>
      </c>
      <c r="CG74" s="366">
        <v>0</v>
      </c>
      <c r="CH74" s="366">
        <v>486.00371944064398</v>
      </c>
      <c r="CI74" s="366">
        <v>16042.40651651</v>
      </c>
    </row>
    <row r="75" spans="1:87">
      <c r="A75" s="366" t="s">
        <v>1460</v>
      </c>
      <c r="B75" s="366" t="s">
        <v>1231</v>
      </c>
      <c r="C75" s="366" t="s">
        <v>1242</v>
      </c>
      <c r="D75" s="366" t="s">
        <v>1242</v>
      </c>
      <c r="E75" s="366" t="s">
        <v>1483</v>
      </c>
      <c r="F75" s="366" t="s">
        <v>1483</v>
      </c>
      <c r="G75" s="366" t="s">
        <v>1234</v>
      </c>
      <c r="H75" s="366">
        <v>6523813.1399999997</v>
      </c>
      <c r="I75" s="366">
        <v>0</v>
      </c>
      <c r="J75" s="366">
        <v>247859.85</v>
      </c>
      <c r="K75" s="366">
        <v>365.84</v>
      </c>
      <c r="L75" s="366">
        <v>6537035.4900000002</v>
      </c>
      <c r="M75" s="366">
        <v>0</v>
      </c>
      <c r="N75" s="366">
        <v>247859.85</v>
      </c>
      <c r="O75" s="366">
        <v>580.84</v>
      </c>
      <c r="P75" s="366">
        <v>40484746.729999997</v>
      </c>
      <c r="Q75" s="366">
        <v>0</v>
      </c>
      <c r="R75" s="366">
        <v>1531931.04</v>
      </c>
      <c r="S75" s="366">
        <v>4924.12</v>
      </c>
      <c r="T75" s="366">
        <v>42055202.25</v>
      </c>
      <c r="U75" s="366">
        <v>0</v>
      </c>
      <c r="V75" s="366">
        <v>1588150.77</v>
      </c>
      <c r="W75" s="366">
        <v>6493.53</v>
      </c>
      <c r="X75" s="366">
        <v>40570785.479999997</v>
      </c>
      <c r="Y75" s="366">
        <v>0</v>
      </c>
      <c r="Z75" s="366">
        <v>1529013.78</v>
      </c>
      <c r="AA75" s="366">
        <v>7594.08</v>
      </c>
      <c r="AB75" s="366">
        <v>37590231.829999998</v>
      </c>
      <c r="AC75" s="366">
        <v>0</v>
      </c>
      <c r="AD75" s="366">
        <v>1413841.49</v>
      </c>
      <c r="AE75" s="366">
        <v>8268.23</v>
      </c>
      <c r="AF75" s="366">
        <v>36192538.210000001</v>
      </c>
      <c r="AG75" s="366">
        <v>0</v>
      </c>
      <c r="AH75" s="366">
        <v>1358545.67</v>
      </c>
      <c r="AI75" s="366">
        <v>9147.0499999999993</v>
      </c>
      <c r="AJ75" s="366">
        <v>37340822.5</v>
      </c>
      <c r="AK75" s="366">
        <v>0</v>
      </c>
      <c r="AL75" s="366">
        <v>1398847.29</v>
      </c>
      <c r="AM75" s="366">
        <v>10661.14</v>
      </c>
      <c r="AN75" s="366">
        <v>38351608.590000004</v>
      </c>
      <c r="AO75" s="366">
        <v>0</v>
      </c>
      <c r="AP75" s="366">
        <v>1433847.52</v>
      </c>
      <c r="AQ75" s="366">
        <v>12206.74</v>
      </c>
      <c r="AR75" s="366">
        <v>39662225.57</v>
      </c>
      <c r="AS75" s="366">
        <v>0</v>
      </c>
      <c r="AT75" s="366">
        <v>1349170.12</v>
      </c>
      <c r="AU75" s="366">
        <v>13923.86</v>
      </c>
      <c r="AV75" s="366">
        <v>40318337.229999997</v>
      </c>
      <c r="AW75" s="366">
        <v>0</v>
      </c>
      <c r="AX75" s="366">
        <v>1353506.32</v>
      </c>
      <c r="AY75" s="366">
        <v>15475.66</v>
      </c>
      <c r="AZ75" s="366">
        <v>40655649.850000001</v>
      </c>
      <c r="BA75" s="366">
        <v>0</v>
      </c>
      <c r="BB75" s="366">
        <v>1364830.07</v>
      </c>
      <c r="BC75" s="366">
        <v>332797.51</v>
      </c>
      <c r="BD75" s="366">
        <v>36798317.109999999</v>
      </c>
      <c r="BE75" s="366">
        <v>0</v>
      </c>
      <c r="BF75" s="366">
        <v>1235337.52</v>
      </c>
      <c r="BG75" s="366">
        <v>547306.07999999996</v>
      </c>
      <c r="BH75" s="366">
        <v>39251095.259999998</v>
      </c>
      <c r="BI75" s="366">
        <v>0</v>
      </c>
      <c r="BJ75" s="366">
        <v>1317678.48</v>
      </c>
      <c r="BK75" s="366">
        <v>846272.97</v>
      </c>
      <c r="BL75" s="366">
        <v>30250532.329999998</v>
      </c>
      <c r="BM75" s="366">
        <v>0</v>
      </c>
      <c r="BN75" s="366">
        <v>1015525.18</v>
      </c>
      <c r="BO75" s="366">
        <v>854512.75</v>
      </c>
      <c r="BP75" s="366">
        <v>21419168.25</v>
      </c>
      <c r="BQ75" s="366">
        <v>0</v>
      </c>
      <c r="BR75" s="366">
        <v>719051.96</v>
      </c>
      <c r="BS75" s="366">
        <v>748283.43</v>
      </c>
      <c r="BT75" s="366">
        <v>33248656.149999999</v>
      </c>
      <c r="BU75" s="366">
        <v>0</v>
      </c>
      <c r="BV75" s="366">
        <v>1116173.6599999999</v>
      </c>
      <c r="BW75" s="366">
        <v>1383895.14</v>
      </c>
      <c r="BX75" s="366">
        <v>43719633.609999999</v>
      </c>
      <c r="BY75" s="366">
        <v>0</v>
      </c>
      <c r="BZ75" s="366">
        <v>1505802.85</v>
      </c>
      <c r="CA75" s="366">
        <v>8611.6200000000008</v>
      </c>
      <c r="CB75" s="366">
        <v>45325026.960000001</v>
      </c>
      <c r="CC75" s="366">
        <v>0</v>
      </c>
      <c r="CD75" s="366">
        <v>1452467.94</v>
      </c>
      <c r="CE75" s="366">
        <v>8611.6200000000008</v>
      </c>
      <c r="CF75" s="366">
        <v>594.76280186651695</v>
      </c>
      <c r="CG75" s="366">
        <v>0</v>
      </c>
      <c r="CH75" s="366">
        <v>486.00371944064398</v>
      </c>
      <c r="CI75" s="366">
        <v>2253.9306800787199</v>
      </c>
    </row>
    <row r="76" spans="1:87">
      <c r="A76" s="366" t="s">
        <v>1457</v>
      </c>
      <c r="B76" s="366" t="s">
        <v>1231</v>
      </c>
      <c r="C76" s="366" t="s">
        <v>1243</v>
      </c>
      <c r="D76" s="366" t="s">
        <v>1243</v>
      </c>
      <c r="E76" s="366" t="s">
        <v>1245</v>
      </c>
      <c r="F76" s="366" t="s">
        <v>636</v>
      </c>
      <c r="G76" s="366" t="s">
        <v>1223</v>
      </c>
      <c r="H76" s="366">
        <v>2223041707.6500001</v>
      </c>
      <c r="I76" s="366">
        <v>1108101.94</v>
      </c>
      <c r="J76" s="366">
        <v>19341796.68</v>
      </c>
      <c r="K76" s="366">
        <v>1109649.97</v>
      </c>
      <c r="L76" s="366">
        <v>2140907587.5799999</v>
      </c>
      <c r="M76" s="366">
        <v>899645.16</v>
      </c>
      <c r="N76" s="366">
        <v>18627180.559999999</v>
      </c>
      <c r="O76" s="366">
        <v>900763.45</v>
      </c>
      <c r="P76" s="366">
        <v>2158819942.6799998</v>
      </c>
      <c r="Q76" s="366">
        <v>915935.3</v>
      </c>
      <c r="R76" s="366">
        <v>18783028.789999999</v>
      </c>
      <c r="S76" s="366">
        <v>917074.44</v>
      </c>
      <c r="T76" s="366">
        <v>2233046139.9200001</v>
      </c>
      <c r="U76" s="366">
        <v>850298.62</v>
      </c>
      <c r="V76" s="366">
        <v>19428841.25</v>
      </c>
      <c r="W76" s="366">
        <v>851345.05</v>
      </c>
      <c r="X76" s="366">
        <v>2382461920.3200002</v>
      </c>
      <c r="Y76" s="366">
        <v>797434.1</v>
      </c>
      <c r="Z76" s="366">
        <v>20728848.18</v>
      </c>
      <c r="AA76" s="366">
        <v>798396.83</v>
      </c>
      <c r="AB76" s="366">
        <v>2218898721.6199999</v>
      </c>
      <c r="AC76" s="366">
        <v>758085.28</v>
      </c>
      <c r="AD76" s="366">
        <v>19305750.219999999</v>
      </c>
      <c r="AE76" s="366">
        <v>758975.67</v>
      </c>
      <c r="AF76" s="366">
        <v>2114957235.8299999</v>
      </c>
      <c r="AG76" s="366">
        <v>655276.78</v>
      </c>
      <c r="AH76" s="366">
        <v>18401396.93</v>
      </c>
      <c r="AI76" s="366">
        <v>655977.93000000005</v>
      </c>
      <c r="AJ76" s="366">
        <v>2173059596.96</v>
      </c>
      <c r="AK76" s="366">
        <v>707583.27</v>
      </c>
      <c r="AL76" s="366">
        <v>18906922.329999998</v>
      </c>
      <c r="AM76" s="366">
        <v>708387.67</v>
      </c>
      <c r="AN76" s="366">
        <v>2212254150.9200001</v>
      </c>
      <c r="AO76" s="366">
        <v>659696.1</v>
      </c>
      <c r="AP76" s="366">
        <v>19247938.469999999</v>
      </c>
      <c r="AQ76" s="366">
        <v>660427.47</v>
      </c>
      <c r="AR76" s="366">
        <v>2154131108.1199999</v>
      </c>
      <c r="AS76" s="366">
        <v>703650.65</v>
      </c>
      <c r="AT76" s="366">
        <v>18742233.120000001</v>
      </c>
      <c r="AU76" s="366">
        <v>704466.82</v>
      </c>
      <c r="AV76" s="366">
        <v>2163557443.1700001</v>
      </c>
      <c r="AW76" s="366">
        <v>690384.02</v>
      </c>
      <c r="AX76" s="366">
        <v>18824247.890000001</v>
      </c>
      <c r="AY76" s="366">
        <v>691188.47</v>
      </c>
      <c r="AZ76" s="366">
        <v>2128891160.8499999</v>
      </c>
      <c r="BA76" s="366">
        <v>683325.91</v>
      </c>
      <c r="BB76" s="366">
        <v>18522630.43</v>
      </c>
      <c r="BC76" s="366">
        <v>684123.25</v>
      </c>
      <c r="BD76" s="366">
        <v>2104459509.8800001</v>
      </c>
      <c r="BE76" s="366">
        <v>589965.69999999995</v>
      </c>
      <c r="BF76" s="366">
        <v>18310060.41</v>
      </c>
      <c r="BG76" s="366">
        <v>590609.25</v>
      </c>
      <c r="BH76" s="366">
        <v>2195841805.3000002</v>
      </c>
      <c r="BI76" s="366">
        <v>675197.25</v>
      </c>
      <c r="BJ76" s="366">
        <v>19105141.210000001</v>
      </c>
      <c r="BK76" s="366">
        <v>675949.56</v>
      </c>
      <c r="BL76" s="366">
        <v>2229864150.7199998</v>
      </c>
      <c r="BM76" s="366">
        <v>645635.99</v>
      </c>
      <c r="BN76" s="366">
        <v>19401156.030000001</v>
      </c>
      <c r="BO76" s="366">
        <v>646308.52</v>
      </c>
      <c r="BP76" s="366">
        <v>1851196246.6199999</v>
      </c>
      <c r="BQ76" s="366">
        <v>584020.16</v>
      </c>
      <c r="BR76" s="366">
        <v>16106518.060000001</v>
      </c>
      <c r="BS76" s="366">
        <v>536554.62</v>
      </c>
      <c r="BT76" s="366">
        <v>1992455247.51</v>
      </c>
      <c r="BU76" s="366">
        <v>673120.53</v>
      </c>
      <c r="BV76" s="366">
        <v>17335556.129999999</v>
      </c>
      <c r="BW76" s="366">
        <v>577497.42000000004</v>
      </c>
      <c r="BX76" s="366">
        <v>1994719603.03</v>
      </c>
      <c r="BY76" s="366">
        <v>737795.53</v>
      </c>
      <c r="BZ76" s="366">
        <v>17355257.379999999</v>
      </c>
      <c r="CA76" s="366">
        <v>738199.53</v>
      </c>
      <c r="CB76" s="366">
        <v>1994719603.03</v>
      </c>
      <c r="CC76" s="366">
        <v>737795.53</v>
      </c>
      <c r="CD76" s="366">
        <v>17355257.379999999</v>
      </c>
      <c r="CE76" s="366">
        <v>738199.53</v>
      </c>
      <c r="CF76" s="366">
        <v>-10.270707195204301</v>
      </c>
      <c r="CG76" s="366">
        <v>-33.418081553038299</v>
      </c>
      <c r="CH76" s="366">
        <v>-10.270707178171</v>
      </c>
      <c r="CI76" s="366">
        <v>-33.4745595496208</v>
      </c>
    </row>
    <row r="77" spans="1:87">
      <c r="A77" s="366" t="s">
        <v>1457</v>
      </c>
      <c r="B77" s="366" t="s">
        <v>1231</v>
      </c>
      <c r="C77" s="366" t="s">
        <v>1243</v>
      </c>
      <c r="D77" s="366" t="s">
        <v>1243</v>
      </c>
      <c r="E77" s="366" t="s">
        <v>1244</v>
      </c>
      <c r="F77" s="366" t="s">
        <v>1235</v>
      </c>
      <c r="G77" s="366" t="s">
        <v>1222</v>
      </c>
      <c r="H77" s="366">
        <v>1375601.3</v>
      </c>
      <c r="I77" s="366">
        <v>14233.32</v>
      </c>
      <c r="J77" s="366">
        <v>191731.31</v>
      </c>
      <c r="K77" s="366">
        <v>14291.97</v>
      </c>
      <c r="L77" s="366">
        <v>1400047.04</v>
      </c>
      <c r="M77" s="366">
        <v>14486.26</v>
      </c>
      <c r="N77" s="366">
        <v>195138.56</v>
      </c>
      <c r="O77" s="366">
        <v>14545.96</v>
      </c>
      <c r="P77" s="366">
        <v>1400047.04</v>
      </c>
      <c r="Q77" s="366">
        <v>14486.26</v>
      </c>
      <c r="R77" s="366">
        <v>195138.56</v>
      </c>
      <c r="S77" s="366">
        <v>14545.96</v>
      </c>
      <c r="T77" s="366">
        <v>1408755.52</v>
      </c>
      <c r="U77" s="366">
        <v>14576.37</v>
      </c>
      <c r="V77" s="366">
        <v>196352.34</v>
      </c>
      <c r="W77" s="366">
        <v>14636.43</v>
      </c>
      <c r="X77" s="366">
        <v>1364645.28</v>
      </c>
      <c r="Y77" s="366">
        <v>14119.96</v>
      </c>
      <c r="Z77" s="366">
        <v>190204.26</v>
      </c>
      <c r="AA77" s="366">
        <v>14178.15</v>
      </c>
      <c r="AB77" s="366">
        <v>1337774.1299999999</v>
      </c>
      <c r="AC77" s="366">
        <v>13841.92</v>
      </c>
      <c r="AD77" s="366">
        <v>186458.96</v>
      </c>
      <c r="AE77" s="366">
        <v>13898.96</v>
      </c>
      <c r="AF77" s="366">
        <v>1370975.43</v>
      </c>
      <c r="AG77" s="366">
        <v>14185.46</v>
      </c>
      <c r="AH77" s="366">
        <v>191086.55</v>
      </c>
      <c r="AI77" s="366">
        <v>14243.91</v>
      </c>
      <c r="AJ77" s="366">
        <v>1252326.23</v>
      </c>
      <c r="AK77" s="366">
        <v>12957.79</v>
      </c>
      <c r="AL77" s="366">
        <v>174549.23</v>
      </c>
      <c r="AM77" s="366">
        <v>13011.19</v>
      </c>
      <c r="AN77" s="366">
        <v>1441746.75</v>
      </c>
      <c r="AO77" s="366">
        <v>14917.72</v>
      </c>
      <c r="AP77" s="366">
        <v>200950.66</v>
      </c>
      <c r="AQ77" s="366">
        <v>14979.2</v>
      </c>
      <c r="AR77" s="366">
        <v>1445165.5</v>
      </c>
      <c r="AS77" s="366">
        <v>14953.1</v>
      </c>
      <c r="AT77" s="366">
        <v>201427.17</v>
      </c>
      <c r="AU77" s="366">
        <v>15014.72</v>
      </c>
      <c r="AV77" s="366">
        <v>1440318.85</v>
      </c>
      <c r="AW77" s="366">
        <v>14902.95</v>
      </c>
      <c r="AX77" s="366">
        <v>200751.64</v>
      </c>
      <c r="AY77" s="366">
        <v>14964.37</v>
      </c>
      <c r="AZ77" s="366">
        <v>1328500.45</v>
      </c>
      <c r="BA77" s="366">
        <v>13745.97</v>
      </c>
      <c r="BB77" s="366">
        <v>185166.39</v>
      </c>
      <c r="BC77" s="366">
        <v>13802.61</v>
      </c>
      <c r="BD77" s="366">
        <v>1426605.45</v>
      </c>
      <c r="BE77" s="366">
        <v>14761.06</v>
      </c>
      <c r="BF77" s="366">
        <v>198840.27</v>
      </c>
      <c r="BG77" s="366">
        <v>14821.89</v>
      </c>
      <c r="BH77" s="366">
        <v>1461415.38</v>
      </c>
      <c r="BI77" s="366">
        <v>15121.24</v>
      </c>
      <c r="BJ77" s="366">
        <v>203692.07</v>
      </c>
      <c r="BK77" s="366">
        <v>15183.55</v>
      </c>
      <c r="BL77" s="366">
        <v>1691957.64</v>
      </c>
      <c r="BM77" s="366">
        <v>17506.650000000001</v>
      </c>
      <c r="BN77" s="366">
        <v>235825.06</v>
      </c>
      <c r="BO77" s="366">
        <v>17578.8</v>
      </c>
      <c r="BP77" s="366">
        <v>1291342.3700000001</v>
      </c>
      <c r="BQ77" s="366">
        <v>13361.49</v>
      </c>
      <c r="BR77" s="366">
        <v>179987.3</v>
      </c>
      <c r="BS77" s="366">
        <v>13416.56</v>
      </c>
      <c r="BT77" s="366">
        <v>1480224.41</v>
      </c>
      <c r="BU77" s="366">
        <v>15315.85</v>
      </c>
      <c r="BV77" s="366">
        <v>206313.68</v>
      </c>
      <c r="BW77" s="366">
        <v>15378.97</v>
      </c>
      <c r="BX77" s="366">
        <v>1582281.99</v>
      </c>
      <c r="BY77" s="366">
        <v>16371.84</v>
      </c>
      <c r="BZ77" s="366">
        <v>220538.46</v>
      </c>
      <c r="CA77" s="366">
        <v>16439.310000000001</v>
      </c>
      <c r="CB77" s="366">
        <v>1582281.99</v>
      </c>
      <c r="CC77" s="366">
        <v>16371.84</v>
      </c>
      <c r="CD77" s="366">
        <v>220538.46</v>
      </c>
      <c r="CE77" s="366">
        <v>16439.310000000001</v>
      </c>
      <c r="CF77" s="366">
        <v>15.024752448256599</v>
      </c>
      <c r="CG77" s="366">
        <v>15.0247447538593</v>
      </c>
      <c r="CH77" s="366">
        <v>15.0247500004042</v>
      </c>
      <c r="CI77" s="366">
        <v>15.0248006397998</v>
      </c>
    </row>
    <row r="78" spans="1:87">
      <c r="A78" s="366" t="s">
        <v>1460</v>
      </c>
      <c r="B78" s="366" t="s">
        <v>1231</v>
      </c>
      <c r="C78" s="366" t="s">
        <v>1243</v>
      </c>
      <c r="D78" s="366" t="s">
        <v>1243</v>
      </c>
      <c r="E78" s="366" t="s">
        <v>1461</v>
      </c>
      <c r="F78" s="366" t="s">
        <v>1461</v>
      </c>
      <c r="G78" s="366" t="s">
        <v>1223</v>
      </c>
      <c r="H78" s="366">
        <v>2223041707.6500001</v>
      </c>
      <c r="I78" s="366">
        <v>0</v>
      </c>
      <c r="J78" s="366">
        <v>19341796.68</v>
      </c>
      <c r="K78" s="366">
        <v>699157.79</v>
      </c>
      <c r="L78" s="366">
        <v>2140907587.5799999</v>
      </c>
      <c r="M78" s="366">
        <v>0</v>
      </c>
      <c r="N78" s="366">
        <v>18627180.559999999</v>
      </c>
      <c r="O78" s="366">
        <v>806150.49</v>
      </c>
      <c r="P78" s="366">
        <v>2158819942.6799998</v>
      </c>
      <c r="Q78" s="366">
        <v>0</v>
      </c>
      <c r="R78" s="366">
        <v>18783028.789999999</v>
      </c>
      <c r="S78" s="366">
        <v>728874.02</v>
      </c>
      <c r="T78" s="366">
        <v>2233046139.9200001</v>
      </c>
      <c r="U78" s="366">
        <v>0</v>
      </c>
      <c r="V78" s="366">
        <v>19428841.25</v>
      </c>
      <c r="W78" s="366">
        <v>753934.72</v>
      </c>
      <c r="X78" s="366">
        <v>2382461920.3200002</v>
      </c>
      <c r="Y78" s="366">
        <v>0</v>
      </c>
      <c r="Z78" s="366">
        <v>20728848.18</v>
      </c>
      <c r="AA78" s="366">
        <v>751753.31</v>
      </c>
      <c r="AB78" s="366">
        <v>2218898721.6199999</v>
      </c>
      <c r="AC78" s="366">
        <v>0</v>
      </c>
      <c r="AD78" s="366">
        <v>19305750.219999999</v>
      </c>
      <c r="AE78" s="366">
        <v>680753.09</v>
      </c>
      <c r="AF78" s="366">
        <v>2114957235.8299999</v>
      </c>
      <c r="AG78" s="366">
        <v>0</v>
      </c>
      <c r="AH78" s="366">
        <v>18401396.93</v>
      </c>
      <c r="AI78" s="366">
        <v>691514.48</v>
      </c>
      <c r="AJ78" s="366">
        <v>2173059596.96</v>
      </c>
      <c r="AK78" s="366">
        <v>0</v>
      </c>
      <c r="AL78" s="366">
        <v>18906922.329999998</v>
      </c>
      <c r="AM78" s="366">
        <v>693752.1</v>
      </c>
      <c r="AN78" s="366">
        <v>2212254150.9200001</v>
      </c>
      <c r="AO78" s="366">
        <v>0</v>
      </c>
      <c r="AP78" s="366">
        <v>19247938.469999999</v>
      </c>
      <c r="AQ78" s="366">
        <v>628393.42000000004</v>
      </c>
      <c r="AR78" s="366">
        <v>2154131108.1199999</v>
      </c>
      <c r="AS78" s="366">
        <v>0</v>
      </c>
      <c r="AT78" s="366">
        <v>18742233.120000001</v>
      </c>
      <c r="AU78" s="366">
        <v>572717.21</v>
      </c>
      <c r="AV78" s="366">
        <v>2163557443.1700001</v>
      </c>
      <c r="AW78" s="366">
        <v>0</v>
      </c>
      <c r="AX78" s="366">
        <v>18824247.890000001</v>
      </c>
      <c r="AY78" s="366">
        <v>528987.23</v>
      </c>
      <c r="AZ78" s="366">
        <v>2128891160.8499999</v>
      </c>
      <c r="BA78" s="366">
        <v>0</v>
      </c>
      <c r="BB78" s="366">
        <v>18522630.43</v>
      </c>
      <c r="BC78" s="366">
        <v>519214.43</v>
      </c>
      <c r="BD78" s="366">
        <v>2104459509.8800001</v>
      </c>
      <c r="BE78" s="366">
        <v>0</v>
      </c>
      <c r="BF78" s="366">
        <v>18310060.41</v>
      </c>
      <c r="BG78" s="366">
        <v>445851.32</v>
      </c>
      <c r="BH78" s="366">
        <v>2195841805.3000002</v>
      </c>
      <c r="BI78" s="366">
        <v>0</v>
      </c>
      <c r="BJ78" s="366">
        <v>19105141.210000001</v>
      </c>
      <c r="BK78" s="366">
        <v>480332.14</v>
      </c>
      <c r="BL78" s="366">
        <v>2229864150.7199998</v>
      </c>
      <c r="BM78" s="366">
        <v>0</v>
      </c>
      <c r="BN78" s="366">
        <v>19401156.030000001</v>
      </c>
      <c r="BO78" s="366">
        <v>482061.95</v>
      </c>
      <c r="BP78" s="366">
        <v>1851196246.6199999</v>
      </c>
      <c r="BQ78" s="366">
        <v>0</v>
      </c>
      <c r="BR78" s="366">
        <v>16106518.060000001</v>
      </c>
      <c r="BS78" s="366">
        <v>400199.84</v>
      </c>
      <c r="BT78" s="366">
        <v>1992455247.51</v>
      </c>
      <c r="BU78" s="366">
        <v>0</v>
      </c>
      <c r="BV78" s="366">
        <v>17335556.129999999</v>
      </c>
      <c r="BW78" s="366">
        <v>430737.84</v>
      </c>
      <c r="BX78" s="366">
        <v>1994719603.03</v>
      </c>
      <c r="BY78" s="366">
        <v>0</v>
      </c>
      <c r="BZ78" s="366">
        <v>17355257.379999999</v>
      </c>
      <c r="CA78" s="366">
        <v>574469.41</v>
      </c>
      <c r="CB78" s="366">
        <v>1994719603.03</v>
      </c>
      <c r="CC78" s="366">
        <v>0</v>
      </c>
      <c r="CD78" s="366">
        <v>17355257.379999999</v>
      </c>
      <c r="CE78" s="366">
        <v>574469.41</v>
      </c>
      <c r="CF78" s="366">
        <v>-10.270707195204301</v>
      </c>
      <c r="CG78" s="366">
        <v>0</v>
      </c>
      <c r="CH78" s="366">
        <v>-10.270707178171</v>
      </c>
      <c r="CI78" s="366">
        <v>-17.834082918535501</v>
      </c>
    </row>
    <row r="79" spans="1:87">
      <c r="A79" s="366" t="s">
        <v>1457</v>
      </c>
      <c r="B79" s="366" t="s">
        <v>1231</v>
      </c>
      <c r="C79" s="366" t="s">
        <v>1246</v>
      </c>
      <c r="D79" s="366" t="s">
        <v>1246</v>
      </c>
      <c r="E79" s="366" t="s">
        <v>1247</v>
      </c>
      <c r="F79" s="366" t="s">
        <v>1484</v>
      </c>
      <c r="G79" s="366" t="s">
        <v>1222</v>
      </c>
      <c r="H79" s="366">
        <v>4820479.6100000003</v>
      </c>
      <c r="I79" s="366">
        <v>50737.18</v>
      </c>
      <c r="J79" s="366">
        <v>671878.45</v>
      </c>
      <c r="K79" s="366">
        <v>52384.11</v>
      </c>
      <c r="L79" s="366">
        <v>4584689.5</v>
      </c>
      <c r="M79" s="366">
        <v>48255.41</v>
      </c>
      <c r="N79" s="366">
        <v>639014.02</v>
      </c>
      <c r="O79" s="366">
        <v>49821.78</v>
      </c>
      <c r="P79" s="366">
        <v>3135128.85</v>
      </c>
      <c r="Q79" s="366">
        <v>32998.29</v>
      </c>
      <c r="R79" s="366">
        <v>436974.26</v>
      </c>
      <c r="S79" s="366">
        <v>34069.42</v>
      </c>
      <c r="T79" s="366">
        <v>4333150.72</v>
      </c>
      <c r="U79" s="366">
        <v>45607.88</v>
      </c>
      <c r="V79" s="366">
        <v>603954.55000000005</v>
      </c>
      <c r="W79" s="366">
        <v>47088.31</v>
      </c>
      <c r="X79" s="366">
        <v>4353756.3899999997</v>
      </c>
      <c r="Y79" s="366">
        <v>45824.76</v>
      </c>
      <c r="Z79" s="366">
        <v>606826.56999999995</v>
      </c>
      <c r="AA79" s="366">
        <v>47312.24</v>
      </c>
      <c r="AB79" s="366">
        <v>4979305.3</v>
      </c>
      <c r="AC79" s="366">
        <v>52408.88</v>
      </c>
      <c r="AD79" s="366">
        <v>694015.57</v>
      </c>
      <c r="AE79" s="366">
        <v>54110.07</v>
      </c>
      <c r="AF79" s="366">
        <v>5195635.79</v>
      </c>
      <c r="AG79" s="366">
        <v>54685.83</v>
      </c>
      <c r="AH79" s="366">
        <v>724167.72</v>
      </c>
      <c r="AI79" s="366">
        <v>56460.93</v>
      </c>
      <c r="AJ79" s="366">
        <v>3053309.6</v>
      </c>
      <c r="AK79" s="366">
        <v>32137.119999999999</v>
      </c>
      <c r="AL79" s="366">
        <v>425570.29</v>
      </c>
      <c r="AM79" s="366">
        <v>33180.29</v>
      </c>
      <c r="AN79" s="366">
        <v>8636341</v>
      </c>
      <c r="AO79" s="366">
        <v>90900.42</v>
      </c>
      <c r="AP79" s="366">
        <v>1203733.21</v>
      </c>
      <c r="AQ79" s="366">
        <v>93851.05</v>
      </c>
      <c r="AR79" s="366">
        <v>5091416.5</v>
      </c>
      <c r="AS79" s="366">
        <v>53588.88</v>
      </c>
      <c r="AT79" s="366">
        <v>709641.63</v>
      </c>
      <c r="AU79" s="366">
        <v>55328.38</v>
      </c>
      <c r="AV79" s="366">
        <v>5377481</v>
      </c>
      <c r="AW79" s="366">
        <v>56599.81</v>
      </c>
      <c r="AX79" s="366">
        <v>749513.3</v>
      </c>
      <c r="AY79" s="366">
        <v>58437.04</v>
      </c>
      <c r="AZ79" s="366">
        <v>8307993</v>
      </c>
      <c r="BA79" s="366">
        <v>87444.44</v>
      </c>
      <c r="BB79" s="366">
        <v>1157968.06</v>
      </c>
      <c r="BC79" s="366">
        <v>90282.89</v>
      </c>
      <c r="BD79" s="366">
        <v>5897877.0499999998</v>
      </c>
      <c r="BE79" s="366">
        <v>62077.16</v>
      </c>
      <c r="BF79" s="366">
        <v>822046.1</v>
      </c>
      <c r="BG79" s="366">
        <v>64092.18</v>
      </c>
      <c r="BH79" s="366">
        <v>9831136.3800000008</v>
      </c>
      <c r="BI79" s="366">
        <v>103476.04</v>
      </c>
      <c r="BJ79" s="366">
        <v>1370263.79</v>
      </c>
      <c r="BK79" s="366">
        <v>106834.88</v>
      </c>
      <c r="BL79" s="366">
        <v>9558681</v>
      </c>
      <c r="BM79" s="366">
        <v>100608.36</v>
      </c>
      <c r="BN79" s="366">
        <v>1252774.2</v>
      </c>
      <c r="BO79" s="366">
        <v>103874.11</v>
      </c>
      <c r="BP79" s="366">
        <v>7946576.2000000002</v>
      </c>
      <c r="BQ79" s="366">
        <v>83640.41</v>
      </c>
      <c r="BR79" s="366">
        <v>1247176.97</v>
      </c>
      <c r="BS79" s="366">
        <v>86355.38</v>
      </c>
      <c r="BT79" s="366">
        <v>8948034</v>
      </c>
      <c r="BU79" s="366">
        <v>94181.09</v>
      </c>
      <c r="BV79" s="366">
        <v>94603767.799999997</v>
      </c>
      <c r="BW79" s="366">
        <v>97238.21</v>
      </c>
      <c r="BX79" s="366">
        <v>8988192</v>
      </c>
      <c r="BY79" s="366">
        <v>94603.77</v>
      </c>
      <c r="BZ79" s="366">
        <v>1252774.2</v>
      </c>
      <c r="CA79" s="366">
        <v>97674.61</v>
      </c>
      <c r="CB79" s="366">
        <v>9388172.0999999996</v>
      </c>
      <c r="CC79" s="366">
        <v>98813.69</v>
      </c>
      <c r="CD79" s="366">
        <v>1308523.43</v>
      </c>
      <c r="CE79" s="366">
        <v>102021.19</v>
      </c>
      <c r="CF79" s="366">
        <v>94.755975744081596</v>
      </c>
      <c r="CG79" s="366">
        <v>94.755975795264902</v>
      </c>
      <c r="CH79" s="366">
        <v>94.755975578618404</v>
      </c>
      <c r="CI79" s="366">
        <v>94.755986118691297</v>
      </c>
    </row>
    <row r="80" spans="1:87">
      <c r="A80" s="366" t="s">
        <v>1457</v>
      </c>
      <c r="B80" s="366" t="s">
        <v>1231</v>
      </c>
      <c r="C80" s="366" t="s">
        <v>1246</v>
      </c>
      <c r="D80" s="366" t="s">
        <v>1246</v>
      </c>
      <c r="E80" s="366" t="s">
        <v>1134</v>
      </c>
      <c r="F80" s="366" t="s">
        <v>1134</v>
      </c>
      <c r="G80" s="366" t="s">
        <v>1222</v>
      </c>
      <c r="H80" s="366">
        <v>0</v>
      </c>
      <c r="I80" s="366">
        <v>0</v>
      </c>
      <c r="J80" s="366">
        <v>0</v>
      </c>
      <c r="K80" s="366">
        <v>0</v>
      </c>
      <c r="L80" s="366">
        <v>0</v>
      </c>
      <c r="M80" s="366">
        <v>0</v>
      </c>
      <c r="N80" s="366">
        <v>0</v>
      </c>
      <c r="O80" s="366">
        <v>0</v>
      </c>
      <c r="P80" s="366">
        <v>0</v>
      </c>
      <c r="Q80" s="366">
        <v>0</v>
      </c>
      <c r="R80" s="366">
        <v>0</v>
      </c>
      <c r="S80" s="366">
        <v>0</v>
      </c>
      <c r="T80" s="366">
        <v>0</v>
      </c>
      <c r="U80" s="366">
        <v>0</v>
      </c>
      <c r="V80" s="366">
        <v>0</v>
      </c>
      <c r="W80" s="366">
        <v>0</v>
      </c>
      <c r="X80" s="366">
        <v>0</v>
      </c>
      <c r="Y80" s="366">
        <v>0</v>
      </c>
      <c r="Z80" s="366">
        <v>0</v>
      </c>
      <c r="AA80" s="366">
        <v>0</v>
      </c>
      <c r="AB80" s="366">
        <v>0</v>
      </c>
      <c r="AC80" s="366">
        <v>0</v>
      </c>
      <c r="AD80" s="366">
        <v>0</v>
      </c>
      <c r="AE80" s="366">
        <v>0</v>
      </c>
      <c r="AF80" s="366">
        <v>0</v>
      </c>
      <c r="AG80" s="366">
        <v>0</v>
      </c>
      <c r="AH80" s="366">
        <v>0</v>
      </c>
      <c r="AI80" s="366">
        <v>0</v>
      </c>
      <c r="AJ80" s="366">
        <v>0</v>
      </c>
      <c r="AK80" s="366">
        <v>0</v>
      </c>
      <c r="AL80" s="366">
        <v>0</v>
      </c>
      <c r="AM80" s="366">
        <v>0</v>
      </c>
      <c r="AN80" s="366">
        <v>35</v>
      </c>
      <c r="AO80" s="366">
        <v>0</v>
      </c>
      <c r="AP80" s="366">
        <v>4.5199999999999996</v>
      </c>
      <c r="AQ80" s="366">
        <v>0</v>
      </c>
      <c r="AR80" s="366">
        <v>22.5</v>
      </c>
      <c r="AS80" s="366">
        <v>0</v>
      </c>
      <c r="AT80" s="366">
        <v>2.91</v>
      </c>
      <c r="AU80" s="366">
        <v>0</v>
      </c>
      <c r="AV80" s="366">
        <v>55</v>
      </c>
      <c r="AW80" s="366">
        <v>0</v>
      </c>
      <c r="AX80" s="366">
        <v>7.11</v>
      </c>
      <c r="AY80" s="366">
        <v>0</v>
      </c>
      <c r="AZ80" s="366">
        <v>25</v>
      </c>
      <c r="BA80" s="366">
        <v>0</v>
      </c>
      <c r="BB80" s="366">
        <v>3.23</v>
      </c>
      <c r="BC80" s="366">
        <v>0</v>
      </c>
      <c r="BD80" s="366">
        <v>821.25</v>
      </c>
      <c r="BE80" s="366">
        <v>0.01</v>
      </c>
      <c r="BF80" s="366">
        <v>106.17</v>
      </c>
      <c r="BG80" s="366">
        <v>0.01</v>
      </c>
      <c r="BH80" s="366">
        <v>0</v>
      </c>
      <c r="BI80" s="366">
        <v>0</v>
      </c>
      <c r="BJ80" s="366">
        <v>0</v>
      </c>
      <c r="BK80" s="366">
        <v>0</v>
      </c>
      <c r="BL80" s="366">
        <v>0</v>
      </c>
      <c r="BM80" s="366">
        <v>0</v>
      </c>
      <c r="BN80" s="366">
        <v>0</v>
      </c>
      <c r="BO80" s="366">
        <v>0</v>
      </c>
      <c r="BP80" s="366">
        <v>300.10000000000002</v>
      </c>
      <c r="BQ80" s="366">
        <v>0</v>
      </c>
      <c r="BR80" s="366">
        <v>0.01</v>
      </c>
      <c r="BS80" s="366">
        <v>0</v>
      </c>
      <c r="BT80" s="366">
        <v>0.05</v>
      </c>
      <c r="BU80" s="366">
        <v>0</v>
      </c>
      <c r="BV80" s="366">
        <v>0</v>
      </c>
      <c r="BW80" s="366">
        <v>0</v>
      </c>
      <c r="BX80" s="366">
        <v>0</v>
      </c>
      <c r="BY80" s="366">
        <v>0</v>
      </c>
      <c r="BZ80" s="366">
        <v>0</v>
      </c>
      <c r="CA80" s="366">
        <v>0</v>
      </c>
      <c r="CB80" s="366">
        <v>0</v>
      </c>
      <c r="CC80" s="366">
        <v>0</v>
      </c>
      <c r="CD80" s="366">
        <v>0</v>
      </c>
      <c r="CE80" s="366">
        <v>0</v>
      </c>
      <c r="CF80" s="366">
        <v>0</v>
      </c>
      <c r="CG80" s="366">
        <v>0</v>
      </c>
      <c r="CH80" s="366">
        <v>0</v>
      </c>
      <c r="CI80" s="366">
        <v>0</v>
      </c>
    </row>
    <row r="81" spans="1:87">
      <c r="A81" s="366" t="s">
        <v>1457</v>
      </c>
      <c r="B81" s="366" t="s">
        <v>1231</v>
      </c>
      <c r="C81" s="366" t="s">
        <v>1248</v>
      </c>
      <c r="D81" s="366" t="s">
        <v>1248</v>
      </c>
      <c r="E81" s="366" t="s">
        <v>1249</v>
      </c>
      <c r="F81" s="366" t="s">
        <v>1485</v>
      </c>
      <c r="G81" s="366" t="s">
        <v>1222</v>
      </c>
      <c r="H81" s="366">
        <v>246497.04</v>
      </c>
      <c r="I81" s="366">
        <v>2068.58</v>
      </c>
      <c r="J81" s="366">
        <v>29875.439999999999</v>
      </c>
      <c r="K81" s="366">
        <v>2068.58</v>
      </c>
      <c r="L81" s="366">
        <v>254180.49</v>
      </c>
      <c r="M81" s="366">
        <v>2133.06</v>
      </c>
      <c r="N81" s="366">
        <v>30806.67</v>
      </c>
      <c r="O81" s="366">
        <v>2133.06</v>
      </c>
      <c r="P81" s="366">
        <v>247583.58</v>
      </c>
      <c r="Q81" s="366">
        <v>2077.6999999999998</v>
      </c>
      <c r="R81" s="366">
        <v>30007.13</v>
      </c>
      <c r="S81" s="366">
        <v>2077.6999999999998</v>
      </c>
      <c r="T81" s="366">
        <v>228389.37</v>
      </c>
      <c r="U81" s="366">
        <v>1916.62</v>
      </c>
      <c r="V81" s="366">
        <v>27680.79</v>
      </c>
      <c r="W81" s="366">
        <v>1916.62</v>
      </c>
      <c r="X81" s="366">
        <v>214669.87</v>
      </c>
      <c r="Y81" s="366">
        <v>1801.49</v>
      </c>
      <c r="Z81" s="366">
        <v>26017.99</v>
      </c>
      <c r="AA81" s="366">
        <v>1801.49</v>
      </c>
      <c r="AB81" s="366">
        <v>226287.35999999999</v>
      </c>
      <c r="AC81" s="366">
        <v>1898.98</v>
      </c>
      <c r="AD81" s="366">
        <v>27426.03</v>
      </c>
      <c r="AE81" s="366">
        <v>1898.98</v>
      </c>
      <c r="AF81" s="366">
        <v>186530.26</v>
      </c>
      <c r="AG81" s="366">
        <v>1565.34</v>
      </c>
      <c r="AH81" s="366">
        <v>22607.47</v>
      </c>
      <c r="AI81" s="366">
        <v>1565.34</v>
      </c>
      <c r="AJ81" s="366">
        <v>158166.91</v>
      </c>
      <c r="AK81" s="366">
        <v>1327.32</v>
      </c>
      <c r="AL81" s="366">
        <v>19169.830000000002</v>
      </c>
      <c r="AM81" s="366">
        <v>1327.32</v>
      </c>
      <c r="AN81" s="366">
        <v>210480.7</v>
      </c>
      <c r="AO81" s="366">
        <v>1766.33</v>
      </c>
      <c r="AP81" s="366">
        <v>25510.26</v>
      </c>
      <c r="AQ81" s="366">
        <v>1766.33</v>
      </c>
      <c r="AR81" s="366">
        <v>236753.3</v>
      </c>
      <c r="AS81" s="366">
        <v>1986.81</v>
      </c>
      <c r="AT81" s="366">
        <v>28694.5</v>
      </c>
      <c r="AU81" s="366">
        <v>1986.81</v>
      </c>
      <c r="AV81" s="366">
        <v>268598</v>
      </c>
      <c r="AW81" s="366">
        <v>2254.0500000000002</v>
      </c>
      <c r="AX81" s="366">
        <v>32554.080000000002</v>
      </c>
      <c r="AY81" s="366">
        <v>2254.0500000000002</v>
      </c>
      <c r="AZ81" s="366">
        <v>257397.1</v>
      </c>
      <c r="BA81" s="366">
        <v>2160.0500000000002</v>
      </c>
      <c r="BB81" s="366">
        <v>31196.53</v>
      </c>
      <c r="BC81" s="366">
        <v>2160.0500000000002</v>
      </c>
      <c r="BD81" s="366">
        <v>254139</v>
      </c>
      <c r="BE81" s="366">
        <v>2132.71</v>
      </c>
      <c r="BF81" s="366">
        <v>30801.65</v>
      </c>
      <c r="BG81" s="366">
        <v>2132.71</v>
      </c>
      <c r="BH81" s="366">
        <v>226536.6</v>
      </c>
      <c r="BI81" s="366">
        <v>1901.07</v>
      </c>
      <c r="BJ81" s="366">
        <v>27456.240000000002</v>
      </c>
      <c r="BK81" s="366">
        <v>1901.07</v>
      </c>
      <c r="BL81" s="366">
        <v>200710.6</v>
      </c>
      <c r="BM81" s="366">
        <v>1684.34</v>
      </c>
      <c r="BN81" s="366">
        <v>20544.919999999998</v>
      </c>
      <c r="BO81" s="366">
        <v>1684.34</v>
      </c>
      <c r="BP81" s="366">
        <v>190426.9</v>
      </c>
      <c r="BQ81" s="366">
        <v>1598.04</v>
      </c>
      <c r="BR81" s="366">
        <v>20293.330000000002</v>
      </c>
      <c r="BS81" s="366">
        <v>1598.04</v>
      </c>
      <c r="BT81" s="366">
        <v>167436.70000000001</v>
      </c>
      <c r="BU81" s="366">
        <v>1405.11</v>
      </c>
      <c r="BV81" s="366">
        <v>1422531.95</v>
      </c>
      <c r="BW81" s="366">
        <v>1405.11</v>
      </c>
      <c r="BX81" s="366">
        <v>169512.5</v>
      </c>
      <c r="BY81" s="366">
        <v>1422.53</v>
      </c>
      <c r="BZ81" s="366">
        <v>20544.919999999998</v>
      </c>
      <c r="CA81" s="366">
        <v>1422.53</v>
      </c>
      <c r="CB81" s="366">
        <v>248090.9</v>
      </c>
      <c r="CC81" s="366">
        <v>2081.9499999999998</v>
      </c>
      <c r="CD81" s="366">
        <v>30068.62</v>
      </c>
      <c r="CE81" s="366">
        <v>2081.9499999999998</v>
      </c>
      <c r="CF81" s="366">
        <v>0.646604113380017</v>
      </c>
      <c r="CG81" s="366">
        <v>0.64633710081311302</v>
      </c>
      <c r="CH81" s="366">
        <v>0.64661809164986495</v>
      </c>
      <c r="CI81" s="366">
        <v>0.64633710081311302</v>
      </c>
    </row>
    <row r="82" spans="1:87">
      <c r="A82" s="366" t="s">
        <v>1457</v>
      </c>
      <c r="B82" s="366" t="s">
        <v>1250</v>
      </c>
      <c r="C82" s="366" t="s">
        <v>1251</v>
      </c>
      <c r="D82" s="366" t="s">
        <v>1251</v>
      </c>
      <c r="E82" s="366" t="s">
        <v>1252</v>
      </c>
      <c r="F82" s="366" t="s">
        <v>68</v>
      </c>
      <c r="G82" s="366" t="s">
        <v>1253</v>
      </c>
      <c r="H82" s="366">
        <v>7420036.1100000003</v>
      </c>
      <c r="I82" s="366">
        <v>2256528.29</v>
      </c>
      <c r="J82" s="366">
        <v>0</v>
      </c>
      <c r="K82" s="366">
        <v>6567386.9900000002</v>
      </c>
      <c r="L82" s="366">
        <v>6454706.0599999996</v>
      </c>
      <c r="M82" s="366">
        <v>1962959.02</v>
      </c>
      <c r="N82" s="366">
        <v>0</v>
      </c>
      <c r="O82" s="366">
        <v>5712984.6799999997</v>
      </c>
      <c r="P82" s="366">
        <v>6366451.2199999997</v>
      </c>
      <c r="Q82" s="366">
        <v>1936119.59</v>
      </c>
      <c r="R82" s="366">
        <v>0</v>
      </c>
      <c r="S82" s="366">
        <v>5634871.3600000003</v>
      </c>
      <c r="T82" s="366">
        <v>6351754.2599999998</v>
      </c>
      <c r="U82" s="366">
        <v>1931650.06</v>
      </c>
      <c r="V82" s="366">
        <v>0</v>
      </c>
      <c r="W82" s="366">
        <v>5621863.25</v>
      </c>
      <c r="X82" s="366">
        <v>6235455.5099999998</v>
      </c>
      <c r="Y82" s="366">
        <v>1896282.11</v>
      </c>
      <c r="Z82" s="366">
        <v>0</v>
      </c>
      <c r="AA82" s="366">
        <v>5518928.5899999999</v>
      </c>
      <c r="AB82" s="366">
        <v>6163776.9400000004</v>
      </c>
      <c r="AC82" s="366">
        <v>1874483.74</v>
      </c>
      <c r="AD82" s="366">
        <v>0</v>
      </c>
      <c r="AE82" s="366">
        <v>5455486.7199999997</v>
      </c>
      <c r="AF82" s="366">
        <v>6308840.79</v>
      </c>
      <c r="AG82" s="366">
        <v>1918599.52</v>
      </c>
      <c r="AH82" s="366">
        <v>0</v>
      </c>
      <c r="AI82" s="366">
        <v>5583881.04</v>
      </c>
      <c r="AJ82" s="366">
        <v>6221994.6699999999</v>
      </c>
      <c r="AK82" s="366">
        <v>1892188.5</v>
      </c>
      <c r="AL82" s="366">
        <v>0</v>
      </c>
      <c r="AM82" s="366">
        <v>5507014.5599999996</v>
      </c>
      <c r="AN82" s="366">
        <v>6191594.3899999997</v>
      </c>
      <c r="AO82" s="366">
        <v>1882943.38</v>
      </c>
      <c r="AP82" s="366">
        <v>0</v>
      </c>
      <c r="AQ82" s="366">
        <v>5480107.6299999999</v>
      </c>
      <c r="AR82" s="366">
        <v>6245818.3099999996</v>
      </c>
      <c r="AS82" s="366">
        <v>1899433.58</v>
      </c>
      <c r="AT82" s="366">
        <v>0</v>
      </c>
      <c r="AU82" s="366">
        <v>5528100.5800000001</v>
      </c>
      <c r="AV82" s="366">
        <v>6166621.3899999997</v>
      </c>
      <c r="AW82" s="366">
        <v>1875348.77</v>
      </c>
      <c r="AX82" s="366">
        <v>0</v>
      </c>
      <c r="AY82" s="366">
        <v>5458004.3200000003</v>
      </c>
      <c r="AZ82" s="366">
        <v>6205162.8399999999</v>
      </c>
      <c r="BA82" s="366">
        <v>1887069.72</v>
      </c>
      <c r="BB82" s="366">
        <v>0</v>
      </c>
      <c r="BC82" s="366">
        <v>5492116.9000000004</v>
      </c>
      <c r="BD82" s="366">
        <v>6221001.96</v>
      </c>
      <c r="BE82" s="366">
        <v>1891886.6</v>
      </c>
      <c r="BF82" s="366">
        <v>0</v>
      </c>
      <c r="BG82" s="366">
        <v>5506135.9199999999</v>
      </c>
      <c r="BH82" s="366">
        <v>6254262.7400000002</v>
      </c>
      <c r="BI82" s="366">
        <v>1902001.63</v>
      </c>
      <c r="BJ82" s="366">
        <v>0</v>
      </c>
      <c r="BK82" s="366">
        <v>5535574.6500000004</v>
      </c>
      <c r="BL82" s="366">
        <v>6264380.9900000002</v>
      </c>
      <c r="BM82" s="366">
        <v>1905078.73</v>
      </c>
      <c r="BN82" s="366">
        <v>0</v>
      </c>
      <c r="BO82" s="366">
        <v>5544530.2000000002</v>
      </c>
      <c r="BP82" s="366">
        <v>6423022.5</v>
      </c>
      <c r="BQ82" s="366">
        <v>1953323.64</v>
      </c>
      <c r="BR82" s="366">
        <v>0</v>
      </c>
      <c r="BS82" s="366">
        <v>5684941.9299999997</v>
      </c>
      <c r="BT82" s="366">
        <v>6316535.1799999997</v>
      </c>
      <c r="BU82" s="366">
        <v>1920939.48</v>
      </c>
      <c r="BV82" s="366">
        <v>0</v>
      </c>
      <c r="BW82" s="366">
        <v>5590691.2599999998</v>
      </c>
      <c r="BX82" s="366">
        <v>6266991.5499999998</v>
      </c>
      <c r="BY82" s="366">
        <v>1905872.63</v>
      </c>
      <c r="BZ82" s="366">
        <v>0</v>
      </c>
      <c r="CA82" s="366">
        <v>5546840.7699999996</v>
      </c>
      <c r="CB82" s="366">
        <v>6091930.0099999998</v>
      </c>
      <c r="CC82" s="366">
        <v>1852634.17</v>
      </c>
      <c r="CD82" s="366">
        <v>0</v>
      </c>
      <c r="CE82" s="366">
        <v>5391895.8499999996</v>
      </c>
      <c r="CF82" s="366">
        <v>-17.8989169366724</v>
      </c>
      <c r="CG82" s="366">
        <v>-17.898916747017601</v>
      </c>
      <c r="CH82" s="366">
        <v>0</v>
      </c>
      <c r="CI82" s="366">
        <v>-17.898916902413301</v>
      </c>
    </row>
    <row r="83" spans="1:87">
      <c r="A83" s="366" t="s">
        <v>1457</v>
      </c>
      <c r="B83" s="366" t="s">
        <v>1250</v>
      </c>
      <c r="C83" s="366" t="s">
        <v>1254</v>
      </c>
      <c r="D83" s="366" t="s">
        <v>1254</v>
      </c>
      <c r="E83" s="366" t="s">
        <v>1255</v>
      </c>
      <c r="F83" s="366" t="s">
        <v>1486</v>
      </c>
      <c r="G83" s="366" t="s">
        <v>1253</v>
      </c>
      <c r="H83" s="366">
        <v>26351</v>
      </c>
      <c r="I83" s="366">
        <v>5098.92</v>
      </c>
      <c r="J83" s="366">
        <v>0</v>
      </c>
      <c r="K83" s="366">
        <v>10716.95</v>
      </c>
      <c r="L83" s="366">
        <v>36787.160000000003</v>
      </c>
      <c r="M83" s="366">
        <v>7118.32</v>
      </c>
      <c r="N83" s="366">
        <v>0</v>
      </c>
      <c r="O83" s="366">
        <v>14961.34</v>
      </c>
      <c r="P83" s="366">
        <v>26374.39</v>
      </c>
      <c r="Q83" s="366">
        <v>5103.4399999999996</v>
      </c>
      <c r="R83" s="366">
        <v>0</v>
      </c>
      <c r="S83" s="366">
        <v>10726.46</v>
      </c>
      <c r="T83" s="366">
        <v>18717.189999999999</v>
      </c>
      <c r="U83" s="366">
        <v>3621.78</v>
      </c>
      <c r="V83" s="366">
        <v>0</v>
      </c>
      <c r="W83" s="366">
        <v>7612.28</v>
      </c>
      <c r="X83" s="366">
        <v>20689.419999999998</v>
      </c>
      <c r="Y83" s="366">
        <v>4003.4</v>
      </c>
      <c r="Z83" s="366">
        <v>0</v>
      </c>
      <c r="AA83" s="366">
        <v>8414.39</v>
      </c>
      <c r="AB83" s="366">
        <v>21730.67</v>
      </c>
      <c r="AC83" s="366">
        <v>4204.88</v>
      </c>
      <c r="AD83" s="366">
        <v>0</v>
      </c>
      <c r="AE83" s="366">
        <v>8837.86</v>
      </c>
      <c r="AF83" s="366">
        <v>20101.28</v>
      </c>
      <c r="AG83" s="366">
        <v>3889.6</v>
      </c>
      <c r="AH83" s="366">
        <v>0</v>
      </c>
      <c r="AI83" s="366">
        <v>8175.19</v>
      </c>
      <c r="AJ83" s="366">
        <v>18731.650000000001</v>
      </c>
      <c r="AK83" s="366">
        <v>3624.57</v>
      </c>
      <c r="AL83" s="366">
        <v>0</v>
      </c>
      <c r="AM83" s="366">
        <v>7618.16</v>
      </c>
      <c r="AN83" s="366">
        <v>20562.45</v>
      </c>
      <c r="AO83" s="366">
        <v>3978.83</v>
      </c>
      <c r="AP83" s="366">
        <v>0</v>
      </c>
      <c r="AQ83" s="366">
        <v>8362.75</v>
      </c>
      <c r="AR83" s="366">
        <v>29207.439999999999</v>
      </c>
      <c r="AS83" s="366">
        <v>5651.64</v>
      </c>
      <c r="AT83" s="366">
        <v>0</v>
      </c>
      <c r="AU83" s="366">
        <v>11878.67</v>
      </c>
      <c r="AV83" s="366">
        <v>36807.660000000003</v>
      </c>
      <c r="AW83" s="366">
        <v>7122.28</v>
      </c>
      <c r="AX83" s="366">
        <v>0</v>
      </c>
      <c r="AY83" s="366">
        <v>14969.67</v>
      </c>
      <c r="AZ83" s="366">
        <v>43783.360000000001</v>
      </c>
      <c r="BA83" s="366">
        <v>8472.08</v>
      </c>
      <c r="BB83" s="366">
        <v>0</v>
      </c>
      <c r="BC83" s="366">
        <v>17806.689999999999</v>
      </c>
      <c r="BD83" s="366">
        <v>57098.080000000002</v>
      </c>
      <c r="BE83" s="366">
        <v>11048.48</v>
      </c>
      <c r="BF83" s="366">
        <v>0</v>
      </c>
      <c r="BG83" s="366">
        <v>23221.79</v>
      </c>
      <c r="BH83" s="366">
        <v>72940.27</v>
      </c>
      <c r="BI83" s="366">
        <v>14113.94</v>
      </c>
      <c r="BJ83" s="366">
        <v>0</v>
      </c>
      <c r="BK83" s="366">
        <v>29664.81</v>
      </c>
      <c r="BL83" s="366">
        <v>68451.460000000006</v>
      </c>
      <c r="BM83" s="366">
        <v>13245.36</v>
      </c>
      <c r="BN83" s="366">
        <v>0</v>
      </c>
      <c r="BO83" s="366">
        <v>27839.21</v>
      </c>
      <c r="BP83" s="366">
        <v>44652.3</v>
      </c>
      <c r="BQ83" s="366">
        <v>8640.2199999999993</v>
      </c>
      <c r="BR83" s="366">
        <v>0</v>
      </c>
      <c r="BS83" s="366">
        <v>18160.09</v>
      </c>
      <c r="BT83" s="366">
        <v>39428.22</v>
      </c>
      <c r="BU83" s="366">
        <v>7629.36</v>
      </c>
      <c r="BV83" s="366">
        <v>0</v>
      </c>
      <c r="BW83" s="366">
        <v>16035.46</v>
      </c>
      <c r="BX83" s="366">
        <v>44698.9</v>
      </c>
      <c r="BY83" s="366">
        <v>8649.24</v>
      </c>
      <c r="BZ83" s="366">
        <v>0</v>
      </c>
      <c r="CA83" s="366">
        <v>18179.04</v>
      </c>
      <c r="CB83" s="366">
        <v>49247.49</v>
      </c>
      <c r="CC83" s="366">
        <v>9529.39</v>
      </c>
      <c r="CD83" s="366">
        <v>0</v>
      </c>
      <c r="CE83" s="366">
        <v>20028.96</v>
      </c>
      <c r="CF83" s="366">
        <v>86.890402641265993</v>
      </c>
      <c r="CG83" s="366">
        <v>86.890361096075196</v>
      </c>
      <c r="CH83" s="366">
        <v>0</v>
      </c>
      <c r="CI83" s="366">
        <v>86.890486565673996</v>
      </c>
    </row>
    <row r="84" spans="1:87">
      <c r="A84" s="366" t="s">
        <v>1457</v>
      </c>
      <c r="B84" s="366" t="s">
        <v>1250</v>
      </c>
      <c r="C84" s="366" t="s">
        <v>1256</v>
      </c>
      <c r="D84" s="366" t="s">
        <v>1256</v>
      </c>
      <c r="E84" s="366" t="s">
        <v>1257</v>
      </c>
      <c r="F84" s="366" t="s">
        <v>68</v>
      </c>
      <c r="G84" s="366" t="s">
        <v>1253</v>
      </c>
      <c r="H84" s="366">
        <v>6536.09</v>
      </c>
      <c r="I84" s="366">
        <v>182356.92</v>
      </c>
      <c r="J84" s="366">
        <v>0</v>
      </c>
      <c r="K84" s="366">
        <v>530730.54</v>
      </c>
      <c r="L84" s="366">
        <v>6834.84</v>
      </c>
      <c r="M84" s="366">
        <v>190692.02</v>
      </c>
      <c r="N84" s="366">
        <v>0</v>
      </c>
      <c r="O84" s="366">
        <v>554988.97</v>
      </c>
      <c r="P84" s="366">
        <v>12180.65</v>
      </c>
      <c r="Q84" s="366">
        <v>339840.11</v>
      </c>
      <c r="R84" s="366">
        <v>0</v>
      </c>
      <c r="S84" s="366">
        <v>989068.69</v>
      </c>
      <c r="T84" s="366">
        <v>11986.32</v>
      </c>
      <c r="U84" s="366">
        <v>334418.34000000003</v>
      </c>
      <c r="V84" s="366">
        <v>0</v>
      </c>
      <c r="W84" s="366">
        <v>973289.23</v>
      </c>
      <c r="X84" s="366">
        <v>10704.3</v>
      </c>
      <c r="Y84" s="366">
        <v>298649.93</v>
      </c>
      <c r="Z84" s="366">
        <v>0</v>
      </c>
      <c r="AA84" s="366">
        <v>869189.05</v>
      </c>
      <c r="AB84" s="366">
        <v>9217.0499999999993</v>
      </c>
      <c r="AC84" s="366">
        <v>257155.7</v>
      </c>
      <c r="AD84" s="366">
        <v>0</v>
      </c>
      <c r="AE84" s="366">
        <v>748424.47</v>
      </c>
      <c r="AF84" s="366">
        <v>9956.32</v>
      </c>
      <c r="AG84" s="366">
        <v>277781.46000000002</v>
      </c>
      <c r="AH84" s="366">
        <v>0</v>
      </c>
      <c r="AI84" s="366">
        <v>808453.58</v>
      </c>
      <c r="AJ84" s="366">
        <v>7499.95</v>
      </c>
      <c r="AK84" s="366">
        <v>209248.61</v>
      </c>
      <c r="AL84" s="366">
        <v>0</v>
      </c>
      <c r="AM84" s="366">
        <v>608995.93999999994</v>
      </c>
      <c r="AN84" s="366">
        <v>6596.89</v>
      </c>
      <c r="AO84" s="366">
        <v>184053.35</v>
      </c>
      <c r="AP84" s="366">
        <v>0</v>
      </c>
      <c r="AQ84" s="366">
        <v>535667.81999999995</v>
      </c>
      <c r="AR84" s="366">
        <v>5698.74</v>
      </c>
      <c r="AS84" s="366">
        <v>158994.76</v>
      </c>
      <c r="AT84" s="366">
        <v>0</v>
      </c>
      <c r="AU84" s="366">
        <v>462737.43</v>
      </c>
      <c r="AV84" s="366">
        <v>6118.91</v>
      </c>
      <c r="AW84" s="366">
        <v>170717.61</v>
      </c>
      <c r="AX84" s="366">
        <v>0</v>
      </c>
      <c r="AY84" s="366">
        <v>496855.57</v>
      </c>
      <c r="AZ84" s="366">
        <v>4140.57</v>
      </c>
      <c r="BA84" s="366">
        <v>115521.82</v>
      </c>
      <c r="BB84" s="366">
        <v>0</v>
      </c>
      <c r="BC84" s="366">
        <v>336214.04</v>
      </c>
      <c r="BD84" s="366">
        <v>3192.28</v>
      </c>
      <c r="BE84" s="366">
        <v>89064.5</v>
      </c>
      <c r="BF84" s="366">
        <v>0</v>
      </c>
      <c r="BG84" s="366">
        <v>259212.82</v>
      </c>
      <c r="BH84" s="366">
        <v>4986.1499999999996</v>
      </c>
      <c r="BI84" s="366">
        <v>139113.46</v>
      </c>
      <c r="BJ84" s="366">
        <v>0</v>
      </c>
      <c r="BK84" s="366">
        <v>404875.01</v>
      </c>
      <c r="BL84" s="366">
        <v>6091.35</v>
      </c>
      <c r="BM84" s="366">
        <v>169948.59</v>
      </c>
      <c r="BN84" s="366">
        <v>0</v>
      </c>
      <c r="BO84" s="366">
        <v>494617.39</v>
      </c>
      <c r="BP84" s="366">
        <v>2645.06</v>
      </c>
      <c r="BQ84" s="366">
        <v>73797.240000000005</v>
      </c>
      <c r="BR84" s="366">
        <v>0</v>
      </c>
      <c r="BS84" s="366">
        <v>214779.05</v>
      </c>
      <c r="BT84" s="366">
        <v>2270.86</v>
      </c>
      <c r="BU84" s="366">
        <v>63356.93</v>
      </c>
      <c r="BV84" s="366">
        <v>0</v>
      </c>
      <c r="BW84" s="366">
        <v>184393.65</v>
      </c>
      <c r="BX84" s="366">
        <v>2097.7399999999998</v>
      </c>
      <c r="BY84" s="366">
        <v>58526.93</v>
      </c>
      <c r="BZ84" s="366">
        <v>0</v>
      </c>
      <c r="CA84" s="366">
        <v>170336.43</v>
      </c>
      <c r="CB84" s="366">
        <v>1316.5</v>
      </c>
      <c r="CC84" s="366">
        <v>36730.25</v>
      </c>
      <c r="CD84" s="366">
        <v>0</v>
      </c>
      <c r="CE84" s="366">
        <v>106899.51</v>
      </c>
      <c r="CF84" s="366">
        <v>-79.857988491590504</v>
      </c>
      <c r="CG84" s="366">
        <v>-79.858044323187698</v>
      </c>
      <c r="CH84" s="366">
        <v>0</v>
      </c>
      <c r="CI84" s="366">
        <v>-79.858044347702304</v>
      </c>
    </row>
    <row r="85" spans="1:87">
      <c r="A85" s="366" t="s">
        <v>1457</v>
      </c>
      <c r="B85" s="366" t="s">
        <v>1250</v>
      </c>
      <c r="C85" s="366" t="s">
        <v>1256</v>
      </c>
      <c r="D85" s="366" t="s">
        <v>1256</v>
      </c>
      <c r="E85" s="366" t="s">
        <v>1258</v>
      </c>
      <c r="F85" s="366" t="s">
        <v>70</v>
      </c>
      <c r="G85" s="366" t="s">
        <v>1253</v>
      </c>
      <c r="H85" s="366">
        <v>285.64</v>
      </c>
      <c r="I85" s="366">
        <v>77978.75</v>
      </c>
      <c r="J85" s="366">
        <v>0</v>
      </c>
      <c r="K85" s="366">
        <v>77978.75</v>
      </c>
      <c r="L85" s="366">
        <v>278.32</v>
      </c>
      <c r="M85" s="366">
        <v>75981.91</v>
      </c>
      <c r="N85" s="366">
        <v>0</v>
      </c>
      <c r="O85" s="366">
        <v>75981.91</v>
      </c>
      <c r="P85" s="366">
        <v>286.83</v>
      </c>
      <c r="Q85" s="366">
        <v>78303.240000000005</v>
      </c>
      <c r="R85" s="366">
        <v>0</v>
      </c>
      <c r="S85" s="366">
        <v>78303.240000000005</v>
      </c>
      <c r="T85" s="366">
        <v>291.98</v>
      </c>
      <c r="U85" s="366">
        <v>79711.56</v>
      </c>
      <c r="V85" s="366">
        <v>0</v>
      </c>
      <c r="W85" s="366">
        <v>79711.56</v>
      </c>
      <c r="X85" s="366">
        <v>294.02</v>
      </c>
      <c r="Y85" s="366">
        <v>80266.289999999994</v>
      </c>
      <c r="Z85" s="366">
        <v>0</v>
      </c>
      <c r="AA85" s="366">
        <v>80266.289999999994</v>
      </c>
      <c r="AB85" s="366">
        <v>279.61</v>
      </c>
      <c r="AC85" s="366">
        <v>76334.62</v>
      </c>
      <c r="AD85" s="366">
        <v>0</v>
      </c>
      <c r="AE85" s="366">
        <v>76334.62</v>
      </c>
      <c r="AF85" s="366">
        <v>278.04000000000002</v>
      </c>
      <c r="AG85" s="366">
        <v>75905.98</v>
      </c>
      <c r="AH85" s="366">
        <v>0</v>
      </c>
      <c r="AI85" s="366">
        <v>75905.98</v>
      </c>
      <c r="AJ85" s="366">
        <v>258.62</v>
      </c>
      <c r="AK85" s="366">
        <v>70604.62</v>
      </c>
      <c r="AL85" s="366">
        <v>0</v>
      </c>
      <c r="AM85" s="366">
        <v>70604.62</v>
      </c>
      <c r="AN85" s="366">
        <v>256.88</v>
      </c>
      <c r="AO85" s="366">
        <v>70129.070000000007</v>
      </c>
      <c r="AP85" s="366">
        <v>0</v>
      </c>
      <c r="AQ85" s="366">
        <v>70129.070000000007</v>
      </c>
      <c r="AR85" s="366">
        <v>255.48</v>
      </c>
      <c r="AS85" s="366">
        <v>69745.78</v>
      </c>
      <c r="AT85" s="366">
        <v>0</v>
      </c>
      <c r="AU85" s="366">
        <v>69745.78</v>
      </c>
      <c r="AV85" s="366">
        <v>251.31</v>
      </c>
      <c r="AW85" s="366">
        <v>68607.509999999995</v>
      </c>
      <c r="AX85" s="366">
        <v>0</v>
      </c>
      <c r="AY85" s="366">
        <v>68607.509999999995</v>
      </c>
      <c r="AZ85" s="366">
        <v>236.62</v>
      </c>
      <c r="BA85" s="366">
        <v>64598.14</v>
      </c>
      <c r="BB85" s="366">
        <v>0</v>
      </c>
      <c r="BC85" s="366">
        <v>64598.14</v>
      </c>
      <c r="BD85" s="366">
        <v>248.91</v>
      </c>
      <c r="BE85" s="366">
        <v>67952.02</v>
      </c>
      <c r="BF85" s="366">
        <v>0</v>
      </c>
      <c r="BG85" s="366">
        <v>67952.02</v>
      </c>
      <c r="BH85" s="366">
        <v>255.27</v>
      </c>
      <c r="BI85" s="366">
        <v>69689.67</v>
      </c>
      <c r="BJ85" s="366">
        <v>0</v>
      </c>
      <c r="BK85" s="366">
        <v>69689.67</v>
      </c>
      <c r="BL85" s="366">
        <v>245.41</v>
      </c>
      <c r="BM85" s="366">
        <v>66996.100000000006</v>
      </c>
      <c r="BN85" s="366">
        <v>0</v>
      </c>
      <c r="BO85" s="366">
        <v>66996.100000000006</v>
      </c>
      <c r="BP85" s="366">
        <v>213.21</v>
      </c>
      <c r="BQ85" s="366">
        <v>58207.55</v>
      </c>
      <c r="BR85" s="366">
        <v>0</v>
      </c>
      <c r="BS85" s="366">
        <v>58207.55</v>
      </c>
      <c r="BT85" s="366">
        <v>216.15</v>
      </c>
      <c r="BU85" s="366">
        <v>59009.39</v>
      </c>
      <c r="BV85" s="366">
        <v>0</v>
      </c>
      <c r="BW85" s="366">
        <v>59009.39</v>
      </c>
      <c r="BX85" s="366">
        <v>220.24</v>
      </c>
      <c r="BY85" s="366">
        <v>60125.01</v>
      </c>
      <c r="BZ85" s="366">
        <v>0</v>
      </c>
      <c r="CA85" s="366">
        <v>60125.01</v>
      </c>
      <c r="CB85" s="366">
        <v>225.6</v>
      </c>
      <c r="CC85" s="366">
        <v>61588.37</v>
      </c>
      <c r="CD85" s="366">
        <v>0</v>
      </c>
      <c r="CE85" s="366">
        <v>61588.37</v>
      </c>
      <c r="CF85" s="366">
        <v>-21.019465060915799</v>
      </c>
      <c r="CG85" s="366">
        <v>-21.019034031707399</v>
      </c>
      <c r="CH85" s="366">
        <v>0</v>
      </c>
      <c r="CI85" s="366">
        <v>-21.019034031707399</v>
      </c>
    </row>
    <row r="86" spans="1:87">
      <c r="A86" s="366" t="s">
        <v>1180</v>
      </c>
      <c r="B86" s="366" t="s">
        <v>1180</v>
      </c>
      <c r="C86" s="366" t="s">
        <v>1180</v>
      </c>
      <c r="D86" s="366" t="s">
        <v>1180</v>
      </c>
      <c r="E86" s="366" t="s">
        <v>1180</v>
      </c>
      <c r="F86" s="366" t="s">
        <v>1180</v>
      </c>
      <c r="G86" s="366" t="s">
        <v>1180</v>
      </c>
      <c r="H86" s="366">
        <v>857130216948.92004</v>
      </c>
      <c r="I86" s="366">
        <v>64378720.210000001</v>
      </c>
      <c r="J86" s="366">
        <v>2044448205.6099999</v>
      </c>
      <c r="K86" s="366">
        <v>97972731.810000002</v>
      </c>
      <c r="L86" s="366">
        <v>829030069038.66003</v>
      </c>
      <c r="M86" s="366">
        <v>57929130.850000001</v>
      </c>
      <c r="N86" s="366">
        <v>1987328444.5599999</v>
      </c>
      <c r="O86" s="366">
        <v>94035393.609999999</v>
      </c>
      <c r="P86" s="366">
        <v>893520165731.43994</v>
      </c>
      <c r="Q86" s="366">
        <v>61481982.259999998</v>
      </c>
      <c r="R86" s="366">
        <v>2100481021.8199999</v>
      </c>
      <c r="S86" s="366">
        <v>97488873.629999995</v>
      </c>
      <c r="T86" s="366">
        <v>901459748922.60999</v>
      </c>
      <c r="U86" s="366">
        <v>57696896.600000001</v>
      </c>
      <c r="V86" s="366">
        <v>2079383806.71</v>
      </c>
      <c r="W86" s="366">
        <v>93640540.299999997</v>
      </c>
      <c r="X86" s="366">
        <v>895373984324.70996</v>
      </c>
      <c r="Y86" s="366">
        <v>55309764.990000002</v>
      </c>
      <c r="Z86" s="366">
        <v>2061357837.54</v>
      </c>
      <c r="AA86" s="366">
        <v>89496928.170000002</v>
      </c>
      <c r="AB86" s="366">
        <v>948149673609.03003</v>
      </c>
      <c r="AC86" s="366">
        <v>57486172.710000001</v>
      </c>
      <c r="AD86" s="366">
        <v>2151469508.1700001</v>
      </c>
      <c r="AE86" s="366">
        <v>92803188.280000001</v>
      </c>
      <c r="AF86" s="366">
        <v>978681374215.42004</v>
      </c>
      <c r="AG86" s="366">
        <v>55628930.579999998</v>
      </c>
      <c r="AH86" s="366">
        <v>2167903852.5900002</v>
      </c>
      <c r="AI86" s="366">
        <v>92668668.760000005</v>
      </c>
      <c r="AJ86" s="366">
        <v>898251052205.97998</v>
      </c>
      <c r="AK86" s="366">
        <v>53247251.259999998</v>
      </c>
      <c r="AL86" s="366">
        <v>2047621319.6600001</v>
      </c>
      <c r="AM86" s="366">
        <v>87748602.670000002</v>
      </c>
      <c r="AN86" s="366">
        <v>999730174773.89001</v>
      </c>
      <c r="AO86" s="366">
        <v>54089408.469999999</v>
      </c>
      <c r="AP86" s="366">
        <v>2162086018.8800001</v>
      </c>
      <c r="AQ86" s="366">
        <v>88582028.420000002</v>
      </c>
      <c r="AR86" s="366">
        <v>1076072884410.11</v>
      </c>
      <c r="AS86" s="366">
        <v>54636156.039999999</v>
      </c>
      <c r="AT86" s="366">
        <v>2206312598.73</v>
      </c>
      <c r="AU86" s="366">
        <v>89343925.269999996</v>
      </c>
      <c r="AV86" s="366">
        <v>1062743166418.02</v>
      </c>
      <c r="AW86" s="366">
        <v>55490322.840000004</v>
      </c>
      <c r="AX86" s="366">
        <v>2221875851.4000001</v>
      </c>
      <c r="AY86" s="366">
        <v>88930769.909999996</v>
      </c>
      <c r="AZ86" s="366">
        <v>1091482399817.03</v>
      </c>
      <c r="BA86" s="366">
        <v>54991702.689999998</v>
      </c>
      <c r="BB86" s="366">
        <v>2232380971.6500001</v>
      </c>
      <c r="BC86" s="366">
        <v>89421100.900000006</v>
      </c>
      <c r="BD86" s="366">
        <v>1101709581805.8501</v>
      </c>
      <c r="BE86" s="366">
        <v>52888263.420000002</v>
      </c>
      <c r="BF86" s="366">
        <v>2242497793.5500002</v>
      </c>
      <c r="BG86" s="366">
        <v>86258646.969999999</v>
      </c>
      <c r="BH86" s="366">
        <v>1147582333923.6799</v>
      </c>
      <c r="BI86" s="366">
        <v>54410763.670000002</v>
      </c>
      <c r="BJ86" s="366">
        <v>2110393467.27</v>
      </c>
      <c r="BK86" s="366">
        <v>90092537.599999994</v>
      </c>
      <c r="BL86" s="366">
        <v>1160050597291.8799</v>
      </c>
      <c r="BM86" s="366">
        <v>53358947.350000001</v>
      </c>
      <c r="BN86" s="366">
        <v>2318555568.2800002</v>
      </c>
      <c r="BO86" s="366">
        <v>89165486.709999993</v>
      </c>
      <c r="BP86" s="366">
        <v>1068212352055.3</v>
      </c>
      <c r="BQ86" s="366">
        <v>46767798.240000002</v>
      </c>
      <c r="BR86" s="366">
        <v>2052779144.8599999</v>
      </c>
      <c r="BS86" s="366">
        <v>78822940.140000001</v>
      </c>
      <c r="BT86" s="366">
        <v>1070979998191.22</v>
      </c>
      <c r="BU86" s="366">
        <v>49451849.68</v>
      </c>
      <c r="BV86" s="366">
        <v>2197881532.9000001</v>
      </c>
      <c r="BW86" s="366">
        <v>82514384.489999995</v>
      </c>
      <c r="BX86" s="366">
        <v>1105901619971.3999</v>
      </c>
      <c r="BY86" s="366">
        <v>52160623.219999999</v>
      </c>
      <c r="BZ86" s="366">
        <v>2164164322.1799998</v>
      </c>
      <c r="CA86" s="366">
        <v>87989653.489999995</v>
      </c>
      <c r="CB86" s="366">
        <v>1081709807555.35</v>
      </c>
      <c r="CC86" s="366">
        <v>51223732.549999997</v>
      </c>
      <c r="CD86" s="366">
        <v>2137034467</v>
      </c>
      <c r="CE86" s="366">
        <v>86546722.180000007</v>
      </c>
      <c r="CF86" s="366">
        <v>26.201338629999999</v>
      </c>
      <c r="CG86" s="366">
        <v>-20.433751430000001</v>
      </c>
      <c r="CH86" s="366">
        <v>4.5286674969999998</v>
      </c>
      <c r="CI86" s="366">
        <v>-11.66243854</v>
      </c>
    </row>
  </sheetData>
  <pageMargins left="0.7" right="0.7" top="0.75" bottom="0.75" header="0.3" footer="0.3"/>
  <legacy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8517D-BBFF-46F1-B92D-7F22D0B50B09}">
  <dimension ref="B1:AL242"/>
  <sheetViews>
    <sheetView workbookViewId="0"/>
  </sheetViews>
  <sheetFormatPr defaultColWidth="9" defaultRowHeight="13.15" outlineLevelRow="1"/>
  <cols>
    <col min="1" max="1" width="3.625" style="875" customWidth="1"/>
    <col min="2" max="2" width="18.625" style="876" customWidth="1"/>
    <col min="3" max="3" width="62.25" style="876" customWidth="1"/>
    <col min="4" max="4" width="9.125" style="875" bestFit="1" customWidth="1"/>
    <col min="5" max="12" width="9.875" style="875" bestFit="1" customWidth="1"/>
    <col min="13" max="13" width="10.25" style="875" customWidth="1"/>
    <col min="14" max="14" width="9.5" style="875" customWidth="1"/>
    <col min="15" max="37" width="9.875" style="875" bestFit="1" customWidth="1"/>
    <col min="38" max="16384" width="9" style="875"/>
  </cols>
  <sheetData>
    <row r="1" spans="2:15" ht="75" customHeight="1" outlineLevel="1">
      <c r="B1" s="1317"/>
      <c r="C1" s="1318"/>
      <c r="D1" s="1319" t="s">
        <v>755</v>
      </c>
      <c r="E1" s="1320"/>
      <c r="F1" s="1321"/>
      <c r="G1" s="1321"/>
      <c r="H1" s="1321"/>
      <c r="I1" s="1321"/>
      <c r="J1" s="1321"/>
      <c r="K1" s="1321"/>
      <c r="L1" s="1321"/>
      <c r="M1" s="1321"/>
      <c r="N1" s="1321"/>
      <c r="O1" s="874"/>
    </row>
    <row r="2" spans="2:15" ht="11.25" customHeight="1" outlineLevel="1"/>
    <row r="3" spans="2:15" ht="30" customHeight="1" outlineLevel="1">
      <c r="B3" s="1423" t="s">
        <v>1487</v>
      </c>
      <c r="C3" s="1423"/>
      <c r="D3" s="1423"/>
      <c r="E3" s="1423"/>
      <c r="F3" s="1423"/>
      <c r="G3" s="1423"/>
      <c r="H3" s="1423"/>
      <c r="I3" s="1423"/>
      <c r="J3" s="1423"/>
      <c r="K3" s="1423"/>
      <c r="L3" s="1423"/>
      <c r="M3" s="1423"/>
      <c r="N3" s="1423"/>
    </row>
    <row r="4" spans="2:15" outlineLevel="1">
      <c r="B4" s="877" t="s">
        <v>1488</v>
      </c>
    </row>
    <row r="5" spans="2:15" ht="11.25" customHeight="1" outlineLevel="1"/>
    <row r="6" spans="2:15" ht="13.9" outlineLevel="1" thickBot="1">
      <c r="B6" s="878" t="s">
        <v>1489</v>
      </c>
    </row>
    <row r="7" spans="2:15" outlineLevel="1">
      <c r="B7" s="879"/>
      <c r="C7" s="880"/>
      <c r="D7" s="1424" t="s">
        <v>1490</v>
      </c>
      <c r="E7" s="1425"/>
      <c r="F7" s="1425"/>
      <c r="G7" s="1425"/>
      <c r="H7" s="1425"/>
      <c r="I7" s="1425"/>
      <c r="J7" s="1425"/>
      <c r="K7" s="1426"/>
      <c r="L7" s="1424" t="s">
        <v>1491</v>
      </c>
      <c r="M7" s="1425"/>
      <c r="N7" s="1426"/>
    </row>
    <row r="8" spans="2:15" ht="27" outlineLevel="1" thickBot="1">
      <c r="B8" s="881" t="s">
        <v>1492</v>
      </c>
      <c r="C8" s="882" t="s">
        <v>1493</v>
      </c>
      <c r="D8" s="883">
        <v>2005</v>
      </c>
      <c r="E8" s="883">
        <v>2010</v>
      </c>
      <c r="F8" s="883">
        <v>2015</v>
      </c>
      <c r="G8" s="884">
        <v>2020</v>
      </c>
      <c r="H8" s="883">
        <v>2025</v>
      </c>
      <c r="I8" s="884">
        <v>2030</v>
      </c>
      <c r="J8" s="883">
        <v>2035</v>
      </c>
      <c r="K8" s="884">
        <v>2040</v>
      </c>
      <c r="L8" s="885">
        <v>2045</v>
      </c>
      <c r="M8" s="884">
        <v>2050</v>
      </c>
      <c r="N8" s="882">
        <v>2055</v>
      </c>
    </row>
    <row r="9" spans="2:15" outlineLevel="1">
      <c r="B9" s="1427" t="s">
        <v>816</v>
      </c>
      <c r="C9" s="886" t="s">
        <v>1494</v>
      </c>
      <c r="D9" s="887">
        <v>474.05392456054699</v>
      </c>
      <c r="E9" s="888">
        <v>555.158142</v>
      </c>
      <c r="F9" s="889">
        <v>624.38342299999999</v>
      </c>
      <c r="G9" s="890">
        <v>698.30908199999999</v>
      </c>
      <c r="H9" s="889">
        <v>763.49041699999998</v>
      </c>
      <c r="I9" s="890">
        <v>827.59405500000003</v>
      </c>
      <c r="J9" s="889">
        <v>893.85522500000002</v>
      </c>
      <c r="K9" s="890">
        <v>963.15045199999997</v>
      </c>
      <c r="L9" s="891">
        <v>1035.2836796098636</v>
      </c>
      <c r="M9" s="887">
        <v>1104.2357550631532</v>
      </c>
      <c r="N9" s="892">
        <v>1173.1878305164391</v>
      </c>
    </row>
    <row r="10" spans="2:15" outlineLevel="1">
      <c r="B10" s="1428"/>
      <c r="C10" s="893" t="s">
        <v>1495</v>
      </c>
      <c r="D10" s="894">
        <v>1071.72741699219</v>
      </c>
      <c r="E10" s="895">
        <v>1148.7</v>
      </c>
      <c r="F10" s="896">
        <v>1199.292725</v>
      </c>
      <c r="G10" s="897">
        <v>1294.2116699999999</v>
      </c>
      <c r="H10" s="896">
        <v>1370.3057859999999</v>
      </c>
      <c r="I10" s="897">
        <v>1442.165649</v>
      </c>
      <c r="J10" s="896">
        <v>1511.2280270000001</v>
      </c>
      <c r="K10" s="897">
        <v>1585.314453</v>
      </c>
      <c r="L10" s="898">
        <v>1660.6786948948102</v>
      </c>
      <c r="M10" s="894">
        <v>1734.6365791216485</v>
      </c>
      <c r="N10" s="899">
        <v>1808.5944633484905</v>
      </c>
    </row>
    <row r="11" spans="2:15" ht="26.45" outlineLevel="1">
      <c r="B11" s="1428"/>
      <c r="C11" s="893" t="s">
        <v>1496</v>
      </c>
      <c r="D11" s="894">
        <v>2.2607712745666499</v>
      </c>
      <c r="E11" s="895">
        <v>2.0691401478175564</v>
      </c>
      <c r="F11" s="896">
        <v>1.9207639999999999</v>
      </c>
      <c r="G11" s="896">
        <v>1.853351</v>
      </c>
      <c r="H11" s="896">
        <v>1.794791</v>
      </c>
      <c r="I11" s="896">
        <v>1.7425999999999999</v>
      </c>
      <c r="J11" s="896">
        <v>1.690685</v>
      </c>
      <c r="K11" s="897">
        <v>1.6459680000000001</v>
      </c>
      <c r="L11" s="898">
        <v>1.6040808211336051</v>
      </c>
      <c r="M11" s="894">
        <v>1.5708933270526471</v>
      </c>
      <c r="N11" s="899">
        <v>1.5416069075250673</v>
      </c>
    </row>
    <row r="12" spans="2:15" outlineLevel="1">
      <c r="B12" s="1428"/>
      <c r="C12" s="893" t="s">
        <v>1497</v>
      </c>
      <c r="D12" s="894"/>
      <c r="E12" s="895">
        <v>1211.8785</v>
      </c>
      <c r="F12" s="900">
        <v>1265.2543271554064</v>
      </c>
      <c r="G12" s="895">
        <v>1415.0577275854735</v>
      </c>
      <c r="H12" s="895">
        <v>1547.1415772211101</v>
      </c>
      <c r="I12" s="895">
        <v>1677.041575168211</v>
      </c>
      <c r="J12" s="895">
        <v>1811.3136089484544</v>
      </c>
      <c r="K12" s="901">
        <v>1951.7338740985208</v>
      </c>
      <c r="L12" s="898">
        <v>2097.9050807691788</v>
      </c>
      <c r="M12" s="901">
        <v>2237.6299815592188</v>
      </c>
      <c r="N12" s="902">
        <v>2377.3548823492515</v>
      </c>
    </row>
    <row r="13" spans="2:15" outlineLevel="1">
      <c r="B13" s="1428"/>
      <c r="C13" s="893" t="s">
        <v>1498</v>
      </c>
      <c r="D13" s="894"/>
      <c r="E13" s="895">
        <v>1020.9886241416605</v>
      </c>
      <c r="F13" s="900">
        <v>1065.9569211531359</v>
      </c>
      <c r="G13" s="900">
        <v>1192.1639358801374</v>
      </c>
      <c r="H13" s="900">
        <v>1303.4425070494606</v>
      </c>
      <c r="I13" s="900">
        <v>1412.8812174317432</v>
      </c>
      <c r="J13" s="900">
        <v>1526.0032994143785</v>
      </c>
      <c r="K13" s="903">
        <v>1644.3051698718323</v>
      </c>
      <c r="L13" s="904">
        <v>1767.4521183388622</v>
      </c>
      <c r="M13" s="900">
        <v>1885.1681552319608</v>
      </c>
      <c r="N13" s="905">
        <v>2002.8841921250532</v>
      </c>
    </row>
    <row r="14" spans="2:15" outlineLevel="1">
      <c r="B14" s="1428"/>
      <c r="C14" s="893" t="s">
        <v>1499</v>
      </c>
      <c r="D14" s="894"/>
      <c r="E14" s="895">
        <v>1211.8785</v>
      </c>
      <c r="F14" s="900">
        <v>1265.253824875</v>
      </c>
      <c r="G14" s="901">
        <v>1365.3933118499999</v>
      </c>
      <c r="H14" s="895">
        <v>1445.6726042299997</v>
      </c>
      <c r="I14" s="901">
        <v>1521.4847596949999</v>
      </c>
      <c r="J14" s="895">
        <v>1594.3455684850001</v>
      </c>
      <c r="K14" s="901">
        <v>1672.5067479149998</v>
      </c>
      <c r="L14" s="898">
        <v>1752.0160231140246</v>
      </c>
      <c r="M14" s="901">
        <v>1830.041590973339</v>
      </c>
      <c r="N14" s="902">
        <v>1908.0671588326575</v>
      </c>
    </row>
    <row r="15" spans="2:15" ht="13.9" outlineLevel="1" thickBot="1">
      <c r="B15" s="1429"/>
      <c r="C15" s="893" t="s">
        <v>1500</v>
      </c>
      <c r="D15" s="906"/>
      <c r="E15" s="907">
        <v>1</v>
      </c>
      <c r="F15" s="907">
        <v>0.99999960302020263</v>
      </c>
      <c r="G15" s="901">
        <v>0.96490290483045071</v>
      </c>
      <c r="H15" s="895">
        <v>0.93441519865727907</v>
      </c>
      <c r="I15" s="901">
        <v>0.90724331598183039</v>
      </c>
      <c r="J15" s="895">
        <v>0.88021508843550644</v>
      </c>
      <c r="K15" s="901">
        <v>0.85693381157690252</v>
      </c>
      <c r="L15" s="908">
        <v>0.83512645027374788</v>
      </c>
      <c r="M15" s="909">
        <v>0.81784817242131103</v>
      </c>
      <c r="N15" s="910">
        <v>0.80260089606274776</v>
      </c>
    </row>
    <row r="16" spans="2:15" outlineLevel="1">
      <c r="B16" s="1430" t="s">
        <v>1501</v>
      </c>
      <c r="C16" s="911" t="s">
        <v>1494</v>
      </c>
      <c r="D16" s="912">
        <v>153.66319274902301</v>
      </c>
      <c r="E16" s="913">
        <v>141.57605000000001</v>
      </c>
      <c r="F16" s="914">
        <v>145.05102500000001</v>
      </c>
      <c r="G16" s="915">
        <v>161.20468099999999</v>
      </c>
      <c r="H16" s="914">
        <v>178.025375</v>
      </c>
      <c r="I16" s="915">
        <v>192.435776</v>
      </c>
      <c r="J16" s="914">
        <v>206.46096800000001</v>
      </c>
      <c r="K16" s="916">
        <v>221.61811800000001</v>
      </c>
      <c r="L16" s="917">
        <v>226.38389895560158</v>
      </c>
      <c r="M16" s="912">
        <v>237.80156578604056</v>
      </c>
      <c r="N16" s="918">
        <v>249.21923261647862</v>
      </c>
    </row>
    <row r="17" spans="2:14" outlineLevel="1">
      <c r="B17" s="1431"/>
      <c r="C17" s="919" t="s">
        <v>1495</v>
      </c>
      <c r="D17" s="920">
        <v>2239.73071289063</v>
      </c>
      <c r="E17" s="921">
        <v>1991.767212</v>
      </c>
      <c r="F17" s="922">
        <v>2061.9201659999999</v>
      </c>
      <c r="G17" s="923">
        <v>2216.056885</v>
      </c>
      <c r="H17" s="922">
        <v>2389.0192870000001</v>
      </c>
      <c r="I17" s="923">
        <v>2553.6560060000002</v>
      </c>
      <c r="J17" s="922">
        <v>2735.857422</v>
      </c>
      <c r="K17" s="924">
        <v>2922.0390619999998</v>
      </c>
      <c r="L17" s="925">
        <v>2932.2261699559167</v>
      </c>
      <c r="M17" s="920">
        <v>3052.9973534769306</v>
      </c>
      <c r="N17" s="926">
        <v>3173.7685369979517</v>
      </c>
    </row>
    <row r="18" spans="2:14" ht="26.45" outlineLevel="1">
      <c r="B18" s="1431"/>
      <c r="C18" s="919" t="s">
        <v>1496</v>
      </c>
      <c r="D18" s="920">
        <v>14.575585365295399</v>
      </c>
      <c r="E18" s="921">
        <v>14.068531999999999</v>
      </c>
      <c r="F18" s="922">
        <v>14.215137</v>
      </c>
      <c r="G18" s="923">
        <v>13.746852000000001</v>
      </c>
      <c r="H18" s="922">
        <v>13.419543000000001</v>
      </c>
      <c r="I18" s="923">
        <v>13.270173</v>
      </c>
      <c r="J18" s="922">
        <v>13.251208</v>
      </c>
      <c r="K18" s="924">
        <v>13.185019</v>
      </c>
      <c r="L18" s="925">
        <v>12.952450167540338</v>
      </c>
      <c r="M18" s="920">
        <v>12.838424101142516</v>
      </c>
      <c r="N18" s="926">
        <v>12.734845957422706</v>
      </c>
    </row>
    <row r="19" spans="2:14" outlineLevel="1">
      <c r="B19" s="1431"/>
      <c r="C19" s="919" t="s">
        <v>1497</v>
      </c>
      <c r="D19" s="920"/>
      <c r="E19" s="921">
        <v>2101.3143853008228</v>
      </c>
      <c r="F19" s="921">
        <v>2175.3258029455233</v>
      </c>
      <c r="G19" s="921">
        <v>2417.5816898563935</v>
      </c>
      <c r="H19" s="921">
        <v>2669.8411253319505</v>
      </c>
      <c r="I19" s="921">
        <v>2885.9534701160842</v>
      </c>
      <c r="J19" s="921">
        <v>3096.28884726261</v>
      </c>
      <c r="K19" s="927">
        <v>3323.6001640500353</v>
      </c>
      <c r="L19" s="925">
        <v>3395.0724358516754</v>
      </c>
      <c r="M19" s="920">
        <v>3566.3028374685482</v>
      </c>
      <c r="N19" s="926">
        <v>3737.5332390854082</v>
      </c>
    </row>
    <row r="20" spans="2:14" outlineLevel="1">
      <c r="B20" s="1431"/>
      <c r="C20" s="919" t="s">
        <v>1502</v>
      </c>
      <c r="D20" s="920"/>
      <c r="E20" s="921">
        <v>248.19468555354138</v>
      </c>
      <c r="F20" s="921">
        <v>244.73734451034423</v>
      </c>
      <c r="G20" s="921">
        <v>271.99260088356596</v>
      </c>
      <c r="H20" s="921">
        <v>300.37331713414795</v>
      </c>
      <c r="I20" s="921">
        <v>324.68726647762355</v>
      </c>
      <c r="J20" s="921">
        <v>348.35127192899989</v>
      </c>
      <c r="K20" s="921">
        <v>373.92517353600311</v>
      </c>
      <c r="L20" s="925">
        <v>381.96623753808029</v>
      </c>
      <c r="M20" s="920">
        <v>401.2306961007514</v>
      </c>
      <c r="N20" s="926">
        <v>420.49515466342103</v>
      </c>
    </row>
    <row r="21" spans="2:14" outlineLevel="1">
      <c r="B21" s="1431"/>
      <c r="C21" s="919" t="s">
        <v>883</v>
      </c>
      <c r="D21" s="920"/>
      <c r="E21" s="921">
        <v>933.62670841738793</v>
      </c>
      <c r="F21" s="921">
        <v>920.62132947126963</v>
      </c>
      <c r="G21" s="921">
        <v>1023.146632291719</v>
      </c>
      <c r="H21" s="921">
        <v>1129.9055447013995</v>
      </c>
      <c r="I21" s="921">
        <v>1221.3666186706055</v>
      </c>
      <c r="J21" s="921">
        <v>1310.3828176607872</v>
      </c>
      <c r="K21" s="921">
        <v>1406.5834173049154</v>
      </c>
      <c r="L21" s="925">
        <v>1436.8312531910444</v>
      </c>
      <c r="M21" s="920">
        <v>1509.2978049916865</v>
      </c>
      <c r="N21" s="926">
        <v>1581.764356792323</v>
      </c>
    </row>
    <row r="22" spans="2:14" outlineLevel="1">
      <c r="B22" s="1431"/>
      <c r="C22" s="919" t="s">
        <v>1503</v>
      </c>
      <c r="D22" s="920"/>
      <c r="E22" s="921">
        <v>854.85136572265901</v>
      </c>
      <c r="F22" s="921">
        <v>842.94332383225958</v>
      </c>
      <c r="G22" s="921">
        <v>936.81798952788586</v>
      </c>
      <c r="H22" s="921">
        <v>1034.5690513320014</v>
      </c>
      <c r="I22" s="921">
        <v>1118.3130394678712</v>
      </c>
      <c r="J22" s="921">
        <v>1199.8184404939282</v>
      </c>
      <c r="K22" s="921">
        <v>1287.9020538349862</v>
      </c>
      <c r="L22" s="925">
        <v>1315.5977094801033</v>
      </c>
      <c r="M22" s="920">
        <v>1381.9498502420147</v>
      </c>
      <c r="N22" s="926">
        <v>1448.3019910039213</v>
      </c>
    </row>
    <row r="23" spans="2:14" outlineLevel="1">
      <c r="B23" s="1431"/>
      <c r="C23" s="919" t="s">
        <v>1504</v>
      </c>
      <c r="D23" s="920"/>
      <c r="E23" s="921">
        <v>169.38330714319585</v>
      </c>
      <c r="F23" s="921">
        <v>167.02380513164971</v>
      </c>
      <c r="G23" s="921">
        <v>185.62446715322253</v>
      </c>
      <c r="H23" s="921">
        <v>204.99321216440123</v>
      </c>
      <c r="I23" s="921">
        <v>221.58654549998386</v>
      </c>
      <c r="J23" s="921">
        <v>237.73631717889461</v>
      </c>
      <c r="K23" s="921">
        <v>255.1895193741303</v>
      </c>
      <c r="L23" s="925">
        <v>260.6772356424471</v>
      </c>
      <c r="M23" s="920">
        <v>273.82448613409537</v>
      </c>
      <c r="N23" s="926">
        <v>286.97173662574261</v>
      </c>
    </row>
    <row r="24" spans="2:14" outlineLevel="1">
      <c r="B24" s="1431"/>
      <c r="C24" s="919" t="s">
        <v>1498</v>
      </c>
      <c r="D24" s="920"/>
      <c r="E24" s="921"/>
      <c r="F24" s="921"/>
      <c r="G24" s="928"/>
      <c r="H24" s="921"/>
      <c r="I24" s="928"/>
      <c r="J24" s="921"/>
      <c r="K24" s="926"/>
      <c r="L24" s="925"/>
      <c r="M24" s="920"/>
      <c r="N24" s="926"/>
    </row>
    <row r="25" spans="2:14" outlineLevel="1">
      <c r="B25" s="1431"/>
      <c r="C25" s="919" t="s">
        <v>1502</v>
      </c>
      <c r="D25" s="920"/>
      <c r="E25" s="921">
        <v>204.35891651253638</v>
      </c>
      <c r="F25" s="921">
        <v>201.51220580224731</v>
      </c>
      <c r="G25" s="921">
        <v>223.95368012020344</v>
      </c>
      <c r="H25" s="921">
        <v>247.32183729844206</v>
      </c>
      <c r="I25" s="921">
        <v>267.34149377453326</v>
      </c>
      <c r="J25" s="921">
        <v>286.82599846328009</v>
      </c>
      <c r="K25" s="921">
        <v>307.88307634449831</v>
      </c>
      <c r="L25" s="925">
        <v>314.50393981467107</v>
      </c>
      <c r="M25" s="920">
        <v>330.36593891544896</v>
      </c>
      <c r="N25" s="926">
        <v>346.22793801622561</v>
      </c>
    </row>
    <row r="26" spans="2:14" outlineLevel="1">
      <c r="B26" s="1431"/>
      <c r="C26" s="919" t="s">
        <v>883</v>
      </c>
      <c r="D26" s="920"/>
      <c r="E26" s="921">
        <v>724.3327123082413</v>
      </c>
      <c r="F26" s="921">
        <v>714.24278951393001</v>
      </c>
      <c r="G26" s="921">
        <v>793.7846770827249</v>
      </c>
      <c r="H26" s="921">
        <v>876.61111284296999</v>
      </c>
      <c r="I26" s="921">
        <v>947.56907407250526</v>
      </c>
      <c r="J26" s="921">
        <v>1016.630235533091</v>
      </c>
      <c r="K26" s="921">
        <v>1091.2652482610677</v>
      </c>
      <c r="L26" s="925">
        <v>1114.7323329227668</v>
      </c>
      <c r="M26" s="920">
        <v>1170.9538329550028</v>
      </c>
      <c r="N26" s="926">
        <v>1227.1753329872349</v>
      </c>
    </row>
    <row r="27" spans="2:14" outlineLevel="1">
      <c r="B27" s="1431"/>
      <c r="C27" s="919" t="s">
        <v>1503</v>
      </c>
      <c r="D27" s="920"/>
      <c r="E27" s="921">
        <v>683.45326282221049</v>
      </c>
      <c r="F27" s="921">
        <v>673.93278895955598</v>
      </c>
      <c r="G27" s="921">
        <v>748.98553981032228</v>
      </c>
      <c r="H27" s="921">
        <v>827.13746751752217</v>
      </c>
      <c r="I27" s="921">
        <v>894.09074644785449</v>
      </c>
      <c r="J27" s="921">
        <v>959.25427604203173</v>
      </c>
      <c r="K27" s="921">
        <v>1029.6770832726484</v>
      </c>
      <c r="L27" s="925">
        <v>1051.8197468696749</v>
      </c>
      <c r="M27" s="920">
        <v>1104.8682520453449</v>
      </c>
      <c r="N27" s="926">
        <v>1157.9167572210108</v>
      </c>
    </row>
    <row r="28" spans="2:14" outlineLevel="1">
      <c r="B28" s="1431"/>
      <c r="C28" s="919" t="s">
        <v>1504</v>
      </c>
      <c r="D28" s="920"/>
      <c r="E28" s="921">
        <v>157.32286337235578</v>
      </c>
      <c r="F28" s="921">
        <v>155.13136281158648</v>
      </c>
      <c r="G28" s="921">
        <v>172.4076190094973</v>
      </c>
      <c r="H28" s="921">
        <v>190.3972690906096</v>
      </c>
      <c r="I28" s="921">
        <v>205.80912258003823</v>
      </c>
      <c r="J28" s="921">
        <v>220.80899692531889</v>
      </c>
      <c r="K28" s="921">
        <v>237.01949482314237</v>
      </c>
      <c r="L28" s="925">
        <v>242.11647427919226</v>
      </c>
      <c r="M28" s="920">
        <v>254.32761319072108</v>
      </c>
      <c r="N28" s="926">
        <v>266.53875210224896</v>
      </c>
    </row>
    <row r="29" spans="2:14" outlineLevel="1">
      <c r="B29" s="1431"/>
      <c r="C29" s="919" t="s">
        <v>1499</v>
      </c>
      <c r="D29" s="920"/>
      <c r="E29" s="921">
        <v>2101.31440866</v>
      </c>
      <c r="F29" s="921">
        <v>2175.3257751299998</v>
      </c>
      <c r="G29" s="928">
        <v>2337.940013675</v>
      </c>
      <c r="H29" s="921">
        <v>2520.415347785</v>
      </c>
      <c r="I29" s="928">
        <v>2694.1070863300001</v>
      </c>
      <c r="J29" s="921">
        <v>2886.3295802099997</v>
      </c>
      <c r="K29" s="926">
        <v>3082.7512104099997</v>
      </c>
      <c r="L29" s="925">
        <v>3093.4986093034918</v>
      </c>
      <c r="M29" s="920">
        <v>3220.9122079181616</v>
      </c>
      <c r="N29" s="926">
        <v>3348.3258065328387</v>
      </c>
    </row>
    <row r="30" spans="2:14" ht="13.9" outlineLevel="1" thickBot="1">
      <c r="B30" s="1431"/>
      <c r="C30" s="919" t="s">
        <v>1500</v>
      </c>
      <c r="D30" s="929"/>
      <c r="E30" s="930">
        <v>1.00000001111646</v>
      </c>
      <c r="F30" s="930">
        <v>0.99999998721316896</v>
      </c>
      <c r="G30" s="931">
        <v>0.96705729675421048</v>
      </c>
      <c r="H30" s="932">
        <v>0.9440319590071593</v>
      </c>
      <c r="I30" s="931">
        <v>0.93352408977738399</v>
      </c>
      <c r="J30" s="932">
        <v>0.93219002573411947</v>
      </c>
      <c r="K30" s="933">
        <v>0.92753371592491896</v>
      </c>
      <c r="L30" s="934">
        <v>0.91117308032559485</v>
      </c>
      <c r="M30" s="931">
        <v>0.90315162640659152</v>
      </c>
      <c r="N30" s="935">
        <v>0.89586515820584101</v>
      </c>
    </row>
    <row r="31" spans="2:14" outlineLevel="1">
      <c r="B31" s="1432" t="s">
        <v>788</v>
      </c>
      <c r="C31" s="936" t="s">
        <v>1494</v>
      </c>
      <c r="D31" s="937">
        <v>224.15490722656301</v>
      </c>
      <c r="E31" s="938">
        <v>301.88516199999998</v>
      </c>
      <c r="F31" s="939">
        <v>315.14694200000002</v>
      </c>
      <c r="G31" s="940">
        <v>397.13443000000001</v>
      </c>
      <c r="H31" s="939">
        <v>444.06924400000003</v>
      </c>
      <c r="I31" s="940">
        <v>459.27142300000003</v>
      </c>
      <c r="J31" s="939">
        <v>455.50756799999999</v>
      </c>
      <c r="K31" s="941">
        <v>448.54836999999998</v>
      </c>
      <c r="L31" s="942">
        <v>475.18606820000059</v>
      </c>
      <c r="M31" s="942">
        <v>486.61268860000018</v>
      </c>
      <c r="N31" s="942">
        <v>498.03930899999978</v>
      </c>
    </row>
    <row r="32" spans="2:14" outlineLevel="1">
      <c r="B32" s="1433"/>
      <c r="C32" s="943" t="s">
        <v>1497</v>
      </c>
      <c r="D32" s="944">
        <v>7242.1597155312929</v>
      </c>
      <c r="E32" s="945">
        <v>5792.608883731129</v>
      </c>
      <c r="F32" s="945">
        <v>6183.12402071407</v>
      </c>
      <c r="G32" s="946">
        <v>7791.7031909057532</v>
      </c>
      <c r="H32" s="945">
        <v>8712.555457500639</v>
      </c>
      <c r="I32" s="946">
        <v>9010.8193643168288</v>
      </c>
      <c r="J32" s="945">
        <v>8936.9732336411107</v>
      </c>
      <c r="K32" s="947">
        <v>8800.4350713298118</v>
      </c>
      <c r="L32" s="948">
        <v>9323.0617246354159</v>
      </c>
      <c r="M32" s="945">
        <v>9547.2498783342671</v>
      </c>
      <c r="N32" s="947">
        <v>9771.4380320331184</v>
      </c>
    </row>
    <row r="33" spans="2:14" outlineLevel="1">
      <c r="B33" s="1433"/>
      <c r="C33" s="943" t="s">
        <v>1505</v>
      </c>
      <c r="D33" s="944"/>
      <c r="E33" s="945">
        <v>3130.9217367050533</v>
      </c>
      <c r="F33" s="945">
        <v>3382.5002467663494</v>
      </c>
      <c r="G33" s="945">
        <v>4262.4792706204125</v>
      </c>
      <c r="H33" s="945">
        <v>4766.2348169361139</v>
      </c>
      <c r="I33" s="945">
        <v>4929.4011605235009</v>
      </c>
      <c r="J33" s="945">
        <v>4889.0033689869651</v>
      </c>
      <c r="K33" s="945">
        <v>4814.3096759341033</v>
      </c>
      <c r="L33" s="948">
        <v>5100.2144674036945</v>
      </c>
      <c r="M33" s="945">
        <v>5222.8574036715136</v>
      </c>
      <c r="N33" s="947">
        <v>5345.5003399393327</v>
      </c>
    </row>
    <row r="34" spans="2:14" outlineLevel="1">
      <c r="B34" s="1433"/>
      <c r="C34" s="943" t="s">
        <v>1506</v>
      </c>
      <c r="D34" s="944"/>
      <c r="E34" s="945">
        <v>615.62583864413671</v>
      </c>
      <c r="F34" s="945">
        <v>665.09313430522843</v>
      </c>
      <c r="G34" s="945">
        <v>838.1213573356531</v>
      </c>
      <c r="H34" s="945">
        <v>937.17363546720776</v>
      </c>
      <c r="I34" s="945">
        <v>969.25665304374877</v>
      </c>
      <c r="J34" s="945">
        <v>961.31332951621016</v>
      </c>
      <c r="K34" s="945">
        <v>946.62648286398826</v>
      </c>
      <c r="L34" s="948">
        <v>1002.8432751770646</v>
      </c>
      <c r="M34" s="945">
        <v>1026.9582696876309</v>
      </c>
      <c r="N34" s="947">
        <v>1051.0732641981974</v>
      </c>
    </row>
    <row r="35" spans="2:14" outlineLevel="1">
      <c r="B35" s="1433"/>
      <c r="C35" s="943" t="s">
        <v>1507</v>
      </c>
      <c r="D35" s="944"/>
      <c r="E35" s="945">
        <v>1557.5782230669624</v>
      </c>
      <c r="F35" s="945">
        <v>1682.7340850194523</v>
      </c>
      <c r="G35" s="945">
        <v>2120.5080952229951</v>
      </c>
      <c r="H35" s="945">
        <v>2371.117575329733</v>
      </c>
      <c r="I35" s="945">
        <v>2452.2899472002077</v>
      </c>
      <c r="J35" s="945">
        <v>2432.192759966289</v>
      </c>
      <c r="K35" s="945">
        <v>2395.0339679288932</v>
      </c>
      <c r="L35" s="948">
        <v>2537.2665481441318</v>
      </c>
      <c r="M35" s="945">
        <v>2598.279241148965</v>
      </c>
      <c r="N35" s="947">
        <v>2659.2919341537981</v>
      </c>
    </row>
    <row r="36" spans="2:14" outlineLevel="1">
      <c r="B36" s="1433"/>
      <c r="C36" s="943" t="s">
        <v>1508</v>
      </c>
      <c r="D36" s="944"/>
      <c r="E36" s="945">
        <v>419.11913429414074</v>
      </c>
      <c r="F36" s="945">
        <v>452.79655462303896</v>
      </c>
      <c r="G36" s="945">
        <v>570.59446772669128</v>
      </c>
      <c r="H36" s="945">
        <v>638.02942976758322</v>
      </c>
      <c r="I36" s="945">
        <v>659.87160354937009</v>
      </c>
      <c r="J36" s="945">
        <v>654.46377517164558</v>
      </c>
      <c r="K36" s="945">
        <v>644.46494460282622</v>
      </c>
      <c r="L36" s="948">
        <v>682.73743391052369</v>
      </c>
      <c r="M36" s="945">
        <v>699.1549638261564</v>
      </c>
      <c r="N36" s="947">
        <v>715.572493741789</v>
      </c>
    </row>
    <row r="37" spans="2:14" outlineLevel="1">
      <c r="B37" s="1433"/>
      <c r="C37" s="943" t="s">
        <v>1498</v>
      </c>
      <c r="D37" s="944"/>
      <c r="E37" s="945"/>
      <c r="F37" s="945"/>
      <c r="G37" s="946"/>
      <c r="H37" s="945"/>
      <c r="I37" s="946"/>
      <c r="J37" s="945"/>
      <c r="K37" s="947"/>
      <c r="L37" s="948"/>
      <c r="M37" s="945"/>
      <c r="N37" s="947"/>
    </row>
    <row r="38" spans="2:14" outlineLevel="1">
      <c r="B38" s="1433"/>
      <c r="C38" s="943" t="s">
        <v>1505</v>
      </c>
      <c r="D38" s="944"/>
      <c r="E38" s="945">
        <v>2915.3822325219985</v>
      </c>
      <c r="F38" s="945">
        <v>3149.6415273866896</v>
      </c>
      <c r="G38" s="945">
        <v>3969.0408694590546</v>
      </c>
      <c r="H38" s="945">
        <v>4438.1167815285744</v>
      </c>
      <c r="I38" s="945">
        <v>4590.0503969439706</v>
      </c>
      <c r="J38" s="945">
        <v>4552.4336777848739</v>
      </c>
      <c r="K38" s="945">
        <v>4482.8820620242914</v>
      </c>
      <c r="L38" s="948">
        <v>4749.1045419641896</v>
      </c>
      <c r="M38" s="945">
        <v>4863.304470102863</v>
      </c>
      <c r="N38" s="947">
        <v>4977.5043982415364</v>
      </c>
    </row>
    <row r="39" spans="2:14" outlineLevel="1">
      <c r="B39" s="1433"/>
      <c r="C39" s="943" t="s">
        <v>1506</v>
      </c>
      <c r="D39" s="944"/>
      <c r="E39" s="945">
        <v>551.70360203743724</v>
      </c>
      <c r="F39" s="945">
        <v>596.03456329043127</v>
      </c>
      <c r="G39" s="945">
        <v>751.09675838975568</v>
      </c>
      <c r="H39" s="945">
        <v>839.86414793849394</v>
      </c>
      <c r="I39" s="945">
        <v>868.61589169277102</v>
      </c>
      <c r="J39" s="945">
        <v>861.4973467467961</v>
      </c>
      <c r="K39" s="945">
        <v>848.33547846256681</v>
      </c>
      <c r="L39" s="948">
        <v>898.71511633225509</v>
      </c>
      <c r="M39" s="945">
        <v>920.32618022764666</v>
      </c>
      <c r="N39" s="947">
        <v>941.93724412303834</v>
      </c>
    </row>
    <row r="40" spans="2:14" outlineLevel="1">
      <c r="B40" s="1433"/>
      <c r="C40" s="943" t="s">
        <v>1507</v>
      </c>
      <c r="D40" s="944"/>
      <c r="E40" s="945">
        <v>1442.0294627072517</v>
      </c>
      <c r="F40" s="945">
        <v>1557.9006515138333</v>
      </c>
      <c r="G40" s="945">
        <v>1963.1984473946595</v>
      </c>
      <c r="H40" s="945">
        <v>2195.2164922001862</v>
      </c>
      <c r="I40" s="945">
        <v>2270.3671010502312</v>
      </c>
      <c r="J40" s="945">
        <v>2251.7608213272201</v>
      </c>
      <c r="K40" s="945">
        <v>2217.3586499800717</v>
      </c>
      <c r="L40" s="948">
        <v>2349.0397226798336</v>
      </c>
      <c r="M40" s="945">
        <v>2405.5261961096176</v>
      </c>
      <c r="N40" s="947">
        <v>2462.0126695394015</v>
      </c>
    </row>
    <row r="41" spans="2:14" outlineLevel="1">
      <c r="B41" s="1433"/>
      <c r="C41" s="943" t="s">
        <v>1508</v>
      </c>
      <c r="D41" s="944"/>
      <c r="E41" s="945">
        <v>407.81898498538715</v>
      </c>
      <c r="F41" s="945">
        <v>440.58840602026333</v>
      </c>
      <c r="G41" s="945">
        <v>555.21029136137349</v>
      </c>
      <c r="H41" s="945">
        <v>620.82709460840465</v>
      </c>
      <c r="I41" s="945">
        <v>642.08036703788832</v>
      </c>
      <c r="J41" s="945">
        <v>636.81834271229172</v>
      </c>
      <c r="K41" s="945">
        <v>627.08909725447154</v>
      </c>
      <c r="L41" s="948">
        <v>664.32969656191165</v>
      </c>
      <c r="M41" s="945">
        <v>680.30458255091946</v>
      </c>
      <c r="N41" s="947">
        <v>696.27946853992717</v>
      </c>
    </row>
    <row r="42" spans="2:14" outlineLevel="1">
      <c r="B42" s="1433"/>
      <c r="C42" s="943" t="s">
        <v>1500</v>
      </c>
      <c r="D42" s="949"/>
      <c r="E42" s="950">
        <v>1.0000000401880873</v>
      </c>
      <c r="F42" s="950">
        <v>0.99999999039578225</v>
      </c>
      <c r="G42" s="946">
        <v>0.92493101445734627</v>
      </c>
      <c r="H42" s="945">
        <v>0.88554409371625309</v>
      </c>
      <c r="I42" s="946">
        <v>0.86286178255605084</v>
      </c>
      <c r="J42" s="945">
        <v>0.84852482722670386</v>
      </c>
      <c r="K42" s="947">
        <v>0.83905339127275858</v>
      </c>
      <c r="L42" s="948">
        <v>0.85017501315572785</v>
      </c>
      <c r="M42" s="945">
        <v>0.84920294563430543</v>
      </c>
      <c r="N42" s="947">
        <v>0.84827548281122511</v>
      </c>
    </row>
    <row r="43" spans="2:14" outlineLevel="1">
      <c r="B43" s="1434" t="s">
        <v>1509</v>
      </c>
      <c r="C43" s="1322" t="s">
        <v>1510</v>
      </c>
      <c r="D43" s="951">
        <v>2744.65087890625</v>
      </c>
      <c r="E43" s="1323">
        <v>2160.8791500000002</v>
      </c>
      <c r="F43" s="1324">
        <v>2502.851318</v>
      </c>
      <c r="G43" s="952">
        <v>2740.892578</v>
      </c>
      <c r="H43" s="1324">
        <v>2830.9907229999999</v>
      </c>
      <c r="I43" s="952">
        <v>2791.1423340000001</v>
      </c>
      <c r="J43" s="1324">
        <v>2675.4433589999999</v>
      </c>
      <c r="K43" s="953">
        <v>2579.820557</v>
      </c>
      <c r="L43" s="1325">
        <v>2755.5113614162947</v>
      </c>
      <c r="M43" s="951">
        <v>2783.773027900299</v>
      </c>
      <c r="N43" s="954">
        <v>2812.0346943843015</v>
      </c>
    </row>
    <row r="44" spans="2:14" ht="26.45" outlineLevel="1">
      <c r="B44" s="1435"/>
      <c r="C44" s="943" t="s">
        <v>1511</v>
      </c>
      <c r="D44" s="944">
        <v>12.244438171386699</v>
      </c>
      <c r="E44" s="945">
        <v>7.1579519999999999</v>
      </c>
      <c r="F44" s="955">
        <v>7.9418550000000003</v>
      </c>
      <c r="G44" s="956">
        <v>6.901675</v>
      </c>
      <c r="H44" s="955">
        <v>6.3751119999999997</v>
      </c>
      <c r="I44" s="956">
        <v>6.0773260000000002</v>
      </c>
      <c r="J44" s="955">
        <v>5.8735429999999997</v>
      </c>
      <c r="K44" s="957">
        <v>5.7514880000000002</v>
      </c>
      <c r="L44" s="948">
        <v>5.7988050277949865</v>
      </c>
      <c r="M44" s="945">
        <v>5.7207160707405729</v>
      </c>
      <c r="N44" s="947">
        <v>5.6462103363497818</v>
      </c>
    </row>
    <row r="45" spans="2:14" outlineLevel="1">
      <c r="B45" s="1435"/>
      <c r="C45" s="943" t="s">
        <v>1512</v>
      </c>
      <c r="D45" s="944">
        <v>2895.6067019777438</v>
      </c>
      <c r="E45" s="945">
        <v>2279.7278715591756</v>
      </c>
      <c r="F45" s="945">
        <v>2640.5081394955673</v>
      </c>
      <c r="G45" s="945">
        <v>3327.4531817888706</v>
      </c>
      <c r="H45" s="945">
        <v>3720.7038908270392</v>
      </c>
      <c r="I45" s="945">
        <v>3848.0777347006965</v>
      </c>
      <c r="J45" s="945">
        <v>3816.5416845638651</v>
      </c>
      <c r="K45" s="958">
        <v>3758.2329513527989</v>
      </c>
      <c r="L45" s="948">
        <v>3981.4210885060638</v>
      </c>
      <c r="M45" s="945">
        <v>4077.1608217925286</v>
      </c>
      <c r="N45" s="947">
        <v>4172.9005550789934</v>
      </c>
    </row>
    <row r="46" spans="2:14" outlineLevel="1">
      <c r="B46" s="1436"/>
      <c r="C46" s="959" t="s">
        <v>1513</v>
      </c>
      <c r="D46" s="960">
        <v>2895.6066772460936</v>
      </c>
      <c r="E46" s="961">
        <v>2279.7275032500002</v>
      </c>
      <c r="F46" s="961">
        <v>2640.5081404899997</v>
      </c>
      <c r="G46" s="962">
        <v>2891.6416697899999</v>
      </c>
      <c r="H46" s="961">
        <v>2986.6952127649997</v>
      </c>
      <c r="I46" s="962">
        <v>2944.6551623699997</v>
      </c>
      <c r="J46" s="961">
        <v>2822.5927437449996</v>
      </c>
      <c r="K46" s="963">
        <v>2721.7106876349999</v>
      </c>
      <c r="L46" s="964">
        <v>2907.0644862941908</v>
      </c>
      <c r="M46" s="961">
        <v>2936.8805444348154</v>
      </c>
      <c r="N46" s="963">
        <v>2966.6966025754377</v>
      </c>
    </row>
    <row r="47" spans="2:14" outlineLevel="1">
      <c r="B47" s="1435" t="s">
        <v>1514</v>
      </c>
      <c r="C47" s="943" t="s">
        <v>1515</v>
      </c>
      <c r="D47" s="944">
        <v>4119.9560546875</v>
      </c>
      <c r="E47" s="945">
        <v>3329.7456050000001</v>
      </c>
      <c r="F47" s="955">
        <v>3357.9296880000002</v>
      </c>
      <c r="G47" s="956">
        <v>4090.1860350000002</v>
      </c>
      <c r="H47" s="955">
        <v>4482.1391599999997</v>
      </c>
      <c r="I47" s="956">
        <v>4578.6127930000002</v>
      </c>
      <c r="J47" s="955">
        <v>4512.4653319999998</v>
      </c>
      <c r="K47" s="957">
        <v>4419.2646480000003</v>
      </c>
      <c r="L47" s="965">
        <v>4757.5067659709821</v>
      </c>
      <c r="M47" s="944">
        <v>4901.1110663065483</v>
      </c>
      <c r="N47" s="947">
        <v>5044.7153666421073</v>
      </c>
    </row>
    <row r="48" spans="2:14" ht="26.45" outlineLevel="1">
      <c r="B48" s="1435"/>
      <c r="C48" s="943" t="s">
        <v>1516</v>
      </c>
      <c r="D48" s="944">
        <v>18.379947662353501</v>
      </c>
      <c r="E48" s="945">
        <v>11.02984</v>
      </c>
      <c r="F48" s="955">
        <v>10.655124000000001</v>
      </c>
      <c r="G48" s="956">
        <v>10.299248</v>
      </c>
      <c r="H48" s="955">
        <v>10.093334</v>
      </c>
      <c r="I48" s="956">
        <v>9.9692959999999999</v>
      </c>
      <c r="J48" s="955">
        <v>9.9064549999999993</v>
      </c>
      <c r="K48" s="957">
        <v>9.8523700000000005</v>
      </c>
      <c r="L48" s="948">
        <v>10.011881838186804</v>
      </c>
      <c r="M48" s="945">
        <v>10.071893275958745</v>
      </c>
      <c r="N48" s="947">
        <v>10.129151003705431</v>
      </c>
    </row>
    <row r="49" spans="2:14" outlineLevel="1">
      <c r="B49" s="1435"/>
      <c r="C49" s="943" t="s">
        <v>1512</v>
      </c>
      <c r="D49" s="944">
        <v>4346.5530135535491</v>
      </c>
      <c r="E49" s="945">
        <v>3512.8810121719539</v>
      </c>
      <c r="F49" s="945">
        <v>3542.6158812185026</v>
      </c>
      <c r="G49" s="945">
        <v>4464.2500091168831</v>
      </c>
      <c r="H49" s="945">
        <v>4991.8515666736002</v>
      </c>
      <c r="I49" s="945">
        <v>5162.7416296161318</v>
      </c>
      <c r="J49" s="945">
        <v>5120.431549077246</v>
      </c>
      <c r="K49" s="958">
        <v>5042.2021199770134</v>
      </c>
      <c r="L49" s="948">
        <v>5341.640636129353</v>
      </c>
      <c r="M49" s="945">
        <v>5470.0890565417394</v>
      </c>
      <c r="N49" s="947">
        <v>5598.5374769541259</v>
      </c>
    </row>
    <row r="50" spans="2:14" ht="13.9" outlineLevel="1" thickBot="1">
      <c r="B50" s="1437"/>
      <c r="C50" s="966" t="s">
        <v>1517</v>
      </c>
      <c r="D50" s="967">
        <v>4346.5536376953123</v>
      </c>
      <c r="E50" s="968">
        <v>3512.8816132749998</v>
      </c>
      <c r="F50" s="968">
        <v>3542.6158208400002</v>
      </c>
      <c r="G50" s="969">
        <v>4315.1462669249995</v>
      </c>
      <c r="H50" s="968">
        <v>4728.6568137999993</v>
      </c>
      <c r="I50" s="969">
        <v>4830.4364966149997</v>
      </c>
      <c r="J50" s="968">
        <v>4760.6509252599999</v>
      </c>
      <c r="K50" s="970">
        <v>4662.3242036399997</v>
      </c>
      <c r="L50" s="971">
        <v>5019.1696380993862</v>
      </c>
      <c r="M50" s="968">
        <v>5170.6721749534081</v>
      </c>
      <c r="N50" s="970">
        <v>5322.1747118074227</v>
      </c>
    </row>
    <row r="51" spans="2:14" outlineLevel="1">
      <c r="B51" s="1438" t="s">
        <v>1518</v>
      </c>
      <c r="C51" s="972" t="s">
        <v>1494</v>
      </c>
      <c r="D51" s="973">
        <v>22.540349960327099</v>
      </c>
      <c r="E51" s="974">
        <v>19.313880999999999</v>
      </c>
      <c r="F51" s="975">
        <v>22.565615000000001</v>
      </c>
      <c r="G51" s="976">
        <v>25.019855</v>
      </c>
      <c r="H51" s="975">
        <v>27.276409000000001</v>
      </c>
      <c r="I51" s="976">
        <v>29.271837000000001</v>
      </c>
      <c r="J51" s="975">
        <v>30.529619</v>
      </c>
      <c r="K51" s="977">
        <v>31.85125</v>
      </c>
      <c r="L51" s="978">
        <v>33.740577545632505</v>
      </c>
      <c r="M51" s="973">
        <v>35.450461001319582</v>
      </c>
      <c r="N51" s="979">
        <v>37.160344457006659</v>
      </c>
    </row>
    <row r="52" spans="2:14" outlineLevel="1">
      <c r="B52" s="1439"/>
      <c r="C52" s="980" t="s">
        <v>1495</v>
      </c>
      <c r="D52" s="981">
        <v>209.47463989257801</v>
      </c>
      <c r="E52" s="982">
        <v>253.72013899999999</v>
      </c>
      <c r="F52" s="983">
        <v>220.482742</v>
      </c>
      <c r="G52" s="984">
        <v>231.85755900000001</v>
      </c>
      <c r="H52" s="983">
        <v>233.72006200000001</v>
      </c>
      <c r="I52" s="984">
        <v>242.796539</v>
      </c>
      <c r="J52" s="983">
        <v>232.20609999999999</v>
      </c>
      <c r="K52" s="985">
        <v>224.66166699999999</v>
      </c>
      <c r="L52" s="986">
        <v>234.73330002685552</v>
      </c>
      <c r="M52" s="981">
        <v>235.53738203580733</v>
      </c>
      <c r="N52" s="987">
        <v>236.34146404475919</v>
      </c>
    </row>
    <row r="53" spans="2:14" ht="26.45" outlineLevel="1">
      <c r="B53" s="1439"/>
      <c r="C53" s="980" t="s">
        <v>1496</v>
      </c>
      <c r="D53" s="981">
        <v>9.2933177947997994</v>
      </c>
      <c r="E53" s="982">
        <v>13.136673999999999</v>
      </c>
      <c r="F53" s="983">
        <v>9.77074</v>
      </c>
      <c r="G53" s="984">
        <v>9.2669429999999995</v>
      </c>
      <c r="H53" s="983">
        <v>8.5685789999999997</v>
      </c>
      <c r="I53" s="984">
        <v>8.2945440000000001</v>
      </c>
      <c r="J53" s="983">
        <v>7.6059289999999997</v>
      </c>
      <c r="K53" s="985">
        <v>7.0534650000000001</v>
      </c>
      <c r="L53" s="986">
        <v>6.9570030243077507</v>
      </c>
      <c r="M53" s="981">
        <v>6.6441274776945738</v>
      </c>
      <c r="N53" s="987">
        <v>6.3600450291357973</v>
      </c>
    </row>
    <row r="54" spans="2:14" outlineLevel="1">
      <c r="B54" s="1439"/>
      <c r="C54" s="980" t="s">
        <v>1497</v>
      </c>
      <c r="D54" s="981">
        <v>220.99574033362552</v>
      </c>
      <c r="E54" s="982">
        <v>267.67476708224262</v>
      </c>
      <c r="F54" s="982">
        <v>232.6093087458805</v>
      </c>
      <c r="G54" s="982">
        <v>257.9079354350485</v>
      </c>
      <c r="H54" s="982">
        <v>281.16878899865628</v>
      </c>
      <c r="I54" s="982">
        <v>301.73792162509585</v>
      </c>
      <c r="J54" s="982">
        <v>314.70330287320331</v>
      </c>
      <c r="K54" s="988">
        <v>328.32684795837497</v>
      </c>
      <c r="L54" s="989">
        <v>347.80228323386507</v>
      </c>
      <c r="M54" s="982">
        <v>365.42798537685508</v>
      </c>
      <c r="N54" s="987">
        <v>383.05368751984514</v>
      </c>
    </row>
    <row r="55" spans="2:14" outlineLevel="1">
      <c r="B55" s="1439"/>
      <c r="C55" s="980" t="s">
        <v>1499</v>
      </c>
      <c r="D55" s="981">
        <v>220.99574508666979</v>
      </c>
      <c r="E55" s="982">
        <v>267.67474664499997</v>
      </c>
      <c r="F55" s="982">
        <v>232.60929281</v>
      </c>
      <c r="G55" s="990">
        <v>244.60972474499999</v>
      </c>
      <c r="H55" s="982">
        <v>246.57466540999999</v>
      </c>
      <c r="I55" s="990">
        <v>256.15034864500001</v>
      </c>
      <c r="J55" s="982">
        <v>244.97743549999998</v>
      </c>
      <c r="K55" s="987">
        <v>237.01805868499997</v>
      </c>
      <c r="L55" s="989">
        <v>247.64363152833255</v>
      </c>
      <c r="M55" s="982">
        <v>248.49193804777673</v>
      </c>
      <c r="N55" s="987">
        <v>249.34024456722091</v>
      </c>
    </row>
    <row r="56" spans="2:14" outlineLevel="1">
      <c r="B56" s="1440"/>
      <c r="C56" s="991" t="s">
        <v>1500</v>
      </c>
      <c r="D56" s="992">
        <v>1.0000000215074021</v>
      </c>
      <c r="E56" s="993">
        <v>0.99999992364897572</v>
      </c>
      <c r="F56" s="994">
        <v>0.99999993149078781</v>
      </c>
      <c r="G56" s="995">
        <v>0.94843814841285667</v>
      </c>
      <c r="H56" s="996">
        <v>0.87696314476489912</v>
      </c>
      <c r="I56" s="995">
        <v>0.84891666007848487</v>
      </c>
      <c r="J56" s="995">
        <v>0.77843935307759871</v>
      </c>
      <c r="K56" s="997">
        <v>0.72189667143836178</v>
      </c>
      <c r="L56" s="989">
        <v>0.71202416851822381</v>
      </c>
      <c r="M56" s="982">
        <v>0.68000248473448011</v>
      </c>
      <c r="N56" s="987">
        <v>0.6509276706918613</v>
      </c>
    </row>
    <row r="57" spans="2:14" outlineLevel="1">
      <c r="B57" s="1441" t="s">
        <v>1519</v>
      </c>
      <c r="C57" s="980" t="s">
        <v>1494</v>
      </c>
      <c r="D57" s="981">
        <v>8.46930027008057</v>
      </c>
      <c r="E57" s="982">
        <v>5.6083460000000001</v>
      </c>
      <c r="F57" s="983">
        <v>8.1092479999999991</v>
      </c>
      <c r="G57" s="984">
        <v>9.6043889999999994</v>
      </c>
      <c r="H57" s="983">
        <v>10.166302999999999</v>
      </c>
      <c r="I57" s="984">
        <v>11.058609000000001</v>
      </c>
      <c r="J57" s="983">
        <v>11.799562</v>
      </c>
      <c r="K57" s="985">
        <v>12.639805000000001</v>
      </c>
      <c r="L57" s="1326">
        <v>13.408352968194151</v>
      </c>
      <c r="M57" s="998">
        <v>14.236443564735055</v>
      </c>
      <c r="N57" s="999">
        <v>15.064534161275958</v>
      </c>
    </row>
    <row r="58" spans="2:14" outlineLevel="1">
      <c r="B58" s="1441"/>
      <c r="C58" s="980" t="s">
        <v>1495</v>
      </c>
      <c r="D58" s="981">
        <v>451.16394042968801</v>
      </c>
      <c r="E58" s="982">
        <v>247.77973900000001</v>
      </c>
      <c r="F58" s="983">
        <v>368.156677</v>
      </c>
      <c r="G58" s="984">
        <v>430.93170199999997</v>
      </c>
      <c r="H58" s="983">
        <v>447.85247800000002</v>
      </c>
      <c r="I58" s="984">
        <v>465.27633700000001</v>
      </c>
      <c r="J58" s="983">
        <v>476.17111199999999</v>
      </c>
      <c r="K58" s="985">
        <v>494.84353599999997</v>
      </c>
      <c r="L58" s="986">
        <v>516.84303607114998</v>
      </c>
      <c r="M58" s="981">
        <v>537.74772404724717</v>
      </c>
      <c r="N58" s="987">
        <v>558.65241202334437</v>
      </c>
    </row>
    <row r="59" spans="2:14" ht="26.45" outlineLevel="1">
      <c r="B59" s="1441"/>
      <c r="C59" s="980" t="s">
        <v>1496</v>
      </c>
      <c r="D59" s="981">
        <v>53.2705078125</v>
      </c>
      <c r="E59" s="982">
        <v>44.180542000000003</v>
      </c>
      <c r="F59" s="983">
        <v>45.399608999999998</v>
      </c>
      <c r="G59" s="984">
        <v>44.868201999999997</v>
      </c>
      <c r="H59" s="983">
        <v>44.052643000000003</v>
      </c>
      <c r="I59" s="984">
        <v>42.073672999999999</v>
      </c>
      <c r="J59" s="983">
        <v>40.354984000000002</v>
      </c>
      <c r="K59" s="985">
        <v>39.149619999999999</v>
      </c>
      <c r="L59" s="986">
        <v>38.546347735411594</v>
      </c>
      <c r="M59" s="981">
        <v>37.772616566913975</v>
      </c>
      <c r="N59" s="987">
        <v>37.083948699813419</v>
      </c>
    </row>
    <row r="60" spans="2:14" outlineLevel="1">
      <c r="B60" s="1441"/>
      <c r="C60" s="980" t="s">
        <v>1497</v>
      </c>
      <c r="D60" s="981">
        <v>475.97794214494076</v>
      </c>
      <c r="E60" s="982">
        <v>261.40765313372628</v>
      </c>
      <c r="F60" s="982">
        <v>388.40530635065363</v>
      </c>
      <c r="G60" s="982">
        <v>460.01745807451545</v>
      </c>
      <c r="H60" s="982">
        <v>486.93122114018092</v>
      </c>
      <c r="I60" s="982">
        <v>529.66963354149436</v>
      </c>
      <c r="J60" s="982">
        <v>565.15875373567712</v>
      </c>
      <c r="K60" s="988">
        <v>605.40352610223852</v>
      </c>
      <c r="L60" s="986">
        <v>642.21435110495406</v>
      </c>
      <c r="M60" s="981">
        <v>681.87706481596217</v>
      </c>
      <c r="N60" s="987">
        <v>721.53977852697028</v>
      </c>
    </row>
    <row r="61" spans="2:14" outlineLevel="1">
      <c r="B61" s="1441"/>
      <c r="C61" s="980" t="s">
        <v>1520</v>
      </c>
      <c r="D61" s="981"/>
      <c r="E61" s="982">
        <v>228.55914849358095</v>
      </c>
      <c r="F61" s="982">
        <v>279.73546529093557</v>
      </c>
      <c r="G61" s="982">
        <v>331.31163651057949</v>
      </c>
      <c r="H61" s="982">
        <v>350.69534191008029</v>
      </c>
      <c r="I61" s="982">
        <v>381.47620273612648</v>
      </c>
      <c r="J61" s="982">
        <v>407.03601200743185</v>
      </c>
      <c r="K61" s="982">
        <v>436.0209149925733</v>
      </c>
      <c r="L61" s="986">
        <v>462.5326363607191</v>
      </c>
      <c r="M61" s="981">
        <v>491.09833176507942</v>
      </c>
      <c r="N61" s="987">
        <v>519.66402716943969</v>
      </c>
    </row>
    <row r="62" spans="2:14" outlineLevel="1">
      <c r="B62" s="1441"/>
      <c r="C62" s="980" t="s">
        <v>1521</v>
      </c>
      <c r="D62" s="981"/>
      <c r="E62" s="982">
        <v>88.789193439273078</v>
      </c>
      <c r="F62" s="982">
        <v>108.66984105971804</v>
      </c>
      <c r="G62" s="982">
        <v>128.70582156393593</v>
      </c>
      <c r="H62" s="982">
        <v>136.23587923010061</v>
      </c>
      <c r="I62" s="982">
        <v>148.19343080536785</v>
      </c>
      <c r="J62" s="982">
        <v>158.12274172824519</v>
      </c>
      <c r="K62" s="982">
        <v>169.38261110966513</v>
      </c>
      <c r="L62" s="986">
        <v>179.68171474423488</v>
      </c>
      <c r="M62" s="981">
        <v>190.77873305088269</v>
      </c>
      <c r="N62" s="987">
        <v>201.8757513575305</v>
      </c>
    </row>
    <row r="63" spans="2:14" outlineLevel="1">
      <c r="B63" s="1441"/>
      <c r="C63" s="980" t="s">
        <v>1498</v>
      </c>
      <c r="D63" s="981"/>
      <c r="E63" s="982"/>
      <c r="F63" s="982"/>
      <c r="G63" s="990"/>
      <c r="H63" s="982"/>
      <c r="I63" s="990"/>
      <c r="J63" s="982"/>
      <c r="K63" s="987"/>
      <c r="L63" s="986"/>
      <c r="M63" s="981"/>
      <c r="N63" s="987"/>
    </row>
    <row r="64" spans="2:14" outlineLevel="1">
      <c r="B64" s="1441"/>
      <c r="C64" s="980" t="s">
        <v>1520</v>
      </c>
      <c r="D64" s="981"/>
      <c r="E64" s="982">
        <v>228.26074665363285</v>
      </c>
      <c r="F64" s="982">
        <v>279.37024876780919</v>
      </c>
      <c r="G64" s="982">
        <v>330.87908326306098</v>
      </c>
      <c r="H64" s="982">
        <v>350.23748171950416</v>
      </c>
      <c r="I64" s="982">
        <v>380.97815572491237</v>
      </c>
      <c r="J64" s="982">
        <v>406.50459466663108</v>
      </c>
      <c r="K64" s="982">
        <v>435.45165559452613</v>
      </c>
      <c r="L64" s="986">
        <v>461.92876383741049</v>
      </c>
      <c r="M64" s="981">
        <v>490.45716449280002</v>
      </c>
      <c r="N64" s="987">
        <v>518.98556514818938</v>
      </c>
    </row>
    <row r="65" spans="2:14" outlineLevel="1">
      <c r="B65" s="1441"/>
      <c r="C65" s="980" t="s">
        <v>1499</v>
      </c>
      <c r="D65" s="981">
        <v>475.9779571533208</v>
      </c>
      <c r="E65" s="982">
        <v>261.407624645</v>
      </c>
      <c r="F65" s="982">
        <v>388.40529423499999</v>
      </c>
      <c r="G65" s="990">
        <v>454.63294560999992</v>
      </c>
      <c r="H65" s="982">
        <v>472.48436428999997</v>
      </c>
      <c r="I65" s="990">
        <v>490.86653553499997</v>
      </c>
      <c r="J65" s="982">
        <v>502.36052315999996</v>
      </c>
      <c r="K65" s="987">
        <v>522.05993047999993</v>
      </c>
      <c r="L65" s="986">
        <v>545.26940305506321</v>
      </c>
      <c r="M65" s="981">
        <v>567.32384886984573</v>
      </c>
      <c r="N65" s="987">
        <v>589.37829468462826</v>
      </c>
    </row>
    <row r="66" spans="2:14" ht="13.9" outlineLevel="1" thickBot="1">
      <c r="B66" s="1442"/>
      <c r="C66" s="1000" t="s">
        <v>1500</v>
      </c>
      <c r="D66" s="1001">
        <v>1.0000000315316713</v>
      </c>
      <c r="E66" s="1002">
        <v>0.99999989101800979</v>
      </c>
      <c r="F66" s="1002">
        <v>0.99999996880667319</v>
      </c>
      <c r="G66" s="1003">
        <v>0.98829498235337987</v>
      </c>
      <c r="H66" s="1003">
        <v>0.97033080602974542</v>
      </c>
      <c r="I66" s="1003">
        <v>0.92674094275133756</v>
      </c>
      <c r="J66" s="1003">
        <v>0.88888391065239047</v>
      </c>
      <c r="K66" s="1004">
        <v>0.86233381202975712</v>
      </c>
      <c r="L66" s="1005">
        <v>0.84904580864147083</v>
      </c>
      <c r="M66" s="1003">
        <v>0.83200312511312546</v>
      </c>
      <c r="N66" s="1004">
        <v>0.81683409872127788</v>
      </c>
    </row>
    <row r="67" spans="2:14" outlineLevel="1">
      <c r="B67" s="1443" t="s">
        <v>1522</v>
      </c>
      <c r="C67" s="1006" t="s">
        <v>1494</v>
      </c>
      <c r="D67" s="1007">
        <v>73.466018676757798</v>
      </c>
      <c r="E67" s="1008">
        <v>102.142471</v>
      </c>
      <c r="F67" s="1009">
        <v>131.344955</v>
      </c>
      <c r="G67" s="1010">
        <v>146.92245500000001</v>
      </c>
      <c r="H67" s="1009">
        <v>164.62550400000001</v>
      </c>
      <c r="I67" s="1010">
        <v>164.68884299999999</v>
      </c>
      <c r="J67" s="1009">
        <v>158.96772799999999</v>
      </c>
      <c r="K67" s="1011">
        <v>148.204071</v>
      </c>
      <c r="L67" s="1012">
        <v>155.75335699999999</v>
      </c>
      <c r="M67" s="1012">
        <v>155.4439026</v>
      </c>
      <c r="N67" s="1012">
        <v>155.13444820000001</v>
      </c>
    </row>
    <row r="68" spans="2:14" outlineLevel="1">
      <c r="B68" s="1421"/>
      <c r="C68" s="1013" t="s">
        <v>1495</v>
      </c>
      <c r="D68" s="1014">
        <v>1469.9580078125</v>
      </c>
      <c r="E68" s="1015">
        <v>1271.547607</v>
      </c>
      <c r="F68" s="1016">
        <v>1441.387207</v>
      </c>
      <c r="G68" s="1017">
        <v>1491.57251</v>
      </c>
      <c r="H68" s="1016">
        <v>1555.166504</v>
      </c>
      <c r="I68" s="1017">
        <v>1479.319336</v>
      </c>
      <c r="J68" s="1016">
        <v>1367.8271480000001</v>
      </c>
      <c r="K68" s="1018">
        <v>1279.8317870000001</v>
      </c>
      <c r="L68" s="1019">
        <v>1383.5711494397324</v>
      </c>
      <c r="M68" s="1014">
        <v>1375.5700130148812</v>
      </c>
      <c r="N68" s="1020">
        <v>1367.56887659003</v>
      </c>
    </row>
    <row r="69" spans="2:14" ht="26.45" outlineLevel="1">
      <c r="B69" s="1421"/>
      <c r="C69" s="1013" t="s">
        <v>1496</v>
      </c>
      <c r="D69" s="1014">
        <v>20.008680343627901</v>
      </c>
      <c r="E69" s="1015">
        <v>12.448766000000001</v>
      </c>
      <c r="F69" s="1016">
        <v>10.974057999999999</v>
      </c>
      <c r="G69" s="1017">
        <v>10.152108</v>
      </c>
      <c r="H69" s="1016">
        <v>9.4466920000000005</v>
      </c>
      <c r="I69" s="1017">
        <v>8.9825110000000006</v>
      </c>
      <c r="J69" s="1016">
        <v>8.6044339999999995</v>
      </c>
      <c r="K69" s="1018">
        <v>8.6356059999999992</v>
      </c>
      <c r="L69" s="1019">
        <v>8.8830903942554027</v>
      </c>
      <c r="M69" s="1014">
        <v>8.849301838198194</v>
      </c>
      <c r="N69" s="1020">
        <v>8.8153784827142587</v>
      </c>
    </row>
    <row r="70" spans="2:14" outlineLevel="1">
      <c r="B70" s="1421"/>
      <c r="C70" s="1013" t="s">
        <v>1497</v>
      </c>
      <c r="D70" s="1014">
        <v>1550.8057784324674</v>
      </c>
      <c r="E70" s="1015">
        <v>1341.4828447485293</v>
      </c>
      <c r="F70" s="1015">
        <v>1520.6634476571462</v>
      </c>
      <c r="G70" s="1015">
        <v>1701.0139975193715</v>
      </c>
      <c r="H70" s="1015">
        <v>1905.9733697798695</v>
      </c>
      <c r="I70" s="1015">
        <v>1906.7066853618128</v>
      </c>
      <c r="J70" s="1015">
        <v>1840.469725896236</v>
      </c>
      <c r="K70" s="1021">
        <v>1715.8520748945743</v>
      </c>
      <c r="L70" s="1022">
        <v>1803.2549239504046</v>
      </c>
      <c r="M70" s="1015">
        <v>1799.6721750370818</v>
      </c>
      <c r="N70" s="1020">
        <v>1796.0894261237593</v>
      </c>
    </row>
    <row r="71" spans="2:14" outlineLevel="1">
      <c r="B71" s="1421"/>
      <c r="C71" s="1013" t="s">
        <v>1523</v>
      </c>
      <c r="D71" s="1014"/>
      <c r="E71" s="1015">
        <v>959.725762341782</v>
      </c>
      <c r="F71" s="1015">
        <v>1128.6474936285406</v>
      </c>
      <c r="G71" s="1015">
        <v>1262.5049861527007</v>
      </c>
      <c r="H71" s="1015">
        <v>1414.6273260129046</v>
      </c>
      <c r="I71" s="1015">
        <v>1415.1715981823149</v>
      </c>
      <c r="J71" s="1015">
        <v>1366.010044124067</v>
      </c>
      <c r="K71" s="1015">
        <v>1273.5179153222618</v>
      </c>
      <c r="L71" s="1022">
        <v>1338.3889468939353</v>
      </c>
      <c r="M71" s="1015">
        <v>1335.7298045389639</v>
      </c>
      <c r="N71" s="1020">
        <v>1333.0706621839925</v>
      </c>
    </row>
    <row r="72" spans="2:14" outlineLevel="1">
      <c r="B72" s="1421"/>
      <c r="C72" s="1013" t="s">
        <v>1524</v>
      </c>
      <c r="D72" s="1014"/>
      <c r="E72" s="1015">
        <v>255.1169747997142</v>
      </c>
      <c r="F72" s="1015">
        <v>300.02021982530829</v>
      </c>
      <c r="G72" s="1015">
        <v>335.60259125578119</v>
      </c>
      <c r="H72" s="1015">
        <v>376.04017526925315</v>
      </c>
      <c r="I72" s="1015">
        <v>376.18485521302046</v>
      </c>
      <c r="J72" s="1015">
        <v>363.11659400766337</v>
      </c>
      <c r="K72" s="1015">
        <v>338.53007875655067</v>
      </c>
      <c r="L72" s="1022">
        <v>355.77427702243853</v>
      </c>
      <c r="M72" s="1015">
        <v>355.06741639643343</v>
      </c>
      <c r="N72" s="1020">
        <v>354.36055577042839</v>
      </c>
    </row>
    <row r="73" spans="2:14" outlineLevel="1">
      <c r="B73" s="1421"/>
      <c r="C73" s="1013" t="s">
        <v>1525</v>
      </c>
      <c r="D73" s="1014"/>
      <c r="E73" s="1015">
        <v>78.226972229036448</v>
      </c>
      <c r="F73" s="1015">
        <v>91.995734203297289</v>
      </c>
      <c r="G73" s="1015">
        <v>102.90642011088975</v>
      </c>
      <c r="H73" s="1015">
        <v>115.30586849771166</v>
      </c>
      <c r="I73" s="1015">
        <v>115.35023196647757</v>
      </c>
      <c r="J73" s="1015">
        <v>111.34308776450577</v>
      </c>
      <c r="K73" s="1015">
        <v>103.80408081576184</v>
      </c>
      <c r="L73" s="1022">
        <v>109.09170003403081</v>
      </c>
      <c r="M73" s="1015">
        <v>108.87495410168464</v>
      </c>
      <c r="N73" s="1020">
        <v>108.65820816933847</v>
      </c>
    </row>
    <row r="74" spans="2:14" outlineLevel="1">
      <c r="B74" s="1421"/>
      <c r="C74" s="1013" t="s">
        <v>1526</v>
      </c>
      <c r="D74" s="1014"/>
      <c r="E74" s="1015"/>
      <c r="F74" s="1015"/>
      <c r="G74" s="1023"/>
      <c r="H74" s="1015"/>
      <c r="I74" s="1023"/>
      <c r="J74" s="1015"/>
      <c r="K74" s="1020"/>
      <c r="L74" s="1022"/>
      <c r="M74" s="1015"/>
      <c r="N74" s="1020"/>
    </row>
    <row r="75" spans="2:14" outlineLevel="1">
      <c r="B75" s="1421"/>
      <c r="C75" s="1013" t="s">
        <v>1523</v>
      </c>
      <c r="D75" s="1014"/>
      <c r="E75" s="1015">
        <v>845.43917976064381</v>
      </c>
      <c r="F75" s="1015">
        <v>994.24528203131081</v>
      </c>
      <c r="G75" s="1015">
        <v>1112.1626841945138</v>
      </c>
      <c r="H75" s="1015">
        <v>1246.1699092593749</v>
      </c>
      <c r="I75" s="1015">
        <v>1246.6493681157779</v>
      </c>
      <c r="J75" s="1015">
        <v>1203.3420968413802</v>
      </c>
      <c r="K75" s="1015">
        <v>1121.8641657731232</v>
      </c>
      <c r="L75" s="1022">
        <v>1179.0101900586014</v>
      </c>
      <c r="M75" s="1015">
        <v>1176.6677051325239</v>
      </c>
      <c r="N75" s="1020">
        <v>1174.3252202064464</v>
      </c>
    </row>
    <row r="76" spans="2:14" outlineLevel="1">
      <c r="B76" s="1421"/>
      <c r="C76" s="1013" t="s">
        <v>1524</v>
      </c>
      <c r="D76" s="1014"/>
      <c r="E76" s="1015">
        <v>224.73699715156354</v>
      </c>
      <c r="F76" s="1015">
        <v>264.29304965389275</v>
      </c>
      <c r="G76" s="1015">
        <v>295.63818187449095</v>
      </c>
      <c r="H76" s="1015">
        <v>331.26035562590982</v>
      </c>
      <c r="I76" s="1015">
        <v>331.38780671432073</v>
      </c>
      <c r="J76" s="1015">
        <v>319.87574726163268</v>
      </c>
      <c r="K76" s="1015">
        <v>298.21705672450116</v>
      </c>
      <c r="L76" s="1022">
        <v>313.40777204089403</v>
      </c>
      <c r="M76" s="1015">
        <v>312.78508617446835</v>
      </c>
      <c r="N76" s="1020">
        <v>312.16240030804272</v>
      </c>
    </row>
    <row r="77" spans="2:14" outlineLevel="1">
      <c r="B77" s="1421"/>
      <c r="C77" s="1013" t="s">
        <v>1499</v>
      </c>
      <c r="D77" s="1014">
        <v>1550.8056982421874</v>
      </c>
      <c r="E77" s="1015">
        <v>1341.4827253849999</v>
      </c>
      <c r="F77" s="1015">
        <v>1520.663503385</v>
      </c>
      <c r="G77" s="1023">
        <v>1573.6089980499999</v>
      </c>
      <c r="H77" s="1015">
        <v>1640.70066172</v>
      </c>
      <c r="I77" s="1023">
        <v>1560.6818994799999</v>
      </c>
      <c r="J77" s="1015">
        <v>1443.05764114</v>
      </c>
      <c r="K77" s="1020">
        <v>1350.222535285</v>
      </c>
      <c r="L77" s="1022">
        <v>1459.6675626589176</v>
      </c>
      <c r="M77" s="1015">
        <v>1451.2263637306994</v>
      </c>
      <c r="N77" s="1020">
        <v>1442.7851648024812</v>
      </c>
    </row>
    <row r="78" spans="2:14" outlineLevel="1">
      <c r="B78" s="1444"/>
      <c r="C78" s="1024" t="s">
        <v>1500</v>
      </c>
      <c r="D78" s="1025">
        <v>0.99999994829121663</v>
      </c>
      <c r="E78" s="1026">
        <v>0.99999991102120322</v>
      </c>
      <c r="F78" s="1026">
        <v>1.000000036647066</v>
      </c>
      <c r="G78" s="1027">
        <v>0.92510055787008849</v>
      </c>
      <c r="H78" s="1027">
        <v>0.86082034918960737</v>
      </c>
      <c r="I78" s="1027">
        <v>0.81852227794745891</v>
      </c>
      <c r="J78" s="1027">
        <v>0.78407029511843118</v>
      </c>
      <c r="K78" s="1028">
        <v>0.78691080369964916</v>
      </c>
      <c r="L78" s="1029">
        <v>0.80946267955348905</v>
      </c>
      <c r="M78" s="1027">
        <v>0.80638373135973906</v>
      </c>
      <c r="N78" s="1028">
        <v>0.80329249970377936</v>
      </c>
    </row>
    <row r="79" spans="2:14" outlineLevel="1">
      <c r="B79" s="1421" t="s">
        <v>1527</v>
      </c>
      <c r="C79" s="1013" t="s">
        <v>1494</v>
      </c>
      <c r="D79" s="1014">
        <v>29.627761840820298</v>
      </c>
      <c r="E79" s="1015">
        <v>30.641382</v>
      </c>
      <c r="F79" s="1016">
        <v>37.339989000000003</v>
      </c>
      <c r="G79" s="1017">
        <v>42.331283999999997</v>
      </c>
      <c r="H79" s="1016">
        <v>50.611656000000004</v>
      </c>
      <c r="I79" s="1017">
        <v>51.879615999999999</v>
      </c>
      <c r="J79" s="1016">
        <v>50.266201000000002</v>
      </c>
      <c r="K79" s="1018">
        <v>47.575302000000001</v>
      </c>
      <c r="L79" s="1327">
        <v>51.575586099999953</v>
      </c>
      <c r="M79" s="1327">
        <v>52.589844199999959</v>
      </c>
      <c r="N79" s="1327">
        <v>53.604102299999965</v>
      </c>
    </row>
    <row r="80" spans="2:14" outlineLevel="1">
      <c r="B80" s="1421"/>
      <c r="C80" s="1013" t="s">
        <v>1495</v>
      </c>
      <c r="D80" s="1014">
        <v>399.37713623046898</v>
      </c>
      <c r="E80" s="1015">
        <v>348.97265599999997</v>
      </c>
      <c r="F80" s="1016">
        <v>393.59216300000003</v>
      </c>
      <c r="G80" s="1017">
        <v>418.66980000000001</v>
      </c>
      <c r="H80" s="1016">
        <v>455.24691799999999</v>
      </c>
      <c r="I80" s="1017">
        <v>423.25616500000001</v>
      </c>
      <c r="J80" s="1016">
        <v>357.36361699999998</v>
      </c>
      <c r="K80" s="1018">
        <v>320.08630399999998</v>
      </c>
      <c r="L80" s="1019">
        <v>368.81102901381132</v>
      </c>
      <c r="M80" s="1014">
        <v>364.19779214936761</v>
      </c>
      <c r="N80" s="1020">
        <v>359.58455528492368</v>
      </c>
    </row>
    <row r="81" spans="2:14" ht="26.45" outlineLevel="1">
      <c r="B81" s="1421"/>
      <c r="C81" s="1013" t="s">
        <v>1496</v>
      </c>
      <c r="D81" s="1014">
        <v>13.4798288345337</v>
      </c>
      <c r="E81" s="1015">
        <v>11.388933</v>
      </c>
      <c r="F81" s="1016">
        <v>10.540768</v>
      </c>
      <c r="G81" s="1017">
        <v>9.8903160000000003</v>
      </c>
      <c r="H81" s="1016">
        <v>8.9949030000000008</v>
      </c>
      <c r="I81" s="1017">
        <v>8.1584280000000007</v>
      </c>
      <c r="J81" s="1016">
        <v>7.1094220000000004</v>
      </c>
      <c r="K81" s="1018">
        <v>6.7279929999999997</v>
      </c>
      <c r="L81" s="1019">
        <v>7.1508839143140959</v>
      </c>
      <c r="M81" s="1014">
        <v>6.9252494980650257</v>
      </c>
      <c r="N81" s="1020">
        <v>6.7081536646668907</v>
      </c>
    </row>
    <row r="82" spans="2:14" outlineLevel="1">
      <c r="B82" s="1421"/>
      <c r="C82" s="1013" t="s">
        <v>1497</v>
      </c>
      <c r="D82" s="1014">
        <v>421.34290207463897</v>
      </c>
      <c r="E82" s="1015">
        <v>368.16614218980334</v>
      </c>
      <c r="F82" s="1015">
        <v>415.23973003598741</v>
      </c>
      <c r="G82" s="1015">
        <v>470.7454771943481</v>
      </c>
      <c r="H82" s="1015">
        <v>562.82743881135752</v>
      </c>
      <c r="I82" s="1015">
        <v>576.92780097526781</v>
      </c>
      <c r="J82" s="1015">
        <v>558.98580294639817</v>
      </c>
      <c r="K82" s="1021">
        <v>529.06163306209248</v>
      </c>
      <c r="L82" s="1019">
        <v>573.54683335905111</v>
      </c>
      <c r="M82" s="1014">
        <v>584.82590094610418</v>
      </c>
      <c r="N82" s="1020">
        <v>596.10496853315715</v>
      </c>
    </row>
    <row r="83" spans="2:14" outlineLevel="1">
      <c r="B83" s="1421"/>
      <c r="C83" s="1013" t="s">
        <v>1528</v>
      </c>
      <c r="D83" s="1014"/>
      <c r="E83" s="1015">
        <v>349.9593058418759</v>
      </c>
      <c r="F83" s="1015">
        <v>377.96992567442686</v>
      </c>
      <c r="G83" s="1015">
        <v>428.49375952368524</v>
      </c>
      <c r="H83" s="1015">
        <v>512.31091301552499</v>
      </c>
      <c r="I83" s="1015">
        <v>525.14569845046833</v>
      </c>
      <c r="J83" s="1015">
        <v>508.81408282969221</v>
      </c>
      <c r="K83" s="1015">
        <v>481.57575410315224</v>
      </c>
      <c r="L83" s="1019">
        <v>522.06818927643451</v>
      </c>
      <c r="M83" s="1014">
        <v>532.3349051737448</v>
      </c>
      <c r="N83" s="1020">
        <v>542.60162107105486</v>
      </c>
    </row>
    <row r="84" spans="2:14" outlineLevel="1">
      <c r="B84" s="1421"/>
      <c r="C84" s="1013" t="s">
        <v>1529</v>
      </c>
      <c r="D84" s="1014"/>
      <c r="E84" s="1015">
        <v>34.507811276151834</v>
      </c>
      <c r="F84" s="1015">
        <v>37.269804361560574</v>
      </c>
      <c r="G84" s="1015">
        <v>42.25171767066292</v>
      </c>
      <c r="H84" s="1015">
        <v>50.516525795832543</v>
      </c>
      <c r="I84" s="1015">
        <v>51.782102524799548</v>
      </c>
      <c r="J84" s="1015">
        <v>50.171720116705984</v>
      </c>
      <c r="K84" s="1015">
        <v>47.485878958940276</v>
      </c>
      <c r="L84" s="1019">
        <v>51.478644082616654</v>
      </c>
      <c r="M84" s="1014">
        <v>52.490995772359476</v>
      </c>
      <c r="N84" s="1020">
        <v>53.503347462102298</v>
      </c>
    </row>
    <row r="85" spans="2:14" outlineLevel="1">
      <c r="B85" s="1421"/>
      <c r="C85" s="1013" t="s">
        <v>1526</v>
      </c>
      <c r="D85" s="1014"/>
      <c r="E85" s="1015"/>
      <c r="F85" s="1015"/>
      <c r="G85" s="1023"/>
      <c r="H85" s="1015"/>
      <c r="I85" s="1023"/>
      <c r="J85" s="1015"/>
      <c r="K85" s="1020"/>
      <c r="L85" s="1019"/>
      <c r="M85" s="1014"/>
      <c r="N85" s="1020"/>
    </row>
    <row r="86" spans="2:14" outlineLevel="1">
      <c r="B86" s="1421"/>
      <c r="C86" s="1013" t="s">
        <v>1528</v>
      </c>
      <c r="D86" s="1014"/>
      <c r="E86" s="1015">
        <v>299.34610263401072</v>
      </c>
      <c r="F86" s="1015">
        <v>323.30565947181526</v>
      </c>
      <c r="G86" s="1015">
        <v>366.52243496667074</v>
      </c>
      <c r="H86" s="1015">
        <v>438.21745153809917</v>
      </c>
      <c r="I86" s="1015">
        <v>449.19599371131409</v>
      </c>
      <c r="J86" s="1015">
        <v>435.22635380122409</v>
      </c>
      <c r="K86" s="1015">
        <v>411.92739472099925</v>
      </c>
      <c r="L86" s="1019">
        <v>446.56357227919568</v>
      </c>
      <c r="M86" s="1014">
        <v>455.34545445637406</v>
      </c>
      <c r="N86" s="1020">
        <v>464.1273366335522</v>
      </c>
    </row>
    <row r="87" spans="2:14" outlineLevel="1">
      <c r="B87" s="1421"/>
      <c r="C87" s="1013" t="s">
        <v>1529</v>
      </c>
      <c r="D87" s="1014"/>
      <c r="E87" s="1015">
        <v>33.802148900292373</v>
      </c>
      <c r="F87" s="1015">
        <v>36.507661017170264</v>
      </c>
      <c r="G87" s="1015">
        <v>41.387697427912016</v>
      </c>
      <c r="H87" s="1015">
        <v>49.483495583398039</v>
      </c>
      <c r="I87" s="1015">
        <v>50.723192088486208</v>
      </c>
      <c r="J87" s="1015">
        <v>49.145740956938802</v>
      </c>
      <c r="K87" s="1015">
        <v>46.514823510138214</v>
      </c>
      <c r="L87" s="1019">
        <v>50.425939174772559</v>
      </c>
      <c r="M87" s="1014">
        <v>51.417588928571881</v>
      </c>
      <c r="N87" s="1020">
        <v>52.409238682371203</v>
      </c>
    </row>
    <row r="88" spans="2:14" outlineLevel="1">
      <c r="B88" s="1421"/>
      <c r="C88" s="1013" t="s">
        <v>1499</v>
      </c>
      <c r="D88" s="1014">
        <v>421.34287872314474</v>
      </c>
      <c r="E88" s="1015">
        <v>368.16615207999996</v>
      </c>
      <c r="F88" s="1015">
        <v>415.23973196500003</v>
      </c>
      <c r="G88" s="1023">
        <v>441.696639</v>
      </c>
      <c r="H88" s="1015">
        <v>480.28549848999995</v>
      </c>
      <c r="I88" s="1023">
        <v>446.53525407500001</v>
      </c>
      <c r="J88" s="1015">
        <v>377.01861593499996</v>
      </c>
      <c r="K88" s="1020">
        <v>337.69105071999996</v>
      </c>
      <c r="L88" s="1019">
        <v>389.09563560957093</v>
      </c>
      <c r="M88" s="1014">
        <v>384.22867071758282</v>
      </c>
      <c r="N88" s="1020">
        <v>379.36170582559447</v>
      </c>
    </row>
    <row r="89" spans="2:14" ht="13.9" outlineLevel="1" thickBot="1">
      <c r="B89" s="1422"/>
      <c r="C89" s="1030" t="s">
        <v>1500</v>
      </c>
      <c r="D89" s="1031">
        <v>0.99999994457840846</v>
      </c>
      <c r="E89" s="1032">
        <v>1.0000000268634062</v>
      </c>
      <c r="F89" s="1032">
        <v>1.0000000046455397</v>
      </c>
      <c r="G89" s="1033">
        <v>0.93829183794291615</v>
      </c>
      <c r="H89" s="1033">
        <v>0.85334414310773665</v>
      </c>
      <c r="I89" s="1033">
        <v>0.77398810270566665</v>
      </c>
      <c r="J89" s="1033">
        <v>0.6744690365081647</v>
      </c>
      <c r="K89" s="1034">
        <v>0.63828300828680085</v>
      </c>
      <c r="L89" s="1035">
        <v>0.67840255229164481</v>
      </c>
      <c r="M89" s="1033">
        <v>0.65699667216516144</v>
      </c>
      <c r="N89" s="1034">
        <v>0.63640084523887541</v>
      </c>
    </row>
    <row r="90" spans="2:14" ht="15" customHeight="1" outlineLevel="1">
      <c r="B90" s="1447" t="s">
        <v>1530</v>
      </c>
      <c r="C90" s="1036" t="s">
        <v>1494</v>
      </c>
      <c r="D90" s="1037">
        <v>2058.6334915161128</v>
      </c>
      <c r="E90" s="1038">
        <v>1817.4983669999999</v>
      </c>
      <c r="F90" s="1038">
        <v>2331.5900649999999</v>
      </c>
      <c r="G90" s="1038">
        <v>2715.4532160000003</v>
      </c>
      <c r="H90" s="1038">
        <v>3145.8756720000001</v>
      </c>
      <c r="I90" s="1038">
        <v>3593.4124139999999</v>
      </c>
      <c r="J90" s="1038">
        <v>3996.5087359999998</v>
      </c>
      <c r="K90" s="1039">
        <v>4381.5793830000002</v>
      </c>
      <c r="L90" s="1040">
        <v>4685.6883424424159</v>
      </c>
      <c r="M90" s="1041">
        <v>5059.1593256375054</v>
      </c>
      <c r="N90" s="1042">
        <v>5432.6303088325949</v>
      </c>
    </row>
    <row r="91" spans="2:14" outlineLevel="1">
      <c r="B91" s="1448"/>
      <c r="C91" s="1043" t="s">
        <v>1495</v>
      </c>
      <c r="D91" s="1044">
        <v>1947.2432403564449</v>
      </c>
      <c r="E91" s="1045">
        <v>1823.8076159999998</v>
      </c>
      <c r="F91" s="1045">
        <v>2186.4813680000002</v>
      </c>
      <c r="G91" s="1045">
        <v>2327.7836620000003</v>
      </c>
      <c r="H91" s="1045">
        <v>2480.0323250000001</v>
      </c>
      <c r="I91" s="1045">
        <v>2587.0031430000004</v>
      </c>
      <c r="J91" s="1045">
        <v>2652.3962239999996</v>
      </c>
      <c r="K91" s="1046">
        <v>2717.192352</v>
      </c>
      <c r="L91" s="1047">
        <v>2923.4425346608914</v>
      </c>
      <c r="M91" s="1048">
        <v>3053.0425442978521</v>
      </c>
      <c r="N91" s="1049">
        <v>3182.6425539348129</v>
      </c>
    </row>
    <row r="92" spans="2:14" outlineLevel="1">
      <c r="B92" s="1448"/>
      <c r="C92" s="1050" t="s">
        <v>1499</v>
      </c>
      <c r="D92" s="1044">
        <v>2054.3416185760493</v>
      </c>
      <c r="E92" s="1045">
        <v>1924.1170348799997</v>
      </c>
      <c r="F92" s="1045">
        <v>2306.7378432400001</v>
      </c>
      <c r="G92" s="1045">
        <v>2455.8117634100004</v>
      </c>
      <c r="H92" s="1045">
        <v>2616.434102875</v>
      </c>
      <c r="I92" s="1045">
        <v>2729.2883158650002</v>
      </c>
      <c r="J92" s="1045">
        <v>2798.2780163199996</v>
      </c>
      <c r="K92" s="1046">
        <v>2866.63793136</v>
      </c>
      <c r="L92" s="1051">
        <v>3084.2318740672404</v>
      </c>
      <c r="M92" s="1045">
        <v>3220.9598842342334</v>
      </c>
      <c r="N92" s="1052">
        <v>3357.6878944012274</v>
      </c>
    </row>
    <row r="93" spans="2:14" ht="26.45" outlineLevel="1">
      <c r="B93" s="1448"/>
      <c r="C93" s="1043" t="s">
        <v>1496</v>
      </c>
      <c r="D93" s="1044">
        <v>0.94589116925440042</v>
      </c>
      <c r="E93" s="1045">
        <v>1.0034713918397704</v>
      </c>
      <c r="F93" s="1045">
        <v>0.9377640610250243</v>
      </c>
      <c r="G93" s="1045">
        <v>0.85723578233063547</v>
      </c>
      <c r="H93" s="1045">
        <v>0.78834403631193473</v>
      </c>
      <c r="I93" s="1045">
        <v>0.71992937212577912</v>
      </c>
      <c r="J93" s="1045">
        <v>0.66367832506096636</v>
      </c>
      <c r="K93" s="1046">
        <v>0.62013993459581696</v>
      </c>
      <c r="L93" s="1051">
        <v>0.62390887336246659</v>
      </c>
      <c r="M93" s="1045">
        <v>0.60346835270168875</v>
      </c>
      <c r="N93" s="1052">
        <v>0.58583823544192604</v>
      </c>
    </row>
    <row r="94" spans="2:14" outlineLevel="1">
      <c r="B94" s="1448"/>
      <c r="C94" s="1043" t="s">
        <v>1512</v>
      </c>
      <c r="D94" s="1044">
        <v>2054.3416185760493</v>
      </c>
      <c r="E94" s="1045">
        <v>1924.1170348799997</v>
      </c>
      <c r="F94" s="1045">
        <v>2306.7378432400001</v>
      </c>
      <c r="G94" s="1045">
        <v>2686.5094293044021</v>
      </c>
      <c r="H94" s="1045">
        <v>3112.3440486655472</v>
      </c>
      <c r="I94" s="1045">
        <v>3555.110534296346</v>
      </c>
      <c r="J94" s="1045">
        <v>3953.9102866139801</v>
      </c>
      <c r="K94" s="1046">
        <v>4334.8764980804081</v>
      </c>
      <c r="L94" s="1053">
        <v>4635.7439857852678</v>
      </c>
      <c r="M94" s="1045">
        <v>5005.2341732844852</v>
      </c>
      <c r="N94" s="1046">
        <v>5374.7243607837027</v>
      </c>
    </row>
    <row r="95" spans="2:14" outlineLevel="1">
      <c r="B95" s="1449"/>
      <c r="C95" s="1054" t="s">
        <v>1500</v>
      </c>
      <c r="D95" s="1055">
        <v>1</v>
      </c>
      <c r="E95" s="1056">
        <v>1</v>
      </c>
      <c r="F95" s="1057">
        <v>1</v>
      </c>
      <c r="G95" s="1058">
        <v>0.91412735671873868</v>
      </c>
      <c r="H95" s="1059">
        <v>0.84066351983060028</v>
      </c>
      <c r="I95" s="1058">
        <v>0.76770842693508579</v>
      </c>
      <c r="J95" s="1058">
        <v>0.70772420552727511</v>
      </c>
      <c r="K95" s="1060">
        <v>0.661296332808886</v>
      </c>
      <c r="L95" s="1061">
        <v>0.66531540212844387</v>
      </c>
      <c r="M95" s="1058">
        <v>0.64351831956757521</v>
      </c>
      <c r="N95" s="1060">
        <v>0.62471815650684537</v>
      </c>
    </row>
    <row r="96" spans="2:14" outlineLevel="1">
      <c r="B96" s="1450" t="s">
        <v>1531</v>
      </c>
      <c r="C96" s="1043" t="s">
        <v>1495</v>
      </c>
      <c r="D96" s="1044">
        <v>362.50369262695301</v>
      </c>
      <c r="E96" s="1045">
        <v>345.82843000000003</v>
      </c>
      <c r="F96" s="1062">
        <v>366.052032</v>
      </c>
      <c r="G96" s="1063">
        <v>390.47351099999997</v>
      </c>
      <c r="H96" s="1062">
        <v>406.86325099999999</v>
      </c>
      <c r="I96" s="1063">
        <v>403.86682100000002</v>
      </c>
      <c r="J96" s="1062">
        <v>397.68994099999998</v>
      </c>
      <c r="K96" s="1064">
        <v>393.68231200000002</v>
      </c>
      <c r="L96" s="1063"/>
      <c r="M96" s="1063"/>
      <c r="N96" s="1063"/>
    </row>
    <row r="97" spans="2:14" outlineLevel="1">
      <c r="B97" s="1451"/>
      <c r="C97" s="1065" t="s">
        <v>1494</v>
      </c>
      <c r="D97" s="1066">
        <v>252.17987060546901</v>
      </c>
      <c r="E97" s="1058">
        <v>250.150497</v>
      </c>
      <c r="F97" s="1067">
        <v>303.98458900000003</v>
      </c>
      <c r="G97" s="1068">
        <v>352.73410000000001</v>
      </c>
      <c r="H97" s="1067">
        <v>392.77136200000001</v>
      </c>
      <c r="I97" s="1068">
        <v>417.94552599999997</v>
      </c>
      <c r="J97" s="1067">
        <v>440.20840500000003</v>
      </c>
      <c r="K97" s="1069">
        <v>465.58431999999999</v>
      </c>
      <c r="L97" s="1063"/>
      <c r="M97" s="1063"/>
      <c r="N97" s="1063"/>
    </row>
    <row r="98" spans="2:14" outlineLevel="1">
      <c r="B98" s="1450" t="s">
        <v>1532</v>
      </c>
      <c r="C98" s="1043" t="s">
        <v>1495</v>
      </c>
      <c r="D98" s="1044">
        <v>166.083251953125</v>
      </c>
      <c r="E98" s="1045">
        <v>184.772186</v>
      </c>
      <c r="F98" s="1062">
        <v>201.61064099999999</v>
      </c>
      <c r="G98" s="1063">
        <v>218.24438499999999</v>
      </c>
      <c r="H98" s="1062">
        <v>234.23178100000001</v>
      </c>
      <c r="I98" s="1063">
        <v>242.380493</v>
      </c>
      <c r="J98" s="1062">
        <v>242.12423699999999</v>
      </c>
      <c r="K98" s="1064">
        <v>241.86308299999999</v>
      </c>
      <c r="L98" s="1063"/>
      <c r="M98" s="1063"/>
      <c r="N98" s="1063"/>
    </row>
    <row r="99" spans="2:14" outlineLevel="1">
      <c r="B99" s="1451"/>
      <c r="C99" s="1065" t="s">
        <v>1494</v>
      </c>
      <c r="D99" s="1066">
        <v>283.05764770507801</v>
      </c>
      <c r="E99" s="1058">
        <v>277.55310100000003</v>
      </c>
      <c r="F99" s="1067">
        <v>371.25707999999997</v>
      </c>
      <c r="G99" s="1068">
        <v>440.45327800000001</v>
      </c>
      <c r="H99" s="1067">
        <v>509.79702800000001</v>
      </c>
      <c r="I99" s="1068">
        <v>575.05071999999996</v>
      </c>
      <c r="J99" s="1067">
        <v>624.93353300000001</v>
      </c>
      <c r="K99" s="1069">
        <v>675.849243</v>
      </c>
      <c r="L99" s="1063"/>
      <c r="M99" s="1063"/>
      <c r="N99" s="1063"/>
    </row>
    <row r="100" spans="2:14" outlineLevel="1">
      <c r="B100" s="1450" t="s">
        <v>1533</v>
      </c>
      <c r="C100" s="1043" t="s">
        <v>1495</v>
      </c>
      <c r="D100" s="1044">
        <v>187.23100280761699</v>
      </c>
      <c r="E100" s="1045">
        <v>248.224411</v>
      </c>
      <c r="F100" s="1062">
        <v>424.75839200000001</v>
      </c>
      <c r="G100" s="1063">
        <v>477.09768700000001</v>
      </c>
      <c r="H100" s="1062">
        <v>551.25500499999998</v>
      </c>
      <c r="I100" s="1063">
        <v>604.03265399999998</v>
      </c>
      <c r="J100" s="1062">
        <v>643.38226299999997</v>
      </c>
      <c r="K100" s="1064">
        <v>674.29077099999995</v>
      </c>
      <c r="L100" s="1063"/>
      <c r="M100" s="1063"/>
      <c r="N100" s="1063"/>
    </row>
    <row r="101" spans="2:14" outlineLevel="1">
      <c r="B101" s="1451"/>
      <c r="C101" s="1065" t="s">
        <v>1494</v>
      </c>
      <c r="D101" s="1066">
        <v>469.36602783203102</v>
      </c>
      <c r="E101" s="1058">
        <v>392.44439699999998</v>
      </c>
      <c r="F101" s="1067">
        <v>430.71792599999998</v>
      </c>
      <c r="G101" s="1068">
        <v>531.39410399999997</v>
      </c>
      <c r="H101" s="1067">
        <v>675.59582499999999</v>
      </c>
      <c r="I101" s="1068">
        <v>803.88091999999995</v>
      </c>
      <c r="J101" s="1067">
        <v>905.67785600000002</v>
      </c>
      <c r="K101" s="1069">
        <v>996.58892800000001</v>
      </c>
      <c r="L101" s="1063"/>
      <c r="M101" s="1063"/>
      <c r="N101" s="1063"/>
    </row>
    <row r="102" spans="2:14" outlineLevel="1">
      <c r="B102" s="1452" t="s">
        <v>1534</v>
      </c>
      <c r="C102" s="1043" t="s">
        <v>1495</v>
      </c>
      <c r="D102" s="1044">
        <v>371.39065551757801</v>
      </c>
      <c r="E102" s="1045">
        <v>401.58279399999998</v>
      </c>
      <c r="F102" s="1062">
        <v>408.58367900000002</v>
      </c>
      <c r="G102" s="1063">
        <v>423.03311200000002</v>
      </c>
      <c r="H102" s="1062">
        <v>444.08392300000003</v>
      </c>
      <c r="I102" s="1063">
        <v>487.12670900000001</v>
      </c>
      <c r="J102" s="1062">
        <v>526.58593800000006</v>
      </c>
      <c r="K102" s="1064">
        <v>558.13171399999999</v>
      </c>
      <c r="L102" s="1063"/>
      <c r="M102" s="1063"/>
      <c r="N102" s="1063"/>
    </row>
    <row r="103" spans="2:14" ht="15" customHeight="1" outlineLevel="1">
      <c r="B103" s="1453"/>
      <c r="C103" s="1065" t="s">
        <v>1494</v>
      </c>
      <c r="D103" s="1066">
        <v>667.53698730468795</v>
      </c>
      <c r="E103" s="1058">
        <v>567.39312700000005</v>
      </c>
      <c r="F103" s="1067">
        <v>825.16870100000006</v>
      </c>
      <c r="G103" s="1068">
        <v>936.00408900000002</v>
      </c>
      <c r="H103" s="1067">
        <v>1062.717529</v>
      </c>
      <c r="I103" s="1068">
        <v>1249.034058</v>
      </c>
      <c r="J103" s="1067">
        <v>1444.6400149999999</v>
      </c>
      <c r="K103" s="1069">
        <v>1623.9754640000001</v>
      </c>
      <c r="L103" s="1063"/>
      <c r="M103" s="1063"/>
      <c r="N103" s="1063"/>
    </row>
    <row r="104" spans="2:14" outlineLevel="1">
      <c r="B104" s="1450" t="s">
        <v>1535</v>
      </c>
      <c r="C104" s="1043" t="s">
        <v>1495</v>
      </c>
      <c r="D104" s="1044">
        <v>160.496337890625</v>
      </c>
      <c r="E104" s="1045">
        <v>61.187027</v>
      </c>
      <c r="F104" s="1062">
        <v>73.115844999999993</v>
      </c>
      <c r="G104" s="1063">
        <v>79.187531000000007</v>
      </c>
      <c r="H104" s="1062">
        <v>85.736427000000006</v>
      </c>
      <c r="I104" s="1063">
        <v>91.260650999999996</v>
      </c>
      <c r="J104" s="1062">
        <v>94.491409000000004</v>
      </c>
      <c r="K104" s="1064">
        <v>97.561477999999994</v>
      </c>
      <c r="L104" s="1063"/>
      <c r="M104" s="1063"/>
      <c r="N104" s="1063"/>
    </row>
    <row r="105" spans="2:14" outlineLevel="1">
      <c r="B105" s="1451"/>
      <c r="C105" s="1065" t="s">
        <v>1494</v>
      </c>
      <c r="D105" s="1066">
        <v>108.95285797119099</v>
      </c>
      <c r="E105" s="1058">
        <v>96.543998999999999</v>
      </c>
      <c r="F105" s="1067">
        <v>110.68879699999999</v>
      </c>
      <c r="G105" s="1068">
        <v>132.197418</v>
      </c>
      <c r="H105" s="1067">
        <v>153.738846</v>
      </c>
      <c r="I105" s="1068">
        <v>176.666901</v>
      </c>
      <c r="J105" s="1067">
        <v>195.765457</v>
      </c>
      <c r="K105" s="1069">
        <v>214.34994499999999</v>
      </c>
      <c r="L105" s="1063"/>
      <c r="M105" s="1063"/>
      <c r="N105" s="1063"/>
    </row>
    <row r="106" spans="2:14" outlineLevel="1">
      <c r="B106" s="1450" t="s">
        <v>1536</v>
      </c>
      <c r="C106" s="1043" t="s">
        <v>1495</v>
      </c>
      <c r="D106" s="1044">
        <v>378.90032958984398</v>
      </c>
      <c r="E106" s="1045">
        <v>285.346069</v>
      </c>
      <c r="F106" s="1062">
        <v>391.90893599999998</v>
      </c>
      <c r="G106" s="1063">
        <v>398.69873000000001</v>
      </c>
      <c r="H106" s="1062">
        <v>403.27648900000003</v>
      </c>
      <c r="I106" s="1063">
        <v>399.87005599999998</v>
      </c>
      <c r="J106" s="1062">
        <v>392.08367900000002</v>
      </c>
      <c r="K106" s="1064">
        <v>392.99606299999999</v>
      </c>
      <c r="L106" s="1063"/>
      <c r="M106" s="1063"/>
      <c r="N106" s="1063"/>
    </row>
    <row r="107" spans="2:14" outlineLevel="1">
      <c r="B107" s="1451"/>
      <c r="C107" s="1065" t="s">
        <v>1494</v>
      </c>
      <c r="D107" s="1066">
        <v>101.849853515625</v>
      </c>
      <c r="E107" s="1058">
        <v>73.266823000000002</v>
      </c>
      <c r="F107" s="1067">
        <v>105.95459700000001</v>
      </c>
      <c r="G107" s="1068">
        <v>107.04119900000001</v>
      </c>
      <c r="H107" s="1067">
        <v>108.61082500000001</v>
      </c>
      <c r="I107" s="1068">
        <v>107.075653</v>
      </c>
      <c r="J107" s="1067">
        <v>104.598778</v>
      </c>
      <c r="K107" s="1069">
        <v>105.14362300000001</v>
      </c>
      <c r="L107" s="1063"/>
      <c r="M107" s="1063"/>
      <c r="N107" s="1063"/>
    </row>
    <row r="108" spans="2:14" outlineLevel="1">
      <c r="B108" s="1454" t="s">
        <v>1537</v>
      </c>
      <c r="C108" s="1043" t="s">
        <v>1495</v>
      </c>
      <c r="D108" s="1044">
        <v>320.63796997070301</v>
      </c>
      <c r="E108" s="1045">
        <v>296.86669899999998</v>
      </c>
      <c r="F108" s="1062">
        <v>320.451843</v>
      </c>
      <c r="G108" s="1063">
        <v>341.04870599999998</v>
      </c>
      <c r="H108" s="1062">
        <v>354.58544899999998</v>
      </c>
      <c r="I108" s="1063">
        <v>358.46575899999999</v>
      </c>
      <c r="J108" s="1062">
        <v>356.03875699999998</v>
      </c>
      <c r="K108" s="1064">
        <v>358.66693099999998</v>
      </c>
      <c r="L108" s="1063"/>
      <c r="M108" s="1063"/>
      <c r="N108" s="1063"/>
    </row>
    <row r="109" spans="2:14" ht="13.9" outlineLevel="1" thickBot="1">
      <c r="B109" s="1454"/>
      <c r="C109" s="1043" t="s">
        <v>1494</v>
      </c>
      <c r="D109" s="1044">
        <v>175.69024658203099</v>
      </c>
      <c r="E109" s="1045">
        <v>160.146423</v>
      </c>
      <c r="F109" s="1062">
        <v>183.818375</v>
      </c>
      <c r="G109" s="1063">
        <v>215.62902800000001</v>
      </c>
      <c r="H109" s="1062">
        <v>242.64425700000001</v>
      </c>
      <c r="I109" s="1063">
        <v>263.75863600000002</v>
      </c>
      <c r="J109" s="1062">
        <v>280.68469199999998</v>
      </c>
      <c r="K109" s="1064">
        <v>300.08785999999998</v>
      </c>
      <c r="L109" s="1063"/>
      <c r="M109" s="1063"/>
      <c r="N109" s="1063"/>
    </row>
    <row r="110" spans="2:14" ht="15" customHeight="1" outlineLevel="1">
      <c r="B110" s="1455" t="s">
        <v>1538</v>
      </c>
      <c r="C110" s="1070" t="s">
        <v>1495</v>
      </c>
      <c r="D110" s="1071">
        <v>1732.84240722656</v>
      </c>
      <c r="E110" s="1072">
        <v>1377.3460689999999</v>
      </c>
      <c r="F110" s="1073">
        <v>1684.709717</v>
      </c>
      <c r="G110" s="1074">
        <v>1766.26001</v>
      </c>
      <c r="H110" s="1073">
        <v>1851.8945309999999</v>
      </c>
      <c r="I110" s="1074">
        <v>1919.6525879999999</v>
      </c>
      <c r="J110" s="1074">
        <v>2003.9228519999999</v>
      </c>
      <c r="K110" s="1075">
        <v>2136.7849120000001</v>
      </c>
      <c r="L110" s="1071">
        <v>2170.8343812647909</v>
      </c>
      <c r="M110" s="1072">
        <v>2251.2027691506701</v>
      </c>
      <c r="N110" s="1076">
        <v>2331.5711570365493</v>
      </c>
    </row>
    <row r="111" spans="2:14" ht="15" customHeight="1" outlineLevel="1">
      <c r="B111" s="1456"/>
      <c r="C111" s="1077" t="s">
        <v>1494</v>
      </c>
      <c r="D111" s="1078">
        <v>941.87103271484398</v>
      </c>
      <c r="E111" s="1079">
        <v>847.70404099999996</v>
      </c>
      <c r="F111" s="1080">
        <v>941.370544</v>
      </c>
      <c r="G111" s="1081">
        <v>1087.7867429999999</v>
      </c>
      <c r="H111" s="1080">
        <v>1239.650879</v>
      </c>
      <c r="I111" s="1081">
        <v>1383.77124</v>
      </c>
      <c r="J111" s="1081">
        <v>1550.3709719999999</v>
      </c>
      <c r="K111" s="1082">
        <v>1758.1232910000001</v>
      </c>
      <c r="L111" s="1078">
        <v>1792.3757367855724</v>
      </c>
      <c r="M111" s="1079">
        <v>1919.8301021069492</v>
      </c>
      <c r="N111" s="1083">
        <v>2047.2844674283333</v>
      </c>
    </row>
    <row r="112" spans="2:14" ht="26.45" outlineLevel="1">
      <c r="B112" s="1456"/>
      <c r="C112" s="1077" t="s">
        <v>1496</v>
      </c>
      <c r="D112" s="1078">
        <v>1.8397873456537084</v>
      </c>
      <c r="E112" s="1079">
        <v>1.6247959221418882</v>
      </c>
      <c r="F112" s="1080">
        <v>1.7896350000000001</v>
      </c>
      <c r="G112" s="1081">
        <v>1.6237189999999999</v>
      </c>
      <c r="H112" s="1080">
        <v>1.493884</v>
      </c>
      <c r="I112" s="1081">
        <v>1.387262</v>
      </c>
      <c r="J112" s="1081">
        <v>1.2925439999999999</v>
      </c>
      <c r="K112" s="1082">
        <v>1.2153780000000001</v>
      </c>
      <c r="L112" s="1078">
        <v>1.2111491673938537</v>
      </c>
      <c r="M112" s="1079">
        <v>1.1726052043251383</v>
      </c>
      <c r="N112" s="1083">
        <v>1.1388603753562976</v>
      </c>
    </row>
    <row r="113" spans="2:14" ht="15" customHeight="1" outlineLevel="1">
      <c r="B113" s="1456"/>
      <c r="C113" s="1077" t="s">
        <v>1512</v>
      </c>
      <c r="D113" s="1078">
        <v>1828.1487396240207</v>
      </c>
      <c r="E113" s="1079">
        <v>1453.1001027949999</v>
      </c>
      <c r="F113" s="1084">
        <v>1777.3687055545693</v>
      </c>
      <c r="G113" s="1079">
        <v>2053.8119953382893</v>
      </c>
      <c r="H113" s="1084">
        <v>2340.5413438853188</v>
      </c>
      <c r="I113" s="1079">
        <v>2612.6499424677568</v>
      </c>
      <c r="J113" s="1079">
        <v>2927.2010529713566</v>
      </c>
      <c r="K113" s="1083">
        <v>3319.4509195626688</v>
      </c>
      <c r="L113" s="1078">
        <v>3632.0809831242191</v>
      </c>
      <c r="M113" s="1079">
        <v>3890.3552762867362</v>
      </c>
      <c r="N113" s="1083">
        <v>4148.6295694492683</v>
      </c>
    </row>
    <row r="114" spans="2:14" ht="15" customHeight="1" outlineLevel="1">
      <c r="B114" s="1456"/>
      <c r="C114" s="1077" t="s">
        <v>1539</v>
      </c>
      <c r="D114" s="1085"/>
      <c r="E114" s="1079">
        <v>135.79244101523079</v>
      </c>
      <c r="F114" s="1084">
        <v>163.47471872068027</v>
      </c>
      <c r="G114" s="1079">
        <v>188.90078192207585</v>
      </c>
      <c r="H114" s="1084">
        <v>215.27291250826414</v>
      </c>
      <c r="I114" s="1079">
        <v>240.30028948172284</v>
      </c>
      <c r="J114" s="1079">
        <v>269.23134590921256</v>
      </c>
      <c r="K114" s="1083">
        <v>305.30879928669378</v>
      </c>
      <c r="L114" s="1078">
        <v>334.06316609006706</v>
      </c>
      <c r="M114" s="1079">
        <v>357.81812323293587</v>
      </c>
      <c r="N114" s="1083">
        <v>381.57308037580606</v>
      </c>
    </row>
    <row r="115" spans="2:14" outlineLevel="1">
      <c r="B115" s="1456"/>
      <c r="C115" s="1077" t="s">
        <v>1540</v>
      </c>
      <c r="D115" s="1085"/>
      <c r="E115" s="1079">
        <v>349.37885748038462</v>
      </c>
      <c r="F115" s="1084">
        <v>420.60228114724299</v>
      </c>
      <c r="G115" s="1079">
        <v>486.02071567211664</v>
      </c>
      <c r="H115" s="1084">
        <v>553.87327642321554</v>
      </c>
      <c r="I115" s="1079">
        <v>618.26593559735284</v>
      </c>
      <c r="J115" s="1079">
        <v>692.70232811498317</v>
      </c>
      <c r="K115" s="1083">
        <v>785.52560566702653</v>
      </c>
      <c r="L115" s="1078">
        <v>859.50739542075553</v>
      </c>
      <c r="M115" s="1079">
        <v>920.62625979951804</v>
      </c>
      <c r="N115" s="1083">
        <v>981.74512417828419</v>
      </c>
    </row>
    <row r="116" spans="2:14" outlineLevel="1">
      <c r="B116" s="1456"/>
      <c r="C116" s="1077" t="s">
        <v>1541</v>
      </c>
      <c r="D116" s="1085"/>
      <c r="E116" s="1079">
        <v>48.39578418273554</v>
      </c>
      <c r="F116" s="1084">
        <v>58.261617122355645</v>
      </c>
      <c r="G116" s="1079">
        <v>67.323345876265563</v>
      </c>
      <c r="H116" s="1084">
        <v>76.722248574722357</v>
      </c>
      <c r="I116" s="1079">
        <v>85.641887441304192</v>
      </c>
      <c r="J116" s="1079">
        <v>95.952779215363194</v>
      </c>
      <c r="K116" s="1083">
        <v>108.81061308642123</v>
      </c>
      <c r="L116" s="1078">
        <v>119.05853351353237</v>
      </c>
      <c r="M116" s="1079">
        <v>127.52468796632303</v>
      </c>
      <c r="N116" s="1083">
        <v>135.99084241911419</v>
      </c>
    </row>
    <row r="117" spans="2:14" outlineLevel="1">
      <c r="B117" s="1456"/>
      <c r="C117" s="1077" t="s">
        <v>1542</v>
      </c>
      <c r="D117" s="1085"/>
      <c r="E117" s="1079">
        <v>206.58023284303144</v>
      </c>
      <c r="F117" s="1084">
        <v>248.69311726622107</v>
      </c>
      <c r="G117" s="1079">
        <v>287.3736359840251</v>
      </c>
      <c r="H117" s="1084">
        <v>327.49340138724477</v>
      </c>
      <c r="I117" s="1079">
        <v>365.56740111781539</v>
      </c>
      <c r="J117" s="1079">
        <v>409.58004518329295</v>
      </c>
      <c r="K117" s="1083">
        <v>464.46446042307605</v>
      </c>
      <c r="L117" s="1078">
        <v>508.20830761430909</v>
      </c>
      <c r="M117" s="1079">
        <v>544.34658262476898</v>
      </c>
      <c r="N117" s="1083">
        <v>580.48485763523104</v>
      </c>
    </row>
    <row r="118" spans="2:14" outlineLevel="1">
      <c r="B118" s="1456"/>
      <c r="C118" s="1077" t="s">
        <v>1543</v>
      </c>
      <c r="D118" s="1085"/>
      <c r="E118" s="1079">
        <v>257.2150009731929</v>
      </c>
      <c r="F118" s="1084">
        <v>309.65015151407425</v>
      </c>
      <c r="G118" s="1079">
        <v>357.81163106475037</v>
      </c>
      <c r="H118" s="1084">
        <v>407.76513027042972</v>
      </c>
      <c r="I118" s="1079">
        <v>455.17142729592183</v>
      </c>
      <c r="J118" s="1079">
        <v>509.97198652821083</v>
      </c>
      <c r="K118" s="1083">
        <v>578.30909083402651</v>
      </c>
      <c r="L118" s="1078">
        <v>632.77496853692196</v>
      </c>
      <c r="M118" s="1079">
        <v>677.77107641258658</v>
      </c>
      <c r="N118" s="1083">
        <v>722.76718428825393</v>
      </c>
    </row>
    <row r="119" spans="2:14" outlineLevel="1">
      <c r="B119" s="1456"/>
      <c r="C119" s="1077" t="s">
        <v>1544</v>
      </c>
      <c r="D119" s="1085"/>
      <c r="E119" s="1079">
        <v>479.0325474948969</v>
      </c>
      <c r="F119" s="1084">
        <v>576.68681978399502</v>
      </c>
      <c r="G119" s="1079">
        <v>666.38188481905581</v>
      </c>
      <c r="H119" s="1084">
        <v>759.4143747214423</v>
      </c>
      <c r="I119" s="1079">
        <v>847.70300153363974</v>
      </c>
      <c r="J119" s="1079">
        <v>949.76256802029388</v>
      </c>
      <c r="K119" s="1083">
        <v>1077.0323502654248</v>
      </c>
      <c r="L119" s="1078">
        <v>1178.4686119486332</v>
      </c>
      <c r="M119" s="1079">
        <v>1262.2685462506035</v>
      </c>
      <c r="N119" s="1083">
        <v>1346.0684805525789</v>
      </c>
    </row>
    <row r="120" spans="2:14" outlineLevel="1">
      <c r="B120" s="1456"/>
      <c r="C120" s="1077" t="s">
        <v>1497</v>
      </c>
      <c r="D120" s="1085"/>
      <c r="E120" s="1079"/>
      <c r="F120" s="1084"/>
      <c r="G120" s="1079"/>
      <c r="H120" s="1084"/>
      <c r="I120" s="1079"/>
      <c r="J120" s="1079"/>
      <c r="K120" s="1083"/>
      <c r="L120" s="1078"/>
      <c r="M120" s="1079"/>
      <c r="N120" s="1083"/>
    </row>
    <row r="121" spans="2:14" outlineLevel="1">
      <c r="B121" s="1456"/>
      <c r="C121" s="1077" t="s">
        <v>1518</v>
      </c>
      <c r="D121" s="1078"/>
      <c r="E121" s="1079">
        <v>316.07055126497818</v>
      </c>
      <c r="F121" s="1084">
        <v>290.87092586823616</v>
      </c>
      <c r="G121" s="1079">
        <v>325.23128131131409</v>
      </c>
      <c r="H121" s="1084">
        <v>357.89103757337864</v>
      </c>
      <c r="I121" s="1079">
        <v>387.37980906640007</v>
      </c>
      <c r="J121" s="1079">
        <v>410.65608208856651</v>
      </c>
      <c r="K121" s="1083">
        <v>437.13746104479617</v>
      </c>
      <c r="L121" s="1078">
        <v>466.86081674739745</v>
      </c>
      <c r="M121" s="1079">
        <v>492.95267334317811</v>
      </c>
      <c r="N121" s="1083">
        <v>519.04452993895939</v>
      </c>
    </row>
    <row r="122" spans="2:14" outlineLevel="1">
      <c r="B122" s="1456"/>
      <c r="C122" s="1086" t="s">
        <v>1545</v>
      </c>
      <c r="D122" s="1078"/>
      <c r="E122" s="1079">
        <v>295.36942628230452</v>
      </c>
      <c r="F122" s="1084">
        <v>357.36295832593908</v>
      </c>
      <c r="G122" s="1079">
        <v>416.07945754796106</v>
      </c>
      <c r="H122" s="1084">
        <v>463.72928061734535</v>
      </c>
      <c r="I122" s="1079">
        <v>513.76083192318322</v>
      </c>
      <c r="J122" s="1079">
        <v>567.70278691153817</v>
      </c>
      <c r="K122" s="1083">
        <v>633.84707153274121</v>
      </c>
      <c r="L122" s="1078">
        <v>687.890022358544</v>
      </c>
      <c r="M122" s="1079">
        <v>735.12531567565168</v>
      </c>
      <c r="N122" s="1083">
        <v>782.36060899276151</v>
      </c>
    </row>
    <row r="123" spans="2:14" outlineLevel="1">
      <c r="B123" s="1456"/>
      <c r="C123" s="1086" t="s">
        <v>1546</v>
      </c>
      <c r="D123" s="1078"/>
      <c r="E123" s="1079">
        <v>335.44197320222935</v>
      </c>
      <c r="F123" s="1084">
        <v>401.64588571737153</v>
      </c>
      <c r="G123" s="1079">
        <v>460.71805117564014</v>
      </c>
      <c r="H123" s="1084">
        <v>523.07099876814141</v>
      </c>
      <c r="I123" s="1079">
        <v>570.52165926239945</v>
      </c>
      <c r="J123" s="1079">
        <v>621.31507429271664</v>
      </c>
      <c r="K123" s="1083">
        <v>682.11317164978834</v>
      </c>
      <c r="L123" s="1078">
        <v>741.86666857095281</v>
      </c>
      <c r="M123" s="1079">
        <v>786.64603051427116</v>
      </c>
      <c r="N123" s="1083">
        <v>831.42539245759235</v>
      </c>
    </row>
    <row r="124" spans="2:14" outlineLevel="1">
      <c r="B124" s="1456"/>
      <c r="C124" s="1086" t="s">
        <v>909</v>
      </c>
      <c r="D124" s="1078"/>
      <c r="E124" s="1079">
        <v>2403.1495823748965</v>
      </c>
      <c r="F124" s="1084">
        <v>2470.2125619606804</v>
      </c>
      <c r="G124" s="1079">
        <v>2875.4102112264782</v>
      </c>
      <c r="H124" s="1084">
        <v>3327.6169611738114</v>
      </c>
      <c r="I124" s="1079">
        <v>3795.4108237780688</v>
      </c>
      <c r="J124" s="1079">
        <v>4223.141632523193</v>
      </c>
      <c r="K124" s="1083">
        <v>4640.1852973671021</v>
      </c>
      <c r="L124" s="1078">
        <v>4969.807151875335</v>
      </c>
      <c r="M124" s="1079">
        <v>5363.0522965174214</v>
      </c>
      <c r="N124" s="1083">
        <v>5756.2974411595087</v>
      </c>
    </row>
    <row r="125" spans="2:14" outlineLevel="1">
      <c r="B125" s="1456"/>
      <c r="C125" s="1077" t="s">
        <v>1498</v>
      </c>
      <c r="D125" s="1078"/>
      <c r="E125" s="1079"/>
      <c r="F125" s="1084"/>
      <c r="G125" s="1079"/>
      <c r="H125" s="1084"/>
      <c r="I125" s="1079"/>
      <c r="J125" s="1079"/>
      <c r="K125" s="1083"/>
      <c r="L125" s="1078"/>
      <c r="M125" s="1079"/>
      <c r="N125" s="1083"/>
    </row>
    <row r="126" spans="2:14" outlineLevel="1">
      <c r="B126" s="1456"/>
      <c r="C126" s="1077" t="s">
        <v>1540</v>
      </c>
      <c r="D126" s="1078"/>
      <c r="E126" s="1079">
        <v>304.64545799762743</v>
      </c>
      <c r="F126" s="1084">
        <v>366.74965250907502</v>
      </c>
      <c r="G126" s="1079">
        <v>423.79211091953232</v>
      </c>
      <c r="H126" s="1084">
        <v>482.95703748493247</v>
      </c>
      <c r="I126" s="1079">
        <v>539.10505768072107</v>
      </c>
      <c r="J126" s="1079">
        <v>604.01084234600467</v>
      </c>
      <c r="K126" s="1083">
        <v>684.94931156711596</v>
      </c>
      <c r="L126" s="1078">
        <v>749.45869941487479</v>
      </c>
      <c r="M126" s="1079">
        <v>802.75209147998657</v>
      </c>
      <c r="N126" s="1083">
        <v>856.04548354510166</v>
      </c>
    </row>
    <row r="127" spans="2:14" outlineLevel="1">
      <c r="B127" s="1456"/>
      <c r="C127" s="1077" t="s">
        <v>1518</v>
      </c>
      <c r="D127" s="1078"/>
      <c r="E127" s="1079">
        <v>337.57139652730592</v>
      </c>
      <c r="F127" s="1084">
        <v>310.65755497168567</v>
      </c>
      <c r="G127" s="1079">
        <v>347.35528946695132</v>
      </c>
      <c r="H127" s="1084">
        <v>382.23674073630332</v>
      </c>
      <c r="I127" s="1079">
        <v>413.73149953282416</v>
      </c>
      <c r="J127" s="1079">
        <v>438.59115178007295</v>
      </c>
      <c r="K127" s="1083">
        <v>466.87393877318618</v>
      </c>
      <c r="L127" s="1078">
        <v>498.61923947851244</v>
      </c>
      <c r="M127" s="1079">
        <v>526.48600667266271</v>
      </c>
      <c r="N127" s="1083">
        <v>554.35277386681355</v>
      </c>
    </row>
    <row r="128" spans="2:14" outlineLevel="1">
      <c r="B128" s="1456"/>
      <c r="C128" s="1086" t="s">
        <v>1545</v>
      </c>
      <c r="D128" s="1078"/>
      <c r="E128" s="1079">
        <v>290.54139996803349</v>
      </c>
      <c r="F128" s="1084">
        <v>351.52160301621814</v>
      </c>
      <c r="G128" s="1079">
        <v>409.27833870789135</v>
      </c>
      <c r="H128" s="1084">
        <v>456.14929105072497</v>
      </c>
      <c r="I128" s="1079">
        <v>505.36304056411353</v>
      </c>
      <c r="J128" s="1079">
        <v>558.42327539136397</v>
      </c>
      <c r="K128" s="1083">
        <v>623.48638397241518</v>
      </c>
      <c r="L128" s="1078">
        <v>676.64596378730482</v>
      </c>
      <c r="M128" s="1079">
        <v>723.10916216565158</v>
      </c>
      <c r="N128" s="1083">
        <v>769.57236054400039</v>
      </c>
    </row>
    <row r="129" spans="2:17" outlineLevel="1">
      <c r="B129" s="1456"/>
      <c r="C129" s="1086" t="s">
        <v>1546</v>
      </c>
      <c r="D129" s="1078"/>
      <c r="E129" s="1079">
        <v>327.16652499855377</v>
      </c>
      <c r="F129" s="1084">
        <v>391.73716829675919</v>
      </c>
      <c r="G129" s="1079">
        <v>449.35200675190362</v>
      </c>
      <c r="H129" s="1084">
        <v>510.16668951957581</v>
      </c>
      <c r="I129" s="1079">
        <v>556.44672881994506</v>
      </c>
      <c r="J129" s="1079">
        <v>605.98705595801516</v>
      </c>
      <c r="K129" s="1083">
        <v>665.28524708463681</v>
      </c>
      <c r="L129" s="1078">
        <v>723.5646083630877</v>
      </c>
      <c r="M129" s="1079">
        <v>767.23925080211143</v>
      </c>
      <c r="N129" s="1083">
        <v>810.91389324113788</v>
      </c>
    </row>
    <row r="130" spans="2:17" outlineLevel="1">
      <c r="B130" s="1456"/>
      <c r="C130" s="1086" t="s">
        <v>909</v>
      </c>
      <c r="D130" s="1078"/>
      <c r="E130" s="1079">
        <v>2253.9187697947796</v>
      </c>
      <c r="F130" s="1084">
        <v>2316.8172716422532</v>
      </c>
      <c r="G130" s="1079">
        <v>2696.8529522570061</v>
      </c>
      <c r="H130" s="1084">
        <v>3120.9785618359715</v>
      </c>
      <c r="I130" s="1079">
        <v>3559.7233553567153</v>
      </c>
      <c r="J130" s="1079">
        <v>3960.8929310338985</v>
      </c>
      <c r="K130" s="1083">
        <v>4352.0390132044304</v>
      </c>
      <c r="L130" s="1078">
        <v>4661.192005702077</v>
      </c>
      <c r="M130" s="1079">
        <v>5030.0174084735263</v>
      </c>
      <c r="N130" s="1083">
        <v>5398.8428112449765</v>
      </c>
    </row>
    <row r="131" spans="2:17" outlineLevel="1">
      <c r="B131" s="1456"/>
      <c r="C131" s="1086"/>
      <c r="D131" s="1078"/>
      <c r="E131" s="1079"/>
      <c r="F131" s="1084"/>
      <c r="G131" s="1079"/>
      <c r="H131" s="1084"/>
      <c r="I131" s="1079"/>
      <c r="J131" s="1079"/>
      <c r="K131" s="1083"/>
      <c r="L131" s="1078"/>
      <c r="M131" s="1079"/>
      <c r="N131" s="1083"/>
    </row>
    <row r="132" spans="2:17" outlineLevel="1">
      <c r="B132" s="1456"/>
      <c r="C132" s="1086" t="s">
        <v>1547</v>
      </c>
      <c r="D132" s="1078"/>
      <c r="E132" s="1079">
        <v>1453.1001027949999</v>
      </c>
      <c r="F132" s="1084">
        <v>1777.3687514349999</v>
      </c>
      <c r="G132" s="1079">
        <v>1863.4043105499998</v>
      </c>
      <c r="H132" s="1084">
        <v>1953.7487302049999</v>
      </c>
      <c r="I132" s="1079">
        <v>2025.2334803399997</v>
      </c>
      <c r="J132" s="1079">
        <v>2114.1386088599997</v>
      </c>
      <c r="K132" s="1083">
        <v>2254.3080821600001</v>
      </c>
      <c r="L132" s="1078">
        <v>2290.2302722343543</v>
      </c>
      <c r="M132" s="1079">
        <v>2375.0189214539569</v>
      </c>
      <c r="N132" s="1083">
        <v>2459.8075706735594</v>
      </c>
    </row>
    <row r="133" spans="2:17" outlineLevel="1">
      <c r="B133" s="1456"/>
      <c r="C133" s="1086" t="s">
        <v>1500</v>
      </c>
      <c r="D133" s="1087"/>
      <c r="E133" s="1088">
        <v>1</v>
      </c>
      <c r="F133" s="1089">
        <v>1.0000000258136821</v>
      </c>
      <c r="G133" s="1090">
        <v>0.90729059659770517</v>
      </c>
      <c r="H133" s="1091">
        <v>0.83474224256246643</v>
      </c>
      <c r="I133" s="1090">
        <v>0.77516449770805584</v>
      </c>
      <c r="J133" s="1090">
        <v>0.72223894792398025</v>
      </c>
      <c r="K133" s="1092">
        <v>0.67912077532901161</v>
      </c>
      <c r="L133" s="1093">
        <v>0.63055594929614134</v>
      </c>
      <c r="M133" s="1090">
        <v>0.61048895352325339</v>
      </c>
      <c r="N133" s="1092">
        <v>0.59292051254412181</v>
      </c>
    </row>
    <row r="134" spans="2:17" outlineLevel="1">
      <c r="B134" s="1456"/>
      <c r="C134" s="1077" t="s">
        <v>1518</v>
      </c>
      <c r="D134" s="1087"/>
      <c r="E134" s="1088">
        <v>0.99999993533961773</v>
      </c>
      <c r="F134" s="1089">
        <v>0.99999997585715727</v>
      </c>
      <c r="G134" s="1090">
        <v>0.92789204799268254</v>
      </c>
      <c r="H134" s="1091">
        <v>0.86791211466426432</v>
      </c>
      <c r="I134" s="1090">
        <v>0.83261153977935631</v>
      </c>
      <c r="J134" s="1090">
        <v>0.76530771981383972</v>
      </c>
      <c r="K134" s="1092">
        <v>0.71124905622401979</v>
      </c>
      <c r="L134" s="1093">
        <v>0.69124819769223733</v>
      </c>
      <c r="M134" s="1090">
        <v>0.6620196400183147</v>
      </c>
      <c r="N134" s="1092">
        <v>0.63572966387773</v>
      </c>
    </row>
    <row r="135" spans="2:17" outlineLevel="1">
      <c r="B135" s="1456"/>
      <c r="C135" s="1086" t="s">
        <v>1545</v>
      </c>
      <c r="D135" s="1087"/>
      <c r="E135" s="1088">
        <v>0.99999996723959161</v>
      </c>
      <c r="F135" s="1089">
        <v>1.0000000084785263</v>
      </c>
      <c r="G135" s="1090">
        <v>0.93234767603250102</v>
      </c>
      <c r="H135" s="1091">
        <v>0.87457588673718833</v>
      </c>
      <c r="I135" s="1090">
        <v>0.81888646330858617</v>
      </c>
      <c r="J135" s="1090">
        <v>0.76865471161112142</v>
      </c>
      <c r="K135" s="1092">
        <v>0.72808069632487626</v>
      </c>
      <c r="L135" s="1093">
        <v>0.68762703814082438</v>
      </c>
      <c r="M135" s="1090">
        <v>0.66797601335861001</v>
      </c>
      <c r="N135" s="1092">
        <v>0.65069786346017588</v>
      </c>
    </row>
    <row r="136" spans="2:17" outlineLevel="1">
      <c r="B136" s="1456"/>
      <c r="C136" s="1086" t="s">
        <v>1546</v>
      </c>
      <c r="D136" s="1087"/>
      <c r="E136" s="1088">
        <v>0.99999991102120322</v>
      </c>
      <c r="F136" s="1089">
        <v>1.0000000275589986</v>
      </c>
      <c r="G136" s="1090">
        <v>0.91126864640968397</v>
      </c>
      <c r="H136" s="1091">
        <v>0.84049090524974968</v>
      </c>
      <c r="I136" s="1090">
        <v>0.78393073808994185</v>
      </c>
      <c r="J136" s="1090">
        <v>0.73331946633101619</v>
      </c>
      <c r="K136" s="1092">
        <v>0.69552427738873079</v>
      </c>
      <c r="L136" s="1093">
        <v>0.65686423376038283</v>
      </c>
      <c r="M136" s="1090">
        <v>0.63760157358155822</v>
      </c>
      <c r="N136" s="1092">
        <v>0.62041383110422033</v>
      </c>
    </row>
    <row r="137" spans="2:17" ht="13.9" outlineLevel="1" thickBot="1">
      <c r="B137" s="1457"/>
      <c r="C137" s="1094" t="s">
        <v>909</v>
      </c>
      <c r="D137" s="1095"/>
      <c r="E137" s="1096">
        <v>1</v>
      </c>
      <c r="F137" s="1097">
        <v>1.0000000017083082</v>
      </c>
      <c r="G137" s="1098">
        <v>0.91367821407897398</v>
      </c>
      <c r="H137" s="1099">
        <v>0.84028045572852572</v>
      </c>
      <c r="I137" s="1098">
        <v>0.76818049598065941</v>
      </c>
      <c r="J137" s="1098">
        <v>0.70864954120649915</v>
      </c>
      <c r="K137" s="1100">
        <v>0.66246912199617591</v>
      </c>
      <c r="L137" s="1101">
        <v>0.66297892256095492</v>
      </c>
      <c r="M137" s="1098">
        <v>0.64131462937100048</v>
      </c>
      <c r="N137" s="1100">
        <v>0.62261035629680173</v>
      </c>
    </row>
    <row r="138" spans="2:17" outlineLevel="1">
      <c r="B138" s="1458" t="s">
        <v>1548</v>
      </c>
      <c r="C138" s="1102" t="s">
        <v>1549</v>
      </c>
      <c r="D138" s="1103">
        <v>2136.8554776763908</v>
      </c>
      <c r="E138" s="1104">
        <v>1697.6914694849997</v>
      </c>
      <c r="F138" s="1105">
        <v>1708.0736632949997</v>
      </c>
      <c r="G138" s="1104">
        <v>1923.9347467548557</v>
      </c>
      <c r="H138" s="1105">
        <v>2041.8865813972434</v>
      </c>
      <c r="I138" s="1104">
        <v>2164.1754448466127</v>
      </c>
      <c r="J138" s="1104">
        <v>2262.8553782442123</v>
      </c>
      <c r="K138" s="1106">
        <v>2393.8600806842574</v>
      </c>
      <c r="L138" s="1105">
        <v>2368.5474415916055</v>
      </c>
      <c r="M138" s="1104">
        <v>2441.2987385457554</v>
      </c>
      <c r="N138" s="1106">
        <v>2514.0500354999017</v>
      </c>
    </row>
    <row r="139" spans="2:17" outlineLevel="1">
      <c r="B139" s="1459"/>
      <c r="C139" s="1107" t="s">
        <v>1500</v>
      </c>
      <c r="D139" s="1103">
        <v>1</v>
      </c>
      <c r="E139" s="1108">
        <v>1</v>
      </c>
      <c r="F139" s="1109">
        <v>1</v>
      </c>
      <c r="G139" s="1110">
        <v>0.95705432649458577</v>
      </c>
      <c r="H139" s="1111">
        <v>0.93024364224491995</v>
      </c>
      <c r="I139" s="1110">
        <v>0.91187319923587329</v>
      </c>
      <c r="J139" s="1110">
        <v>0.90124371609085896</v>
      </c>
      <c r="K139" s="1112">
        <v>0.89263575240964266</v>
      </c>
      <c r="L139" s="1111">
        <v>0.87244156182755184</v>
      </c>
      <c r="M139" s="1110">
        <v>0.8589392209780321</v>
      </c>
      <c r="N139" s="1112">
        <v>0.84621833856796347</v>
      </c>
    </row>
    <row r="140" spans="2:17" outlineLevel="1">
      <c r="B140" s="1459"/>
      <c r="C140" s="1107" t="s">
        <v>1497</v>
      </c>
      <c r="D140" s="1103">
        <v>2136.8554776763908</v>
      </c>
      <c r="E140" s="1108">
        <v>1697.6914694849997</v>
      </c>
      <c r="F140" s="1109">
        <v>1708.0736632949997</v>
      </c>
      <c r="G140" s="1110">
        <v>1841.3100732749999</v>
      </c>
      <c r="H140" s="1111">
        <v>1899.4520105299998</v>
      </c>
      <c r="I140" s="1110">
        <v>1973.4535865999999</v>
      </c>
      <c r="J140" s="1110">
        <v>2039.3841900650002</v>
      </c>
      <c r="K140" s="1112">
        <v>2136.845094285</v>
      </c>
      <c r="L140" s="1111">
        <v>2066.4192292048324</v>
      </c>
      <c r="M140" s="1110">
        <v>2096.9272366611435</v>
      </c>
      <c r="N140" s="1112">
        <v>2127.4352441174565</v>
      </c>
    </row>
    <row r="141" spans="2:17" outlineLevel="1">
      <c r="B141" s="1460"/>
      <c r="C141" s="1113" t="s">
        <v>1550</v>
      </c>
      <c r="D141" s="1114"/>
      <c r="E141" s="1115">
        <v>112.50411090047061</v>
      </c>
      <c r="F141" s="1116">
        <v>113.19212724783715</v>
      </c>
      <c r="G141" s="1115">
        <v>122.02155480508209</v>
      </c>
      <c r="H141" s="1117">
        <v>125.87455582115541</v>
      </c>
      <c r="I141" s="1115">
        <v>130.77855732592499</v>
      </c>
      <c r="J141" s="1115">
        <v>135.14770452215345</v>
      </c>
      <c r="K141" s="1118">
        <v>141.60632941007444</v>
      </c>
      <c r="L141" s="1117">
        <v>136.93928626492377</v>
      </c>
      <c r="M141" s="1115">
        <v>138.96101772550441</v>
      </c>
      <c r="N141" s="1118">
        <v>140.98274918608516</v>
      </c>
    </row>
    <row r="142" spans="2:17" outlineLevel="1">
      <c r="B142" s="1461" t="s">
        <v>1551</v>
      </c>
      <c r="C142" s="1119" t="s">
        <v>1552</v>
      </c>
      <c r="D142" s="1328">
        <v>497.00076293945301</v>
      </c>
      <c r="E142" s="1329">
        <v>313.47549400000003</v>
      </c>
      <c r="F142" s="1120">
        <v>469.96157799999997</v>
      </c>
      <c r="G142" s="1330">
        <v>492.39386000000002</v>
      </c>
      <c r="H142" s="1120">
        <v>499.87377900000001</v>
      </c>
      <c r="I142" s="1330">
        <v>504.53359999999998</v>
      </c>
      <c r="J142" s="1330">
        <v>508.61346400000002</v>
      </c>
      <c r="K142" s="1121">
        <v>513.149902</v>
      </c>
      <c r="L142" s="1331"/>
      <c r="M142" s="1332"/>
      <c r="N142" s="1122"/>
    </row>
    <row r="143" spans="2:17" outlineLevel="1">
      <c r="B143" s="1445"/>
      <c r="C143" s="1107" t="s">
        <v>1553</v>
      </c>
      <c r="D143" s="1123">
        <v>161.06710815429699</v>
      </c>
      <c r="E143" s="1110">
        <v>187.85762</v>
      </c>
      <c r="F143" s="1124">
        <v>114.28089900000001</v>
      </c>
      <c r="G143" s="1125">
        <v>119.553787</v>
      </c>
      <c r="H143" s="1124">
        <v>121.070335</v>
      </c>
      <c r="I143" s="1125">
        <v>122.364723</v>
      </c>
      <c r="J143" s="1125">
        <v>123.674988</v>
      </c>
      <c r="K143" s="1126">
        <v>125.118179</v>
      </c>
      <c r="L143" s="1127"/>
      <c r="M143" s="1128"/>
      <c r="N143" s="1129"/>
      <c r="P143" s="1130"/>
    </row>
    <row r="144" spans="2:17" outlineLevel="1">
      <c r="B144" s="1445"/>
      <c r="C144" s="1107" t="s">
        <v>1495</v>
      </c>
      <c r="D144" s="1123">
        <v>971.997314453125</v>
      </c>
      <c r="E144" s="1110">
        <v>896.78539999999998</v>
      </c>
      <c r="F144" s="1124">
        <v>882.880493</v>
      </c>
      <c r="G144" s="1125">
        <v>926.56018100000006</v>
      </c>
      <c r="H144" s="1124">
        <v>943.13317900000004</v>
      </c>
      <c r="I144" s="1125">
        <v>955.24969499999997</v>
      </c>
      <c r="J144" s="1125">
        <v>966.24517800000001</v>
      </c>
      <c r="K144" s="1126">
        <v>978.884094</v>
      </c>
      <c r="L144" s="1127"/>
      <c r="M144" s="1128"/>
      <c r="N144" s="1129"/>
      <c r="P144" s="1130"/>
      <c r="Q144" s="1131"/>
    </row>
    <row r="145" spans="2:17" outlineLevel="1">
      <c r="B145" s="1445"/>
      <c r="C145" s="1107" t="s">
        <v>1494</v>
      </c>
      <c r="D145" s="1123">
        <v>262.45120239257801</v>
      </c>
      <c r="E145" s="1110">
        <v>290.39965799999999</v>
      </c>
      <c r="F145" s="1124">
        <v>297.33084100000002</v>
      </c>
      <c r="G145" s="1125">
        <v>326.15817299999998</v>
      </c>
      <c r="H145" s="1124">
        <v>344.23996</v>
      </c>
      <c r="I145" s="1125">
        <v>361.66726699999998</v>
      </c>
      <c r="J145" s="1125">
        <v>378.036316</v>
      </c>
      <c r="K145" s="1126">
        <v>394.41314699999998</v>
      </c>
      <c r="L145" s="1127"/>
      <c r="M145" s="1128"/>
      <c r="N145" s="1129"/>
      <c r="P145" s="1130"/>
      <c r="Q145" s="1131"/>
    </row>
    <row r="146" spans="2:17" outlineLevel="1">
      <c r="B146" s="1445"/>
      <c r="C146" s="1107" t="s">
        <v>1554</v>
      </c>
      <c r="D146" s="1103">
        <v>313.929443359375</v>
      </c>
      <c r="E146" s="1108">
        <v>395.45228599999996</v>
      </c>
      <c r="F146" s="1109">
        <v>298.63801599999999</v>
      </c>
      <c r="G146" s="1108">
        <v>314.6125340000001</v>
      </c>
      <c r="H146" s="1109">
        <v>322.18906500000003</v>
      </c>
      <c r="I146" s="1108">
        <v>328.35137199999997</v>
      </c>
      <c r="J146" s="1108">
        <v>333.956726</v>
      </c>
      <c r="K146" s="1112">
        <v>340.61601300000007</v>
      </c>
      <c r="L146" s="1132">
        <v>329.6848669101563</v>
      </c>
      <c r="M146" s="1133">
        <v>329.39968579687508</v>
      </c>
      <c r="N146" s="1134">
        <v>329.11450468359385</v>
      </c>
      <c r="Q146" s="1131"/>
    </row>
    <row r="147" spans="2:17" s="1138" customFormat="1" outlineLevel="1">
      <c r="B147" s="1445"/>
      <c r="C147" s="1135" t="s">
        <v>1555</v>
      </c>
      <c r="D147" s="1132">
        <v>1.1961440469599951</v>
      </c>
      <c r="E147" s="1136">
        <v>1.361751899859331</v>
      </c>
      <c r="F147" s="1137">
        <v>1.0043963653269321</v>
      </c>
      <c r="G147" s="1136">
        <v>0.9646011047529387</v>
      </c>
      <c r="H147" s="1137">
        <v>0.93594324435780218</v>
      </c>
      <c r="I147" s="1136">
        <v>0.90788247087895846</v>
      </c>
      <c r="J147" s="1136">
        <v>0.88339853042055361</v>
      </c>
      <c r="K147" s="1134">
        <v>0.86360207713867121</v>
      </c>
      <c r="L147" s="1132">
        <v>0.74483495783606557</v>
      </c>
      <c r="M147" s="1133">
        <v>0.684861622363659</v>
      </c>
      <c r="N147" s="1134">
        <v>0.62488828689124887</v>
      </c>
    </row>
    <row r="148" spans="2:17" outlineLevel="1">
      <c r="B148" s="1445"/>
      <c r="C148" s="1107" t="s">
        <v>1512</v>
      </c>
      <c r="D148" s="1103">
        <v>331.1955627441406</v>
      </c>
      <c r="E148" s="1108">
        <v>417.20216172999994</v>
      </c>
      <c r="F148" s="1109">
        <v>315.06310687999996</v>
      </c>
      <c r="G148" s="1108">
        <v>345.60964807443065</v>
      </c>
      <c r="H148" s="1109">
        <v>364.76979967862434</v>
      </c>
      <c r="I148" s="1108">
        <v>383.2364392963139</v>
      </c>
      <c r="J148" s="1108">
        <v>400.5817083483426</v>
      </c>
      <c r="K148" s="1139">
        <v>417.93522350457459</v>
      </c>
      <c r="L148" s="1132">
        <v>412.00753702854718</v>
      </c>
      <c r="M148" s="1133">
        <v>420.90938830554569</v>
      </c>
      <c r="N148" s="1134">
        <v>429.8112395825442</v>
      </c>
    </row>
    <row r="149" spans="2:17" outlineLevel="1">
      <c r="B149" s="1462"/>
      <c r="C149" s="1113" t="s">
        <v>1556</v>
      </c>
      <c r="D149" s="1114">
        <v>331.1955627441406</v>
      </c>
      <c r="E149" s="1140">
        <v>417.20216172999994</v>
      </c>
      <c r="F149" s="1116">
        <v>315.06310687999996</v>
      </c>
      <c r="G149" s="1140">
        <v>331.91622337000007</v>
      </c>
      <c r="H149" s="1116">
        <v>339.90946357500002</v>
      </c>
      <c r="I149" s="1140">
        <v>346.41069745999994</v>
      </c>
      <c r="J149" s="1140">
        <v>352.32434592999999</v>
      </c>
      <c r="K149" s="1141">
        <v>359.34989371500006</v>
      </c>
      <c r="L149" s="1142">
        <v>347.8175345902149</v>
      </c>
      <c r="M149" s="1143">
        <v>347.5166685157032</v>
      </c>
      <c r="N149" s="1144">
        <v>347.2158024411915</v>
      </c>
    </row>
    <row r="150" spans="2:17" outlineLevel="1">
      <c r="B150" s="1445" t="s">
        <v>1275</v>
      </c>
      <c r="C150" s="1107" t="s">
        <v>1552</v>
      </c>
      <c r="D150" s="1123">
        <v>505.32849121093801</v>
      </c>
      <c r="E150" s="1329">
        <v>417.901794</v>
      </c>
      <c r="F150" s="1124">
        <v>343.21075400000001</v>
      </c>
      <c r="G150" s="1125">
        <v>366.44854700000002</v>
      </c>
      <c r="H150" s="1124">
        <v>372.63699300000002</v>
      </c>
      <c r="I150" s="1125">
        <v>382.23672499999998</v>
      </c>
      <c r="J150" s="1125">
        <v>391.03567500000003</v>
      </c>
      <c r="K150" s="1126">
        <v>407.33441199999999</v>
      </c>
      <c r="L150" s="1127"/>
      <c r="M150" s="1128"/>
      <c r="N150" s="1129"/>
    </row>
    <row r="151" spans="2:17" outlineLevel="1">
      <c r="B151" s="1445"/>
      <c r="C151" s="1107" t="s">
        <v>1553</v>
      </c>
      <c r="D151" s="1123">
        <v>157.65577697753901</v>
      </c>
      <c r="E151" s="1110">
        <v>76.537361000000004</v>
      </c>
      <c r="F151" s="1124">
        <v>109.936836</v>
      </c>
      <c r="G151" s="1125">
        <v>121.18232</v>
      </c>
      <c r="H151" s="1124">
        <v>125.921722</v>
      </c>
      <c r="I151" s="1125">
        <v>130.97197</v>
      </c>
      <c r="J151" s="1125">
        <v>134.41894500000001</v>
      </c>
      <c r="K151" s="1126">
        <v>139.835037</v>
      </c>
      <c r="L151" s="1127"/>
      <c r="M151" s="1128"/>
      <c r="N151" s="1129"/>
    </row>
    <row r="152" spans="2:17" outlineLevel="1">
      <c r="B152" s="1445"/>
      <c r="C152" s="1107" t="s">
        <v>1495</v>
      </c>
      <c r="D152" s="1123">
        <v>2374.51025390625</v>
      </c>
      <c r="E152" s="1110">
        <v>1708.173096</v>
      </c>
      <c r="F152" s="1124">
        <v>1773.5367429999999</v>
      </c>
      <c r="G152" s="1125">
        <v>1918.3359379999999</v>
      </c>
      <c r="H152" s="1124">
        <v>1976.798096</v>
      </c>
      <c r="I152" s="1125">
        <v>2055.429443</v>
      </c>
      <c r="J152" s="1125">
        <v>2124.5634770000001</v>
      </c>
      <c r="K152" s="1126">
        <v>2231.9990229999999</v>
      </c>
      <c r="L152" s="1127"/>
      <c r="M152" s="1128"/>
      <c r="N152" s="1129"/>
    </row>
    <row r="153" spans="2:17" outlineLevel="1">
      <c r="B153" s="1445"/>
      <c r="C153" s="1107" t="s">
        <v>1494</v>
      </c>
      <c r="D153" s="1123">
        <v>1043.81311035156</v>
      </c>
      <c r="E153" s="1110">
        <v>889.56518600000004</v>
      </c>
      <c r="F153" s="1124">
        <v>1169.1972659999999</v>
      </c>
      <c r="G153" s="1125">
        <v>1324.7375489999999</v>
      </c>
      <c r="H153" s="1124">
        <v>1407.6564940000001</v>
      </c>
      <c r="I153" s="1125">
        <v>1494.7977289999999</v>
      </c>
      <c r="J153" s="1125">
        <v>1563.064453</v>
      </c>
      <c r="K153" s="1126">
        <v>1658.4554439999999</v>
      </c>
      <c r="L153" s="1127"/>
      <c r="M153" s="1128"/>
      <c r="N153" s="1129"/>
    </row>
    <row r="154" spans="2:17" outlineLevel="1">
      <c r="B154" s="1445"/>
      <c r="C154" s="1107" t="s">
        <v>1554</v>
      </c>
      <c r="D154" s="1103">
        <v>1711.525985717773</v>
      </c>
      <c r="E154" s="1108">
        <v>1213.733941</v>
      </c>
      <c r="F154" s="1109">
        <v>1320.3891529999999</v>
      </c>
      <c r="G154" s="1108">
        <v>1430.7050709999999</v>
      </c>
      <c r="H154" s="1109">
        <v>1478.2393809999999</v>
      </c>
      <c r="I154" s="1108">
        <v>1542.220748</v>
      </c>
      <c r="J154" s="1108">
        <v>1599.1088570000002</v>
      </c>
      <c r="K154" s="1139">
        <v>1684.8295739999999</v>
      </c>
      <c r="L154" s="1132">
        <v>1629.0063456062708</v>
      </c>
      <c r="M154" s="1133">
        <v>1658.2090693321697</v>
      </c>
      <c r="N154" s="1134">
        <v>1687.4117930580705</v>
      </c>
    </row>
    <row r="155" spans="2:17" s="1138" customFormat="1" outlineLevel="1">
      <c r="B155" s="1445"/>
      <c r="C155" s="1135" t="s">
        <v>1555</v>
      </c>
      <c r="D155" s="1132">
        <v>1.6396862318977052</v>
      </c>
      <c r="E155" s="1136">
        <v>1.3644125917940317</v>
      </c>
      <c r="F155" s="1137">
        <v>1.1293125560558743</v>
      </c>
      <c r="G155" s="1136">
        <v>1.0799913326832105</v>
      </c>
      <c r="H155" s="1137">
        <v>1.0501421243754088</v>
      </c>
      <c r="I155" s="1136">
        <v>1.0317253753333739</v>
      </c>
      <c r="J155" s="1136">
        <v>1.0230600881050169</v>
      </c>
      <c r="K155" s="1134">
        <v>1.0159028269920769</v>
      </c>
      <c r="L155" s="1132">
        <v>0.82414393894424265</v>
      </c>
      <c r="M155" s="1133">
        <v>0.74800278295305489</v>
      </c>
      <c r="N155" s="1134">
        <v>0.67186162696186713</v>
      </c>
    </row>
    <row r="156" spans="2:17" outlineLevel="1">
      <c r="B156" s="1445"/>
      <c r="C156" s="1107" t="s">
        <v>1512</v>
      </c>
      <c r="D156" s="1103">
        <v>1805.6599149322503</v>
      </c>
      <c r="E156" s="1108">
        <v>1280.4893077549998</v>
      </c>
      <c r="F156" s="1109">
        <v>1393.0105564149997</v>
      </c>
      <c r="G156" s="1108">
        <v>1578.3250986804251</v>
      </c>
      <c r="H156" s="1109">
        <v>1677.116781718619</v>
      </c>
      <c r="I156" s="1108">
        <v>1780.9390055502986</v>
      </c>
      <c r="J156" s="1108">
        <v>1862.2736698958697</v>
      </c>
      <c r="K156" s="1139">
        <v>1975.9248571796827</v>
      </c>
      <c r="L156" s="1132">
        <v>1956.5399045630584</v>
      </c>
      <c r="M156" s="1133">
        <v>2020.3893502402098</v>
      </c>
      <c r="N156" s="1134">
        <v>2084.2387959173575</v>
      </c>
    </row>
    <row r="157" spans="2:17" ht="13.9" outlineLevel="1" thickBot="1">
      <c r="B157" s="1446"/>
      <c r="C157" s="1145" t="s">
        <v>1556</v>
      </c>
      <c r="D157" s="1146">
        <v>1805.6599149322503</v>
      </c>
      <c r="E157" s="1147">
        <v>1280.4893077549998</v>
      </c>
      <c r="F157" s="1148">
        <v>1393.0105564149997</v>
      </c>
      <c r="G157" s="1147">
        <v>1509.3938499049998</v>
      </c>
      <c r="H157" s="1148">
        <v>1559.5425469549998</v>
      </c>
      <c r="I157" s="1147">
        <v>1627.0428891399999</v>
      </c>
      <c r="J157" s="1147">
        <v>1687.059844135</v>
      </c>
      <c r="K157" s="1149">
        <v>1777.4952005699997</v>
      </c>
      <c r="L157" s="1150">
        <v>1718.6016946146174</v>
      </c>
      <c r="M157" s="1151">
        <v>1749.4105681454403</v>
      </c>
      <c r="N157" s="1152">
        <v>1780.219441676265</v>
      </c>
    </row>
    <row r="164" spans="2:38" ht="13.9" thickBot="1">
      <c r="C164" s="1333"/>
      <c r="D164" s="1333" t="s">
        <v>1274</v>
      </c>
      <c r="E164" s="1333">
        <v>2010</v>
      </c>
      <c r="F164" s="1333">
        <v>2015</v>
      </c>
      <c r="G164" s="1333">
        <v>2020</v>
      </c>
      <c r="H164" s="1333">
        <v>2021</v>
      </c>
      <c r="I164" s="1333">
        <v>2022</v>
      </c>
      <c r="J164" s="1333">
        <v>2023</v>
      </c>
      <c r="K164" s="1333">
        <v>2024</v>
      </c>
      <c r="L164" s="1333">
        <v>2025</v>
      </c>
      <c r="M164" s="1333">
        <v>2026</v>
      </c>
      <c r="N164" s="1333">
        <v>2027</v>
      </c>
      <c r="O164" s="1333">
        <v>2028</v>
      </c>
      <c r="P164" s="1333">
        <v>2029</v>
      </c>
      <c r="Q164" s="1333">
        <v>2030</v>
      </c>
      <c r="R164" s="1333">
        <v>2031</v>
      </c>
      <c r="S164" s="1333">
        <v>2032</v>
      </c>
      <c r="T164" s="1333">
        <v>2033</v>
      </c>
      <c r="U164" s="1333">
        <v>2034</v>
      </c>
      <c r="V164" s="1333">
        <v>2035</v>
      </c>
      <c r="W164" s="1333">
        <v>2036</v>
      </c>
      <c r="X164" s="1333">
        <v>2037</v>
      </c>
      <c r="Y164" s="1333">
        <v>2038</v>
      </c>
      <c r="Z164" s="1333">
        <v>2039</v>
      </c>
      <c r="AA164" s="1333">
        <v>2040</v>
      </c>
      <c r="AB164" s="1333">
        <v>2041</v>
      </c>
      <c r="AC164" s="1333">
        <v>2042</v>
      </c>
      <c r="AD164" s="1333">
        <v>2043</v>
      </c>
      <c r="AE164" s="1333">
        <v>2044</v>
      </c>
      <c r="AF164" s="1333">
        <v>2045</v>
      </c>
      <c r="AG164" s="1333">
        <v>2046</v>
      </c>
      <c r="AH164" s="1333">
        <v>2047</v>
      </c>
      <c r="AI164" s="1333">
        <v>2048</v>
      </c>
      <c r="AJ164" s="1333">
        <v>2049</v>
      </c>
      <c r="AK164" s="1333">
        <v>2050</v>
      </c>
    </row>
    <row r="165" spans="2:38">
      <c r="B165" s="875"/>
      <c r="C165" s="1153" t="s">
        <v>1557</v>
      </c>
      <c r="D165" s="1153" t="s">
        <v>1278</v>
      </c>
      <c r="E165" s="1154">
        <f>SUM(E182,E192)</f>
        <v>2637.6291510000001</v>
      </c>
      <c r="F165" s="1154">
        <f t="shared" ref="F165:AK165" si="0">SUM(F182,F192)</f>
        <v>2779.6597899999997</v>
      </c>
      <c r="G165" s="1154">
        <f t="shared" si="0"/>
        <v>2918.7431640000004</v>
      </c>
      <c r="H165" s="1154">
        <f t="shared" si="0"/>
        <v>3015.2342530000001</v>
      </c>
      <c r="I165" s="1154">
        <f t="shared" si="0"/>
        <v>3132.6264650000003</v>
      </c>
      <c r="J165" s="1154">
        <f t="shared" si="0"/>
        <v>3051.089477</v>
      </c>
      <c r="K165" s="1154">
        <f t="shared" si="0"/>
        <v>3034.8322749999998</v>
      </c>
      <c r="L165" s="1154">
        <f t="shared" si="0"/>
        <v>3132.7344969999999</v>
      </c>
      <c r="M165" s="1154">
        <f t="shared" si="0"/>
        <v>3158.0098870000002</v>
      </c>
      <c r="N165" s="1154">
        <f t="shared" si="0"/>
        <v>3177.4260249999998</v>
      </c>
      <c r="O165" s="1154">
        <f t="shared" si="0"/>
        <v>3197.9361570000001</v>
      </c>
      <c r="P165" s="1154">
        <f t="shared" si="0"/>
        <v>3230.7136230000001</v>
      </c>
      <c r="Q165" s="1154">
        <f t="shared" si="0"/>
        <v>3253.5775149999999</v>
      </c>
      <c r="R165" s="1154">
        <f t="shared" si="0"/>
        <v>3263.4971930000002</v>
      </c>
      <c r="S165" s="1154">
        <f t="shared" si="0"/>
        <v>3268.2663579999999</v>
      </c>
      <c r="T165" s="1154">
        <f t="shared" si="0"/>
        <v>3276.4053949999998</v>
      </c>
      <c r="U165" s="1154">
        <f t="shared" si="0"/>
        <v>3287.8841560000001</v>
      </c>
      <c r="V165" s="1154">
        <f t="shared" si="0"/>
        <v>3302.70642</v>
      </c>
      <c r="W165" s="1154">
        <f t="shared" si="0"/>
        <v>3320.518677</v>
      </c>
      <c r="X165" s="1154">
        <f t="shared" si="0"/>
        <v>3346.6177980000002</v>
      </c>
      <c r="Y165" s="1154">
        <f t="shared" si="0"/>
        <v>3376.3309330000002</v>
      </c>
      <c r="Z165" s="1154">
        <f t="shared" si="0"/>
        <v>3403.2037350000001</v>
      </c>
      <c r="AA165" s="1154">
        <f t="shared" si="0"/>
        <v>3432.6048579999997</v>
      </c>
      <c r="AB165" s="1154">
        <f t="shared" si="0"/>
        <v>3463.5932620000003</v>
      </c>
      <c r="AC165" s="1154">
        <f t="shared" si="0"/>
        <v>3489.96875</v>
      </c>
      <c r="AD165" s="1154">
        <f t="shared" si="0"/>
        <v>3506.4654540000001</v>
      </c>
      <c r="AE165" s="1154">
        <f t="shared" si="0"/>
        <v>3535.3654779999997</v>
      </c>
      <c r="AF165" s="1154">
        <f t="shared" si="0"/>
        <v>3571.3615719999998</v>
      </c>
      <c r="AG165" s="1154">
        <f t="shared" si="0"/>
        <v>3594.6899410000001</v>
      </c>
      <c r="AH165" s="1154">
        <f t="shared" si="0"/>
        <v>3622.314453</v>
      </c>
      <c r="AI165" s="1154">
        <f t="shared" si="0"/>
        <v>3645.6713869999999</v>
      </c>
      <c r="AJ165" s="1154">
        <f t="shared" si="0"/>
        <v>3668.4223630000001</v>
      </c>
      <c r="AK165" s="1154">
        <f t="shared" si="0"/>
        <v>3696.8041990000002</v>
      </c>
    </row>
    <row r="166" spans="2:38">
      <c r="B166" s="875"/>
      <c r="C166" s="1153" t="s">
        <v>1557</v>
      </c>
      <c r="D166" s="1153" t="s">
        <v>15</v>
      </c>
      <c r="E166" s="1154">
        <f t="shared" ref="E166:AK166" si="1">E165*trilBtu_to_PJ</f>
        <v>2782.8464260505989</v>
      </c>
      <c r="F166" s="1154">
        <f t="shared" si="1"/>
        <v>2932.6967020004918</v>
      </c>
      <c r="G166" s="1154">
        <f t="shared" si="1"/>
        <v>3079.4374483681981</v>
      </c>
      <c r="H166" s="1154">
        <f t="shared" si="1"/>
        <v>3181.2409494659837</v>
      </c>
      <c r="I166" s="1154">
        <f t="shared" si="1"/>
        <v>3305.0963055104526</v>
      </c>
      <c r="J166" s="1154">
        <f t="shared" si="1"/>
        <v>3219.0702181961287</v>
      </c>
      <c r="K166" s="1154">
        <f t="shared" si="1"/>
        <v>3201.917959901542</v>
      </c>
      <c r="L166" s="1154">
        <f t="shared" si="1"/>
        <v>3305.2102853187907</v>
      </c>
      <c r="M166" s="1154">
        <f t="shared" si="1"/>
        <v>3331.8772368505738</v>
      </c>
      <c r="N166" s="1154">
        <f t="shared" si="1"/>
        <v>3352.3623494830754</v>
      </c>
      <c r="O166" s="1154">
        <f t="shared" si="1"/>
        <v>3374.001687034523</v>
      </c>
      <c r="P166" s="1154">
        <f t="shared" si="1"/>
        <v>3408.5837487616286</v>
      </c>
      <c r="Q166" s="1154">
        <f t="shared" si="1"/>
        <v>3432.7064348919675</v>
      </c>
      <c r="R166" s="1154">
        <f t="shared" si="1"/>
        <v>3443.1722505504758</v>
      </c>
      <c r="S166" s="1154">
        <f t="shared" si="1"/>
        <v>3448.2039866345508</v>
      </c>
      <c r="T166" s="1154">
        <f t="shared" si="1"/>
        <v>3456.7911263461197</v>
      </c>
      <c r="U166" s="1154">
        <f t="shared" si="1"/>
        <v>3468.9018618573</v>
      </c>
      <c r="V166" s="1154">
        <f t="shared" si="1"/>
        <v>3484.5401802246638</v>
      </c>
      <c r="W166" s="1154">
        <f t="shared" si="1"/>
        <v>3503.3331086064086</v>
      </c>
      <c r="X166" s="1154">
        <f t="shared" si="1"/>
        <v>3530.8691424610452</v>
      </c>
      <c r="Y166" s="1154">
        <f t="shared" si="1"/>
        <v>3562.2181634218423</v>
      </c>
      <c r="Z166" s="1154">
        <f t="shared" si="1"/>
        <v>3590.5704740472056</v>
      </c>
      <c r="AA166" s="1154">
        <f t="shared" si="1"/>
        <v>3621.5903048795285</v>
      </c>
      <c r="AB166" s="1154">
        <f t="shared" si="1"/>
        <v>3654.2848060332326</v>
      </c>
      <c r="AC166" s="1154">
        <f t="shared" si="1"/>
        <v>3682.1124225457029</v>
      </c>
      <c r="AD166" s="1154">
        <f t="shared" si="1"/>
        <v>3699.517368859179</v>
      </c>
      <c r="AE166" s="1154">
        <f t="shared" si="1"/>
        <v>3730.0085121916995</v>
      </c>
      <c r="AF166" s="1154">
        <f t="shared" si="1"/>
        <v>3767.9864066586692</v>
      </c>
      <c r="AG166" s="1154">
        <f t="shared" si="1"/>
        <v>3792.5991420284722</v>
      </c>
      <c r="AH166" s="1154">
        <f t="shared" si="1"/>
        <v>3821.7445487894815</v>
      </c>
      <c r="AI166" s="1154">
        <f t="shared" si="1"/>
        <v>3846.3874218335395</v>
      </c>
      <c r="AJ166" s="1154">
        <f t="shared" si="1"/>
        <v>3870.3909752621025</v>
      </c>
      <c r="AK166" s="1154">
        <f t="shared" si="1"/>
        <v>3900.3354012430673</v>
      </c>
    </row>
    <row r="167" spans="2:38">
      <c r="B167" s="875"/>
      <c r="C167" s="875"/>
    </row>
    <row r="168" spans="2:38">
      <c r="B168" s="875"/>
      <c r="C168" s="875"/>
    </row>
    <row r="169" spans="2:38" s="1155" customFormat="1">
      <c r="AL169" s="875"/>
    </row>
    <row r="170" spans="2:38" s="1155" customFormat="1" ht="13.9" thickBot="1">
      <c r="B170" s="1333" t="s">
        <v>1273</v>
      </c>
      <c r="C170" s="1156"/>
      <c r="D170" s="1156" t="s">
        <v>1274</v>
      </c>
      <c r="E170" s="1156">
        <v>2010</v>
      </c>
      <c r="F170" s="1156">
        <v>2015</v>
      </c>
      <c r="G170" s="1156">
        <v>2020</v>
      </c>
      <c r="H170" s="1156">
        <v>2021</v>
      </c>
      <c r="I170" s="1156">
        <v>2022</v>
      </c>
      <c r="J170" s="1156">
        <v>2023</v>
      </c>
      <c r="K170" s="1156">
        <v>2024</v>
      </c>
      <c r="L170" s="1156">
        <v>2025</v>
      </c>
      <c r="M170" s="1156">
        <v>2026</v>
      </c>
      <c r="N170" s="1156">
        <v>2027</v>
      </c>
      <c r="O170" s="1156">
        <v>2028</v>
      </c>
      <c r="P170" s="1156">
        <v>2029</v>
      </c>
      <c r="Q170" s="1156">
        <v>2030</v>
      </c>
      <c r="R170" s="1156">
        <v>2031</v>
      </c>
      <c r="S170" s="1156">
        <v>2032</v>
      </c>
      <c r="T170" s="1156">
        <v>2033</v>
      </c>
      <c r="U170" s="1156">
        <v>2034</v>
      </c>
      <c r="V170" s="1156">
        <v>2035</v>
      </c>
      <c r="W170" s="1156">
        <v>2036</v>
      </c>
      <c r="X170" s="1156">
        <v>2037</v>
      </c>
      <c r="Y170" s="1156">
        <v>2038</v>
      </c>
      <c r="Z170" s="1156">
        <v>2039</v>
      </c>
      <c r="AA170" s="1156">
        <v>2040</v>
      </c>
      <c r="AB170" s="1156">
        <v>2041</v>
      </c>
      <c r="AC170" s="1156">
        <v>2042</v>
      </c>
      <c r="AD170" s="1156">
        <v>2043</v>
      </c>
      <c r="AE170" s="1156">
        <v>2044</v>
      </c>
      <c r="AF170" s="1156">
        <v>2045</v>
      </c>
      <c r="AG170" s="1156">
        <v>2046</v>
      </c>
      <c r="AH170" s="1156">
        <v>2047</v>
      </c>
      <c r="AI170" s="1156">
        <v>2048</v>
      </c>
      <c r="AJ170" s="1156">
        <v>2049</v>
      </c>
      <c r="AK170" s="1156">
        <v>2050</v>
      </c>
      <c r="AL170" s="875"/>
    </row>
    <row r="171" spans="2:38" s="1155" customFormat="1">
      <c r="B171" s="1157" t="s">
        <v>1551</v>
      </c>
      <c r="C171" s="1157"/>
      <c r="D171" s="1157"/>
      <c r="E171" s="1157"/>
      <c r="F171" s="1157"/>
      <c r="G171" s="1157"/>
      <c r="H171" s="1157"/>
      <c r="I171" s="1157"/>
      <c r="J171" s="1157"/>
      <c r="K171" s="1157"/>
      <c r="L171" s="1157"/>
      <c r="M171" s="1157"/>
      <c r="N171" s="1157"/>
      <c r="O171" s="1157"/>
      <c r="P171" s="1157"/>
      <c r="Q171" s="1157"/>
      <c r="R171" s="1157"/>
      <c r="S171" s="1157"/>
      <c r="T171" s="1157"/>
      <c r="U171" s="1157"/>
      <c r="V171" s="1157"/>
      <c r="W171" s="1157"/>
      <c r="X171" s="1157"/>
      <c r="Y171" s="1157"/>
      <c r="Z171" s="1157"/>
      <c r="AA171" s="1157"/>
      <c r="AB171" s="1157"/>
      <c r="AC171" s="1157"/>
      <c r="AD171" s="1157"/>
      <c r="AE171" s="1157"/>
      <c r="AF171" s="1157"/>
      <c r="AG171" s="1157"/>
      <c r="AH171" s="1157"/>
      <c r="AI171" s="1157"/>
      <c r="AJ171" s="1157"/>
      <c r="AK171" s="1157"/>
      <c r="AL171" s="875"/>
    </row>
    <row r="172" spans="2:38">
      <c r="B172" s="1158" t="s">
        <v>1294</v>
      </c>
      <c r="C172" s="1158" t="s">
        <v>1558</v>
      </c>
      <c r="D172" s="1153" t="s">
        <v>1278</v>
      </c>
      <c r="E172" s="1153">
        <v>0.19639699999999999</v>
      </c>
      <c r="F172" s="1153">
        <v>4.3128E-2</v>
      </c>
      <c r="G172" s="1153">
        <v>5.5940999999999998E-2</v>
      </c>
      <c r="H172" s="1153">
        <v>0.21934300000000001</v>
      </c>
      <c r="I172" s="1153">
        <v>5.2520999999999998E-2</v>
      </c>
      <c r="J172" s="1153">
        <v>4.5821000000000001E-2</v>
      </c>
      <c r="K172" s="1153">
        <v>4.4066000000000001E-2</v>
      </c>
      <c r="L172" s="1153">
        <v>4.2341999999999998E-2</v>
      </c>
      <c r="M172" s="1153">
        <v>4.0676999999999998E-2</v>
      </c>
      <c r="N172" s="1153">
        <v>3.9100000000000003E-2</v>
      </c>
      <c r="O172" s="1153">
        <v>3.7637999999999998E-2</v>
      </c>
      <c r="P172" s="1153">
        <v>3.6316000000000001E-2</v>
      </c>
      <c r="Q172" s="1153">
        <v>3.5157000000000001E-2</v>
      </c>
      <c r="R172" s="1153">
        <v>3.4180000000000002E-2</v>
      </c>
      <c r="S172" s="1153">
        <v>3.3403000000000002E-2</v>
      </c>
      <c r="T172" s="1153">
        <v>3.2836999999999998E-2</v>
      </c>
      <c r="U172" s="1153">
        <v>3.2494000000000002E-2</v>
      </c>
      <c r="V172" s="1153">
        <v>3.2378999999999998E-2</v>
      </c>
      <c r="W172" s="1153">
        <v>3.2378999999999998E-2</v>
      </c>
      <c r="X172" s="1153">
        <v>3.2378999999999998E-2</v>
      </c>
      <c r="Y172" s="1153">
        <v>3.2378999999999998E-2</v>
      </c>
      <c r="Z172" s="1153">
        <v>3.2378999999999998E-2</v>
      </c>
      <c r="AA172" s="1153">
        <v>3.2378999999999998E-2</v>
      </c>
      <c r="AB172" s="1153">
        <v>3.2378999999999998E-2</v>
      </c>
      <c r="AC172" s="1153">
        <v>3.2378999999999998E-2</v>
      </c>
      <c r="AD172" s="1153">
        <v>3.2378999999999998E-2</v>
      </c>
      <c r="AE172" s="1153">
        <v>3.2378999999999998E-2</v>
      </c>
      <c r="AF172" s="1153">
        <v>3.2378999999999998E-2</v>
      </c>
      <c r="AG172" s="1153">
        <v>3.2378999999999998E-2</v>
      </c>
      <c r="AH172" s="1153">
        <v>3.2378999999999998E-2</v>
      </c>
      <c r="AI172" s="1153">
        <v>3.2378999999999998E-2</v>
      </c>
      <c r="AJ172" s="1153">
        <v>3.2378999999999998E-2</v>
      </c>
      <c r="AK172" s="1153">
        <v>3.2378999999999998E-2</v>
      </c>
    </row>
    <row r="173" spans="2:38">
      <c r="B173" s="1158" t="s">
        <v>1276</v>
      </c>
      <c r="C173" s="1158" t="s">
        <v>1559</v>
      </c>
      <c r="D173" s="1153" t="s">
        <v>1278</v>
      </c>
      <c r="E173" s="1153">
        <v>313.47549400000003</v>
      </c>
      <c r="F173" s="1153">
        <v>461.71755999999999</v>
      </c>
      <c r="G173" s="1153">
        <v>352.72399899999999</v>
      </c>
      <c r="H173" s="1153">
        <v>388.51446499999997</v>
      </c>
      <c r="I173" s="1153">
        <v>431.73095699999999</v>
      </c>
      <c r="J173" s="1153">
        <v>435.26531999999997</v>
      </c>
      <c r="K173" s="1153">
        <v>432.32354700000002</v>
      </c>
      <c r="L173" s="1153">
        <v>431.24005099999999</v>
      </c>
      <c r="M173" s="1153">
        <v>431.36041299999999</v>
      </c>
      <c r="N173" s="1153">
        <v>431.59802200000001</v>
      </c>
      <c r="O173" s="1153">
        <v>431.774902</v>
      </c>
      <c r="P173" s="1153">
        <v>431.91558800000001</v>
      </c>
      <c r="Q173" s="1153">
        <v>431.897919</v>
      </c>
      <c r="R173" s="1153">
        <v>432.387878</v>
      </c>
      <c r="S173" s="1153">
        <v>434.469604</v>
      </c>
      <c r="T173" s="1153">
        <v>435.18463100000002</v>
      </c>
      <c r="U173" s="1153">
        <v>436.21130399999998</v>
      </c>
      <c r="V173" s="1153">
        <v>437.57266199999998</v>
      </c>
      <c r="W173" s="1153">
        <v>438.874664</v>
      </c>
      <c r="X173" s="1153">
        <v>441.29333500000001</v>
      </c>
      <c r="Y173" s="1153">
        <v>443.60015900000002</v>
      </c>
      <c r="Z173" s="1153">
        <v>445.80703699999998</v>
      </c>
      <c r="AA173" s="1153">
        <v>447.95318600000002</v>
      </c>
      <c r="AB173" s="1153">
        <v>449.73614500000002</v>
      </c>
      <c r="AC173" s="1153">
        <v>451.66342200000003</v>
      </c>
      <c r="AD173" s="1153">
        <v>453.477844</v>
      </c>
      <c r="AE173" s="1153">
        <v>455.11724900000002</v>
      </c>
      <c r="AF173" s="1153">
        <v>456.80197099999998</v>
      </c>
      <c r="AG173" s="1153">
        <v>458.39038099999999</v>
      </c>
      <c r="AH173" s="1153">
        <v>459.95562699999999</v>
      </c>
      <c r="AI173" s="1153">
        <v>461.45980800000001</v>
      </c>
      <c r="AJ173" s="1153">
        <v>462.98791499999999</v>
      </c>
      <c r="AK173" s="1153">
        <v>464.54254200000003</v>
      </c>
    </row>
    <row r="174" spans="2:38">
      <c r="B174" s="1158" t="s">
        <v>1279</v>
      </c>
      <c r="C174" s="1158" t="s">
        <v>1560</v>
      </c>
      <c r="D174" s="1153" t="s">
        <v>1278</v>
      </c>
      <c r="E174" s="1153">
        <v>75.902778999999995</v>
      </c>
      <c r="F174" s="1153">
        <v>110.70388800000001</v>
      </c>
      <c r="G174" s="1153">
        <v>64.069457999999997</v>
      </c>
      <c r="H174" s="1153">
        <v>91.233863999999997</v>
      </c>
      <c r="I174" s="1153">
        <v>66.059119999999993</v>
      </c>
      <c r="J174" s="1153">
        <v>68.531723</v>
      </c>
      <c r="K174" s="1153">
        <v>89.311324999999997</v>
      </c>
      <c r="L174" s="1153">
        <v>90.111892999999995</v>
      </c>
      <c r="M174" s="1153">
        <v>91.120743000000004</v>
      </c>
      <c r="N174" s="1153">
        <v>92.048293999999999</v>
      </c>
      <c r="O174" s="1153">
        <v>92.735764000000003</v>
      </c>
      <c r="P174" s="1153">
        <v>93.483283999999998</v>
      </c>
      <c r="Q174" s="1153">
        <v>94.072609</v>
      </c>
      <c r="R174" s="1153">
        <v>94.596664000000004</v>
      </c>
      <c r="S174" s="1153">
        <v>95.717467999999997</v>
      </c>
      <c r="T174" s="1153">
        <v>96.025017000000005</v>
      </c>
      <c r="U174" s="1153">
        <v>96.312042000000005</v>
      </c>
      <c r="V174" s="1153">
        <v>96.563461000000004</v>
      </c>
      <c r="W174" s="1153">
        <v>96.768990000000002</v>
      </c>
      <c r="X174" s="1153">
        <v>97.289398000000006</v>
      </c>
      <c r="Y174" s="1153">
        <v>97.767516999999998</v>
      </c>
      <c r="Z174" s="1153">
        <v>98.168610000000001</v>
      </c>
      <c r="AA174" s="1153">
        <v>98.467140000000001</v>
      </c>
      <c r="AB174" s="1153">
        <v>98.593643</v>
      </c>
      <c r="AC174" s="1153">
        <v>98.762816999999998</v>
      </c>
      <c r="AD174" s="1153">
        <v>98.913284000000004</v>
      </c>
      <c r="AE174" s="1153">
        <v>99.031966999999995</v>
      </c>
      <c r="AF174" s="1153">
        <v>99.153121999999996</v>
      </c>
      <c r="AG174" s="1153">
        <v>99.256103999999993</v>
      </c>
      <c r="AH174" s="1153">
        <v>99.342513999999994</v>
      </c>
      <c r="AI174" s="1153">
        <v>99.404114000000007</v>
      </c>
      <c r="AJ174" s="1153">
        <v>99.471305999999998</v>
      </c>
      <c r="AK174" s="1153">
        <v>99.547318000000004</v>
      </c>
    </row>
    <row r="175" spans="2:38">
      <c r="B175" s="1158" t="s">
        <v>1281</v>
      </c>
      <c r="C175" s="1158" t="s">
        <v>1561</v>
      </c>
      <c r="D175" s="1153" t="s">
        <v>1278</v>
      </c>
      <c r="E175" s="1153">
        <v>187.85762</v>
      </c>
      <c r="F175" s="1153">
        <v>155.78301999999999</v>
      </c>
      <c r="G175" s="1153">
        <v>115.47451</v>
      </c>
      <c r="H175" s="1153">
        <v>90.441299000000001</v>
      </c>
      <c r="I175" s="1153">
        <v>120.277817</v>
      </c>
      <c r="J175" s="1153">
        <v>121.35955</v>
      </c>
      <c r="K175" s="1153">
        <v>120.920723</v>
      </c>
      <c r="L175" s="1153">
        <v>120.90621899999999</v>
      </c>
      <c r="M175" s="1153">
        <v>121.146332</v>
      </c>
      <c r="N175" s="1153">
        <v>121.266068</v>
      </c>
      <c r="O175" s="1153">
        <v>121.230324</v>
      </c>
      <c r="P175" s="1153">
        <v>121.232536</v>
      </c>
      <c r="Q175" s="1153">
        <v>121.176979</v>
      </c>
      <c r="R175" s="1153">
        <v>121.28653</v>
      </c>
      <c r="S175" s="1153">
        <v>121.83015399999999</v>
      </c>
      <c r="T175" s="1153">
        <v>122.12159699999999</v>
      </c>
      <c r="U175" s="1153">
        <v>122.50928500000001</v>
      </c>
      <c r="V175" s="1153">
        <v>123.013672</v>
      </c>
      <c r="W175" s="1153">
        <v>123.512154</v>
      </c>
      <c r="X175" s="1153">
        <v>124.315956</v>
      </c>
      <c r="Y175" s="1153">
        <v>125.08865400000001</v>
      </c>
      <c r="Z175" s="1153">
        <v>125.83419000000001</v>
      </c>
      <c r="AA175" s="1153">
        <v>126.5746</v>
      </c>
      <c r="AB175" s="1153">
        <v>127.235077</v>
      </c>
      <c r="AC175" s="1153">
        <v>127.938751</v>
      </c>
      <c r="AD175" s="1153">
        <v>128.61431899999999</v>
      </c>
      <c r="AE175" s="1153">
        <v>129.232361</v>
      </c>
      <c r="AF175" s="1153">
        <v>129.86409</v>
      </c>
      <c r="AG175" s="1153">
        <v>130.47139000000001</v>
      </c>
      <c r="AH175" s="1153">
        <v>131.07183800000001</v>
      </c>
      <c r="AI175" s="1153">
        <v>131.65202300000001</v>
      </c>
      <c r="AJ175" s="1153">
        <v>132.241974</v>
      </c>
      <c r="AK175" s="1153">
        <v>132.835846</v>
      </c>
    </row>
    <row r="176" spans="2:38">
      <c r="B176" s="1158" t="s">
        <v>1285</v>
      </c>
      <c r="C176" s="1158" t="s">
        <v>1562</v>
      </c>
      <c r="D176" s="1153" t="s">
        <v>1278</v>
      </c>
      <c r="E176" s="1153">
        <v>0</v>
      </c>
      <c r="F176" s="1153">
        <v>128.64688100000001</v>
      </c>
      <c r="G176" s="1153">
        <v>58.266869</v>
      </c>
      <c r="H176" s="1153">
        <v>14.137165</v>
      </c>
      <c r="I176" s="1153">
        <v>29.752386000000001</v>
      </c>
      <c r="J176" s="1153">
        <v>15.927314000000001</v>
      </c>
      <c r="K176" s="1153">
        <v>18.013905000000001</v>
      </c>
      <c r="L176" s="1153">
        <v>20.165668</v>
      </c>
      <c r="M176" s="1153">
        <v>22.333731</v>
      </c>
      <c r="N176" s="1153">
        <v>24.415763999999999</v>
      </c>
      <c r="O176" s="1153">
        <v>26.379314000000001</v>
      </c>
      <c r="P176" s="1153">
        <v>28.171804000000002</v>
      </c>
      <c r="Q176" s="1153">
        <v>29.777445</v>
      </c>
      <c r="R176" s="1153">
        <v>31.213978000000001</v>
      </c>
      <c r="S176" s="1153">
        <v>32.423713999999997</v>
      </c>
      <c r="T176" s="1153">
        <v>33.365437</v>
      </c>
      <c r="U176" s="1153">
        <v>34.011406000000001</v>
      </c>
      <c r="V176" s="1153">
        <v>34.367095999999997</v>
      </c>
      <c r="W176" s="1153">
        <v>34.547156999999999</v>
      </c>
      <c r="X176" s="1153">
        <v>34.789741999999997</v>
      </c>
      <c r="Y176" s="1153">
        <v>35.020294</v>
      </c>
      <c r="Z176" s="1153">
        <v>35.2575</v>
      </c>
      <c r="AA176" s="1153">
        <v>35.503219999999999</v>
      </c>
      <c r="AB176" s="1153">
        <v>35.742485000000002</v>
      </c>
      <c r="AC176" s="1153">
        <v>35.989243000000002</v>
      </c>
      <c r="AD176" s="1153">
        <v>36.227820999999999</v>
      </c>
      <c r="AE176" s="1153">
        <v>36.449264999999997</v>
      </c>
      <c r="AF176" s="1153">
        <v>36.675964</v>
      </c>
      <c r="AG176" s="1153">
        <v>36.899124</v>
      </c>
      <c r="AH176" s="1153">
        <v>37.121631999999998</v>
      </c>
      <c r="AI176" s="1153">
        <v>37.338917000000002</v>
      </c>
      <c r="AJ176" s="1153">
        <v>37.560276000000002</v>
      </c>
      <c r="AK176" s="1153">
        <v>37.784179999999999</v>
      </c>
    </row>
    <row r="177" spans="2:38" ht="26.45">
      <c r="B177" s="1158" t="s">
        <v>1287</v>
      </c>
      <c r="C177" s="1158" t="s">
        <v>1563</v>
      </c>
      <c r="D177" s="1153" t="s">
        <v>1278</v>
      </c>
      <c r="E177" s="1153">
        <v>577.43231200000002</v>
      </c>
      <c r="F177" s="1153">
        <v>856.89446999999996</v>
      </c>
      <c r="G177" s="1153">
        <v>590.59075900000005</v>
      </c>
      <c r="H177" s="1153">
        <v>584.54614300000003</v>
      </c>
      <c r="I177" s="1153">
        <v>647.87280299999998</v>
      </c>
      <c r="J177" s="1153">
        <v>641.12976100000003</v>
      </c>
      <c r="K177" s="1153">
        <v>660.61358600000005</v>
      </c>
      <c r="L177" s="1153">
        <v>662.46618699999999</v>
      </c>
      <c r="M177" s="1153">
        <v>666.00183100000004</v>
      </c>
      <c r="N177" s="1153">
        <v>669.36724900000002</v>
      </c>
      <c r="O177" s="1153">
        <v>672.15801999999996</v>
      </c>
      <c r="P177" s="1153">
        <v>674.83953899999995</v>
      </c>
      <c r="Q177" s="1153">
        <v>676.96014400000001</v>
      </c>
      <c r="R177" s="1153">
        <v>679.51928699999996</v>
      </c>
      <c r="S177" s="1153">
        <v>684.47430399999996</v>
      </c>
      <c r="T177" s="1153">
        <v>686.72949200000005</v>
      </c>
      <c r="U177" s="1153">
        <v>689.07647699999995</v>
      </c>
      <c r="V177" s="1153">
        <v>691.54925500000002</v>
      </c>
      <c r="W177" s="1153">
        <v>693.73541299999999</v>
      </c>
      <c r="X177" s="1153">
        <v>697.72088599999995</v>
      </c>
      <c r="Y177" s="1153">
        <v>701.50897199999997</v>
      </c>
      <c r="Z177" s="1153">
        <v>705.09973100000002</v>
      </c>
      <c r="AA177" s="1153">
        <v>708.53057899999999</v>
      </c>
      <c r="AB177" s="1153">
        <v>711.33972200000005</v>
      </c>
      <c r="AC177" s="1153">
        <v>714.38665800000001</v>
      </c>
      <c r="AD177" s="1153">
        <v>717.26568599999996</v>
      </c>
      <c r="AE177" s="1153">
        <v>719.86328100000003</v>
      </c>
      <c r="AF177" s="1153">
        <v>722.52752699999996</v>
      </c>
      <c r="AG177" s="1153">
        <v>725.04937700000005</v>
      </c>
      <c r="AH177" s="1153">
        <v>727.52404799999999</v>
      </c>
      <c r="AI177" s="1153">
        <v>729.88726799999995</v>
      </c>
      <c r="AJ177" s="1153">
        <v>732.29388400000005</v>
      </c>
      <c r="AK177" s="1153">
        <v>734.74224900000002</v>
      </c>
    </row>
    <row r="178" spans="2:38">
      <c r="B178" s="1158" t="s">
        <v>740</v>
      </c>
      <c r="C178" s="1158" t="s">
        <v>1564</v>
      </c>
      <c r="D178" s="1153" t="s">
        <v>1278</v>
      </c>
      <c r="E178" s="1153">
        <v>157.75657699999999</v>
      </c>
      <c r="F178" s="1153">
        <v>64.570892000000001</v>
      </c>
      <c r="G178" s="1153">
        <v>196.31887800000001</v>
      </c>
      <c r="H178" s="1153">
        <v>93.500381000000004</v>
      </c>
      <c r="I178" s="1153">
        <v>119.72618900000001</v>
      </c>
      <c r="J178" s="1153">
        <v>114.557648</v>
      </c>
      <c r="K178" s="1153">
        <v>114.535568</v>
      </c>
      <c r="L178" s="1153">
        <v>115.092072</v>
      </c>
      <c r="M178" s="1153">
        <v>115.925201</v>
      </c>
      <c r="N178" s="1153">
        <v>116.655388</v>
      </c>
      <c r="O178" s="1153">
        <v>117.17130299999999</v>
      </c>
      <c r="P178" s="1153">
        <v>117.722115</v>
      </c>
      <c r="Q178" s="1153">
        <v>118.15763099999999</v>
      </c>
      <c r="R178" s="1153">
        <v>118.630661</v>
      </c>
      <c r="S178" s="1153">
        <v>119.63172900000001</v>
      </c>
      <c r="T178" s="1153">
        <v>120.062653</v>
      </c>
      <c r="U178" s="1153">
        <v>120.49071499999999</v>
      </c>
      <c r="V178" s="1153">
        <v>120.905434</v>
      </c>
      <c r="W178" s="1153">
        <v>121.282265</v>
      </c>
      <c r="X178" s="1153">
        <v>121.97422</v>
      </c>
      <c r="Y178" s="1153">
        <v>122.57285299999999</v>
      </c>
      <c r="Z178" s="1153">
        <v>123.15619700000001</v>
      </c>
      <c r="AA178" s="1153">
        <v>123.62479399999999</v>
      </c>
      <c r="AB178" s="1153">
        <v>123.922798</v>
      </c>
      <c r="AC178" s="1153">
        <v>124.273949</v>
      </c>
      <c r="AD178" s="1153">
        <v>124.631767</v>
      </c>
      <c r="AE178" s="1153">
        <v>124.969543</v>
      </c>
      <c r="AF178" s="1153">
        <v>125.292213</v>
      </c>
      <c r="AG178" s="1153">
        <v>124.785606</v>
      </c>
      <c r="AH178" s="1153">
        <v>124.350471</v>
      </c>
      <c r="AI178" s="1153">
        <v>123.988342</v>
      </c>
      <c r="AJ178" s="1153">
        <v>123.710442</v>
      </c>
      <c r="AK178" s="1153">
        <v>123.49084499999999</v>
      </c>
    </row>
    <row r="179" spans="2:38">
      <c r="B179" s="1158" t="s">
        <v>1303</v>
      </c>
      <c r="C179" s="1158" t="s">
        <v>1565</v>
      </c>
      <c r="D179" s="1153" t="s">
        <v>1278</v>
      </c>
      <c r="E179" s="1153">
        <v>0</v>
      </c>
      <c r="F179" s="1153">
        <v>0</v>
      </c>
      <c r="G179" s="1153">
        <v>0</v>
      </c>
      <c r="H179" s="1153">
        <v>0</v>
      </c>
      <c r="I179" s="1153">
        <v>0</v>
      </c>
      <c r="J179" s="1153">
        <v>0</v>
      </c>
      <c r="K179" s="1153">
        <v>0</v>
      </c>
      <c r="L179" s="1153">
        <v>0</v>
      </c>
      <c r="M179" s="1153">
        <v>0</v>
      </c>
      <c r="N179" s="1153">
        <v>0</v>
      </c>
      <c r="O179" s="1153">
        <v>0</v>
      </c>
      <c r="P179" s="1153">
        <v>0</v>
      </c>
      <c r="Q179" s="1153">
        <v>0</v>
      </c>
      <c r="R179" s="1153">
        <v>0</v>
      </c>
      <c r="S179" s="1153">
        <v>0</v>
      </c>
      <c r="T179" s="1153">
        <v>0</v>
      </c>
      <c r="U179" s="1153">
        <v>0</v>
      </c>
      <c r="V179" s="1153">
        <v>0</v>
      </c>
      <c r="W179" s="1153">
        <v>0</v>
      </c>
      <c r="X179" s="1153">
        <v>0</v>
      </c>
      <c r="Y179" s="1153">
        <v>0</v>
      </c>
      <c r="Z179" s="1153">
        <v>0</v>
      </c>
      <c r="AA179" s="1153">
        <v>0</v>
      </c>
      <c r="AB179" s="1153">
        <v>0</v>
      </c>
      <c r="AC179" s="1153">
        <v>0</v>
      </c>
      <c r="AD179" s="1153">
        <v>0</v>
      </c>
      <c r="AE179" s="1153">
        <v>0</v>
      </c>
      <c r="AF179" s="1153">
        <v>0</v>
      </c>
      <c r="AG179" s="1153">
        <v>0</v>
      </c>
      <c r="AH179" s="1153">
        <v>0</v>
      </c>
      <c r="AI179" s="1153">
        <v>0</v>
      </c>
      <c r="AJ179" s="1153">
        <v>0</v>
      </c>
      <c r="AK179" s="1153">
        <v>0</v>
      </c>
    </row>
    <row r="180" spans="2:38">
      <c r="B180" s="1158" t="s">
        <v>1305</v>
      </c>
      <c r="C180" s="1158" t="s">
        <v>1566</v>
      </c>
      <c r="D180" s="1153" t="s">
        <v>1278</v>
      </c>
      <c r="E180" s="1153">
        <v>24.154121</v>
      </c>
      <c r="F180" s="1153">
        <v>134.650848</v>
      </c>
      <c r="G180" s="1153">
        <v>115.350128</v>
      </c>
      <c r="H180" s="1153">
        <v>131.24891700000001</v>
      </c>
      <c r="I180" s="1153">
        <v>174.98010300000001</v>
      </c>
      <c r="J180" s="1153">
        <v>181.74844400000001</v>
      </c>
      <c r="K180" s="1153">
        <v>183.58869899999999</v>
      </c>
      <c r="L180" s="1153">
        <v>186.056152</v>
      </c>
      <c r="M180" s="1153">
        <v>188.83300800000001</v>
      </c>
      <c r="N180" s="1153">
        <v>191.39752200000001</v>
      </c>
      <c r="O180" s="1153">
        <v>193.72015400000001</v>
      </c>
      <c r="P180" s="1153">
        <v>195.865036</v>
      </c>
      <c r="Q180" s="1153">
        <v>197.84787</v>
      </c>
      <c r="R180" s="1153">
        <v>199.86785900000001</v>
      </c>
      <c r="S180" s="1153">
        <v>201.849976</v>
      </c>
      <c r="T180" s="1153">
        <v>203.685181</v>
      </c>
      <c r="U180" s="1153">
        <v>205.25036600000001</v>
      </c>
      <c r="V180" s="1153">
        <v>206.74641399999999</v>
      </c>
      <c r="W180" s="1153">
        <v>208.113495</v>
      </c>
      <c r="X180" s="1153">
        <v>209.77368200000001</v>
      </c>
      <c r="Y180" s="1153">
        <v>211.38942</v>
      </c>
      <c r="Z180" s="1153">
        <v>212.99632299999999</v>
      </c>
      <c r="AA180" s="1153">
        <v>214.666382</v>
      </c>
      <c r="AB180" s="1153">
        <v>216.312836</v>
      </c>
      <c r="AC180" s="1153">
        <v>218.00500500000001</v>
      </c>
      <c r="AD180" s="1153">
        <v>219.649292</v>
      </c>
      <c r="AE180" s="1153">
        <v>221.207504</v>
      </c>
      <c r="AF180" s="1153">
        <v>222.80244400000001</v>
      </c>
      <c r="AG180" s="1153">
        <v>224.370926</v>
      </c>
      <c r="AH180" s="1153">
        <v>225.92688000000001</v>
      </c>
      <c r="AI180" s="1153">
        <v>227.44676200000001</v>
      </c>
      <c r="AJ180" s="1153">
        <v>228.98820499999999</v>
      </c>
      <c r="AK180" s="1153">
        <v>230.54426599999999</v>
      </c>
    </row>
    <row r="181" spans="2:38" ht="26.45">
      <c r="B181" s="1158" t="s">
        <v>1290</v>
      </c>
      <c r="C181" s="1158" t="s">
        <v>1567</v>
      </c>
      <c r="D181" s="1153" t="s">
        <v>1278</v>
      </c>
      <c r="E181" s="1153">
        <v>137.44241299999999</v>
      </c>
      <c r="F181" s="1153">
        <v>143.12162799999999</v>
      </c>
      <c r="G181" s="1153">
        <v>250.74690200000001</v>
      </c>
      <c r="H181" s="1153">
        <v>195.58853099999999</v>
      </c>
      <c r="I181" s="1153">
        <v>249.03689600000001</v>
      </c>
      <c r="J181" s="1153">
        <v>255.06663499999999</v>
      </c>
      <c r="K181" s="1153">
        <v>256.70727499999998</v>
      </c>
      <c r="L181" s="1153">
        <v>259.26110799999998</v>
      </c>
      <c r="M181" s="1153">
        <v>262.29107699999997</v>
      </c>
      <c r="N181" s="1153">
        <v>264.94671599999998</v>
      </c>
      <c r="O181" s="1153">
        <v>267.09936499999998</v>
      </c>
      <c r="P181" s="1153">
        <v>269.12316900000002</v>
      </c>
      <c r="Q181" s="1153">
        <v>270.85363799999999</v>
      </c>
      <c r="R181" s="1153">
        <v>272.56469700000002</v>
      </c>
      <c r="S181" s="1153">
        <v>274.59539799999999</v>
      </c>
      <c r="T181" s="1153">
        <v>276.34252900000001</v>
      </c>
      <c r="U181" s="1153">
        <v>277.80487099999999</v>
      </c>
      <c r="V181" s="1153">
        <v>279.16427599999997</v>
      </c>
      <c r="W181" s="1153">
        <v>280.36184700000001</v>
      </c>
      <c r="X181" s="1153">
        <v>282.06970200000001</v>
      </c>
      <c r="Y181" s="1153">
        <v>283.71215799999999</v>
      </c>
      <c r="Z181" s="1153">
        <v>285.311127</v>
      </c>
      <c r="AA181" s="1153">
        <v>286.93713400000001</v>
      </c>
      <c r="AB181" s="1153">
        <v>288.47421300000002</v>
      </c>
      <c r="AC181" s="1153">
        <v>290.11599699999999</v>
      </c>
      <c r="AD181" s="1153">
        <v>291.69601399999999</v>
      </c>
      <c r="AE181" s="1153">
        <v>293.13372800000002</v>
      </c>
      <c r="AF181" s="1153">
        <v>294.60513300000002</v>
      </c>
      <c r="AG181" s="1153">
        <v>296.03231799999998</v>
      </c>
      <c r="AH181" s="1153">
        <v>297.44515999999999</v>
      </c>
      <c r="AI181" s="1153">
        <v>298.81329299999999</v>
      </c>
      <c r="AJ181" s="1153">
        <v>300.20611600000001</v>
      </c>
      <c r="AK181" s="1153">
        <v>301.61502100000001</v>
      </c>
    </row>
    <row r="182" spans="2:38">
      <c r="B182" s="1159" t="s">
        <v>1180</v>
      </c>
      <c r="C182" s="1159" t="s">
        <v>1568</v>
      </c>
      <c r="D182" s="1160" t="s">
        <v>1278</v>
      </c>
      <c r="E182" s="1160">
        <v>929.45605499999999</v>
      </c>
      <c r="F182" s="1160">
        <v>1199.237793</v>
      </c>
      <c r="G182" s="1160">
        <v>1153.0067140000001</v>
      </c>
      <c r="H182" s="1160">
        <v>1004.883911</v>
      </c>
      <c r="I182" s="1160">
        <v>1191.615967</v>
      </c>
      <c r="J182" s="1160">
        <v>1192.5024410000001</v>
      </c>
      <c r="K182" s="1160">
        <v>1215.445068</v>
      </c>
      <c r="L182" s="1160">
        <v>1222.8754879999999</v>
      </c>
      <c r="M182" s="1160">
        <v>1233.051025</v>
      </c>
      <c r="N182" s="1160">
        <v>1242.366943</v>
      </c>
      <c r="O182" s="1160">
        <v>1250.1489260000001</v>
      </c>
      <c r="P182" s="1160">
        <v>1257.5498050000001</v>
      </c>
      <c r="Q182" s="1160">
        <v>1263.819336</v>
      </c>
      <c r="R182" s="1160">
        <v>1270.5825199999999</v>
      </c>
      <c r="S182" s="1160">
        <v>1280.5513920000001</v>
      </c>
      <c r="T182" s="1160">
        <v>1286.8198239999999</v>
      </c>
      <c r="U182" s="1160">
        <v>1292.622437</v>
      </c>
      <c r="V182" s="1160">
        <v>1298.365356</v>
      </c>
      <c r="W182" s="1160">
        <v>1303.4930420000001</v>
      </c>
      <c r="X182" s="1160">
        <v>1311.538452</v>
      </c>
      <c r="Y182" s="1160">
        <v>1319.1834719999999</v>
      </c>
      <c r="Z182" s="1160">
        <v>1326.5633539999999</v>
      </c>
      <c r="AA182" s="1160">
        <v>1333.7589109999999</v>
      </c>
      <c r="AB182" s="1160">
        <v>1340.049561</v>
      </c>
      <c r="AC182" s="1160">
        <v>1346.7814940000001</v>
      </c>
      <c r="AD182" s="1160">
        <v>1353.242798</v>
      </c>
      <c r="AE182" s="1160">
        <v>1359.174072</v>
      </c>
      <c r="AF182" s="1160">
        <v>1365.2272949999999</v>
      </c>
      <c r="AG182" s="1160">
        <v>1370.2382809999999</v>
      </c>
      <c r="AH182" s="1160">
        <v>1375.246582</v>
      </c>
      <c r="AI182" s="1160">
        <v>1380.1357419999999</v>
      </c>
      <c r="AJ182" s="1160">
        <v>1385.1987300000001</v>
      </c>
      <c r="AK182" s="1160">
        <v>1390.3923339999999</v>
      </c>
    </row>
    <row r="183" spans="2:38">
      <c r="B183" s="1161" t="s">
        <v>1275</v>
      </c>
      <c r="C183" s="1161"/>
      <c r="D183" s="1162"/>
      <c r="E183" s="1162"/>
      <c r="F183" s="1162"/>
      <c r="G183" s="1162"/>
      <c r="H183" s="1162"/>
      <c r="I183" s="1162"/>
      <c r="J183" s="1162"/>
      <c r="K183" s="1162"/>
      <c r="L183" s="1162"/>
      <c r="M183" s="1162"/>
      <c r="N183" s="1162"/>
      <c r="O183" s="1162"/>
      <c r="P183" s="1162"/>
      <c r="Q183" s="1162"/>
      <c r="R183" s="1162"/>
      <c r="S183" s="1162"/>
      <c r="T183" s="1162"/>
      <c r="U183" s="1162"/>
      <c r="V183" s="1162"/>
      <c r="W183" s="1162"/>
      <c r="X183" s="1162"/>
      <c r="Y183" s="1162"/>
      <c r="Z183" s="1162"/>
      <c r="AA183" s="1162"/>
      <c r="AB183" s="1162"/>
      <c r="AC183" s="1162"/>
      <c r="AD183" s="1162"/>
      <c r="AE183" s="1162"/>
      <c r="AF183" s="1162"/>
      <c r="AG183" s="1162"/>
      <c r="AH183" s="1162"/>
      <c r="AI183" s="1162"/>
      <c r="AJ183" s="1162"/>
      <c r="AK183" s="1162"/>
    </row>
    <row r="184" spans="2:38">
      <c r="B184" s="1158" t="s">
        <v>1276</v>
      </c>
      <c r="C184" s="1158" t="s">
        <v>1277</v>
      </c>
      <c r="D184" s="1153" t="s">
        <v>1278</v>
      </c>
      <c r="E184" s="1153">
        <v>417.901794</v>
      </c>
      <c r="F184" s="1153">
        <v>293.10726899999997</v>
      </c>
      <c r="G184" s="1153">
        <v>539.06939699999998</v>
      </c>
      <c r="H184" s="1153">
        <v>474.98880000000003</v>
      </c>
      <c r="I184" s="1153">
        <v>398.22903400000001</v>
      </c>
      <c r="J184" s="1153">
        <v>392.40237400000001</v>
      </c>
      <c r="K184" s="1153">
        <v>382.71301299999999</v>
      </c>
      <c r="L184" s="1153">
        <v>382.25430299999999</v>
      </c>
      <c r="M184" s="1153">
        <v>380.36743200000001</v>
      </c>
      <c r="N184" s="1153">
        <v>376.19537400000002</v>
      </c>
      <c r="O184" s="1153">
        <v>374.92507899999998</v>
      </c>
      <c r="P184" s="1153">
        <v>378.88085899999999</v>
      </c>
      <c r="Q184" s="1153">
        <v>380.57910199999998</v>
      </c>
      <c r="R184" s="1153">
        <v>378.15936299999998</v>
      </c>
      <c r="S184" s="1153">
        <v>375.21069299999999</v>
      </c>
      <c r="T184" s="1153">
        <v>373.5224</v>
      </c>
      <c r="U184" s="1153">
        <v>372.09875499999998</v>
      </c>
      <c r="V184" s="1153">
        <v>372.27310199999999</v>
      </c>
      <c r="W184" s="1153">
        <v>373.82455399999998</v>
      </c>
      <c r="X184" s="1153">
        <v>376.673157</v>
      </c>
      <c r="Y184" s="1153">
        <v>380.11990400000002</v>
      </c>
      <c r="Z184" s="1153">
        <v>382.75689699999998</v>
      </c>
      <c r="AA184" s="1153">
        <v>385.95413200000002</v>
      </c>
      <c r="AB184" s="1153">
        <v>389.87820399999998</v>
      </c>
      <c r="AC184" s="1153">
        <v>392.74517800000001</v>
      </c>
      <c r="AD184" s="1153">
        <v>395.00915500000002</v>
      </c>
      <c r="AE184" s="1153">
        <v>397.27270499999997</v>
      </c>
      <c r="AF184" s="1153">
        <v>400.03967299999999</v>
      </c>
      <c r="AG184" s="1153">
        <v>402.85168499999997</v>
      </c>
      <c r="AH184" s="1153">
        <v>405.53808600000002</v>
      </c>
      <c r="AI184" s="1153">
        <v>407.58914199999998</v>
      </c>
      <c r="AJ184" s="1153">
        <v>409.22262599999999</v>
      </c>
      <c r="AK184" s="1153">
        <v>412.46481299999999</v>
      </c>
    </row>
    <row r="185" spans="2:38">
      <c r="B185" s="1158" t="s">
        <v>1279</v>
      </c>
      <c r="C185" s="1158" t="s">
        <v>1280</v>
      </c>
      <c r="D185" s="1153" t="s">
        <v>1278</v>
      </c>
      <c r="E185" s="1153">
        <v>0</v>
      </c>
      <c r="F185" s="1153">
        <v>151.737717</v>
      </c>
      <c r="G185" s="1153">
        <v>36.667316</v>
      </c>
      <c r="H185" s="1153">
        <v>26.452926999999999</v>
      </c>
      <c r="I185" s="1153">
        <v>15.925979999999999</v>
      </c>
      <c r="J185" s="1153">
        <v>16.104175999999999</v>
      </c>
      <c r="K185" s="1153">
        <v>26.208683000000001</v>
      </c>
      <c r="L185" s="1153">
        <v>26.641974999999999</v>
      </c>
      <c r="M185" s="1153">
        <v>26.941082000000002</v>
      </c>
      <c r="N185" s="1153">
        <v>27.012893999999999</v>
      </c>
      <c r="O185" s="1153">
        <v>27.241817000000001</v>
      </c>
      <c r="P185" s="1153">
        <v>27.874137999999999</v>
      </c>
      <c r="Q185" s="1153">
        <v>28.309792000000002</v>
      </c>
      <c r="R185" s="1153">
        <v>28.417335999999999</v>
      </c>
      <c r="S185" s="1153">
        <v>28.459441999999999</v>
      </c>
      <c r="T185" s="1153">
        <v>28.556915</v>
      </c>
      <c r="U185" s="1153">
        <v>28.626728</v>
      </c>
      <c r="V185" s="1153">
        <v>28.792559000000001</v>
      </c>
      <c r="W185" s="1153">
        <v>29.063704000000001</v>
      </c>
      <c r="X185" s="1153">
        <v>29.462157999999999</v>
      </c>
      <c r="Y185" s="1153">
        <v>29.906448000000001</v>
      </c>
      <c r="Z185" s="1153">
        <v>30.281220999999999</v>
      </c>
      <c r="AA185" s="1153">
        <v>30.701145</v>
      </c>
      <c r="AB185" s="1153">
        <v>31.190007999999999</v>
      </c>
      <c r="AC185" s="1153">
        <v>31.596461999999999</v>
      </c>
      <c r="AD185" s="1153">
        <v>31.95722</v>
      </c>
      <c r="AE185" s="1153">
        <v>32.318958000000002</v>
      </c>
      <c r="AF185" s="1153">
        <v>32.727386000000003</v>
      </c>
      <c r="AG185" s="1153">
        <v>33.149971000000001</v>
      </c>
      <c r="AH185" s="1153">
        <v>33.564490999999997</v>
      </c>
      <c r="AI185" s="1153">
        <v>33.925559999999997</v>
      </c>
      <c r="AJ185" s="1153">
        <v>34.252997999999998</v>
      </c>
      <c r="AK185" s="1153">
        <v>34.731022000000003</v>
      </c>
    </row>
    <row r="186" spans="2:38">
      <c r="B186" s="1158" t="s">
        <v>1281</v>
      </c>
      <c r="C186" s="1158" t="s">
        <v>1282</v>
      </c>
      <c r="D186" s="1153" t="s">
        <v>1278</v>
      </c>
      <c r="E186" s="1153">
        <v>76.537361000000004</v>
      </c>
      <c r="F186" s="1153">
        <v>0</v>
      </c>
      <c r="G186" s="1153">
        <v>85.789107999999999</v>
      </c>
      <c r="H186" s="1153">
        <v>122.472893</v>
      </c>
      <c r="I186" s="1153">
        <v>124.17533899999999</v>
      </c>
      <c r="J186" s="1153">
        <v>122.801605</v>
      </c>
      <c r="K186" s="1153">
        <v>120.46698000000001</v>
      </c>
      <c r="L186" s="1153">
        <v>120.853149</v>
      </c>
      <c r="M186" s="1153">
        <v>120.560425</v>
      </c>
      <c r="N186" s="1153">
        <v>119.314392</v>
      </c>
      <c r="O186" s="1153">
        <v>118.90158099999999</v>
      </c>
      <c r="P186" s="1153">
        <v>120.283646</v>
      </c>
      <c r="Q186" s="1153">
        <v>120.893906</v>
      </c>
      <c r="R186" s="1153">
        <v>120.13046300000001</v>
      </c>
      <c r="S186" s="1153">
        <v>119.21526299999999</v>
      </c>
      <c r="T186" s="1153">
        <v>118.760559</v>
      </c>
      <c r="U186" s="1153">
        <v>118.43781300000001</v>
      </c>
      <c r="V186" s="1153">
        <v>118.69594600000001</v>
      </c>
      <c r="W186" s="1153">
        <v>119.44458</v>
      </c>
      <c r="X186" s="1153">
        <v>120.649078</v>
      </c>
      <c r="Y186" s="1153">
        <v>122.05875399999999</v>
      </c>
      <c r="Z186" s="1153">
        <v>123.207565</v>
      </c>
      <c r="AA186" s="1153">
        <v>124.57878100000001</v>
      </c>
      <c r="AB186" s="1153">
        <v>126.22034499999999</v>
      </c>
      <c r="AC186" s="1153">
        <v>127.465225</v>
      </c>
      <c r="AD186" s="1153">
        <v>128.518066</v>
      </c>
      <c r="AE186" s="1153">
        <v>129.55896000000001</v>
      </c>
      <c r="AF186" s="1153">
        <v>130.78317300000001</v>
      </c>
      <c r="AG186" s="1153">
        <v>132.02664200000001</v>
      </c>
      <c r="AH186" s="1153">
        <v>133.22749300000001</v>
      </c>
      <c r="AI186" s="1153">
        <v>134.192261</v>
      </c>
      <c r="AJ186" s="1153">
        <v>135.01527400000001</v>
      </c>
      <c r="AK186" s="1153">
        <v>136.399597</v>
      </c>
    </row>
    <row r="187" spans="2:38" ht="26.45">
      <c r="B187" s="1158" t="s">
        <v>1283</v>
      </c>
      <c r="C187" s="1158" t="s">
        <v>1284</v>
      </c>
      <c r="D187" s="1153" t="s">
        <v>1278</v>
      </c>
      <c r="E187" s="1153">
        <v>783.317993</v>
      </c>
      <c r="F187" s="1153">
        <v>831.70007299999997</v>
      </c>
      <c r="G187" s="1153">
        <v>841.76995799999997</v>
      </c>
      <c r="H187" s="1153">
        <v>864.10229500000003</v>
      </c>
      <c r="I187" s="1153">
        <v>877.12268100000006</v>
      </c>
      <c r="J187" s="1153">
        <v>838.28491199999996</v>
      </c>
      <c r="K187" s="1153">
        <v>803.33203100000003</v>
      </c>
      <c r="L187" s="1153">
        <v>885.28497300000004</v>
      </c>
      <c r="M187" s="1153">
        <v>896.76684599999999</v>
      </c>
      <c r="N187" s="1153">
        <v>910.66851799999995</v>
      </c>
      <c r="O187" s="1153">
        <v>920.57629399999996</v>
      </c>
      <c r="P187" s="1153">
        <v>929.12377900000001</v>
      </c>
      <c r="Q187" s="1153">
        <v>935.57904099999996</v>
      </c>
      <c r="R187" s="1153">
        <v>940.43713400000001</v>
      </c>
      <c r="S187" s="1153">
        <v>939.12109399999997</v>
      </c>
      <c r="T187" s="1153">
        <v>942.23821999999996</v>
      </c>
      <c r="U187" s="1153">
        <v>949.38445999999999</v>
      </c>
      <c r="V187" s="1153">
        <v>956.40106200000002</v>
      </c>
      <c r="W187" s="1153">
        <v>963.487122</v>
      </c>
      <c r="X187" s="1153">
        <v>972.20831299999998</v>
      </c>
      <c r="Y187" s="1153">
        <v>983.47558600000002</v>
      </c>
      <c r="Z187" s="1153">
        <v>994.22546399999999</v>
      </c>
      <c r="AA187" s="1153">
        <v>1006.13031</v>
      </c>
      <c r="AB187" s="1153">
        <v>1018.477905</v>
      </c>
      <c r="AC187" s="1153">
        <v>1028.916504</v>
      </c>
      <c r="AD187" s="1153">
        <v>1031.2604980000001</v>
      </c>
      <c r="AE187" s="1153">
        <v>1046.4487300000001</v>
      </c>
      <c r="AF187" s="1153">
        <v>1067.1621090000001</v>
      </c>
      <c r="AG187" s="1153">
        <v>1078.100342</v>
      </c>
      <c r="AH187" s="1153">
        <v>1093.349976</v>
      </c>
      <c r="AI187" s="1153">
        <v>1105.9754640000001</v>
      </c>
      <c r="AJ187" s="1153">
        <v>1118.7026370000001</v>
      </c>
      <c r="AK187" s="1153">
        <v>1132.0561520000001</v>
      </c>
    </row>
    <row r="188" spans="2:38">
      <c r="B188" s="1158" t="s">
        <v>1285</v>
      </c>
      <c r="C188" s="1158" t="s">
        <v>1286</v>
      </c>
      <c r="D188" s="1153" t="s">
        <v>1278</v>
      </c>
      <c r="E188" s="1153"/>
      <c r="F188" s="1153">
        <v>73.426392000000007</v>
      </c>
      <c r="G188" s="1153">
        <v>88.161124999999998</v>
      </c>
      <c r="H188" s="1153">
        <v>31.746123999999998</v>
      </c>
      <c r="I188" s="1153">
        <v>50.129589000000003</v>
      </c>
      <c r="J188" s="1153">
        <v>26.268929</v>
      </c>
      <c r="K188" s="1153">
        <v>29.216578999999999</v>
      </c>
      <c r="L188" s="1153">
        <v>32.777683000000003</v>
      </c>
      <c r="M188" s="1153">
        <v>36.096397000000003</v>
      </c>
      <c r="N188" s="1153">
        <v>38.955849000000001</v>
      </c>
      <c r="O188" s="1153">
        <v>41.855933999999998</v>
      </c>
      <c r="P188" s="1153">
        <v>45.165923999999997</v>
      </c>
      <c r="Q188" s="1153">
        <v>47.923813000000003</v>
      </c>
      <c r="R188" s="1153">
        <v>49.742634000000002</v>
      </c>
      <c r="S188" s="1153">
        <v>51.045906000000002</v>
      </c>
      <c r="T188" s="1153">
        <v>52.083545999999998</v>
      </c>
      <c r="U188" s="1153">
        <v>52.691352999999999</v>
      </c>
      <c r="V188" s="1153">
        <v>53.056812000000001</v>
      </c>
      <c r="W188" s="1153">
        <v>53.377541000000001</v>
      </c>
      <c r="X188" s="1153">
        <v>53.895325</v>
      </c>
      <c r="Y188" s="1153">
        <v>54.515915</v>
      </c>
      <c r="Z188" s="1153">
        <v>55.016876000000003</v>
      </c>
      <c r="AA188" s="1153">
        <v>55.612679</v>
      </c>
      <c r="AB188" s="1153">
        <v>56.328826999999997</v>
      </c>
      <c r="AC188" s="1153">
        <v>56.871670000000002</v>
      </c>
      <c r="AD188" s="1153">
        <v>57.324516000000003</v>
      </c>
      <c r="AE188" s="1153">
        <v>57.773651000000001</v>
      </c>
      <c r="AF188" s="1153">
        <v>58.306206000000003</v>
      </c>
      <c r="AG188" s="1153">
        <v>58.860320999999999</v>
      </c>
      <c r="AH188" s="1153">
        <v>59.395080999999998</v>
      </c>
      <c r="AI188" s="1153">
        <v>59.828186000000002</v>
      </c>
      <c r="AJ188" s="1153">
        <v>60.197830000000003</v>
      </c>
      <c r="AK188" s="1153">
        <v>60.825980999999999</v>
      </c>
    </row>
    <row r="189" spans="2:38" ht="26.45">
      <c r="B189" s="1158" t="s">
        <v>1287</v>
      </c>
      <c r="C189" s="1158" t="s">
        <v>1288</v>
      </c>
      <c r="D189" s="1153" t="s">
        <v>1278</v>
      </c>
      <c r="E189" s="1153">
        <v>1277.7570800000001</v>
      </c>
      <c r="F189" s="1153">
        <v>1349.971436</v>
      </c>
      <c r="G189" s="1153">
        <v>1591.456909</v>
      </c>
      <c r="H189" s="1153">
        <v>1519.762939</v>
      </c>
      <c r="I189" s="1153">
        <v>1465.582764</v>
      </c>
      <c r="J189" s="1153">
        <v>1395.861938</v>
      </c>
      <c r="K189" s="1153">
        <v>1361.9372559999999</v>
      </c>
      <c r="L189" s="1153">
        <v>1447.812134</v>
      </c>
      <c r="M189" s="1153">
        <v>1460.732178</v>
      </c>
      <c r="N189" s="1153">
        <v>1472.1469729999999</v>
      </c>
      <c r="O189" s="1153">
        <v>1483.500732</v>
      </c>
      <c r="P189" s="1153">
        <v>1501.3282469999999</v>
      </c>
      <c r="Q189" s="1153">
        <v>1513.2856449999999</v>
      </c>
      <c r="R189" s="1153">
        <v>1516.8869629999999</v>
      </c>
      <c r="S189" s="1153">
        <v>1513.0523679999999</v>
      </c>
      <c r="T189" s="1153">
        <v>1515.161621</v>
      </c>
      <c r="U189" s="1153">
        <v>1521.2392580000001</v>
      </c>
      <c r="V189" s="1153">
        <v>1529.2193600000001</v>
      </c>
      <c r="W189" s="1153">
        <v>1539.19751</v>
      </c>
      <c r="X189" s="1153">
        <v>1552.887939</v>
      </c>
      <c r="Y189" s="1153">
        <v>1570.0766599999999</v>
      </c>
      <c r="Z189" s="1153">
        <v>1585.4880370000001</v>
      </c>
      <c r="AA189" s="1153">
        <v>1602.9770510000001</v>
      </c>
      <c r="AB189" s="1153">
        <v>1622.095337</v>
      </c>
      <c r="AC189" s="1153">
        <v>1637.5950929999999</v>
      </c>
      <c r="AD189" s="1153">
        <v>1644.069336</v>
      </c>
      <c r="AE189" s="1153">
        <v>1663.373047</v>
      </c>
      <c r="AF189" s="1153">
        <v>1689.0185550000001</v>
      </c>
      <c r="AG189" s="1153">
        <v>1704.989014</v>
      </c>
      <c r="AH189" s="1153">
        <v>1725.0751949999999</v>
      </c>
      <c r="AI189" s="1153">
        <v>1741.5104980000001</v>
      </c>
      <c r="AJ189" s="1153">
        <v>1757.3914789999999</v>
      </c>
      <c r="AK189" s="1153">
        <v>1776.477539</v>
      </c>
    </row>
    <row r="190" spans="2:38">
      <c r="B190" s="1158" t="s">
        <v>740</v>
      </c>
      <c r="C190" s="1158" t="s">
        <v>1289</v>
      </c>
      <c r="D190" s="1153" t="s">
        <v>1278</v>
      </c>
      <c r="E190" s="1153">
        <v>329.53680400000002</v>
      </c>
      <c r="F190" s="1153">
        <v>16.676344</v>
      </c>
      <c r="G190" s="1153">
        <v>12.513315</v>
      </c>
      <c r="H190" s="1153">
        <v>220.41180399999999</v>
      </c>
      <c r="I190" s="1153">
        <v>215.09570299999999</v>
      </c>
      <c r="J190" s="1153">
        <v>200.60623200000001</v>
      </c>
      <c r="K190" s="1153">
        <v>197.28491199999999</v>
      </c>
      <c r="L190" s="1153">
        <v>198.24241599999999</v>
      </c>
      <c r="M190" s="1153">
        <v>198.35534699999999</v>
      </c>
      <c r="N190" s="1153">
        <v>197.14042699999999</v>
      </c>
      <c r="O190" s="1153">
        <v>196.92001300000001</v>
      </c>
      <c r="P190" s="1153">
        <v>198.91241500000001</v>
      </c>
      <c r="Q190" s="1153">
        <v>199.90763899999999</v>
      </c>
      <c r="R190" s="1153">
        <v>199.15048200000001</v>
      </c>
      <c r="S190" s="1153">
        <v>198.11352500000001</v>
      </c>
      <c r="T190" s="1153">
        <v>197.491409</v>
      </c>
      <c r="U190" s="1153">
        <v>196.78921500000001</v>
      </c>
      <c r="V190" s="1153">
        <v>196.58514400000001</v>
      </c>
      <c r="W190" s="1153">
        <v>196.97163399999999</v>
      </c>
      <c r="X190" s="1153">
        <v>197.905182</v>
      </c>
      <c r="Y190" s="1153">
        <v>198.86511200000001</v>
      </c>
      <c r="Z190" s="1153">
        <v>199.61163300000001</v>
      </c>
      <c r="AA190" s="1153">
        <v>200.39137299999999</v>
      </c>
      <c r="AB190" s="1153">
        <v>201.36689799999999</v>
      </c>
      <c r="AC190" s="1153">
        <v>201.893036</v>
      </c>
      <c r="AD190" s="1153">
        <v>202.29002399999999</v>
      </c>
      <c r="AE190" s="1153">
        <v>202.79025300000001</v>
      </c>
      <c r="AF190" s="1153">
        <v>203.458878</v>
      </c>
      <c r="AG190" s="1153">
        <v>202.03196700000001</v>
      </c>
      <c r="AH190" s="1153">
        <v>200.86987300000001</v>
      </c>
      <c r="AI190" s="1153">
        <v>199.75556900000001</v>
      </c>
      <c r="AJ190" s="1153">
        <v>198.74359100000001</v>
      </c>
      <c r="AK190" s="1153">
        <v>198.59123199999999</v>
      </c>
    </row>
    <row r="191" spans="2:38" ht="26.45">
      <c r="B191" s="1158" t="s">
        <v>1290</v>
      </c>
      <c r="C191" s="1158" t="s">
        <v>1291</v>
      </c>
      <c r="D191" s="1153" t="s">
        <v>1278</v>
      </c>
      <c r="E191" s="1153">
        <v>100.87915</v>
      </c>
      <c r="F191" s="1153">
        <v>213.77420000000001</v>
      </c>
      <c r="G191" s="1153">
        <v>161.766266</v>
      </c>
      <c r="H191" s="1153">
        <v>270.17559799999998</v>
      </c>
      <c r="I191" s="1153">
        <v>260.33200099999999</v>
      </c>
      <c r="J191" s="1153">
        <v>262.11892699999999</v>
      </c>
      <c r="K191" s="1153">
        <v>260.165009</v>
      </c>
      <c r="L191" s="1153">
        <v>263.80447400000003</v>
      </c>
      <c r="M191" s="1153">
        <v>265.87133799999998</v>
      </c>
      <c r="N191" s="1153">
        <v>265.77175899999997</v>
      </c>
      <c r="O191" s="1153">
        <v>267.36648600000001</v>
      </c>
      <c r="P191" s="1153">
        <v>272.92312600000002</v>
      </c>
      <c r="Q191" s="1153">
        <v>276.56497200000001</v>
      </c>
      <c r="R191" s="1153">
        <v>276.87716699999999</v>
      </c>
      <c r="S191" s="1153">
        <v>276.549103</v>
      </c>
      <c r="T191" s="1153">
        <v>276.93249500000002</v>
      </c>
      <c r="U191" s="1153">
        <v>277.23330700000002</v>
      </c>
      <c r="V191" s="1153">
        <v>278.53656000000001</v>
      </c>
      <c r="W191" s="1153">
        <v>280.85638399999999</v>
      </c>
      <c r="X191" s="1153">
        <v>284.286316</v>
      </c>
      <c r="Y191" s="1153">
        <v>288.20575000000002</v>
      </c>
      <c r="Z191" s="1153">
        <v>291.540863</v>
      </c>
      <c r="AA191" s="1153">
        <v>295.47744799999998</v>
      </c>
      <c r="AB191" s="1153">
        <v>300.08148199999999</v>
      </c>
      <c r="AC191" s="1153">
        <v>303.69912699999998</v>
      </c>
      <c r="AD191" s="1153">
        <v>306.86340300000001</v>
      </c>
      <c r="AE191" s="1153">
        <v>310.02810699999998</v>
      </c>
      <c r="AF191" s="1153">
        <v>313.65683000000001</v>
      </c>
      <c r="AG191" s="1153">
        <v>317.43075599999997</v>
      </c>
      <c r="AH191" s="1153">
        <v>321.12274200000002</v>
      </c>
      <c r="AI191" s="1153">
        <v>324.26965300000001</v>
      </c>
      <c r="AJ191" s="1153">
        <v>327.088684</v>
      </c>
      <c r="AK191" s="1153">
        <v>331.34307899999999</v>
      </c>
    </row>
    <row r="192" spans="2:38" s="1155" customFormat="1">
      <c r="B192" s="1159" t="s">
        <v>1180</v>
      </c>
      <c r="C192" s="1159" t="s">
        <v>1292</v>
      </c>
      <c r="D192" s="1160" t="s">
        <v>1278</v>
      </c>
      <c r="E192" s="1160">
        <v>1708.173096</v>
      </c>
      <c r="F192" s="1160">
        <v>1580.4219969999999</v>
      </c>
      <c r="G192" s="1160">
        <v>1765.7364500000001</v>
      </c>
      <c r="H192" s="1160">
        <v>2010.350342</v>
      </c>
      <c r="I192" s="1160">
        <v>1941.0104980000001</v>
      </c>
      <c r="J192" s="1160">
        <v>1858.5870359999999</v>
      </c>
      <c r="K192" s="1160">
        <v>1819.387207</v>
      </c>
      <c r="L192" s="1160">
        <v>1909.859009</v>
      </c>
      <c r="M192" s="1160">
        <v>1924.958862</v>
      </c>
      <c r="N192" s="1160">
        <v>1935.059082</v>
      </c>
      <c r="O192" s="1160">
        <v>1947.787231</v>
      </c>
      <c r="P192" s="1160">
        <v>1973.163818</v>
      </c>
      <c r="Q192" s="1160">
        <v>1989.7581789999999</v>
      </c>
      <c r="R192" s="1160">
        <v>1992.914673</v>
      </c>
      <c r="S192" s="1160">
        <v>1987.714966</v>
      </c>
      <c r="T192" s="1160">
        <v>1989.5855710000001</v>
      </c>
      <c r="U192" s="1160">
        <v>1995.2617190000001</v>
      </c>
      <c r="V192" s="1160">
        <v>2004.341064</v>
      </c>
      <c r="W192" s="1160">
        <v>2017.025635</v>
      </c>
      <c r="X192" s="1160">
        <v>2035.079346</v>
      </c>
      <c r="Y192" s="1160">
        <v>2057.147461</v>
      </c>
      <c r="Z192" s="1160">
        <v>2076.6403810000002</v>
      </c>
      <c r="AA192" s="1160">
        <v>2098.8459469999998</v>
      </c>
      <c r="AB192" s="1160">
        <v>2123.5437010000001</v>
      </c>
      <c r="AC192" s="1160">
        <v>2143.1872560000002</v>
      </c>
      <c r="AD192" s="1160">
        <v>2153.2226559999999</v>
      </c>
      <c r="AE192" s="1160">
        <v>2176.1914059999999</v>
      </c>
      <c r="AF192" s="1160">
        <v>2206.1342770000001</v>
      </c>
      <c r="AG192" s="1160">
        <v>2224.4516600000002</v>
      </c>
      <c r="AH192" s="1160">
        <v>2247.0678710000002</v>
      </c>
      <c r="AI192" s="1160">
        <v>2265.5356449999999</v>
      </c>
      <c r="AJ192" s="1160">
        <v>2283.2236330000001</v>
      </c>
      <c r="AK192" s="1160">
        <v>2306.411865</v>
      </c>
      <c r="AL192" s="875"/>
    </row>
    <row r="193" spans="2:38" s="1155" customFormat="1">
      <c r="B193" s="1161" t="s">
        <v>1569</v>
      </c>
      <c r="C193" s="1161"/>
      <c r="D193" s="1162"/>
      <c r="E193" s="1162"/>
      <c r="F193" s="1162"/>
      <c r="G193" s="1162"/>
      <c r="H193" s="1162"/>
      <c r="I193" s="1162"/>
      <c r="J193" s="1162"/>
      <c r="K193" s="1162"/>
      <c r="L193" s="1162"/>
      <c r="M193" s="1162"/>
      <c r="N193" s="1162"/>
      <c r="O193" s="1162"/>
      <c r="P193" s="1162"/>
      <c r="Q193" s="1162"/>
      <c r="R193" s="1162"/>
      <c r="S193" s="1162"/>
      <c r="T193" s="1162"/>
      <c r="U193" s="1162"/>
      <c r="V193" s="1162"/>
      <c r="W193" s="1162"/>
      <c r="X193" s="1162"/>
      <c r="Y193" s="1162"/>
      <c r="Z193" s="1162"/>
      <c r="AA193" s="1162"/>
      <c r="AB193" s="1162"/>
      <c r="AC193" s="1162"/>
      <c r="AD193" s="1162"/>
      <c r="AE193" s="1162"/>
      <c r="AF193" s="1162"/>
      <c r="AG193" s="1162"/>
      <c r="AH193" s="1162"/>
      <c r="AI193" s="1162"/>
      <c r="AJ193" s="1162"/>
      <c r="AK193" s="1162"/>
      <c r="AL193" s="875"/>
    </row>
    <row r="194" spans="2:38">
      <c r="B194" s="1158" t="s">
        <v>1294</v>
      </c>
      <c r="C194" s="1158" t="s">
        <v>1570</v>
      </c>
      <c r="D194" s="1153" t="s">
        <v>1278</v>
      </c>
      <c r="E194" s="1153">
        <v>66.876709000000005</v>
      </c>
      <c r="F194" s="1153">
        <v>13.861704</v>
      </c>
      <c r="G194" s="1153">
        <v>19.318365</v>
      </c>
      <c r="H194" s="1153">
        <v>5.0873759999999999</v>
      </c>
      <c r="I194" s="1153">
        <v>8.005884</v>
      </c>
      <c r="J194" s="1153">
        <v>6.7675400000000003</v>
      </c>
      <c r="K194" s="1153">
        <v>6.2905569999999997</v>
      </c>
      <c r="L194" s="1153">
        <v>6.0060409999999997</v>
      </c>
      <c r="M194" s="1153">
        <v>5.832808</v>
      </c>
      <c r="N194" s="1153">
        <v>5.6038110000000003</v>
      </c>
      <c r="O194" s="1153">
        <v>5.4242800000000004</v>
      </c>
      <c r="P194" s="1153">
        <v>5.2160399999999996</v>
      </c>
      <c r="Q194" s="1153">
        <v>5.0442159999999996</v>
      </c>
      <c r="R194" s="1153">
        <v>4.8604409999999998</v>
      </c>
      <c r="S194" s="1153">
        <v>4.7780269999999998</v>
      </c>
      <c r="T194" s="1153">
        <v>4.7285959999999996</v>
      </c>
      <c r="U194" s="1153">
        <v>4.6493270000000004</v>
      </c>
      <c r="V194" s="1153">
        <v>4.5995229999999996</v>
      </c>
      <c r="W194" s="1153">
        <v>4.5430070000000002</v>
      </c>
      <c r="X194" s="1153">
        <v>4.533487</v>
      </c>
      <c r="Y194" s="1153">
        <v>4.5010669999999999</v>
      </c>
      <c r="Z194" s="1153">
        <v>4.4503789999999999</v>
      </c>
      <c r="AA194" s="1153">
        <v>4.3772339999999996</v>
      </c>
      <c r="AB194" s="1153">
        <v>4.3529749999999998</v>
      </c>
      <c r="AC194" s="1153">
        <v>4.3334020000000004</v>
      </c>
      <c r="AD194" s="1153">
        <v>4.3414770000000003</v>
      </c>
      <c r="AE194" s="1153">
        <v>4.3475070000000002</v>
      </c>
      <c r="AF194" s="1153">
        <v>4.333361</v>
      </c>
      <c r="AG194" s="1153">
        <v>4.3297239999999997</v>
      </c>
      <c r="AH194" s="1153">
        <v>4.3119690000000004</v>
      </c>
      <c r="AI194" s="1153">
        <v>4.315658</v>
      </c>
      <c r="AJ194" s="1153">
        <v>4.3247960000000001</v>
      </c>
      <c r="AK194" s="1153">
        <v>4.3316169999999996</v>
      </c>
    </row>
    <row r="195" spans="2:38">
      <c r="B195" s="1158" t="s">
        <v>1276</v>
      </c>
      <c r="C195" s="1158" t="s">
        <v>1571</v>
      </c>
      <c r="D195" s="1153" t="s">
        <v>1278</v>
      </c>
      <c r="E195" s="1153">
        <v>83.138908000000001</v>
      </c>
      <c r="F195" s="1153">
        <v>388.021637</v>
      </c>
      <c r="G195" s="1153">
        <v>137.37034600000001</v>
      </c>
      <c r="H195" s="1153">
        <v>223.289886</v>
      </c>
      <c r="I195" s="1153">
        <v>222.08575400000001</v>
      </c>
      <c r="J195" s="1153">
        <v>217.055328</v>
      </c>
      <c r="K195" s="1153">
        <v>213.395645</v>
      </c>
      <c r="L195" s="1153">
        <v>207.54452499999999</v>
      </c>
      <c r="M195" s="1153">
        <v>201.75645399999999</v>
      </c>
      <c r="N195" s="1153">
        <v>195.11248800000001</v>
      </c>
      <c r="O195" s="1153">
        <v>190.440674</v>
      </c>
      <c r="P195" s="1153">
        <v>185.95742799999999</v>
      </c>
      <c r="Q195" s="1153">
        <v>183.48275799999999</v>
      </c>
      <c r="R195" s="1153">
        <v>181.68798799999999</v>
      </c>
      <c r="S195" s="1153">
        <v>180.853027</v>
      </c>
      <c r="T195" s="1153">
        <v>179.99667400000001</v>
      </c>
      <c r="U195" s="1153">
        <v>178.85867300000001</v>
      </c>
      <c r="V195" s="1153">
        <v>178.46107499999999</v>
      </c>
      <c r="W195" s="1153">
        <v>178.12063599999999</v>
      </c>
      <c r="X195" s="1153">
        <v>177.77709999999999</v>
      </c>
      <c r="Y195" s="1153">
        <v>177.377441</v>
      </c>
      <c r="Z195" s="1153">
        <v>177.40747099999999</v>
      </c>
      <c r="AA195" s="1153">
        <v>177.173813</v>
      </c>
      <c r="AB195" s="1153">
        <v>177.32626300000001</v>
      </c>
      <c r="AC195" s="1153">
        <v>177.69258099999999</v>
      </c>
      <c r="AD195" s="1153">
        <v>178.52229299999999</v>
      </c>
      <c r="AE195" s="1153">
        <v>179.24115</v>
      </c>
      <c r="AF195" s="1153">
        <v>179.58523600000001</v>
      </c>
      <c r="AG195" s="1153">
        <v>180.03317300000001</v>
      </c>
      <c r="AH195" s="1153">
        <v>179.78195199999999</v>
      </c>
      <c r="AI195" s="1153">
        <v>179.737213</v>
      </c>
      <c r="AJ195" s="1153">
        <v>179.985657</v>
      </c>
      <c r="AK195" s="1153">
        <v>180.526703</v>
      </c>
    </row>
    <row r="196" spans="2:38">
      <c r="B196" s="1158" t="s">
        <v>1281</v>
      </c>
      <c r="C196" s="1158" t="s">
        <v>1572</v>
      </c>
      <c r="D196" s="1153" t="s">
        <v>1278</v>
      </c>
      <c r="E196" s="1153">
        <v>32.978737000000002</v>
      </c>
      <c r="F196" s="1153">
        <v>64.116951</v>
      </c>
      <c r="G196" s="1153">
        <v>36.751457000000002</v>
      </c>
      <c r="H196" s="1153">
        <v>38.543059999999997</v>
      </c>
      <c r="I196" s="1153">
        <v>48.508167</v>
      </c>
      <c r="J196" s="1153">
        <v>47.684356999999999</v>
      </c>
      <c r="K196" s="1153">
        <v>47.170108999999997</v>
      </c>
      <c r="L196" s="1153">
        <v>46.597244000000003</v>
      </c>
      <c r="M196" s="1153">
        <v>46.201523000000002</v>
      </c>
      <c r="N196" s="1153">
        <v>45.401249</v>
      </c>
      <c r="O196" s="1153">
        <v>44.935692000000003</v>
      </c>
      <c r="P196" s="1153">
        <v>44.316066999999997</v>
      </c>
      <c r="Q196" s="1153">
        <v>44.08276</v>
      </c>
      <c r="R196" s="1153">
        <v>43.909213999999999</v>
      </c>
      <c r="S196" s="1153">
        <v>43.982799999999997</v>
      </c>
      <c r="T196" s="1153">
        <v>44.087353</v>
      </c>
      <c r="U196" s="1153">
        <v>44.103188000000003</v>
      </c>
      <c r="V196" s="1153">
        <v>44.168166999999997</v>
      </c>
      <c r="W196" s="1153">
        <v>44.273705</v>
      </c>
      <c r="X196" s="1153">
        <v>44.396416000000002</v>
      </c>
      <c r="Y196" s="1153">
        <v>44.431499000000002</v>
      </c>
      <c r="Z196" s="1153">
        <v>44.544201000000001</v>
      </c>
      <c r="AA196" s="1153">
        <v>44.496952</v>
      </c>
      <c r="AB196" s="1153">
        <v>44.513710000000003</v>
      </c>
      <c r="AC196" s="1153">
        <v>44.640555999999997</v>
      </c>
      <c r="AD196" s="1153">
        <v>44.878543999999998</v>
      </c>
      <c r="AE196" s="1153">
        <v>45.107123999999999</v>
      </c>
      <c r="AF196" s="1153">
        <v>45.162399000000001</v>
      </c>
      <c r="AG196" s="1153">
        <v>45.317574</v>
      </c>
      <c r="AH196" s="1153">
        <v>45.281802999999996</v>
      </c>
      <c r="AI196" s="1153">
        <v>45.425735000000003</v>
      </c>
      <c r="AJ196" s="1153">
        <v>45.641067999999997</v>
      </c>
      <c r="AK196" s="1153">
        <v>45.871310999999999</v>
      </c>
    </row>
    <row r="197" spans="2:38">
      <c r="B197" s="1158" t="s">
        <v>1285</v>
      </c>
      <c r="C197" s="1158" t="s">
        <v>1573</v>
      </c>
      <c r="D197" s="1153" t="s">
        <v>1278</v>
      </c>
      <c r="E197" s="1153">
        <v>0</v>
      </c>
      <c r="F197" s="1153">
        <v>113.735641</v>
      </c>
      <c r="G197" s="1153">
        <v>23.936053999999999</v>
      </c>
      <c r="H197" s="1153">
        <v>13.663601</v>
      </c>
      <c r="I197" s="1153">
        <v>27.182154000000001</v>
      </c>
      <c r="J197" s="1153">
        <v>14.101213</v>
      </c>
      <c r="K197" s="1153">
        <v>16.038578000000001</v>
      </c>
      <c r="L197" s="1153">
        <v>17.572921999999998</v>
      </c>
      <c r="M197" s="1153">
        <v>19.090907999999999</v>
      </c>
      <c r="N197" s="1153">
        <v>20.262682000000002</v>
      </c>
      <c r="O197" s="1153">
        <v>21.380752999999999</v>
      </c>
      <c r="P197" s="1153">
        <v>22.191289999999999</v>
      </c>
      <c r="Q197" s="1153">
        <v>23.194054000000001</v>
      </c>
      <c r="R197" s="1153">
        <v>24.106794000000001</v>
      </c>
      <c r="S197" s="1153">
        <v>25.001332999999999</v>
      </c>
      <c r="T197" s="1153">
        <v>25.672173999999998</v>
      </c>
      <c r="U197" s="1153">
        <v>26.022687999999999</v>
      </c>
      <c r="V197" s="1153">
        <v>26.184282</v>
      </c>
      <c r="W197" s="1153">
        <v>26.193919999999999</v>
      </c>
      <c r="X197" s="1153">
        <v>26.171358000000001</v>
      </c>
      <c r="Y197" s="1153">
        <v>26.090824000000001</v>
      </c>
      <c r="Z197" s="1153">
        <v>26.039331000000001</v>
      </c>
      <c r="AA197" s="1153">
        <v>25.905166999999999</v>
      </c>
      <c r="AB197" s="1153">
        <v>25.840612</v>
      </c>
      <c r="AC197" s="1153">
        <v>25.848913</v>
      </c>
      <c r="AD197" s="1153">
        <v>25.856224000000001</v>
      </c>
      <c r="AE197" s="1153">
        <v>25.856933999999999</v>
      </c>
      <c r="AF197" s="1153">
        <v>25.756682999999999</v>
      </c>
      <c r="AG197" s="1153">
        <v>25.733414</v>
      </c>
      <c r="AH197" s="1153">
        <v>25.625924999999999</v>
      </c>
      <c r="AI197" s="1153">
        <v>25.652685000000002</v>
      </c>
      <c r="AJ197" s="1153">
        <v>25.700144000000002</v>
      </c>
      <c r="AK197" s="1153">
        <v>25.707941000000002</v>
      </c>
    </row>
    <row r="198" spans="2:38" ht="26.45">
      <c r="B198" s="1158" t="s">
        <v>1287</v>
      </c>
      <c r="C198" s="1158" t="s">
        <v>1574</v>
      </c>
      <c r="D198" s="1153" t="s">
        <v>1278</v>
      </c>
      <c r="E198" s="1153">
        <v>182.99435399999999</v>
      </c>
      <c r="F198" s="1153">
        <v>579.73590100000001</v>
      </c>
      <c r="G198" s="1153">
        <v>217.376205</v>
      </c>
      <c r="H198" s="1153">
        <v>280.58392300000003</v>
      </c>
      <c r="I198" s="1153">
        <v>305.78198200000003</v>
      </c>
      <c r="J198" s="1153">
        <v>285.60845899999998</v>
      </c>
      <c r="K198" s="1153">
        <v>282.89489700000001</v>
      </c>
      <c r="L198" s="1153">
        <v>277.72076399999997</v>
      </c>
      <c r="M198" s="1153">
        <v>272.88168300000001</v>
      </c>
      <c r="N198" s="1153">
        <v>266.38021900000001</v>
      </c>
      <c r="O198" s="1153">
        <v>262.18139600000001</v>
      </c>
      <c r="P198" s="1153">
        <v>257.68081699999999</v>
      </c>
      <c r="Q198" s="1153">
        <v>255.80380199999999</v>
      </c>
      <c r="R198" s="1153">
        <v>254.564438</v>
      </c>
      <c r="S198" s="1153">
        <v>254.61518899999999</v>
      </c>
      <c r="T198" s="1153">
        <v>254.484802</v>
      </c>
      <c r="U198" s="1153">
        <v>253.63386499999999</v>
      </c>
      <c r="V198" s="1153">
        <v>253.41304</v>
      </c>
      <c r="W198" s="1153">
        <v>253.131271</v>
      </c>
      <c r="X198" s="1153">
        <v>252.87835699999999</v>
      </c>
      <c r="Y198" s="1153">
        <v>252.40083300000001</v>
      </c>
      <c r="Z198" s="1153">
        <v>252.44139100000001</v>
      </c>
      <c r="AA198" s="1153">
        <v>251.95315600000001</v>
      </c>
      <c r="AB198" s="1153">
        <v>252.033569</v>
      </c>
      <c r="AC198" s="1153">
        <v>252.51544200000001</v>
      </c>
      <c r="AD198" s="1153">
        <v>253.59854100000001</v>
      </c>
      <c r="AE198" s="1153">
        <v>254.55270400000001</v>
      </c>
      <c r="AF198" s="1153">
        <v>254.83767700000001</v>
      </c>
      <c r="AG198" s="1153">
        <v>255.413895</v>
      </c>
      <c r="AH198" s="1153">
        <v>255.00164799999999</v>
      </c>
      <c r="AI198" s="1153">
        <v>255.13128699999999</v>
      </c>
      <c r="AJ198" s="1153">
        <v>255.65167199999999</v>
      </c>
      <c r="AK198" s="1153">
        <v>256.43756100000002</v>
      </c>
    </row>
    <row r="199" spans="2:38">
      <c r="B199" s="1158" t="s">
        <v>740</v>
      </c>
      <c r="C199" s="1158" t="s">
        <v>1575</v>
      </c>
      <c r="D199" s="1153" t="s">
        <v>1278</v>
      </c>
      <c r="E199" s="1153">
        <v>254.931015</v>
      </c>
      <c r="F199" s="1153">
        <v>442.58850100000001</v>
      </c>
      <c r="G199" s="1153">
        <v>436.20275900000001</v>
      </c>
      <c r="H199" s="1153">
        <v>487.04937699999999</v>
      </c>
      <c r="I199" s="1153">
        <v>564.92944299999999</v>
      </c>
      <c r="J199" s="1153">
        <v>538.40069600000004</v>
      </c>
      <c r="K199" s="1153">
        <v>534.04022199999997</v>
      </c>
      <c r="L199" s="1153">
        <v>532.53564500000005</v>
      </c>
      <c r="M199" s="1153">
        <v>530.77587900000003</v>
      </c>
      <c r="N199" s="1153">
        <v>525.39257799999996</v>
      </c>
      <c r="O199" s="1153">
        <v>523.00500499999998</v>
      </c>
      <c r="P199" s="1153">
        <v>520.27093500000001</v>
      </c>
      <c r="Q199" s="1153">
        <v>518.94732699999997</v>
      </c>
      <c r="R199" s="1153">
        <v>517.41424600000005</v>
      </c>
      <c r="S199" s="1153">
        <v>517.70159899999999</v>
      </c>
      <c r="T199" s="1153">
        <v>517.85839799999997</v>
      </c>
      <c r="U199" s="1153">
        <v>517.27954099999999</v>
      </c>
      <c r="V199" s="1153">
        <v>517.17846699999996</v>
      </c>
      <c r="W199" s="1153">
        <v>517.54766800000004</v>
      </c>
      <c r="X199" s="1153">
        <v>518.38464399999998</v>
      </c>
      <c r="Y199" s="1153">
        <v>518.702271</v>
      </c>
      <c r="Z199" s="1153">
        <v>519.91119400000002</v>
      </c>
      <c r="AA199" s="1153">
        <v>520.04199200000005</v>
      </c>
      <c r="AB199" s="1153">
        <v>520.50732400000004</v>
      </c>
      <c r="AC199" s="1153">
        <v>521.44311500000003</v>
      </c>
      <c r="AD199" s="1153">
        <v>523.69226100000003</v>
      </c>
      <c r="AE199" s="1153">
        <v>525.85235599999999</v>
      </c>
      <c r="AF199" s="1153">
        <v>526.95910600000002</v>
      </c>
      <c r="AG199" s="1153">
        <v>528.07531700000004</v>
      </c>
      <c r="AH199" s="1153">
        <v>527.75451699999996</v>
      </c>
      <c r="AI199" s="1153">
        <v>528.15801999999996</v>
      </c>
      <c r="AJ199" s="1153">
        <v>529.20696999999996</v>
      </c>
      <c r="AK199" s="1153">
        <v>530.93670699999996</v>
      </c>
    </row>
    <row r="200" spans="2:38">
      <c r="B200" s="1158" t="s">
        <v>1576</v>
      </c>
      <c r="C200" s="1158" t="s">
        <v>1577</v>
      </c>
      <c r="D200" s="1153" t="s">
        <v>1278</v>
      </c>
      <c r="E200" s="1153">
        <v>1311.938232</v>
      </c>
      <c r="F200" s="1153">
        <v>1630.9051509999999</v>
      </c>
      <c r="G200" s="1153">
        <v>1865.005005</v>
      </c>
      <c r="H200" s="1153">
        <v>1908.4766850000001</v>
      </c>
      <c r="I200" s="1153">
        <v>2058.1088869999999</v>
      </c>
      <c r="J200" s="1153">
        <v>2092.7683109999998</v>
      </c>
      <c r="K200" s="1153">
        <v>2081.4267580000001</v>
      </c>
      <c r="L200" s="1153">
        <v>2090.5629880000001</v>
      </c>
      <c r="M200" s="1153">
        <v>2120.1450199999999</v>
      </c>
      <c r="N200" s="1153">
        <v>2120.570557</v>
      </c>
      <c r="O200" s="1153">
        <v>2152.6892090000001</v>
      </c>
      <c r="P200" s="1153">
        <v>2157.732422</v>
      </c>
      <c r="Q200" s="1153">
        <v>2169.5029300000001</v>
      </c>
      <c r="R200" s="1153">
        <v>2181.5991210000002</v>
      </c>
      <c r="S200" s="1153">
        <v>2211.1008299999999</v>
      </c>
      <c r="T200" s="1153">
        <v>2229.0566410000001</v>
      </c>
      <c r="U200" s="1153">
        <v>2246.7282709999999</v>
      </c>
      <c r="V200" s="1153">
        <v>2257.5561520000001</v>
      </c>
      <c r="W200" s="1153">
        <v>2286.3718260000001</v>
      </c>
      <c r="X200" s="1153">
        <v>2304.4689939999998</v>
      </c>
      <c r="Y200" s="1153">
        <v>2314.0822750000002</v>
      </c>
      <c r="Z200" s="1153">
        <v>2334.6286620000001</v>
      </c>
      <c r="AA200" s="1153">
        <v>2333.602539</v>
      </c>
      <c r="AB200" s="1153">
        <v>2335.8422850000002</v>
      </c>
      <c r="AC200" s="1153">
        <v>2353.1972660000001</v>
      </c>
      <c r="AD200" s="1153">
        <v>2370.9484859999998</v>
      </c>
      <c r="AE200" s="1153">
        <v>2396.3051759999998</v>
      </c>
      <c r="AF200" s="1153">
        <v>2404.6779790000001</v>
      </c>
      <c r="AG200" s="1153">
        <v>2414.688721</v>
      </c>
      <c r="AH200" s="1153">
        <v>2416.2065429999998</v>
      </c>
      <c r="AI200" s="1153">
        <v>2445.2197270000001</v>
      </c>
      <c r="AJ200" s="1153">
        <v>2460.186279</v>
      </c>
      <c r="AK200" s="1153">
        <v>2468.7202149999998</v>
      </c>
    </row>
    <row r="201" spans="2:38">
      <c r="B201" s="1158" t="s">
        <v>1303</v>
      </c>
      <c r="C201" s="1158" t="s">
        <v>1578</v>
      </c>
      <c r="D201" s="1153" t="s">
        <v>1278</v>
      </c>
      <c r="E201" s="1153">
        <v>9.6575900000000008</v>
      </c>
      <c r="F201" s="1153">
        <v>13.073924</v>
      </c>
      <c r="G201" s="1153">
        <v>84.983208000000005</v>
      </c>
      <c r="H201" s="1153">
        <v>22.309218999999999</v>
      </c>
      <c r="I201" s="1153">
        <v>9.3246649999999995</v>
      </c>
      <c r="J201" s="1153">
        <v>8.7132170000000002</v>
      </c>
      <c r="K201" s="1153">
        <v>8.7916790000000002</v>
      </c>
      <c r="L201" s="1153">
        <v>8.8830880000000008</v>
      </c>
      <c r="M201" s="1153">
        <v>8.9492630000000002</v>
      </c>
      <c r="N201" s="1153">
        <v>9.0005629999999996</v>
      </c>
      <c r="O201" s="1153">
        <v>9.0669339999999998</v>
      </c>
      <c r="P201" s="1153">
        <v>9.1327370000000005</v>
      </c>
      <c r="Q201" s="1153">
        <v>9.1895480000000003</v>
      </c>
      <c r="R201" s="1153">
        <v>9.2291089999999993</v>
      </c>
      <c r="S201" s="1153">
        <v>9.2595220000000005</v>
      </c>
      <c r="T201" s="1153">
        <v>9.2757290000000001</v>
      </c>
      <c r="U201" s="1153">
        <v>9.2730420000000002</v>
      </c>
      <c r="V201" s="1153">
        <v>9.2681489999999993</v>
      </c>
      <c r="W201" s="1153">
        <v>9.2613000000000003</v>
      </c>
      <c r="X201" s="1153">
        <v>9.2596729999999994</v>
      </c>
      <c r="Y201" s="1153">
        <v>9.2620290000000001</v>
      </c>
      <c r="Z201" s="1153">
        <v>9.2720800000000008</v>
      </c>
      <c r="AA201" s="1153">
        <v>9.2808200000000003</v>
      </c>
      <c r="AB201" s="1153">
        <v>9.2918350000000007</v>
      </c>
      <c r="AC201" s="1153">
        <v>9.3023190000000007</v>
      </c>
      <c r="AD201" s="1153">
        <v>9.3293820000000007</v>
      </c>
      <c r="AE201" s="1153">
        <v>9.3531840000000006</v>
      </c>
      <c r="AF201" s="1153">
        <v>9.3740260000000006</v>
      </c>
      <c r="AG201" s="1153">
        <v>9.3908830000000005</v>
      </c>
      <c r="AH201" s="1153">
        <v>9.3927460000000007</v>
      </c>
      <c r="AI201" s="1153">
        <v>9.3887549999999997</v>
      </c>
      <c r="AJ201" s="1153">
        <v>9.3916249999999994</v>
      </c>
      <c r="AK201" s="1153">
        <v>9.4071949999999998</v>
      </c>
    </row>
    <row r="202" spans="2:38">
      <c r="B202" s="1158" t="s">
        <v>1305</v>
      </c>
      <c r="C202" s="1158" t="s">
        <v>1579</v>
      </c>
      <c r="D202" s="1153" t="s">
        <v>1278</v>
      </c>
      <c r="E202" s="1153">
        <v>4.4840660000000003</v>
      </c>
      <c r="F202" s="1153">
        <v>5.8969820000000004</v>
      </c>
      <c r="G202" s="1153">
        <v>6.198194</v>
      </c>
      <c r="H202" s="1153">
        <v>4.9530659999999997</v>
      </c>
      <c r="I202" s="1153">
        <v>5.9800620000000002</v>
      </c>
      <c r="J202" s="1153">
        <v>6.3602689999999997</v>
      </c>
      <c r="K202" s="1153">
        <v>6.3671769999999999</v>
      </c>
      <c r="L202" s="1153">
        <v>6.4168250000000002</v>
      </c>
      <c r="M202" s="1153">
        <v>6.4966860000000004</v>
      </c>
      <c r="N202" s="1153">
        <v>6.5008720000000002</v>
      </c>
      <c r="O202" s="1153">
        <v>6.5382199999999999</v>
      </c>
      <c r="P202" s="1153">
        <v>6.5302629999999997</v>
      </c>
      <c r="Q202" s="1153">
        <v>6.5491039999999998</v>
      </c>
      <c r="R202" s="1153">
        <v>6.5649189999999997</v>
      </c>
      <c r="S202" s="1153">
        <v>6.6143470000000004</v>
      </c>
      <c r="T202" s="1153">
        <v>6.6622209999999997</v>
      </c>
      <c r="U202" s="1153">
        <v>6.6910160000000003</v>
      </c>
      <c r="V202" s="1153">
        <v>6.698455</v>
      </c>
      <c r="W202" s="1153">
        <v>6.7116530000000001</v>
      </c>
      <c r="X202" s="1153">
        <v>6.7306710000000001</v>
      </c>
      <c r="Y202" s="1153">
        <v>6.7286359999999998</v>
      </c>
      <c r="Z202" s="1153">
        <v>6.7382799999999996</v>
      </c>
      <c r="AA202" s="1153">
        <v>6.7137310000000001</v>
      </c>
      <c r="AB202" s="1153">
        <v>6.6947349999999997</v>
      </c>
      <c r="AC202" s="1153">
        <v>6.6972889999999996</v>
      </c>
      <c r="AD202" s="1153">
        <v>6.7147459999999999</v>
      </c>
      <c r="AE202" s="1153">
        <v>6.7325850000000003</v>
      </c>
      <c r="AF202" s="1153">
        <v>6.7173489999999996</v>
      </c>
      <c r="AG202" s="1153">
        <v>6.7231519999999998</v>
      </c>
      <c r="AH202" s="1153">
        <v>6.6993929999999997</v>
      </c>
      <c r="AI202" s="1153">
        <v>6.7123390000000001</v>
      </c>
      <c r="AJ202" s="1153">
        <v>6.7344439999999999</v>
      </c>
      <c r="AK202" s="1153">
        <v>6.7525589999999998</v>
      </c>
    </row>
    <row r="203" spans="2:38" ht="26.45">
      <c r="B203" s="1158" t="s">
        <v>1580</v>
      </c>
      <c r="C203" s="1158" t="s">
        <v>1581</v>
      </c>
      <c r="D203" s="1153" t="s">
        <v>1278</v>
      </c>
      <c r="E203" s="1153">
        <v>170.72242700000001</v>
      </c>
      <c r="F203" s="1153">
        <v>306.37014799999997</v>
      </c>
      <c r="G203" s="1153">
        <v>308.08032200000002</v>
      </c>
      <c r="H203" s="1153">
        <v>219.00268600000001</v>
      </c>
      <c r="I203" s="1153">
        <v>259.82714800000002</v>
      </c>
      <c r="J203" s="1153">
        <v>260.23825099999999</v>
      </c>
      <c r="K203" s="1153">
        <v>260.22250400000001</v>
      </c>
      <c r="L203" s="1153">
        <v>258.337219</v>
      </c>
      <c r="M203" s="1153">
        <v>256.042664</v>
      </c>
      <c r="N203" s="1153">
        <v>251.69624300000001</v>
      </c>
      <c r="O203" s="1153">
        <v>249.28836100000001</v>
      </c>
      <c r="P203" s="1153">
        <v>246.81170700000001</v>
      </c>
      <c r="Q203" s="1153">
        <v>245.97264100000001</v>
      </c>
      <c r="R203" s="1153">
        <v>245.599884</v>
      </c>
      <c r="S203" s="1153">
        <v>246.419342</v>
      </c>
      <c r="T203" s="1153">
        <v>247.05015599999999</v>
      </c>
      <c r="U203" s="1153">
        <v>247.03405799999999</v>
      </c>
      <c r="V203" s="1153">
        <v>247.417191</v>
      </c>
      <c r="W203" s="1153">
        <v>247.893799</v>
      </c>
      <c r="X203" s="1153">
        <v>248.65271000000001</v>
      </c>
      <c r="Y203" s="1153">
        <v>249.23623699999999</v>
      </c>
      <c r="Z203" s="1153">
        <v>250.23529099999999</v>
      </c>
      <c r="AA203" s="1153">
        <v>250.64030500000001</v>
      </c>
      <c r="AB203" s="1153">
        <v>251.46783400000001</v>
      </c>
      <c r="AC203" s="1153">
        <v>252.68817100000001</v>
      </c>
      <c r="AD203" s="1153">
        <v>254.748154</v>
      </c>
      <c r="AE203" s="1153">
        <v>256.67275999999998</v>
      </c>
      <c r="AF203" s="1153">
        <v>257.88913000000002</v>
      </c>
      <c r="AG203" s="1153">
        <v>259.357056</v>
      </c>
      <c r="AH203" s="1153">
        <v>259.66577100000001</v>
      </c>
      <c r="AI203" s="1153">
        <v>260.475098</v>
      </c>
      <c r="AJ203" s="1153">
        <v>261.79760700000003</v>
      </c>
      <c r="AK203" s="1153">
        <v>263.59271200000001</v>
      </c>
    </row>
    <row r="204" spans="2:38" ht="26.45">
      <c r="B204" s="1158" t="s">
        <v>1582</v>
      </c>
      <c r="C204" s="1158" t="s">
        <v>1583</v>
      </c>
      <c r="D204" s="1153" t="s">
        <v>1278</v>
      </c>
      <c r="E204" s="1153">
        <v>0</v>
      </c>
      <c r="F204" s="1153">
        <v>0</v>
      </c>
      <c r="G204" s="1153">
        <v>0</v>
      </c>
      <c r="H204" s="1153">
        <v>0</v>
      </c>
      <c r="I204" s="1153">
        <v>0</v>
      </c>
      <c r="J204" s="1153">
        <v>0</v>
      </c>
      <c r="K204" s="1153">
        <v>0</v>
      </c>
      <c r="L204" s="1153">
        <v>0</v>
      </c>
      <c r="M204" s="1153">
        <v>0</v>
      </c>
      <c r="N204" s="1153">
        <v>0</v>
      </c>
      <c r="O204" s="1153">
        <v>0</v>
      </c>
      <c r="P204" s="1153">
        <v>0</v>
      </c>
      <c r="Q204" s="1153">
        <v>0</v>
      </c>
      <c r="R204" s="1153">
        <v>0</v>
      </c>
      <c r="S204" s="1153">
        <v>0</v>
      </c>
      <c r="T204" s="1153">
        <v>0</v>
      </c>
      <c r="U204" s="1153">
        <v>0</v>
      </c>
      <c r="V204" s="1153">
        <v>0</v>
      </c>
      <c r="W204" s="1153">
        <v>0</v>
      </c>
      <c r="X204" s="1153">
        <v>0</v>
      </c>
      <c r="Y204" s="1153">
        <v>0</v>
      </c>
      <c r="Z204" s="1153">
        <v>0</v>
      </c>
      <c r="AA204" s="1153">
        <v>0</v>
      </c>
      <c r="AB204" s="1153">
        <v>0</v>
      </c>
      <c r="AC204" s="1153">
        <v>0</v>
      </c>
      <c r="AD204" s="1153">
        <v>0</v>
      </c>
      <c r="AE204" s="1153">
        <v>0</v>
      </c>
      <c r="AF204" s="1153">
        <v>0</v>
      </c>
      <c r="AG204" s="1153">
        <v>0</v>
      </c>
      <c r="AH204" s="1153">
        <v>0</v>
      </c>
      <c r="AI204" s="1153">
        <v>0</v>
      </c>
      <c r="AJ204" s="1153">
        <v>0</v>
      </c>
      <c r="AK204" s="1153">
        <v>0</v>
      </c>
    </row>
    <row r="205" spans="2:38" s="1155" customFormat="1">
      <c r="B205" s="1159" t="s">
        <v>1180</v>
      </c>
      <c r="C205" s="1159" t="s">
        <v>1584</v>
      </c>
      <c r="D205" s="1160" t="s">
        <v>1278</v>
      </c>
      <c r="E205" s="1160">
        <v>1934.727539</v>
      </c>
      <c r="F205" s="1160">
        <v>2978.570557</v>
      </c>
      <c r="G205" s="1160">
        <v>2917.845703</v>
      </c>
      <c r="H205" s="1160">
        <v>2922.375</v>
      </c>
      <c r="I205" s="1160">
        <v>3203.9521479999999</v>
      </c>
      <c r="J205" s="1160">
        <v>3192.0891109999998</v>
      </c>
      <c r="K205" s="1160">
        <v>3173.743164</v>
      </c>
      <c r="L205" s="1160">
        <v>3174.4562989999999</v>
      </c>
      <c r="M205" s="1160">
        <v>3195.29126</v>
      </c>
      <c r="N205" s="1160">
        <v>3179.5410160000001</v>
      </c>
      <c r="O205" s="1160">
        <v>3202.7690429999998</v>
      </c>
      <c r="P205" s="1160">
        <v>3198.1589359999998</v>
      </c>
      <c r="Q205" s="1160">
        <v>3205.9650879999999</v>
      </c>
      <c r="R205" s="1160">
        <v>3214.9716800000001</v>
      </c>
      <c r="S205" s="1160">
        <v>3245.710693</v>
      </c>
      <c r="T205" s="1160">
        <v>3264.3876949999999</v>
      </c>
      <c r="U205" s="1160">
        <v>3280.6396479999999</v>
      </c>
      <c r="V205" s="1160">
        <v>3291.5314939999998</v>
      </c>
      <c r="W205" s="1160">
        <v>3320.9174800000001</v>
      </c>
      <c r="X205" s="1160">
        <v>3340.375</v>
      </c>
      <c r="Y205" s="1160">
        <v>3350.4121089999999</v>
      </c>
      <c r="Z205" s="1160">
        <v>3373.226807</v>
      </c>
      <c r="AA205" s="1160">
        <v>3372.232422</v>
      </c>
      <c r="AB205" s="1160">
        <v>3375.8376459999999</v>
      </c>
      <c r="AC205" s="1160">
        <v>3395.8435060000002</v>
      </c>
      <c r="AD205" s="1160">
        <v>3419.0314939999998</v>
      </c>
      <c r="AE205" s="1160">
        <v>3449.4689939999998</v>
      </c>
      <c r="AF205" s="1160">
        <v>3460.455078</v>
      </c>
      <c r="AG205" s="1160">
        <v>3473.6489259999998</v>
      </c>
      <c r="AH205" s="1160">
        <v>3474.720703</v>
      </c>
      <c r="AI205" s="1160">
        <v>3505.0852049999999</v>
      </c>
      <c r="AJ205" s="1160">
        <v>3522.9685060000002</v>
      </c>
      <c r="AK205" s="1160">
        <v>3535.8469239999999</v>
      </c>
      <c r="AL205" s="875"/>
    </row>
    <row r="206" spans="2:38">
      <c r="B206" s="875"/>
      <c r="C206" s="875"/>
    </row>
    <row r="207" spans="2:38">
      <c r="B207" s="1155" t="s">
        <v>1309</v>
      </c>
      <c r="C207" s="875"/>
    </row>
    <row r="208" spans="2:38">
      <c r="B208" s="1155" t="s">
        <v>1311</v>
      </c>
      <c r="C208" s="875"/>
    </row>
    <row r="209" spans="2:38">
      <c r="B209" s="1155" t="s">
        <v>1585</v>
      </c>
      <c r="C209" s="875"/>
    </row>
    <row r="210" spans="2:38">
      <c r="B210" s="1155" t="s">
        <v>1312</v>
      </c>
      <c r="C210" s="875"/>
    </row>
    <row r="211" spans="2:38">
      <c r="B211" s="1155" t="s">
        <v>1313</v>
      </c>
      <c r="C211" s="875"/>
    </row>
    <row r="212" spans="2:38">
      <c r="B212" s="1155" t="s">
        <v>1314</v>
      </c>
      <c r="C212" s="875"/>
    </row>
    <row r="213" spans="2:38">
      <c r="B213" s="1155" t="s">
        <v>1315</v>
      </c>
      <c r="C213" s="875"/>
    </row>
    <row r="214" spans="2:38">
      <c r="B214" s="1155" t="s">
        <v>1316</v>
      </c>
      <c r="C214" s="875"/>
    </row>
    <row r="215" spans="2:38">
      <c r="B215" s="1155" t="s">
        <v>1317</v>
      </c>
      <c r="C215" s="875"/>
    </row>
    <row r="216" spans="2:38">
      <c r="B216" s="875"/>
      <c r="C216" s="875"/>
    </row>
    <row r="217" spans="2:38">
      <c r="B217" s="875"/>
      <c r="C217" s="875"/>
    </row>
    <row r="218" spans="2:38">
      <c r="B218" s="875"/>
      <c r="C218" s="875"/>
    </row>
    <row r="219" spans="2:38">
      <c r="B219" s="875"/>
      <c r="C219" s="875"/>
    </row>
    <row r="220" spans="2:38" ht="13.9" thickBot="1">
      <c r="B220" s="1333" t="s">
        <v>1273</v>
      </c>
      <c r="C220" s="1156"/>
      <c r="D220" s="1156" t="s">
        <v>1274</v>
      </c>
      <c r="E220" s="1156">
        <v>2010</v>
      </c>
      <c r="F220" s="1156">
        <v>2015</v>
      </c>
      <c r="G220" s="1156">
        <v>2020</v>
      </c>
      <c r="H220" s="1156">
        <v>2021</v>
      </c>
      <c r="I220" s="1156">
        <v>2022</v>
      </c>
      <c r="J220" s="1156">
        <v>2023</v>
      </c>
      <c r="K220" s="1156">
        <v>2024</v>
      </c>
      <c r="L220" s="1156">
        <v>2025</v>
      </c>
      <c r="M220" s="1156">
        <v>2026</v>
      </c>
      <c r="N220" s="1156">
        <v>2027</v>
      </c>
      <c r="O220" s="1156">
        <v>2028</v>
      </c>
      <c r="P220" s="1156">
        <v>2029</v>
      </c>
      <c r="Q220" s="1156">
        <v>2030</v>
      </c>
      <c r="R220" s="1156">
        <v>2031</v>
      </c>
      <c r="S220" s="1156">
        <v>2032</v>
      </c>
      <c r="T220" s="1156">
        <v>2033</v>
      </c>
      <c r="U220" s="1156">
        <v>2034</v>
      </c>
      <c r="V220" s="1156">
        <v>2035</v>
      </c>
      <c r="W220" s="1156">
        <v>2036</v>
      </c>
      <c r="X220" s="1156">
        <v>2037</v>
      </c>
      <c r="Y220" s="1156">
        <v>2038</v>
      </c>
      <c r="Z220" s="1156">
        <v>2039</v>
      </c>
      <c r="AA220" s="1156">
        <v>2040</v>
      </c>
      <c r="AB220" s="1156">
        <v>2041</v>
      </c>
      <c r="AC220" s="1156">
        <v>2042</v>
      </c>
      <c r="AD220" s="1156">
        <v>2043</v>
      </c>
      <c r="AE220" s="1156">
        <v>2044</v>
      </c>
      <c r="AF220" s="1156">
        <v>2045</v>
      </c>
      <c r="AG220" s="1156">
        <v>2046</v>
      </c>
      <c r="AH220" s="1156">
        <v>2047</v>
      </c>
      <c r="AI220" s="1156">
        <v>2048</v>
      </c>
      <c r="AJ220" s="1156">
        <v>2049</v>
      </c>
      <c r="AK220" s="1156">
        <v>2050</v>
      </c>
    </row>
    <row r="221" spans="2:38" s="1155" customFormat="1">
      <c r="B221" s="1161" t="s">
        <v>1293</v>
      </c>
      <c r="C221" s="1161"/>
      <c r="D221" s="1162"/>
      <c r="E221" s="1162"/>
      <c r="F221" s="1162"/>
      <c r="G221" s="1162"/>
      <c r="H221" s="1162"/>
      <c r="I221" s="1162"/>
      <c r="J221" s="1162"/>
      <c r="K221" s="1162"/>
      <c r="L221" s="1162"/>
      <c r="M221" s="1162"/>
      <c r="N221" s="1162"/>
      <c r="O221" s="1162"/>
      <c r="P221" s="1162"/>
      <c r="Q221" s="1162"/>
      <c r="R221" s="1162"/>
      <c r="S221" s="1162"/>
      <c r="T221" s="1162"/>
      <c r="U221" s="1162"/>
      <c r="V221" s="1162"/>
      <c r="W221" s="1162"/>
      <c r="X221" s="1162"/>
      <c r="Y221" s="1162"/>
      <c r="Z221" s="1162"/>
      <c r="AA221" s="1162"/>
      <c r="AB221" s="1162"/>
      <c r="AC221" s="1162"/>
      <c r="AD221" s="1162"/>
      <c r="AE221" s="1162"/>
      <c r="AF221" s="1162"/>
      <c r="AG221" s="1162"/>
      <c r="AH221" s="1162"/>
      <c r="AI221" s="1162"/>
      <c r="AJ221" s="1162"/>
      <c r="AK221" s="1162"/>
      <c r="AL221" s="875"/>
    </row>
    <row r="222" spans="2:38">
      <c r="B222" s="1153" t="s">
        <v>1294</v>
      </c>
      <c r="C222" s="1153" t="s">
        <v>1295</v>
      </c>
      <c r="D222" s="1153" t="s">
        <v>1278</v>
      </c>
      <c r="E222" s="1153">
        <v>44.090553</v>
      </c>
      <c r="F222" s="1153">
        <v>1.1499470000000001</v>
      </c>
      <c r="G222" s="1153">
        <v>3.5539770000000002</v>
      </c>
      <c r="H222" s="1153">
        <v>27.532143000000001</v>
      </c>
      <c r="I222" s="1153">
        <v>34.950839999999999</v>
      </c>
      <c r="J222" s="1153">
        <v>40.572555999999999</v>
      </c>
      <c r="K222" s="1153">
        <v>27.147631000000001</v>
      </c>
      <c r="L222" s="1153">
        <v>23.272955</v>
      </c>
      <c r="M222" s="1153">
        <v>21.742771000000001</v>
      </c>
      <c r="N222" s="1153">
        <v>20.544149000000001</v>
      </c>
      <c r="O222" s="1153">
        <v>19.559303</v>
      </c>
      <c r="P222" s="1153">
        <v>19.004791000000001</v>
      </c>
      <c r="Q222" s="1153">
        <v>18.616489000000001</v>
      </c>
      <c r="R222" s="1153">
        <v>18.476471</v>
      </c>
      <c r="S222" s="1153">
        <v>18.547514</v>
      </c>
      <c r="T222" s="1153">
        <v>18.888978999999999</v>
      </c>
      <c r="U222" s="1153">
        <v>19.386892</v>
      </c>
      <c r="V222" s="1153">
        <v>20.071380999999999</v>
      </c>
      <c r="W222" s="1153">
        <v>20.554195</v>
      </c>
      <c r="X222" s="1153">
        <v>21.155733000000001</v>
      </c>
      <c r="Y222" s="1153">
        <v>22.047943</v>
      </c>
      <c r="Z222" s="1153">
        <v>22.271702000000001</v>
      </c>
      <c r="AA222" s="1153">
        <v>23.208603</v>
      </c>
      <c r="AB222" s="1153">
        <v>23.924320000000002</v>
      </c>
      <c r="AC222" s="1153">
        <v>24.421348999999999</v>
      </c>
      <c r="AD222" s="1153">
        <v>24.529907000000001</v>
      </c>
      <c r="AE222" s="1153">
        <v>24.719733999999999</v>
      </c>
      <c r="AF222" s="1153">
        <v>24.979818000000002</v>
      </c>
      <c r="AG222" s="1153">
        <v>24.994133000000001</v>
      </c>
      <c r="AH222" s="1153">
        <v>25.221240999999999</v>
      </c>
      <c r="AI222" s="1153">
        <v>25.184864000000001</v>
      </c>
      <c r="AJ222" s="1153">
        <v>25.148603000000001</v>
      </c>
      <c r="AK222" s="1153">
        <v>25.388667999999999</v>
      </c>
    </row>
    <row r="223" spans="2:38">
      <c r="B223" s="1153" t="s">
        <v>1276</v>
      </c>
      <c r="C223" s="1153" t="s">
        <v>1296</v>
      </c>
      <c r="D223" s="1153" t="s">
        <v>1278</v>
      </c>
      <c r="E223" s="1153">
        <v>8.3199269999999999</v>
      </c>
      <c r="F223" s="1153">
        <v>3.8897059999999999</v>
      </c>
      <c r="G223" s="1153">
        <v>3.0564100000000001</v>
      </c>
      <c r="H223" s="1153">
        <v>4.5881980000000002</v>
      </c>
      <c r="I223" s="1153">
        <v>3.9407079999999999</v>
      </c>
      <c r="J223" s="1153">
        <v>4.4438750000000002</v>
      </c>
      <c r="K223" s="1153">
        <v>3.972874</v>
      </c>
      <c r="L223" s="1153">
        <v>3.9216250000000001</v>
      </c>
      <c r="M223" s="1153">
        <v>3.9430049999999999</v>
      </c>
      <c r="N223" s="1153">
        <v>3.9924400000000002</v>
      </c>
      <c r="O223" s="1153">
        <v>4.0465540000000004</v>
      </c>
      <c r="P223" s="1153">
        <v>4.0177490000000002</v>
      </c>
      <c r="Q223" s="1153">
        <v>4.0026489999999999</v>
      </c>
      <c r="R223" s="1153">
        <v>3.9804900000000001</v>
      </c>
      <c r="S223" s="1153">
        <v>3.9728309999999998</v>
      </c>
      <c r="T223" s="1153">
        <v>3.9834239999999999</v>
      </c>
      <c r="U223" s="1153">
        <v>4.0164780000000002</v>
      </c>
      <c r="V223" s="1153">
        <v>4.0544269999999996</v>
      </c>
      <c r="W223" s="1153">
        <v>4.0837849999999998</v>
      </c>
      <c r="X223" s="1153">
        <v>4.1107589999999998</v>
      </c>
      <c r="Y223" s="1153">
        <v>4.1619029999999997</v>
      </c>
      <c r="Z223" s="1153">
        <v>4.1796670000000002</v>
      </c>
      <c r="AA223" s="1153">
        <v>4.227811</v>
      </c>
      <c r="AB223" s="1153">
        <v>4.2576450000000001</v>
      </c>
      <c r="AC223" s="1153">
        <v>4.2925750000000003</v>
      </c>
      <c r="AD223" s="1153">
        <v>4.2972830000000002</v>
      </c>
      <c r="AE223" s="1153">
        <v>4.3152340000000002</v>
      </c>
      <c r="AF223" s="1153">
        <v>4.3258640000000002</v>
      </c>
      <c r="AG223" s="1153">
        <v>4.3129770000000001</v>
      </c>
      <c r="AH223" s="1153">
        <v>4.3237800000000002</v>
      </c>
      <c r="AI223" s="1153">
        <v>4.3171939999999998</v>
      </c>
      <c r="AJ223" s="1153">
        <v>4.3061889999999998</v>
      </c>
      <c r="AK223" s="1153">
        <v>4.3138329999999998</v>
      </c>
    </row>
    <row r="224" spans="2:38">
      <c r="B224" s="1153" t="s">
        <v>1279</v>
      </c>
      <c r="C224" s="1153" t="s">
        <v>1297</v>
      </c>
      <c r="D224" s="1153" t="s">
        <v>1278</v>
      </c>
      <c r="E224" s="1153"/>
      <c r="F224" s="1153">
        <v>4.5278390000000002</v>
      </c>
      <c r="G224" s="1153">
        <v>2.922742</v>
      </c>
      <c r="H224" s="1153">
        <v>0.58176300000000003</v>
      </c>
      <c r="I224" s="1153">
        <v>0.299655</v>
      </c>
      <c r="J224" s="1153">
        <v>0.32201000000000002</v>
      </c>
      <c r="K224" s="1153">
        <v>0.18301300000000001</v>
      </c>
      <c r="L224" s="1153">
        <v>0.191529</v>
      </c>
      <c r="M224" s="1153">
        <v>0.197103</v>
      </c>
      <c r="N224" s="1153">
        <v>0.20072499999999999</v>
      </c>
      <c r="O224" s="1153">
        <v>0.20125599999999999</v>
      </c>
      <c r="P224" s="1153">
        <v>0.20036300000000001</v>
      </c>
      <c r="Q224" s="1153">
        <v>0.19803499999999999</v>
      </c>
      <c r="R224" s="1153">
        <v>0.194933</v>
      </c>
      <c r="S224" s="1153">
        <v>0.191057</v>
      </c>
      <c r="T224" s="1153">
        <v>0.187749</v>
      </c>
      <c r="U224" s="1153">
        <v>0.185864</v>
      </c>
      <c r="V224" s="1153">
        <v>0.18539600000000001</v>
      </c>
      <c r="W224" s="1153">
        <v>0.18515899999999999</v>
      </c>
      <c r="X224" s="1153">
        <v>0.184586</v>
      </c>
      <c r="Y224" s="1153">
        <v>0.18356500000000001</v>
      </c>
      <c r="Z224" s="1153">
        <v>0.18434600000000001</v>
      </c>
      <c r="AA224" s="1153">
        <v>0.18319099999999999</v>
      </c>
      <c r="AB224" s="1153">
        <v>0.18230099999999999</v>
      </c>
      <c r="AC224" s="1153">
        <v>0.18245700000000001</v>
      </c>
      <c r="AD224" s="1153">
        <v>0.18298600000000001</v>
      </c>
      <c r="AE224" s="1153">
        <v>0.18359700000000001</v>
      </c>
      <c r="AF224" s="1153">
        <v>0.18352599999999999</v>
      </c>
      <c r="AG224" s="1153">
        <v>0.18363599999999999</v>
      </c>
      <c r="AH224" s="1153">
        <v>0.18354599999999999</v>
      </c>
      <c r="AI224" s="1153">
        <v>0.18293699999999999</v>
      </c>
      <c r="AJ224" s="1153">
        <v>0.18279799999999999</v>
      </c>
      <c r="AK224" s="1153">
        <v>0.182703</v>
      </c>
    </row>
    <row r="225" spans="2:37">
      <c r="B225" s="1153" t="s">
        <v>1298</v>
      </c>
      <c r="C225" s="1153" t="s">
        <v>1299</v>
      </c>
      <c r="D225" s="1153" t="s">
        <v>1278</v>
      </c>
      <c r="E225" s="1153">
        <v>6.0053320000000001</v>
      </c>
      <c r="F225" s="1153">
        <v>1.6164350000000001</v>
      </c>
      <c r="G225" s="1153">
        <v>0</v>
      </c>
      <c r="H225" s="1153">
        <v>0</v>
      </c>
      <c r="I225" s="1153">
        <v>0</v>
      </c>
      <c r="J225" s="1153">
        <v>0</v>
      </c>
      <c r="K225" s="1153">
        <v>0</v>
      </c>
      <c r="L225" s="1153">
        <v>0</v>
      </c>
      <c r="M225" s="1153">
        <v>0</v>
      </c>
      <c r="N225" s="1153">
        <v>0</v>
      </c>
      <c r="O225" s="1153">
        <v>0</v>
      </c>
      <c r="P225" s="1153">
        <v>0</v>
      </c>
      <c r="Q225" s="1153">
        <v>0</v>
      </c>
      <c r="R225" s="1153">
        <v>0</v>
      </c>
      <c r="S225" s="1153">
        <v>0</v>
      </c>
      <c r="T225" s="1153">
        <v>0</v>
      </c>
      <c r="U225" s="1153">
        <v>0</v>
      </c>
      <c r="V225" s="1153">
        <v>0</v>
      </c>
      <c r="W225" s="1153">
        <v>0</v>
      </c>
      <c r="X225" s="1153">
        <v>0</v>
      </c>
      <c r="Y225" s="1153">
        <v>0</v>
      </c>
      <c r="Z225" s="1153">
        <v>0</v>
      </c>
      <c r="AA225" s="1153">
        <v>0</v>
      </c>
      <c r="AB225" s="1153">
        <v>0</v>
      </c>
      <c r="AC225" s="1153">
        <v>0</v>
      </c>
      <c r="AD225" s="1153">
        <v>0</v>
      </c>
      <c r="AE225" s="1153">
        <v>0</v>
      </c>
      <c r="AF225" s="1153">
        <v>0</v>
      </c>
      <c r="AG225" s="1153">
        <v>0</v>
      </c>
      <c r="AH225" s="1153">
        <v>0</v>
      </c>
      <c r="AI225" s="1153">
        <v>0</v>
      </c>
      <c r="AJ225" s="1153">
        <v>0</v>
      </c>
      <c r="AK225" s="1153">
        <v>0</v>
      </c>
    </row>
    <row r="226" spans="2:37">
      <c r="B226" s="1153" t="s">
        <v>1285</v>
      </c>
      <c r="C226" s="1153" t="s">
        <v>1300</v>
      </c>
      <c r="D226" s="1153" t="s">
        <v>1278</v>
      </c>
      <c r="E226" s="1153">
        <v>3.3325809999999998</v>
      </c>
      <c r="F226" s="1153">
        <v>1.1073379999999999</v>
      </c>
      <c r="G226" s="1153">
        <v>0</v>
      </c>
      <c r="H226" s="1153">
        <v>0</v>
      </c>
      <c r="I226" s="1153">
        <v>0</v>
      </c>
      <c r="J226" s="1153">
        <v>0</v>
      </c>
      <c r="K226" s="1153">
        <v>0</v>
      </c>
      <c r="L226" s="1153">
        <v>0</v>
      </c>
      <c r="M226" s="1153">
        <v>0</v>
      </c>
      <c r="N226" s="1153">
        <v>0</v>
      </c>
      <c r="O226" s="1153">
        <v>0</v>
      </c>
      <c r="P226" s="1153">
        <v>0</v>
      </c>
      <c r="Q226" s="1153">
        <v>0</v>
      </c>
      <c r="R226" s="1153">
        <v>0</v>
      </c>
      <c r="S226" s="1153">
        <v>0</v>
      </c>
      <c r="T226" s="1153">
        <v>0</v>
      </c>
      <c r="U226" s="1153">
        <v>0</v>
      </c>
      <c r="V226" s="1153">
        <v>0</v>
      </c>
      <c r="W226" s="1153">
        <v>0</v>
      </c>
      <c r="X226" s="1153">
        <v>0</v>
      </c>
      <c r="Y226" s="1153">
        <v>0</v>
      </c>
      <c r="Z226" s="1153">
        <v>0</v>
      </c>
      <c r="AA226" s="1153">
        <v>0</v>
      </c>
      <c r="AB226" s="1153">
        <v>0</v>
      </c>
      <c r="AC226" s="1153">
        <v>0</v>
      </c>
      <c r="AD226" s="1153">
        <v>0</v>
      </c>
      <c r="AE226" s="1153">
        <v>0</v>
      </c>
      <c r="AF226" s="1153">
        <v>0</v>
      </c>
      <c r="AG226" s="1153">
        <v>0</v>
      </c>
      <c r="AH226" s="1153">
        <v>0</v>
      </c>
      <c r="AI226" s="1153">
        <v>0</v>
      </c>
      <c r="AJ226" s="1153">
        <v>0</v>
      </c>
      <c r="AK226" s="1153">
        <v>0</v>
      </c>
    </row>
    <row r="227" spans="2:37">
      <c r="B227" s="1153" t="s">
        <v>1287</v>
      </c>
      <c r="C227" s="1153" t="s">
        <v>1301</v>
      </c>
      <c r="D227" s="1153" t="s">
        <v>1278</v>
      </c>
      <c r="E227" s="1153">
        <v>5.6983750000000004</v>
      </c>
      <c r="F227" s="1153">
        <v>12.291264</v>
      </c>
      <c r="G227" s="1153">
        <v>9.5331290000000006</v>
      </c>
      <c r="H227" s="1153">
        <v>32.702103000000001</v>
      </c>
      <c r="I227" s="1153">
        <v>39.191203999999999</v>
      </c>
      <c r="J227" s="1153">
        <v>45.338439999999999</v>
      </c>
      <c r="K227" s="1153">
        <v>31.303518</v>
      </c>
      <c r="L227" s="1153">
        <v>27.386108</v>
      </c>
      <c r="M227" s="1153">
        <v>25.882878999999999</v>
      </c>
      <c r="N227" s="1153">
        <v>24.737314000000001</v>
      </c>
      <c r="O227" s="1153">
        <v>23.807113999999999</v>
      </c>
      <c r="P227" s="1153">
        <v>23.222904</v>
      </c>
      <c r="Q227" s="1153">
        <v>22.817173</v>
      </c>
      <c r="R227" s="1153">
        <v>22.651893999999999</v>
      </c>
      <c r="S227" s="1153">
        <v>22.711403000000001</v>
      </c>
      <c r="T227" s="1153">
        <v>23.06015</v>
      </c>
      <c r="U227" s="1153">
        <v>23.589233</v>
      </c>
      <c r="V227" s="1153">
        <v>24.311202999999999</v>
      </c>
      <c r="W227" s="1153">
        <v>24.823141</v>
      </c>
      <c r="X227" s="1153">
        <v>25.451077000000002</v>
      </c>
      <c r="Y227" s="1153">
        <v>26.393412000000001</v>
      </c>
      <c r="Z227" s="1153">
        <v>26.635715000000001</v>
      </c>
      <c r="AA227" s="1153">
        <v>27.619603999999999</v>
      </c>
      <c r="AB227" s="1153">
        <v>28.364265</v>
      </c>
      <c r="AC227" s="1153">
        <v>28.896381000000002</v>
      </c>
      <c r="AD227" s="1153">
        <v>29.010176000000001</v>
      </c>
      <c r="AE227" s="1153">
        <v>29.218563</v>
      </c>
      <c r="AF227" s="1153">
        <v>29.489208000000001</v>
      </c>
      <c r="AG227" s="1153">
        <v>29.490746000000001</v>
      </c>
      <c r="AH227" s="1153">
        <v>29.728567000000002</v>
      </c>
      <c r="AI227" s="1153">
        <v>29.684996000000002</v>
      </c>
      <c r="AJ227" s="1153">
        <v>29.637589999999999</v>
      </c>
      <c r="AK227" s="1153">
        <v>29.885204000000002</v>
      </c>
    </row>
    <row r="228" spans="2:37">
      <c r="B228" s="1153" t="s">
        <v>740</v>
      </c>
      <c r="C228" s="1153" t="s">
        <v>1302</v>
      </c>
      <c r="D228" s="1153" t="s">
        <v>1278</v>
      </c>
      <c r="E228" s="1153">
        <v>352.52062999999998</v>
      </c>
      <c r="F228" s="1153">
        <v>368.56991599999998</v>
      </c>
      <c r="G228" s="1153">
        <v>500.76797499999998</v>
      </c>
      <c r="H228" s="1153">
        <v>561.08801300000005</v>
      </c>
      <c r="I228" s="1153">
        <v>573.87976100000003</v>
      </c>
      <c r="J228" s="1153">
        <v>545.15441899999996</v>
      </c>
      <c r="K228" s="1153">
        <v>539.29144299999996</v>
      </c>
      <c r="L228" s="1153">
        <v>527.48071300000004</v>
      </c>
      <c r="M228" s="1153">
        <v>523.53930700000001</v>
      </c>
      <c r="N228" s="1153">
        <v>518.51226799999995</v>
      </c>
      <c r="O228" s="1153">
        <v>512.27349900000002</v>
      </c>
      <c r="P228" s="1153">
        <v>504.78509500000001</v>
      </c>
      <c r="Q228" s="1153">
        <v>496.88464399999998</v>
      </c>
      <c r="R228" s="1153">
        <v>489.97668499999997</v>
      </c>
      <c r="S228" s="1153">
        <v>483.709656</v>
      </c>
      <c r="T228" s="1153">
        <v>476.49285900000001</v>
      </c>
      <c r="U228" s="1153">
        <v>470.36413599999997</v>
      </c>
      <c r="V228" s="1153">
        <v>464.98642000000001</v>
      </c>
      <c r="W228" s="1153">
        <v>460.31521600000002</v>
      </c>
      <c r="X228" s="1153">
        <v>455.80682400000001</v>
      </c>
      <c r="Y228" s="1153">
        <v>449.72418199999998</v>
      </c>
      <c r="Z228" s="1153">
        <v>446.86090100000001</v>
      </c>
      <c r="AA228" s="1153">
        <v>441.69592299999999</v>
      </c>
      <c r="AB228" s="1153">
        <v>437.25598100000002</v>
      </c>
      <c r="AC228" s="1153">
        <v>434.72305299999999</v>
      </c>
      <c r="AD228" s="1153">
        <v>432.90914900000001</v>
      </c>
      <c r="AE228" s="1153">
        <v>430.39880399999998</v>
      </c>
      <c r="AF228" s="1153">
        <v>427.007385</v>
      </c>
      <c r="AG228" s="1153">
        <v>425.05633499999999</v>
      </c>
      <c r="AH228" s="1153">
        <v>424.72814899999997</v>
      </c>
      <c r="AI228" s="1153">
        <v>423.06310999999999</v>
      </c>
      <c r="AJ228" s="1153">
        <v>422.01126099999999</v>
      </c>
      <c r="AK228" s="1153">
        <v>422.27420000000001</v>
      </c>
    </row>
    <row r="229" spans="2:37">
      <c r="B229" s="1153" t="s">
        <v>1303</v>
      </c>
      <c r="C229" s="1153" t="s">
        <v>1304</v>
      </c>
      <c r="D229" s="1153" t="s">
        <v>1278</v>
      </c>
      <c r="E229" s="1153">
        <v>174.658569</v>
      </c>
      <c r="F229" s="1153">
        <v>140.41783100000001</v>
      </c>
      <c r="G229" s="1153">
        <v>33.736030999999997</v>
      </c>
      <c r="H229" s="1153">
        <v>54.84111</v>
      </c>
      <c r="I229" s="1153">
        <v>32.880004999999997</v>
      </c>
      <c r="J229" s="1153">
        <v>28.894736999999999</v>
      </c>
      <c r="K229" s="1153">
        <v>27.243216</v>
      </c>
      <c r="L229" s="1153">
        <v>26.025777999999999</v>
      </c>
      <c r="M229" s="1153">
        <v>25.376738</v>
      </c>
      <c r="N229" s="1153">
        <v>24.782426999999998</v>
      </c>
      <c r="O229" s="1153">
        <v>24.211957999999999</v>
      </c>
      <c r="P229" s="1153">
        <v>23.661953</v>
      </c>
      <c r="Q229" s="1153">
        <v>23.118748</v>
      </c>
      <c r="R229" s="1153">
        <v>22.652647000000002</v>
      </c>
      <c r="S229" s="1153">
        <v>22.225349000000001</v>
      </c>
      <c r="T229" s="1153">
        <v>21.810572000000001</v>
      </c>
      <c r="U229" s="1153">
        <v>21.390429999999999</v>
      </c>
      <c r="V229" s="1153">
        <v>20.979005999999998</v>
      </c>
      <c r="W229" s="1153">
        <v>20.426134000000001</v>
      </c>
      <c r="X229" s="1153">
        <v>19.920385</v>
      </c>
      <c r="Y229" s="1153">
        <v>19.519939000000001</v>
      </c>
      <c r="Z229" s="1153">
        <v>18.896076000000001</v>
      </c>
      <c r="AA229" s="1153">
        <v>18.538605</v>
      </c>
      <c r="AB229" s="1153">
        <v>18.129128000000001</v>
      </c>
      <c r="AC229" s="1153">
        <v>17.623336999999999</v>
      </c>
      <c r="AD229" s="1153">
        <v>17.038668000000001</v>
      </c>
      <c r="AE229" s="1153">
        <v>16.435141000000002</v>
      </c>
      <c r="AF229" s="1153">
        <v>15.887081</v>
      </c>
      <c r="AG229" s="1153">
        <v>15.345724000000001</v>
      </c>
      <c r="AH229" s="1153">
        <v>14.819832999999999</v>
      </c>
      <c r="AI229" s="1153">
        <v>14.249347999999999</v>
      </c>
      <c r="AJ229" s="1153">
        <v>13.704841</v>
      </c>
      <c r="AK229" s="1153">
        <v>13.260479</v>
      </c>
    </row>
    <row r="230" spans="2:37">
      <c r="B230" s="1153" t="s">
        <v>1305</v>
      </c>
      <c r="C230" s="1153" t="s">
        <v>1306</v>
      </c>
      <c r="D230" s="1153" t="s">
        <v>1278</v>
      </c>
      <c r="E230" s="1153">
        <v>1185.885376</v>
      </c>
      <c r="F230" s="1153">
        <v>1030.716064</v>
      </c>
      <c r="G230" s="1153">
        <v>936.18457000000001</v>
      </c>
      <c r="H230" s="1153">
        <v>969.00073199999997</v>
      </c>
      <c r="I230" s="1153">
        <v>908.72906499999999</v>
      </c>
      <c r="J230" s="1153">
        <v>971.365723</v>
      </c>
      <c r="K230" s="1153">
        <v>946.08654799999999</v>
      </c>
      <c r="L230" s="1153">
        <v>943.42578100000003</v>
      </c>
      <c r="M230" s="1153">
        <v>945.91430700000001</v>
      </c>
      <c r="N230" s="1153">
        <v>949.74676499999998</v>
      </c>
      <c r="O230" s="1153">
        <v>953.59387200000003</v>
      </c>
      <c r="P230" s="1153">
        <v>956.45159899999999</v>
      </c>
      <c r="Q230" s="1153">
        <v>958.91522199999997</v>
      </c>
      <c r="R230" s="1153">
        <v>964.25866699999995</v>
      </c>
      <c r="S230" s="1153">
        <v>970.61932400000001</v>
      </c>
      <c r="T230" s="1153">
        <v>976.09631300000001</v>
      </c>
      <c r="U230" s="1153">
        <v>981.73999000000003</v>
      </c>
      <c r="V230" s="1153">
        <v>987.38037099999997</v>
      </c>
      <c r="W230" s="1153">
        <v>991.21142599999996</v>
      </c>
      <c r="X230" s="1153">
        <v>996.114868</v>
      </c>
      <c r="Y230" s="1153">
        <v>999.76086399999997</v>
      </c>
      <c r="Z230" s="1153">
        <v>1004.101135</v>
      </c>
      <c r="AA230" s="1153">
        <v>1009.4537350000001</v>
      </c>
      <c r="AB230" s="1153">
        <v>1014.199829</v>
      </c>
      <c r="AC230" s="1153">
        <v>1019.233521</v>
      </c>
      <c r="AD230" s="1153">
        <v>1023.329834</v>
      </c>
      <c r="AE230" s="1153">
        <v>1025.608154</v>
      </c>
      <c r="AF230" s="1153">
        <v>1026.8476559999999</v>
      </c>
      <c r="AG230" s="1153">
        <v>1030.7080080000001</v>
      </c>
      <c r="AH230" s="1153">
        <v>1037.2030030000001</v>
      </c>
      <c r="AI230" s="1153">
        <v>1039.6096190000001</v>
      </c>
      <c r="AJ230" s="1153">
        <v>1043.1267089999999</v>
      </c>
      <c r="AK230" s="1153">
        <v>1050.7769780000001</v>
      </c>
    </row>
    <row r="231" spans="2:37">
      <c r="B231" s="1153" t="s">
        <v>1290</v>
      </c>
      <c r="C231" s="1153" t="s">
        <v>1307</v>
      </c>
      <c r="D231" s="1153" t="s">
        <v>1278</v>
      </c>
      <c r="E231" s="1153">
        <v>211.255844</v>
      </c>
      <c r="F231" s="1153">
        <v>228.179596</v>
      </c>
      <c r="G231" s="1153">
        <v>154.779785</v>
      </c>
      <c r="H231" s="1153">
        <v>195.99597199999999</v>
      </c>
      <c r="I231" s="1153">
        <v>196.46006800000001</v>
      </c>
      <c r="J231" s="1153">
        <v>195.60232500000001</v>
      </c>
      <c r="K231" s="1153">
        <v>190.451401</v>
      </c>
      <c r="L231" s="1153">
        <v>190.66433699999999</v>
      </c>
      <c r="M231" s="1153">
        <v>189.75685100000001</v>
      </c>
      <c r="N231" s="1153">
        <v>188.86218299999999</v>
      </c>
      <c r="O231" s="1153">
        <v>187.78447</v>
      </c>
      <c r="P231" s="1153">
        <v>186.52993799999999</v>
      </c>
      <c r="Q231" s="1153">
        <v>185.172562</v>
      </c>
      <c r="R231" s="1153">
        <v>184.35240200000001</v>
      </c>
      <c r="S231" s="1153">
        <v>183.87545800000001</v>
      </c>
      <c r="T231" s="1153">
        <v>183.08543399999999</v>
      </c>
      <c r="U231" s="1153">
        <v>182.828384</v>
      </c>
      <c r="V231" s="1153">
        <v>182.925049</v>
      </c>
      <c r="W231" s="1153">
        <v>182.671967</v>
      </c>
      <c r="X231" s="1153">
        <v>182.56054700000001</v>
      </c>
      <c r="Y231" s="1153">
        <v>182.357788</v>
      </c>
      <c r="Z231" s="1153">
        <v>182.29714999999999</v>
      </c>
      <c r="AA231" s="1153">
        <v>182.395477</v>
      </c>
      <c r="AB231" s="1153">
        <v>182.50735499999999</v>
      </c>
      <c r="AC231" s="1153">
        <v>182.899857</v>
      </c>
      <c r="AD231" s="1153">
        <v>183.19813500000001</v>
      </c>
      <c r="AE231" s="1153">
        <v>183.20198099999999</v>
      </c>
      <c r="AF231" s="1153">
        <v>183.06118799999999</v>
      </c>
      <c r="AG231" s="1153">
        <v>183.351562</v>
      </c>
      <c r="AH231" s="1153">
        <v>184.03637699999999</v>
      </c>
      <c r="AI231" s="1153">
        <v>184.09605400000001</v>
      </c>
      <c r="AJ231" s="1153">
        <v>184.361481</v>
      </c>
      <c r="AK231" s="1153">
        <v>185.328171</v>
      </c>
    </row>
    <row r="232" spans="2:37" s="1155" customFormat="1">
      <c r="B232" s="1160" t="s">
        <v>1180</v>
      </c>
      <c r="C232" s="1160" t="s">
        <v>1308</v>
      </c>
      <c r="D232" s="1160" t="s">
        <v>1278</v>
      </c>
      <c r="E232" s="1160">
        <v>1991.767212</v>
      </c>
      <c r="F232" s="1160">
        <v>1780.174683</v>
      </c>
      <c r="G232" s="1160">
        <v>1635.0014650000001</v>
      </c>
      <c r="H232" s="1160">
        <v>1813.6279300000001</v>
      </c>
      <c r="I232" s="1160">
        <v>1751.1401370000001</v>
      </c>
      <c r="J232" s="1160">
        <v>1786.355591</v>
      </c>
      <c r="K232" s="1160">
        <v>1734.376221</v>
      </c>
      <c r="L232" s="1160">
        <v>1714.9826660000001</v>
      </c>
      <c r="M232" s="1160">
        <v>1710.469971</v>
      </c>
      <c r="N232" s="1160">
        <v>1706.640991</v>
      </c>
      <c r="O232" s="1160">
        <v>1701.6708980000001</v>
      </c>
      <c r="P232" s="1160">
        <v>1694.6514890000001</v>
      </c>
      <c r="Q232" s="1160">
        <v>1686.908447</v>
      </c>
      <c r="R232" s="1160">
        <v>1683.8923339999999</v>
      </c>
      <c r="S232" s="1160">
        <v>1683.1412350000001</v>
      </c>
      <c r="T232" s="1160">
        <v>1680.5454099999999</v>
      </c>
      <c r="U232" s="1160">
        <v>1679.9121090000001</v>
      </c>
      <c r="V232" s="1160">
        <v>1680.5820309999999</v>
      </c>
      <c r="W232" s="1160">
        <v>1679.447876</v>
      </c>
      <c r="X232" s="1160">
        <v>1679.85376</v>
      </c>
      <c r="Y232" s="1160">
        <v>1677.756226</v>
      </c>
      <c r="Z232" s="1160">
        <v>1678.7910159999999</v>
      </c>
      <c r="AA232" s="1160">
        <v>1679.7033690000001</v>
      </c>
      <c r="AB232" s="1160">
        <v>1680.456543</v>
      </c>
      <c r="AC232" s="1160">
        <v>1683.376221</v>
      </c>
      <c r="AD232" s="1160">
        <v>1685.485962</v>
      </c>
      <c r="AE232" s="1160">
        <v>1684.8626710000001</v>
      </c>
      <c r="AF232" s="1160">
        <v>1682.2924800000001</v>
      </c>
      <c r="AG232" s="1160">
        <v>1683.952393</v>
      </c>
      <c r="AH232" s="1160">
        <v>1690.5158690000001</v>
      </c>
      <c r="AI232" s="1160">
        <v>1690.703125</v>
      </c>
      <c r="AJ232" s="1160">
        <v>1692.841919</v>
      </c>
      <c r="AK232" s="1160">
        <v>1701.5249020000001</v>
      </c>
    </row>
    <row r="234" spans="2:37">
      <c r="B234" s="1155" t="s">
        <v>1310</v>
      </c>
    </row>
    <row r="235" spans="2:37">
      <c r="B235" s="1155" t="s">
        <v>1586</v>
      </c>
    </row>
    <row r="236" spans="2:37">
      <c r="B236" s="1155" t="s">
        <v>1587</v>
      </c>
    </row>
    <row r="237" spans="2:37">
      <c r="B237" s="1155" t="s">
        <v>1312</v>
      </c>
    </row>
    <row r="238" spans="2:37">
      <c r="B238" s="1155" t="s">
        <v>1313</v>
      </c>
    </row>
    <row r="239" spans="2:37">
      <c r="B239" s="1155" t="s">
        <v>1314</v>
      </c>
    </row>
    <row r="240" spans="2:37">
      <c r="B240" s="1155" t="s">
        <v>1315</v>
      </c>
    </row>
    <row r="241" spans="2:2">
      <c r="B241" s="1155" t="s">
        <v>1316</v>
      </c>
    </row>
    <row r="242" spans="2:2">
      <c r="B242" s="1155" t="s">
        <v>1317</v>
      </c>
    </row>
  </sheetData>
  <mergeCells count="24">
    <mergeCell ref="B150:B157"/>
    <mergeCell ref="B90:B95"/>
    <mergeCell ref="B96:B97"/>
    <mergeCell ref="B98:B99"/>
    <mergeCell ref="B100:B101"/>
    <mergeCell ref="B102:B103"/>
    <mergeCell ref="B104:B105"/>
    <mergeCell ref="B106:B107"/>
    <mergeCell ref="B108:B109"/>
    <mergeCell ref="B110:B137"/>
    <mergeCell ref="B138:B141"/>
    <mergeCell ref="B142:B149"/>
    <mergeCell ref="B79:B89"/>
    <mergeCell ref="B3:N3"/>
    <mergeCell ref="D7:K7"/>
    <mergeCell ref="L7:N7"/>
    <mergeCell ref="B9:B15"/>
    <mergeCell ref="B16:B30"/>
    <mergeCell ref="B31:B42"/>
    <mergeCell ref="B43:B46"/>
    <mergeCell ref="B47:B50"/>
    <mergeCell ref="B51:B56"/>
    <mergeCell ref="B57:B66"/>
    <mergeCell ref="B67:B78"/>
  </mergeCells>
  <phoneticPr fontId="68" type="noConversion"/>
  <hyperlinks>
    <hyperlink ref="B4" r:id="rId1" xr:uid="{4AEB757F-574C-46F0-9C37-8CD4D5DBE80D}"/>
  </hyperlinks>
  <pageMargins left="0.7" right="0.7" top="0.75" bottom="0.75" header="0.3" footer="0.3"/>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370-B8B2-4867-9D79-CEE90303D624}">
  <dimension ref="B1:M57"/>
  <sheetViews>
    <sheetView zoomScale="85" zoomScaleNormal="85" workbookViewId="0">
      <selection activeCell="B1" sqref="B1"/>
    </sheetView>
  </sheetViews>
  <sheetFormatPr defaultColWidth="9" defaultRowHeight="13.15"/>
  <cols>
    <col min="1" max="1" width="3.625" style="4" customWidth="1"/>
    <col min="2" max="2" width="9" style="4"/>
    <col min="3" max="3" width="47.625" style="4" customWidth="1"/>
    <col min="4" max="4" width="12.875" style="4" customWidth="1"/>
    <col min="5" max="5" width="13.5" style="4" customWidth="1"/>
    <col min="6" max="6" width="14.625" style="4" customWidth="1"/>
    <col min="7" max="7" width="9.75" style="4" customWidth="1"/>
    <col min="8" max="8" width="11.5" style="4" customWidth="1"/>
    <col min="9" max="9" width="13.5" style="4" customWidth="1"/>
    <col min="10" max="10" width="14.625" style="4" customWidth="1"/>
    <col min="11" max="11" width="9.75" style="4" customWidth="1"/>
    <col min="12" max="12" width="11.5" style="4" customWidth="1"/>
    <col min="13" max="13" width="13.5" style="4" customWidth="1"/>
    <col min="14" max="14" width="14.625" style="4" customWidth="1"/>
    <col min="15" max="15" width="9.75" style="4" customWidth="1"/>
    <col min="16" max="16" width="13.5" style="4" customWidth="1"/>
    <col min="17" max="17" width="11.5" style="4" customWidth="1"/>
    <col min="18" max="18" width="13.5" style="4" customWidth="1"/>
    <col min="19" max="19" width="14.625" style="4" customWidth="1"/>
    <col min="20" max="20" width="9.75" style="4" customWidth="1"/>
    <col min="21" max="16384" width="9" style="4"/>
  </cols>
  <sheetData>
    <row r="1" spans="2:13">
      <c r="B1" s="1233" t="s">
        <v>1588</v>
      </c>
    </row>
    <row r="3" spans="2:13">
      <c r="C3" s="535" t="s">
        <v>1589</v>
      </c>
      <c r="D3" s="536" t="s">
        <v>1590</v>
      </c>
      <c r="E3" s="536" t="s">
        <v>640</v>
      </c>
      <c r="F3" s="536" t="s">
        <v>641</v>
      </c>
      <c r="G3" s="536" t="s">
        <v>642</v>
      </c>
      <c r="H3" s="536" t="s">
        <v>643</v>
      </c>
      <c r="I3" s="536" t="s">
        <v>644</v>
      </c>
      <c r="J3" s="537" t="s">
        <v>645</v>
      </c>
    </row>
    <row r="4" spans="2:13">
      <c r="C4" s="1334" t="s">
        <v>633</v>
      </c>
      <c r="D4" s="1335">
        <f>SUM(D5:D7)</f>
        <v>63.417039519561612</v>
      </c>
      <c r="E4" s="1336">
        <f>BldgArea!C52</f>
        <v>0.13102440772499316</v>
      </c>
      <c r="F4" s="1336">
        <f>BldgArea!D52</f>
        <v>0.37727439214152464</v>
      </c>
      <c r="G4" s="1336">
        <f>BldgArea!E52</f>
        <v>0.14094626448462422</v>
      </c>
      <c r="H4" s="1336">
        <f>BldgArea!F52</f>
        <v>0.31719512276920037</v>
      </c>
      <c r="I4" s="1336">
        <f>BldgArea!G52</f>
        <v>3.3559812879657681E-2</v>
      </c>
      <c r="J4" s="1336">
        <f>BldgArea!H52</f>
        <v>1</v>
      </c>
    </row>
    <row r="5" spans="2:13">
      <c r="C5" s="1337" t="s">
        <v>1591</v>
      </c>
      <c r="D5" s="1338">
        <f>'NYC 2010'!CR16</f>
        <v>4.5396696044750486</v>
      </c>
      <c r="E5" s="1338">
        <f>$D$5*E4</f>
        <v>0.59480752119349722</v>
      </c>
      <c r="F5" s="1338">
        <f t="shared" ref="F5:I5" si="0">$D$5*F4</f>
        <v>1.7127010905516795</v>
      </c>
      <c r="G5" s="1338">
        <f t="shared" si="0"/>
        <v>0.63984947274514958</v>
      </c>
      <c r="H5" s="1338">
        <f t="shared" si="0"/>
        <v>1.4399610575230704</v>
      </c>
      <c r="I5" s="1338">
        <f t="shared" si="0"/>
        <v>0.15235046246165224</v>
      </c>
      <c r="J5" s="1339">
        <f>SUM(E5:I5)-D5</f>
        <v>0</v>
      </c>
    </row>
    <row r="6" spans="2:13">
      <c r="C6" s="1337" t="s">
        <v>32</v>
      </c>
      <c r="D6" s="1338">
        <f>'NYC 2010'!CR17</f>
        <v>35.17611095505444</v>
      </c>
      <c r="E6" s="1338">
        <f>$D$6*E4</f>
        <v>4.6089291039546518</v>
      </c>
      <c r="F6" s="1338">
        <f t="shared" ref="F6:I6" si="1">$D$6*F4</f>
        <v>13.271045878470989</v>
      </c>
      <c r="G6" s="1338">
        <f t="shared" si="1"/>
        <v>4.9579414382115905</v>
      </c>
      <c r="H6" s="1338">
        <f t="shared" si="1"/>
        <v>11.157690832931507</v>
      </c>
      <c r="I6" s="1338">
        <f t="shared" si="1"/>
        <v>1.1805037014857036</v>
      </c>
      <c r="J6" s="1339">
        <f t="shared" ref="J6:J7" si="2">SUM(E6:I6)-D6</f>
        <v>0</v>
      </c>
    </row>
    <row r="7" spans="2:13">
      <c r="C7" s="534" t="s">
        <v>651</v>
      </c>
      <c r="D7" s="540">
        <f>'NYC 2010'!CR18</f>
        <v>23.701258960032117</v>
      </c>
      <c r="E7" s="540">
        <f>$D$7*E4</f>
        <v>3.1054434175748953</v>
      </c>
      <c r="F7" s="540">
        <f t="shared" ref="F7:I7" si="3">$D$7*F4</f>
        <v>8.9418780671349811</v>
      </c>
      <c r="G7" s="540">
        <f t="shared" si="3"/>
        <v>3.3406039139992565</v>
      </c>
      <c r="H7" s="540">
        <f t="shared" si="3"/>
        <v>7.5179237456119976</v>
      </c>
      <c r="I7" s="540">
        <f t="shared" si="3"/>
        <v>0.7954098157109879</v>
      </c>
      <c r="J7" s="541">
        <f t="shared" si="2"/>
        <v>0</v>
      </c>
    </row>
    <row r="9" spans="2:13">
      <c r="C9" s="1340"/>
      <c r="D9" s="1341">
        <v>2010</v>
      </c>
      <c r="E9" s="1341">
        <v>2015</v>
      </c>
      <c r="F9" s="1341">
        <v>2020</v>
      </c>
      <c r="G9" s="1341">
        <v>2025</v>
      </c>
      <c r="H9" s="1341">
        <v>2030</v>
      </c>
      <c r="I9" s="1341">
        <v>2035</v>
      </c>
      <c r="J9" s="1341">
        <v>2040</v>
      </c>
      <c r="K9" s="1341">
        <v>2045</v>
      </c>
      <c r="L9" s="1341">
        <v>2050</v>
      </c>
      <c r="M9" s="1341">
        <v>2055</v>
      </c>
    </row>
    <row r="10" spans="2:13">
      <c r="C10" s="1340" t="s">
        <v>645</v>
      </c>
      <c r="D10" s="1340">
        <v>8242624</v>
      </c>
      <c r="E10" s="1340">
        <v>8550405</v>
      </c>
      <c r="F10" s="1340">
        <v>8550971</v>
      </c>
      <c r="G10" s="1340">
        <v>8685999</v>
      </c>
      <c r="H10" s="1340">
        <v>8821027</v>
      </c>
      <c r="I10" s="1340">
        <v>8923086</v>
      </c>
      <c r="J10" s="1340">
        <v>9025145</v>
      </c>
      <c r="K10" s="1340">
        <v>9292840.212121211</v>
      </c>
      <c r="L10" s="1340">
        <v>9446271.7857142836</v>
      </c>
      <c r="M10" s="1340">
        <v>9599703.3593073562</v>
      </c>
    </row>
    <row r="11" spans="2:13">
      <c r="C11" s="1340" t="s">
        <v>1592</v>
      </c>
      <c r="D11" s="1340">
        <v>1385108</v>
      </c>
      <c r="E11" s="1340">
        <v>1455444</v>
      </c>
      <c r="F11" s="1340">
        <v>1446788</v>
      </c>
      <c r="G11" s="1340">
        <v>1482893</v>
      </c>
      <c r="H11" s="1340">
        <v>1518998</v>
      </c>
      <c r="I11" s="1340">
        <v>1549121.5</v>
      </c>
      <c r="J11" s="1340">
        <v>1579245</v>
      </c>
      <c r="K11" s="1340">
        <v>1625954.9772727266</v>
      </c>
      <c r="L11" s="1340">
        <v>1660587.6071428563</v>
      </c>
      <c r="M11" s="1340">
        <v>1695220.2370129861</v>
      </c>
    </row>
    <row r="12" spans="2:13">
      <c r="C12" s="1340" t="s">
        <v>1593</v>
      </c>
      <c r="D12" s="1340">
        <v>2552911</v>
      </c>
      <c r="E12" s="1340">
        <v>2636735</v>
      </c>
      <c r="F12" s="1340">
        <v>2648452</v>
      </c>
      <c r="G12" s="1340">
        <v>2701230.5</v>
      </c>
      <c r="H12" s="1340">
        <v>2754009</v>
      </c>
      <c r="I12" s="1340">
        <v>2797267</v>
      </c>
      <c r="J12" s="1340">
        <v>2840525</v>
      </c>
      <c r="K12" s="1340">
        <v>2908244.5075757541</v>
      </c>
      <c r="L12" s="1340">
        <v>2959463.6785714254</v>
      </c>
      <c r="M12" s="1340">
        <v>3010682.8495670967</v>
      </c>
    </row>
    <row r="13" spans="2:13">
      <c r="C13" s="1340" t="s">
        <v>1594</v>
      </c>
      <c r="D13" s="1340">
        <v>1585873</v>
      </c>
      <c r="E13" s="1340">
        <v>1644518</v>
      </c>
      <c r="F13" s="1340">
        <v>1638281</v>
      </c>
      <c r="G13" s="1340">
        <v>1657500.5</v>
      </c>
      <c r="H13" s="1340">
        <v>1676720</v>
      </c>
      <c r="I13" s="1340">
        <v>1684168.5</v>
      </c>
      <c r="J13" s="1340">
        <v>1691617</v>
      </c>
      <c r="K13" s="1340">
        <v>1733166.166666667</v>
      </c>
      <c r="L13" s="1340">
        <v>1753311.5714285718</v>
      </c>
      <c r="M13" s="1340">
        <v>1773456.9761904767</v>
      </c>
    </row>
    <row r="14" spans="2:13">
      <c r="C14" s="1340" t="s">
        <v>1595</v>
      </c>
      <c r="D14" s="1340">
        <v>2250002</v>
      </c>
      <c r="E14" s="1340">
        <v>2339150</v>
      </c>
      <c r="F14" s="1340">
        <v>2330295</v>
      </c>
      <c r="G14" s="1340">
        <v>2351923</v>
      </c>
      <c r="H14" s="1340">
        <v>2373551</v>
      </c>
      <c r="I14" s="1340">
        <v>2393100</v>
      </c>
      <c r="J14" s="1340">
        <v>2412649</v>
      </c>
      <c r="K14" s="1340">
        <v>2496538.7575757559</v>
      </c>
      <c r="L14" s="1340">
        <v>2533665.5714285709</v>
      </c>
      <c r="M14" s="1340">
        <v>2570792.385281384</v>
      </c>
    </row>
    <row r="15" spans="2:13">
      <c r="C15" s="1340" t="s">
        <v>1596</v>
      </c>
      <c r="D15" s="1340">
        <v>468730</v>
      </c>
      <c r="E15" s="1340">
        <v>474558</v>
      </c>
      <c r="F15" s="1340">
        <v>487155</v>
      </c>
      <c r="G15" s="1340">
        <v>492452</v>
      </c>
      <c r="H15" s="1340">
        <v>497749</v>
      </c>
      <c r="I15" s="1340">
        <v>499429</v>
      </c>
      <c r="J15" s="1340">
        <v>501109</v>
      </c>
      <c r="K15" s="1340">
        <v>528935.80303030275</v>
      </c>
      <c r="L15" s="1340">
        <v>539243.35714285728</v>
      </c>
      <c r="M15" s="1340">
        <v>549550.9112554118</v>
      </c>
    </row>
    <row r="17" spans="2:13">
      <c r="C17" s="1340"/>
      <c r="D17" s="1341">
        <v>2010</v>
      </c>
      <c r="E17" s="1341">
        <v>2015</v>
      </c>
      <c r="F17" s="1341">
        <v>2020</v>
      </c>
      <c r="G17" s="1341">
        <v>2025</v>
      </c>
      <c r="H17" s="1341">
        <v>2030</v>
      </c>
      <c r="I17" s="1341">
        <v>2035</v>
      </c>
      <c r="J17" s="1341">
        <v>2040</v>
      </c>
      <c r="K17" s="1341">
        <v>2045</v>
      </c>
      <c r="L17" s="1341">
        <v>2050</v>
      </c>
      <c r="M17" s="1341">
        <v>2055</v>
      </c>
    </row>
    <row r="18" spans="2:13">
      <c r="C18" s="1340" t="s">
        <v>1593</v>
      </c>
      <c r="D18" s="1342">
        <f>D12/$D$10</f>
        <v>0.30972066662266773</v>
      </c>
      <c r="E18" s="1343">
        <f>E12/$E$10</f>
        <v>0.30837545122131643</v>
      </c>
      <c r="F18" s="1343">
        <f>F12/$F$10</f>
        <v>0.30972529318600189</v>
      </c>
      <c r="G18" s="1343">
        <f>G12/$G$10</f>
        <v>0.31098673854325792</v>
      </c>
      <c r="H18" s="1343">
        <f>H12/$H$10</f>
        <v>0.31220956471394995</v>
      </c>
      <c r="I18" s="1343">
        <f>I12/$I$10</f>
        <v>0.31348650007407752</v>
      </c>
      <c r="J18" s="1343">
        <f>J12/$J$10</f>
        <v>0.31473455551129648</v>
      </c>
      <c r="K18" s="1343">
        <f>K12/$K$10</f>
        <v>0.31295539804745115</v>
      </c>
      <c r="L18" s="1343">
        <f>L12/$L$10</f>
        <v>0.31329436053777954</v>
      </c>
      <c r="M18" s="1343">
        <f>M12/$M$10</f>
        <v>0.31362248778740653</v>
      </c>
    </row>
    <row r="19" spans="2:13">
      <c r="C19" s="1340" t="s">
        <v>1592</v>
      </c>
      <c r="D19" s="1342">
        <f>D11/$D$10</f>
        <v>0.16804211862630153</v>
      </c>
      <c r="E19" s="1343">
        <f>E11/$E$10</f>
        <v>0.1702193054013231</v>
      </c>
      <c r="F19" s="1343">
        <f>F11/$F$10</f>
        <v>0.16919575566330419</v>
      </c>
      <c r="G19" s="1343">
        <f>G11/$G$10</f>
        <v>0.17072221629314027</v>
      </c>
      <c r="H19" s="1343">
        <f>H11/$H$10</f>
        <v>0.17220194428607916</v>
      </c>
      <c r="I19" s="1343">
        <f>I11/$I$10</f>
        <v>0.17360826736400389</v>
      </c>
      <c r="J19" s="1343">
        <f>J11/$J$10</f>
        <v>0.17498278421011518</v>
      </c>
      <c r="K19" s="1343">
        <f>K11/$K$10</f>
        <v>0.1749685715193828</v>
      </c>
      <c r="L19" s="1343">
        <f>L11/$L$10</f>
        <v>0.17579291013563511</v>
      </c>
      <c r="M19" s="1343">
        <f>M11/$M$10</f>
        <v>0.17659089802700953</v>
      </c>
    </row>
    <row r="20" spans="2:13">
      <c r="C20" s="1340" t="s">
        <v>1594</v>
      </c>
      <c r="D20" s="1342">
        <f>D13/$D$10</f>
        <v>0.19239904671133853</v>
      </c>
      <c r="E20" s="1343">
        <f>E13/$E$10</f>
        <v>0.19233217607820915</v>
      </c>
      <c r="F20" s="1343">
        <f>F13/$F$10</f>
        <v>0.19159005450959896</v>
      </c>
      <c r="G20" s="1343">
        <f>G13/$G$10</f>
        <v>0.19082439452272559</v>
      </c>
      <c r="H20" s="1343">
        <f>H13/$H$10</f>
        <v>0.19008217523877888</v>
      </c>
      <c r="I20" s="1343">
        <f>I13/$I$10</f>
        <v>0.18874282955470786</v>
      </c>
      <c r="J20" s="1343">
        <f>J13/$J$10</f>
        <v>0.18743377530222505</v>
      </c>
      <c r="K20" s="1343">
        <f>K13/$K$10</f>
        <v>0.18650553836124223</v>
      </c>
      <c r="L20" s="1343">
        <f>L13/$L$10</f>
        <v>0.18560884243031489</v>
      </c>
      <c r="M20" s="1343">
        <f>M13/$M$10</f>
        <v>0.18474081019087202</v>
      </c>
    </row>
    <row r="21" spans="2:13">
      <c r="C21" s="1340" t="s">
        <v>1595</v>
      </c>
      <c r="D21" s="1342">
        <f>D14/$D$10</f>
        <v>0.27297156827728647</v>
      </c>
      <c r="E21" s="1343">
        <f>E14/$E$10</f>
        <v>0.27357183665569057</v>
      </c>
      <c r="F21" s="1343">
        <f>F14/$F$10</f>
        <v>0.27251817366706071</v>
      </c>
      <c r="G21" s="1343">
        <f>G14/$G$10</f>
        <v>0.27077173276211519</v>
      </c>
      <c r="H21" s="1343">
        <f>H14/$H$10</f>
        <v>0.26907875919663321</v>
      </c>
      <c r="I21" s="1343">
        <f>I14/$I$10</f>
        <v>0.26819196856334232</v>
      </c>
      <c r="J21" s="1343">
        <f>J14/$J$10</f>
        <v>0.26732523410981207</v>
      </c>
      <c r="K21" s="1343">
        <f>K14/$K$10</f>
        <v>0.26865185460946267</v>
      </c>
      <c r="L21" s="1343">
        <f>L14/$L$10</f>
        <v>0.26821857648223352</v>
      </c>
      <c r="M21" s="1343">
        <f>M14/$M$10</f>
        <v>0.26779914847982067</v>
      </c>
    </row>
    <row r="22" spans="2:13">
      <c r="C22" s="1340" t="s">
        <v>1596</v>
      </c>
      <c r="D22" s="1342">
        <f>D15/$D$10</f>
        <v>5.686659976240576E-2</v>
      </c>
      <c r="E22" s="1343">
        <f>E15/$E$10</f>
        <v>5.5501230643460749E-2</v>
      </c>
      <c r="F22" s="1343">
        <f>F15/$F$10</f>
        <v>5.6970722974034174E-2</v>
      </c>
      <c r="G22" s="1343">
        <f>G15/$G$10</f>
        <v>5.6694917878760978E-2</v>
      </c>
      <c r="H22" s="1343">
        <f>H15/$H$10</f>
        <v>5.6427556564558751E-2</v>
      </c>
      <c r="I22" s="1343">
        <f>I15/$I$10</f>
        <v>5.5970434443868414E-2</v>
      </c>
      <c r="J22" s="1343">
        <f>J15/$J$10</f>
        <v>5.5523650866551172E-2</v>
      </c>
      <c r="K22" s="1343">
        <f>K15/$K$10</f>
        <v>5.6918637462460606E-2</v>
      </c>
      <c r="L22" s="1343">
        <f>L15/$L$10</f>
        <v>5.7085310414036763E-2</v>
      </c>
      <c r="M22" s="1343">
        <f>M15/$M$10</f>
        <v>5.7246655514891179E-2</v>
      </c>
    </row>
    <row r="24" spans="2:13">
      <c r="D24" s="12">
        <f>D26-SUM(D27:D31)</f>
        <v>0</v>
      </c>
      <c r="E24" s="12">
        <f t="shared" ref="E24:M24" si="4">E26-SUM(E27:E31)</f>
        <v>0</v>
      </c>
      <c r="F24" s="12">
        <f t="shared" si="4"/>
        <v>0</v>
      </c>
      <c r="G24" s="12">
        <f t="shared" si="4"/>
        <v>0</v>
      </c>
      <c r="H24" s="12">
        <f t="shared" si="4"/>
        <v>0</v>
      </c>
      <c r="I24" s="12">
        <f t="shared" si="4"/>
        <v>0</v>
      </c>
      <c r="J24" s="12">
        <f t="shared" si="4"/>
        <v>0</v>
      </c>
      <c r="K24" s="12">
        <f t="shared" si="4"/>
        <v>0</v>
      </c>
      <c r="L24" s="12">
        <f t="shared" si="4"/>
        <v>0</v>
      </c>
      <c r="M24" s="12">
        <f t="shared" si="4"/>
        <v>0</v>
      </c>
    </row>
    <row r="25" spans="2:13">
      <c r="B25" s="1341"/>
      <c r="C25" s="1341" t="s">
        <v>1597</v>
      </c>
      <c r="D25" s="1341">
        <v>2010</v>
      </c>
      <c r="E25" s="1341">
        <v>2015</v>
      </c>
      <c r="F25" s="1341">
        <v>2020</v>
      </c>
      <c r="G25" s="1341">
        <v>2025</v>
      </c>
      <c r="H25" s="1341">
        <v>2030</v>
      </c>
      <c r="I25" s="1341">
        <v>2035</v>
      </c>
      <c r="J25" s="1341">
        <v>2040</v>
      </c>
      <c r="K25" s="1341">
        <v>2045</v>
      </c>
      <c r="L25" s="1341">
        <v>2050</v>
      </c>
      <c r="M25" s="1341">
        <v>2055</v>
      </c>
    </row>
    <row r="26" spans="2:13">
      <c r="B26" s="1344" t="s">
        <v>645</v>
      </c>
      <c r="C26" s="1341" t="s">
        <v>1591</v>
      </c>
      <c r="D26" s="1345">
        <f>D5</f>
        <v>4.5396696044750486</v>
      </c>
      <c r="E26" s="1345">
        <f>D26*'Demand (old)'!F165/'Demand (old)'!E165</f>
        <v>4.7841210181728444</v>
      </c>
      <c r="F26" s="1345">
        <f>E26*'Demand (old)'!G165/'Demand (old)'!F165</f>
        <v>5.0234998425979009</v>
      </c>
      <c r="G26" s="1345">
        <f>F26*'Demand (old)'!H165/'Demand (old)'!G165</f>
        <v>5.1895723413303028</v>
      </c>
      <c r="H26" s="1345">
        <f>G26*'Demand (old)'!I165/'Demand (old)'!H165</f>
        <v>5.3916181279475932</v>
      </c>
      <c r="I26" s="1345">
        <f>H26*'Demand (old)'!J165/'Demand (old)'!I165</f>
        <v>5.2512833936564922</v>
      </c>
      <c r="J26" s="1345">
        <f>I26*'Demand (old)'!K165/'Demand (old)'!J165</f>
        <v>5.2233028393222209</v>
      </c>
      <c r="K26" s="1345">
        <f>J26*'Demand (old)'!L165/'Demand (old)'!K165</f>
        <v>5.391804063709837</v>
      </c>
      <c r="L26" s="1345">
        <f>K26*'Demand (old)'!M165/'Demand (old)'!L165</f>
        <v>5.4353059789357712</v>
      </c>
      <c r="M26" s="1345">
        <f>L26*'Demand (old)'!N165/'Demand (old)'!M165</f>
        <v>5.4687234331982379</v>
      </c>
    </row>
    <row r="27" spans="2:13">
      <c r="B27" s="1344" t="s">
        <v>640</v>
      </c>
      <c r="C27" s="1341" t="s">
        <v>1591</v>
      </c>
      <c r="D27" s="1345">
        <f>E5</f>
        <v>0.59480752119349722</v>
      </c>
      <c r="E27" s="1345">
        <f>$D$27+($E$26-$D$26)*E18</f>
        <v>0.67019033619424373</v>
      </c>
      <c r="F27" s="1345">
        <f>$D$27+($F$26-$D$26)*F18</f>
        <v>0.74466198354835078</v>
      </c>
      <c r="G27" s="1345">
        <f>$D$27+($G$26-$D$26)*G18</f>
        <v>0.79691865369844983</v>
      </c>
      <c r="H27" s="1345">
        <f t="shared" ref="H27:M27" si="5">$D$27+(H26-$D$26)*H18</f>
        <v>0.86079399886555275</v>
      </c>
      <c r="I27" s="1345">
        <f t="shared" si="5"/>
        <v>0.81788883736844042</v>
      </c>
      <c r="J27" s="1345">
        <f t="shared" si="5"/>
        <v>0.80997052349587173</v>
      </c>
      <c r="K27" s="1345">
        <f t="shared" si="5"/>
        <v>0.86148760007326997</v>
      </c>
      <c r="L27" s="1345">
        <f t="shared" si="5"/>
        <v>0.87540534640454459</v>
      </c>
      <c r="M27" s="1345">
        <f t="shared" si="5"/>
        <v>0.8861796942460789</v>
      </c>
    </row>
    <row r="28" spans="2:13">
      <c r="B28" s="1344" t="s">
        <v>641</v>
      </c>
      <c r="C28" s="1341" t="s">
        <v>1591</v>
      </c>
      <c r="D28" s="1345">
        <f>F5</f>
        <v>1.7127010905516795</v>
      </c>
      <c r="E28" s="1345">
        <f>D28+($E$26-$D$26)*E19</f>
        <v>1.7543114403956899</v>
      </c>
      <c r="F28" s="1345">
        <f>$D$28+($F$26-$D$26)*F19</f>
        <v>1.7945631133036319</v>
      </c>
      <c r="G28" s="1345">
        <f>$D$28+($G$26-$D$26)*G19</f>
        <v>1.8236539261625859</v>
      </c>
      <c r="H28" s="1345">
        <f t="shared" ref="H28:M28" si="6">$D$28+(H26-$D$26)*H19</f>
        <v>1.859408282725306</v>
      </c>
      <c r="I28" s="1345">
        <f t="shared" si="6"/>
        <v>1.8362431275238036</v>
      </c>
      <c r="J28" s="1345">
        <f t="shared" si="6"/>
        <v>1.8323251373638052</v>
      </c>
      <c r="K28" s="1345">
        <f t="shared" si="6"/>
        <v>1.8617978396264321</v>
      </c>
      <c r="L28" s="1345">
        <f t="shared" si="6"/>
        <v>1.8701476152414593</v>
      </c>
      <c r="M28" s="1345">
        <f t="shared" si="6"/>
        <v>1.876763540481339</v>
      </c>
    </row>
    <row r="29" spans="2:13">
      <c r="B29" s="1344" t="s">
        <v>642</v>
      </c>
      <c r="C29" s="1341" t="s">
        <v>1591</v>
      </c>
      <c r="D29" s="1345">
        <f>G5</f>
        <v>0.63984947274514958</v>
      </c>
      <c r="E29" s="1345">
        <f>D29+($E$26-$D$26)*E20</f>
        <v>0.68686534508704122</v>
      </c>
      <c r="F29" s="1345">
        <f>$D$29+($F$26-$D$26)*F20</f>
        <v>0.73254653444049911</v>
      </c>
      <c r="G29" s="1345">
        <f>$D$29+($G$26-$D$26)*G20</f>
        <v>0.76386676900421568</v>
      </c>
      <c r="H29" s="1345">
        <f t="shared" ref="H29:M29" si="7">$D$29+(H26-$D$26)*H20</f>
        <v>0.80178970127827676</v>
      </c>
      <c r="I29" s="1345">
        <f t="shared" si="7"/>
        <v>0.7741614728654026</v>
      </c>
      <c r="J29" s="1345">
        <f t="shared" si="7"/>
        <v>0.76798543087462767</v>
      </c>
      <c r="K29" s="1345">
        <f t="shared" si="7"/>
        <v>0.79877726882089983</v>
      </c>
      <c r="L29" s="1345">
        <f t="shared" si="7"/>
        <v>0.8060875034472883</v>
      </c>
      <c r="M29" s="1345">
        <f t="shared" si="7"/>
        <v>0.81148362977440325</v>
      </c>
    </row>
    <row r="30" spans="2:13">
      <c r="B30" s="1344" t="s">
        <v>643</v>
      </c>
      <c r="C30" s="1341" t="s">
        <v>1591</v>
      </c>
      <c r="D30" s="1345">
        <f>H5</f>
        <v>1.4399610575230704</v>
      </c>
      <c r="E30" s="1345">
        <f>D30+($E$26-$D$26)*E21</f>
        <v>1.5068360797414564</v>
      </c>
      <c r="F30" s="1345">
        <f>$D$30+($F$26-$D$26)*F21</f>
        <v>1.5718135903812092</v>
      </c>
      <c r="G30" s="1345">
        <f>$D$30+($G$26-$D$26)*G21</f>
        <v>1.6159363477082085</v>
      </c>
      <c r="H30" s="1345">
        <f t="shared" ref="H30:M30" si="8">$D$30+(H26-$D$26)*H21</f>
        <v>1.6692023091184665</v>
      </c>
      <c r="I30" s="1345">
        <f t="shared" si="8"/>
        <v>1.630810160500461</v>
      </c>
      <c r="J30" s="1345">
        <f t="shared" si="8"/>
        <v>1.6227134720738388</v>
      </c>
      <c r="K30" s="1345">
        <f t="shared" si="8"/>
        <v>1.6688885603731278</v>
      </c>
      <c r="L30" s="1345">
        <f t="shared" si="8"/>
        <v>1.6801873709266339</v>
      </c>
      <c r="M30" s="1345">
        <f t="shared" si="8"/>
        <v>1.6887608817470576</v>
      </c>
    </row>
    <row r="31" spans="2:13">
      <c r="B31" s="1344" t="s">
        <v>644</v>
      </c>
      <c r="C31" s="1341" t="s">
        <v>1591</v>
      </c>
      <c r="D31" s="1345">
        <f>I5</f>
        <v>0.15235046246165224</v>
      </c>
      <c r="E31" s="1345">
        <f>D31+($E$26-$D$26)*E22</f>
        <v>0.16591781675441364</v>
      </c>
      <c r="F31" s="1345">
        <f>$D$31+($F$26-$D$26)*F22</f>
        <v>0.17991462092421023</v>
      </c>
      <c r="G31" s="1345">
        <f>$D$31+($G$26-$D$26)*G22</f>
        <v>0.18919664475684289</v>
      </c>
      <c r="H31" s="1345">
        <f t="shared" ref="H31:M31" si="9">$D$31+(H26-$D$26)*H22</f>
        <v>0.20042383595999155</v>
      </c>
      <c r="I31" s="1345">
        <f t="shared" si="9"/>
        <v>0.19217979539838503</v>
      </c>
      <c r="J31" s="1345">
        <f t="shared" si="9"/>
        <v>0.19030827551407761</v>
      </c>
      <c r="K31" s="1345">
        <f t="shared" si="9"/>
        <v>0.20085279481610707</v>
      </c>
      <c r="L31" s="1345">
        <f t="shared" si="9"/>
        <v>0.20347814291584504</v>
      </c>
      <c r="M31" s="1345">
        <f t="shared" si="9"/>
        <v>0.20553568694935936</v>
      </c>
    </row>
    <row r="32" spans="2:13">
      <c r="B32" s="13"/>
      <c r="D32" s="11"/>
      <c r="E32" s="11"/>
      <c r="F32" s="11"/>
      <c r="G32" s="11"/>
      <c r="H32" s="11"/>
      <c r="I32" s="11"/>
      <c r="J32" s="11"/>
      <c r="K32" s="11"/>
      <c r="L32" s="11"/>
    </row>
    <row r="33" spans="2:13">
      <c r="D33" s="12">
        <f>D35-SUM(D36:D40)</f>
        <v>0</v>
      </c>
      <c r="E33" s="12">
        <f t="shared" ref="E33:M33" si="10">E35-SUM(E36:E40)</f>
        <v>0</v>
      </c>
      <c r="F33" s="12">
        <f t="shared" si="10"/>
        <v>0</v>
      </c>
      <c r="G33" s="12">
        <f t="shared" si="10"/>
        <v>0</v>
      </c>
      <c r="H33" s="12">
        <f t="shared" si="10"/>
        <v>0</v>
      </c>
      <c r="I33" s="12">
        <f t="shared" si="10"/>
        <v>0</v>
      </c>
      <c r="J33" s="12">
        <f t="shared" si="10"/>
        <v>0</v>
      </c>
      <c r="K33" s="12">
        <f t="shared" si="10"/>
        <v>0</v>
      </c>
      <c r="L33" s="12">
        <f t="shared" si="10"/>
        <v>0</v>
      </c>
      <c r="M33" s="12">
        <f t="shared" si="10"/>
        <v>0</v>
      </c>
    </row>
    <row r="34" spans="2:13">
      <c r="B34" s="1341"/>
      <c r="C34" s="1341" t="s">
        <v>1597</v>
      </c>
      <c r="D34" s="1341">
        <v>2010</v>
      </c>
      <c r="E34" s="1341">
        <v>2015</v>
      </c>
      <c r="F34" s="1341">
        <v>2020</v>
      </c>
      <c r="G34" s="1341">
        <v>2025</v>
      </c>
      <c r="H34" s="1341">
        <v>2030</v>
      </c>
      <c r="I34" s="1341">
        <v>2035</v>
      </c>
      <c r="J34" s="1341">
        <v>2040</v>
      </c>
      <c r="K34" s="1341">
        <v>2045</v>
      </c>
      <c r="L34" s="1341">
        <v>2050</v>
      </c>
      <c r="M34" s="1341">
        <v>2055</v>
      </c>
    </row>
    <row r="35" spans="2:13">
      <c r="B35" s="1344" t="s">
        <v>645</v>
      </c>
      <c r="C35" s="1341" t="s">
        <v>32</v>
      </c>
      <c r="D35" s="1345">
        <f>D6</f>
        <v>35.17611095505444</v>
      </c>
      <c r="E35" s="1345">
        <f>D35*'Demand (old)'!F165/'Demand (old)'!E165</f>
        <v>37.07026863623836</v>
      </c>
      <c r="F35" s="1345">
        <f>E35*'Demand (old)'!G165/'Demand (old)'!F165</f>
        <v>38.925120821949349</v>
      </c>
      <c r="G35" s="1345">
        <f>F35*'Demand (old)'!H165/'Demand (old)'!G165</f>
        <v>40.211951175470119</v>
      </c>
      <c r="H35" s="1345">
        <f>G35*'Demand (old)'!I165/'Demand (old)'!H165</f>
        <v>41.777524361907531</v>
      </c>
      <c r="I35" s="1345">
        <f>H35*'Demand (old)'!J165/'Demand (old)'!I165</f>
        <v>40.690125803341573</v>
      </c>
      <c r="J35" s="1345">
        <f>I35*'Demand (old)'!K165/'Demand (old)'!J165</f>
        <v>40.473315513254384</v>
      </c>
      <c r="K35" s="1345">
        <f>J35*'Demand (old)'!L165/'Demand (old)'!K165</f>
        <v>41.77896510486309</v>
      </c>
      <c r="L35" s="1345">
        <f>K35*'Demand (old)'!M165/'Demand (old)'!L165</f>
        <v>42.116044304467479</v>
      </c>
      <c r="M35" s="1345">
        <f>L35*'Demand (old)'!N165/'Demand (old)'!M165</f>
        <v>42.374982989743877</v>
      </c>
    </row>
    <row r="36" spans="2:13">
      <c r="B36" s="1344" t="s">
        <v>640</v>
      </c>
      <c r="C36" s="1341" t="s">
        <v>32</v>
      </c>
      <c r="D36" s="1345">
        <f>E6</f>
        <v>4.6089291039546518</v>
      </c>
      <c r="E36" s="1345">
        <f>$D$36+($E$35-$D$35)*E18</f>
        <v>5.1930408335740657</v>
      </c>
      <c r="F36" s="1345">
        <f>$D$36+($F$35-$D$35)*F18</f>
        <v>5.7700922841358917</v>
      </c>
      <c r="G36" s="1345">
        <f>D36+($G$35-$D$35)*G18</f>
        <v>6.1750086299266851</v>
      </c>
      <c r="H36" s="1345">
        <f>D36+($H$35-$D$35)*H18</f>
        <v>6.6699535102050884</v>
      </c>
      <c r="I36" s="1345">
        <f>D36+($I$35-$D$35)*I18</f>
        <v>6.3374983201006803</v>
      </c>
      <c r="J36" s="1345">
        <f>D36+($J$35-$D$35)*J18</f>
        <v>6.2761424260321252</v>
      </c>
      <c r="K36" s="1345">
        <f>D36+($K$35-$D$35)*K18</f>
        <v>6.6753279526572822</v>
      </c>
      <c r="L36" s="1345">
        <f>D36+($L$35-$D$35)*L18</f>
        <v>6.7831710848338203</v>
      </c>
      <c r="M36" s="1345">
        <f>D36+($M$35-$D$35)*M18</f>
        <v>6.8666572607371421</v>
      </c>
    </row>
    <row r="37" spans="2:13">
      <c r="B37" s="1344" t="s">
        <v>641</v>
      </c>
      <c r="C37" s="1341" t="s">
        <v>32</v>
      </c>
      <c r="D37" s="1345">
        <f>F6</f>
        <v>13.271045878470989</v>
      </c>
      <c r="E37" s="1345">
        <f>$D$37+($E$35-$D$35)*E19</f>
        <v>13.593468083282698</v>
      </c>
      <c r="F37" s="1345">
        <f>D37+($F$35-$D$35)*F19</f>
        <v>13.905362435889456</v>
      </c>
      <c r="G37" s="1345">
        <f>D37+($G$35-$D$35)*G19</f>
        <v>14.13077568179849</v>
      </c>
      <c r="H37" s="1345">
        <f>D37+($H$35-$D$35)*H19</f>
        <v>14.40782210216728</v>
      </c>
      <c r="I37" s="1345">
        <f>D37+($I$35-$D$35)*I19</f>
        <v>14.22832444250151</v>
      </c>
      <c r="J37" s="1345">
        <f>D37+($J$35-$D$35)*J19</f>
        <v>14.197965480595329</v>
      </c>
      <c r="K37" s="1345">
        <f>D37+($K$35-$D$35)*K19</f>
        <v>14.426337837013838</v>
      </c>
      <c r="L37" s="1345">
        <f>D37+($L$35-$D$35)*L19</f>
        <v>14.491036958111653</v>
      </c>
      <c r="M37" s="1345">
        <f>D37+($M$35-$D$35)*M19</f>
        <v>14.542301155858322</v>
      </c>
    </row>
    <row r="38" spans="2:13">
      <c r="B38" s="1344" t="s">
        <v>642</v>
      </c>
      <c r="C38" s="1341" t="s">
        <v>32</v>
      </c>
      <c r="D38" s="1345">
        <f>G6</f>
        <v>4.9579414382115905</v>
      </c>
      <c r="E38" s="1345">
        <f>$D$38+($E$35-$D$35)*E20</f>
        <v>5.3222489068689489</v>
      </c>
      <c r="F38" s="1345">
        <f>D38+($F$35-$D$35)*F20</f>
        <v>5.6762144429670105</v>
      </c>
      <c r="G38" s="1345">
        <f>D38+($G$35-$D$35)*G20</f>
        <v>5.9189025991856017</v>
      </c>
      <c r="H38" s="1345">
        <f>D38+($H$35-$D$35)*H20</f>
        <v>6.2127524582366638</v>
      </c>
      <c r="I38" s="1345">
        <f>D38+($I$35-$D$35)*I20</f>
        <v>5.9986722028839772</v>
      </c>
      <c r="J38" s="1345">
        <f>D38+($J$35-$D$35)*J20</f>
        <v>5.950816487103161</v>
      </c>
      <c r="K38" s="1345">
        <f>D38+($K$35-$D$35)*K20</f>
        <v>6.1894103061424151</v>
      </c>
      <c r="L38" s="1345">
        <f>D38+($L$35-$D$35)*L20</f>
        <v>6.2460544337396824</v>
      </c>
      <c r="M38" s="1345">
        <f>D38+($M$35-$D$35)*M20</f>
        <v>6.2878668903605286</v>
      </c>
    </row>
    <row r="39" spans="2:13">
      <c r="B39" s="1344" t="s">
        <v>643</v>
      </c>
      <c r="C39" s="1341" t="s">
        <v>32</v>
      </c>
      <c r="D39" s="1345">
        <f>H6</f>
        <v>11.157690832931507</v>
      </c>
      <c r="E39" s="1345">
        <f>$D$39+($E$35-$D$35)*E21</f>
        <v>11.675879028688476</v>
      </c>
      <c r="F39" s="1345">
        <f>D39+($F$35-$D$35)*F21</f>
        <v>12.179364154917499</v>
      </c>
      <c r="G39" s="1345">
        <f>D39+($G$35-$D$35)*G21</f>
        <v>12.521254015326614</v>
      </c>
      <c r="H39" s="1345">
        <f>D39+($H$35-$D$35)*H21</f>
        <v>12.933990961391556</v>
      </c>
      <c r="I39" s="1345">
        <f>D39+($I$35-$D$35)*I21</f>
        <v>12.636505329781134</v>
      </c>
      <c r="J39" s="1345">
        <f>D39+($J$35-$D$35)*J21</f>
        <v>12.573767281579871</v>
      </c>
      <c r="K39" s="1345">
        <f>D39+($K$35-$D$35)*K21</f>
        <v>12.931559845993387</v>
      </c>
      <c r="L39" s="1345">
        <f>D39+($L$35-$D$35)*L21</f>
        <v>13.019109876792651</v>
      </c>
      <c r="M39" s="1345">
        <f>D39+($M$35-$D$35)*M21</f>
        <v>13.085542633836532</v>
      </c>
    </row>
    <row r="40" spans="2:13">
      <c r="B40" s="1344" t="s">
        <v>644</v>
      </c>
      <c r="C40" s="1341" t="s">
        <v>32</v>
      </c>
      <c r="D40" s="1345">
        <f>I6</f>
        <v>1.1805037014857036</v>
      </c>
      <c r="E40" s="1345">
        <f>$D$40+($E$35-$D$35)*E22</f>
        <v>1.2856317838241751</v>
      </c>
      <c r="F40" s="1345">
        <f>D40+($F$35-$D$35)*F22</f>
        <v>1.3940875040394942</v>
      </c>
      <c r="G40" s="1345">
        <f>D40+($G$35-$D$35)*G22</f>
        <v>1.466010249232732</v>
      </c>
      <c r="H40" s="1345">
        <f>D40+($H$35-$D$35)*H22</f>
        <v>1.5530053299069428</v>
      </c>
      <c r="I40" s="1345">
        <f>D40+($I$35-$D$35)*I22</f>
        <v>1.4891255080742756</v>
      </c>
      <c r="J40" s="1345">
        <f>D40+($J$35-$D$35)*J22</f>
        <v>1.4746238379439007</v>
      </c>
      <c r="K40" s="1345">
        <f>D40+($K$35-$D$35)*K22</f>
        <v>1.5563291630561658</v>
      </c>
      <c r="L40" s="1345">
        <f>D40+($L$35-$D$35)*L22</f>
        <v>1.5766719509896727</v>
      </c>
      <c r="M40" s="1345">
        <f>D40+($M$35-$D$35)*M22</f>
        <v>1.5926150489513535</v>
      </c>
    </row>
    <row r="41" spans="2:13">
      <c r="B41" s="13"/>
      <c r="D41" s="11"/>
      <c r="E41" s="11"/>
      <c r="F41" s="11"/>
      <c r="G41" s="11"/>
      <c r="H41" s="11"/>
      <c r="I41" s="11"/>
      <c r="J41" s="11"/>
      <c r="K41" s="11"/>
      <c r="L41" s="11"/>
    </row>
    <row r="42" spans="2:13">
      <c r="D42" s="12">
        <f>D44-SUM(D45:D49)</f>
        <v>0</v>
      </c>
      <c r="E42" s="12">
        <f t="shared" ref="E42:L42" si="11">E44-SUM(E45:E49)</f>
        <v>0</v>
      </c>
      <c r="F42" s="12">
        <f t="shared" si="11"/>
        <v>0</v>
      </c>
      <c r="G42" s="12">
        <f t="shared" si="11"/>
        <v>0</v>
      </c>
      <c r="H42" s="12">
        <f t="shared" si="11"/>
        <v>0</v>
      </c>
      <c r="I42" s="12">
        <f t="shared" si="11"/>
        <v>0</v>
      </c>
      <c r="J42" s="12">
        <f t="shared" si="11"/>
        <v>0</v>
      </c>
      <c r="K42" s="12">
        <f t="shared" si="11"/>
        <v>0</v>
      </c>
      <c r="L42" s="12">
        <f t="shared" si="11"/>
        <v>0</v>
      </c>
      <c r="M42" s="12">
        <f t="shared" ref="M42" si="12">M44-SUM(M45:M49)</f>
        <v>0</v>
      </c>
    </row>
    <row r="43" spans="2:13">
      <c r="B43" s="1341"/>
      <c r="C43" s="1341" t="s">
        <v>1597</v>
      </c>
      <c r="D43" s="1341">
        <v>2010</v>
      </c>
      <c r="E43" s="1341">
        <v>2015</v>
      </c>
      <c r="F43" s="1341">
        <v>2020</v>
      </c>
      <c r="G43" s="1341">
        <v>2025</v>
      </c>
      <c r="H43" s="1341">
        <v>2030</v>
      </c>
      <c r="I43" s="1341">
        <v>2035</v>
      </c>
      <c r="J43" s="1341">
        <v>2040</v>
      </c>
      <c r="K43" s="1341">
        <v>2045</v>
      </c>
      <c r="L43" s="1341">
        <v>2050</v>
      </c>
      <c r="M43" s="1341">
        <v>2055</v>
      </c>
    </row>
    <row r="44" spans="2:13">
      <c r="B44" s="1344" t="s">
        <v>645</v>
      </c>
      <c r="C44" s="1341" t="s">
        <v>651</v>
      </c>
      <c r="D44" s="1345">
        <f>D7</f>
        <v>23.701258960032117</v>
      </c>
      <c r="E44" s="1345">
        <f>D44*'Demand (old)'!F165/'Demand (old)'!E165</f>
        <v>24.977520618696893</v>
      </c>
      <c r="F44" s="1345">
        <f>E44*'Demand (old)'!G165/'Demand (old)'!F165</f>
        <v>26.227298686610357</v>
      </c>
      <c r="G44" s="1345">
        <f>F44*'Demand (old)'!H165/'Demand (old)'!G165</f>
        <v>27.094350177475722</v>
      </c>
      <c r="H44" s="1345">
        <f>G44*'Demand (old)'!I165/'Demand (old)'!H165</f>
        <v>28.149215383013861</v>
      </c>
      <c r="I44" s="1345">
        <f>H44*'Demand (old)'!J165/'Demand (old)'!I165</f>
        <v>27.416538741691344</v>
      </c>
      <c r="J44" s="1345">
        <f>I44*'Demand (old)'!K165/'Demand (old)'!J165</f>
        <v>27.270454462018645</v>
      </c>
      <c r="K44" s="1345">
        <f>J44*'Demand (old)'!L165/'Demand (old)'!K165</f>
        <v>28.150186139045655</v>
      </c>
      <c r="L44" s="1345">
        <f>K44*'Demand (old)'!M165/'Demand (old)'!L165</f>
        <v>28.377306226598026</v>
      </c>
      <c r="M44" s="1345">
        <f>L44*'Demand (old)'!N165/'Demand (old)'!M165</f>
        <v>28.551776134381402</v>
      </c>
    </row>
    <row r="45" spans="2:13">
      <c r="B45" s="1344" t="s">
        <v>640</v>
      </c>
      <c r="C45" s="1341" t="s">
        <v>651</v>
      </c>
      <c r="D45" s="1345">
        <f>E7</f>
        <v>3.1054434175748953</v>
      </c>
      <c r="E45" s="1345">
        <f>$D$45+($E$44-$D$44)*E18</f>
        <v>3.4990111824421115</v>
      </c>
      <c r="F45" s="1345">
        <f>$D$45+($F$44-$D$44)*F18</f>
        <v>3.8878218124888289</v>
      </c>
      <c r="G45" s="1345">
        <f>$D$45+($G$44-$D$44)*G18</f>
        <v>4.1606497888674543</v>
      </c>
      <c r="H45" s="1345">
        <f>$D$45+($H$44-$D$44)*H18</f>
        <v>4.4941379562606434</v>
      </c>
      <c r="I45" s="1345">
        <f>$D$45+($I$44-$D$44)*I18</f>
        <v>4.270133473123229</v>
      </c>
      <c r="J45" s="1345">
        <f>$D$45+($J$44-$D$44)*J18</f>
        <v>4.2287925774255442</v>
      </c>
      <c r="K45" s="1345">
        <f>$D$45+($K$44-$D$44)*K18</f>
        <v>4.4977591937672008</v>
      </c>
      <c r="L45" s="1345">
        <f>$D$45+($L$44-$D$44)*L18</f>
        <v>4.5704226557980938</v>
      </c>
      <c r="M45" s="1345">
        <f>$D$45+($M$44-$D$44)*M18</f>
        <v>4.6266746808498596</v>
      </c>
    </row>
    <row r="46" spans="2:13">
      <c r="B46" s="1344" t="s">
        <v>641</v>
      </c>
      <c r="C46" s="1341" t="s">
        <v>651</v>
      </c>
      <c r="D46" s="1345">
        <f>F7</f>
        <v>8.9418780671349811</v>
      </c>
      <c r="E46" s="1345">
        <f>$D$46+($E$44-$D$44)*E19</f>
        <v>9.1591224401832392</v>
      </c>
      <c r="F46" s="1345">
        <f>$D$46+($F$44-$D$44)*F19</f>
        <v>9.3692732675089125</v>
      </c>
      <c r="G46" s="1345">
        <f>$D$46+($G$44-$D$44)*G19</f>
        <v>9.5211541198617429</v>
      </c>
      <c r="H46" s="1345">
        <f>$D$46+($H$44-$D$44)*H19</f>
        <v>9.7078248112721912</v>
      </c>
      <c r="I46" s="1345">
        <f>$D$46+($I$44-$D$44)*I19</f>
        <v>9.5868813528013543</v>
      </c>
      <c r="J46" s="1345">
        <f>$D$46+($J$44-$D$44)*J19</f>
        <v>9.5664258334628034</v>
      </c>
      <c r="K46" s="1345">
        <f>$D$46+($K$44-$D$44)*K19</f>
        <v>9.7203005004407377</v>
      </c>
      <c r="L46" s="1345">
        <f>$D$46+($L$44-$D$44)*L19</f>
        <v>9.7638940240563841</v>
      </c>
      <c r="M46" s="1345">
        <f>$D$46+($M$44-$D$44)*M19</f>
        <v>9.7984352508487547</v>
      </c>
    </row>
    <row r="47" spans="2:13">
      <c r="B47" s="1344" t="s">
        <v>642</v>
      </c>
      <c r="C47" s="1341" t="s">
        <v>651</v>
      </c>
      <c r="D47" s="1345">
        <f>G7</f>
        <v>3.3406039139992565</v>
      </c>
      <c r="E47" s="1345">
        <f>$D$47+($E$44-$D$44)*E20</f>
        <v>3.5860700960554373</v>
      </c>
      <c r="F47" s="1345">
        <f>$D$47+($F$44-$D$44)*F20</f>
        <v>3.8245680029077942</v>
      </c>
      <c r="G47" s="1345">
        <f>$D$47+($G$44-$D$44)*G20</f>
        <v>3.9880884911283103</v>
      </c>
      <c r="H47" s="1345">
        <f>$D$47+($H$44-$D$44)*H20</f>
        <v>4.1860811462469245</v>
      </c>
      <c r="I47" s="1345">
        <f>$D$47+($I$44-$D$44)*I20</f>
        <v>4.0418363325770166</v>
      </c>
      <c r="J47" s="1345">
        <f>$D$47+($J$44-$D$44)*J20</f>
        <v>4.0095917017283114</v>
      </c>
      <c r="K47" s="1345">
        <f>$D$47+($K$44-$D$44)*K20</f>
        <v>4.1703534726511391</v>
      </c>
      <c r="L47" s="1345">
        <f>$D$47+($L$44-$D$44)*L20</f>
        <v>4.2085196342959934</v>
      </c>
      <c r="M47" s="1345">
        <f>$D$47+($M$44-$D$44)*M20</f>
        <v>4.2366923866332824</v>
      </c>
    </row>
    <row r="48" spans="2:13">
      <c r="B48" s="1344" t="s">
        <v>643</v>
      </c>
      <c r="C48" s="1341" t="s">
        <v>651</v>
      </c>
      <c r="D48" s="1345">
        <f>H7</f>
        <v>7.5179237456119976</v>
      </c>
      <c r="E48" s="1345">
        <f>$D$48+($E$44-$D$44)*E21</f>
        <v>7.8670729916261584</v>
      </c>
      <c r="F48" s="1345">
        <f>$D$48+($F$44-$D$44)*F21</f>
        <v>8.2063154785095414</v>
      </c>
      <c r="G48" s="1345">
        <f>$D$48+($G$44-$D$44)*G21</f>
        <v>8.4366769339791166</v>
      </c>
      <c r="H48" s="1345">
        <f>$D$48+($H$44-$D$44)*H21</f>
        <v>8.7147743408686207</v>
      </c>
      <c r="I48" s="1345">
        <f>$D$48+($I$44-$D$44)*I21</f>
        <v>8.514331944018771</v>
      </c>
      <c r="J48" s="1345">
        <f>$D$48+($J$44-$D$44)*J21</f>
        <v>8.4720597687642343</v>
      </c>
      <c r="K48" s="1345">
        <f>$D$48+($K$44-$D$44)*K21</f>
        <v>8.7131362832764303</v>
      </c>
      <c r="L48" s="1345">
        <f>$D$48+($L$44-$D$44)*L21</f>
        <v>8.7721264870139457</v>
      </c>
      <c r="M48" s="1345">
        <f>$D$48+($M$44-$D$44)*M21</f>
        <v>8.8168881145894815</v>
      </c>
    </row>
    <row r="49" spans="2:13">
      <c r="B49" s="1344" t="s">
        <v>644</v>
      </c>
      <c r="C49" s="1341" t="s">
        <v>651</v>
      </c>
      <c r="D49" s="1345">
        <f>I7</f>
        <v>0.7954098157109879</v>
      </c>
      <c r="E49" s="1345">
        <f>$D$49+($E$44-$D$44)*E22</f>
        <v>0.86624390838994736</v>
      </c>
      <c r="F49" s="1345">
        <f>$D$49+($F$44-$D$44)*F22</f>
        <v>0.93932012519528185</v>
      </c>
      <c r="G49" s="1345">
        <f>$D$49+($G$44-$D$44)*G22</f>
        <v>0.98778084363909813</v>
      </c>
      <c r="H49" s="1345">
        <f>$D$49+($H$44-$D$44)*H22</f>
        <v>1.0463971283654827</v>
      </c>
      <c r="I49" s="1345">
        <f>$D$49+($I$44-$D$44)*I22</f>
        <v>1.0033556391709755</v>
      </c>
      <c r="J49" s="1345">
        <f>$D$49+($J$44-$D$44)*J22</f>
        <v>0.99358458063775268</v>
      </c>
      <c r="K49" s="1345">
        <f>$D$49+($K$44-$D$44)*K22</f>
        <v>1.0486366889101471</v>
      </c>
      <c r="L49" s="1345">
        <f>$D$49+($L$44-$D$44)*L22</f>
        <v>1.0623434254336108</v>
      </c>
      <c r="M49" s="1345">
        <f>$D$49+($M$44-$D$44)*M22</f>
        <v>1.0730857014600248</v>
      </c>
    </row>
    <row r="51" spans="2:13">
      <c r="B51" s="1341"/>
      <c r="C51" s="1341" t="s">
        <v>1597</v>
      </c>
      <c r="D51" s="1341">
        <v>2010</v>
      </c>
      <c r="E51" s="1341">
        <v>2015</v>
      </c>
      <c r="F51" s="1341">
        <v>2020</v>
      </c>
      <c r="G51" s="1341">
        <v>2025</v>
      </c>
      <c r="H51" s="1341">
        <v>2030</v>
      </c>
      <c r="I51" s="1341">
        <v>2035</v>
      </c>
      <c r="J51" s="1341">
        <v>2040</v>
      </c>
      <c r="K51" s="1341">
        <v>2045</v>
      </c>
      <c r="L51" s="1341">
        <v>2050</v>
      </c>
      <c r="M51" s="1341">
        <v>2055</v>
      </c>
    </row>
    <row r="52" spans="2:13">
      <c r="B52" s="1344" t="s">
        <v>645</v>
      </c>
      <c r="C52" s="1341" t="s">
        <v>98</v>
      </c>
      <c r="D52" s="1345">
        <f>SUM(D53:D57)</f>
        <v>63.417039519561612</v>
      </c>
      <c r="E52" s="1345">
        <f t="shared" ref="E52:M52" si="13">SUM(E53:E57)</f>
        <v>66.831910273108107</v>
      </c>
      <c r="F52" s="1345">
        <f t="shared" si="13"/>
        <v>70.175919351157617</v>
      </c>
      <c r="G52" s="1345">
        <f t="shared" si="13"/>
        <v>72.495873694276142</v>
      </c>
      <c r="H52" s="1345">
        <f t="shared" si="13"/>
        <v>75.318357872868972</v>
      </c>
      <c r="I52" s="1345">
        <f t="shared" si="13"/>
        <v>73.357947938689421</v>
      </c>
      <c r="J52" s="1345">
        <f t="shared" si="13"/>
        <v>72.967072814595255</v>
      </c>
      <c r="K52" s="1345">
        <f t="shared" si="13"/>
        <v>75.32095530761859</v>
      </c>
      <c r="L52" s="1345">
        <f t="shared" si="13"/>
        <v>75.928656510001275</v>
      </c>
      <c r="M52" s="1345">
        <f t="shared" si="13"/>
        <v>76.395482557323518</v>
      </c>
    </row>
    <row r="53" spans="2:13">
      <c r="B53" s="1344" t="s">
        <v>294</v>
      </c>
      <c r="C53" s="1341" t="s">
        <v>98</v>
      </c>
      <c r="D53" s="1345">
        <f>D27+D36+D45</f>
        <v>8.3091800427230442</v>
      </c>
      <c r="E53" s="1345">
        <f t="shared" ref="E53:K53" si="14">E27+E36+E45</f>
        <v>9.362242352210421</v>
      </c>
      <c r="F53" s="1345">
        <f t="shared" si="14"/>
        <v>10.402576080173072</v>
      </c>
      <c r="G53" s="1345">
        <f t="shared" si="14"/>
        <v>11.132577072492589</v>
      </c>
      <c r="H53" s="1345">
        <f t="shared" si="14"/>
        <v>12.024885465331284</v>
      </c>
      <c r="I53" s="1345">
        <f t="shared" si="14"/>
        <v>11.425520630592349</v>
      </c>
      <c r="J53" s="1345">
        <f t="shared" si="14"/>
        <v>11.314905526953542</v>
      </c>
      <c r="K53" s="1345">
        <f t="shared" si="14"/>
        <v>12.034574746497753</v>
      </c>
      <c r="L53" s="1345">
        <f>L27+L36+L45</f>
        <v>12.22899908703646</v>
      </c>
      <c r="M53" s="1345">
        <f t="shared" ref="M53" si="15">M27+M36+M45</f>
        <v>12.379511635833079</v>
      </c>
    </row>
    <row r="54" spans="2:13">
      <c r="B54" s="1344" t="s">
        <v>297</v>
      </c>
      <c r="C54" s="1341" t="s">
        <v>98</v>
      </c>
      <c r="D54" s="1345">
        <f t="shared" ref="D54:M57" si="16">D28+D37+D46</f>
        <v>23.925625036157648</v>
      </c>
      <c r="E54" s="1345">
        <f t="shared" si="16"/>
        <v>24.506901963861626</v>
      </c>
      <c r="F54" s="1345">
        <f t="shared" si="16"/>
        <v>25.069198816701999</v>
      </c>
      <c r="G54" s="1345">
        <f t="shared" si="16"/>
        <v>25.475583727822816</v>
      </c>
      <c r="H54" s="1345">
        <f t="shared" si="16"/>
        <v>25.975055196164774</v>
      </c>
      <c r="I54" s="1345">
        <f t="shared" si="16"/>
        <v>25.651448922826667</v>
      </c>
      <c r="J54" s="1345">
        <f t="shared" si="16"/>
        <v>25.596716451421941</v>
      </c>
      <c r="K54" s="1345">
        <f t="shared" si="16"/>
        <v>26.008436177081009</v>
      </c>
      <c r="L54" s="1345">
        <f t="shared" si="16"/>
        <v>26.125078597409498</v>
      </c>
      <c r="M54" s="1345">
        <f t="shared" si="16"/>
        <v>26.217499947188415</v>
      </c>
    </row>
    <row r="55" spans="2:13">
      <c r="B55" s="1344" t="s">
        <v>144</v>
      </c>
      <c r="C55" s="1341" t="s">
        <v>98</v>
      </c>
      <c r="D55" s="1345">
        <f t="shared" si="16"/>
        <v>8.9383948249559957</v>
      </c>
      <c r="E55" s="1345">
        <f t="shared" si="16"/>
        <v>9.5951843480114274</v>
      </c>
      <c r="F55" s="1345">
        <f t="shared" si="16"/>
        <v>10.233328980315303</v>
      </c>
      <c r="G55" s="1345">
        <f t="shared" si="16"/>
        <v>10.670857859318128</v>
      </c>
      <c r="H55" s="1345">
        <f t="shared" si="16"/>
        <v>11.200623305761866</v>
      </c>
      <c r="I55" s="1345">
        <f t="shared" si="16"/>
        <v>10.814670008326395</v>
      </c>
      <c r="J55" s="1345">
        <f t="shared" si="16"/>
        <v>10.7283936197061</v>
      </c>
      <c r="K55" s="1345">
        <f t="shared" si="16"/>
        <v>11.158541047614454</v>
      </c>
      <c r="L55" s="1345">
        <f t="shared" si="16"/>
        <v>11.260661571482963</v>
      </c>
      <c r="M55" s="1345">
        <f t="shared" si="16"/>
        <v>11.336042906768213</v>
      </c>
    </row>
    <row r="56" spans="2:13">
      <c r="B56" s="1344" t="s">
        <v>298</v>
      </c>
      <c r="C56" s="1341" t="s">
        <v>98</v>
      </c>
      <c r="D56" s="1345">
        <f t="shared" si="16"/>
        <v>20.115575636066577</v>
      </c>
      <c r="E56" s="1345">
        <f t="shared" si="16"/>
        <v>21.049788100056091</v>
      </c>
      <c r="F56" s="1345">
        <f t="shared" si="16"/>
        <v>21.95749322380825</v>
      </c>
      <c r="G56" s="1345">
        <f t="shared" si="16"/>
        <v>22.57386729701394</v>
      </c>
      <c r="H56" s="1345">
        <f t="shared" si="16"/>
        <v>23.317967611378641</v>
      </c>
      <c r="I56" s="1345">
        <f t="shared" si="16"/>
        <v>22.781647434300368</v>
      </c>
      <c r="J56" s="1345">
        <f t="shared" si="16"/>
        <v>22.668540522417942</v>
      </c>
      <c r="K56" s="1345">
        <f t="shared" si="16"/>
        <v>23.313584689642944</v>
      </c>
      <c r="L56" s="1345">
        <f t="shared" si="16"/>
        <v>23.471423734733229</v>
      </c>
      <c r="M56" s="1345">
        <f t="shared" si="16"/>
        <v>23.591191630173071</v>
      </c>
    </row>
    <row r="57" spans="2:13">
      <c r="B57" s="1344" t="s">
        <v>299</v>
      </c>
      <c r="C57" s="1341" t="s">
        <v>98</v>
      </c>
      <c r="D57" s="1345">
        <f t="shared" si="16"/>
        <v>2.1282639796583438</v>
      </c>
      <c r="E57" s="1345">
        <f t="shared" si="16"/>
        <v>2.3177935089685358</v>
      </c>
      <c r="F57" s="1345">
        <f t="shared" si="16"/>
        <v>2.5133222501589865</v>
      </c>
      <c r="G57" s="1345">
        <f t="shared" si="16"/>
        <v>2.642987737628673</v>
      </c>
      <c r="H57" s="1345">
        <f t="shared" si="16"/>
        <v>2.799826294232417</v>
      </c>
      <c r="I57" s="1345">
        <f t="shared" si="16"/>
        <v>2.6846609426436361</v>
      </c>
      <c r="J57" s="1345">
        <f t="shared" si="16"/>
        <v>2.6585166940957312</v>
      </c>
      <c r="K57" s="1345">
        <f t="shared" si="16"/>
        <v>2.80581864678242</v>
      </c>
      <c r="L57" s="1345">
        <f t="shared" si="16"/>
        <v>2.8424935193391283</v>
      </c>
      <c r="M57" s="1345">
        <f t="shared" si="16"/>
        <v>2.8712364373607375</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F0EC9-6485-4296-B1FC-EDCE53B9613E}">
  <sheetPr>
    <tabColor theme="4" tint="-0.499984740745262"/>
  </sheetPr>
  <dimension ref="A1:AE106"/>
  <sheetViews>
    <sheetView workbookViewId="0"/>
  </sheetViews>
  <sheetFormatPr defaultColWidth="9" defaultRowHeight="13.15"/>
  <cols>
    <col min="1" max="1" width="9" style="3"/>
    <col min="2" max="2" width="52" style="4" customWidth="1"/>
    <col min="3" max="3" width="33.875" style="4" customWidth="1"/>
    <col min="4" max="4" width="9.375" style="4" customWidth="1"/>
    <col min="5" max="10" width="10.875" style="4" customWidth="1"/>
    <col min="11" max="13" width="9" style="4"/>
    <col min="14" max="14" width="47.625" style="4" customWidth="1"/>
    <col min="15" max="15" width="12.875" style="4" customWidth="1"/>
    <col min="16" max="16" width="13.5" style="4" customWidth="1"/>
    <col min="17" max="17" width="14.625" style="4" customWidth="1"/>
    <col min="18" max="18" width="9.75" style="4" customWidth="1"/>
    <col min="19" max="19" width="11.5" style="4" customWidth="1"/>
    <col min="20" max="20" width="13.5" style="4" customWidth="1"/>
    <col min="21" max="21" width="14.625" style="4" customWidth="1"/>
    <col min="22" max="22" width="9.75" style="4" customWidth="1"/>
    <col min="23" max="23" width="11.5" style="4" customWidth="1"/>
    <col min="24" max="24" width="13.5" style="4" customWidth="1"/>
    <col min="25" max="25" width="14.625" style="4" customWidth="1"/>
    <col min="26" max="26" width="9.75" style="4" customWidth="1"/>
    <col min="27" max="27" width="13.5" style="4" customWidth="1"/>
    <col min="28" max="28" width="11.5" style="4" customWidth="1"/>
    <col min="29" max="29" width="13.5" style="4" customWidth="1"/>
    <col min="30" max="30" width="14.625" style="4" customWidth="1"/>
    <col min="31" max="31" width="9.75" style="4" customWidth="1"/>
    <col min="32" max="16384" width="9" style="4"/>
  </cols>
  <sheetData>
    <row r="1" spans="1:31">
      <c r="A1" s="305" t="s">
        <v>1598</v>
      </c>
      <c r="O1" s="1463" t="s">
        <v>260</v>
      </c>
      <c r="P1" s="1464"/>
      <c r="Q1" s="1464"/>
      <c r="R1" s="1465"/>
      <c r="S1" s="1463" t="s">
        <v>1599</v>
      </c>
      <c r="T1" s="1464"/>
      <c r="U1" s="1464"/>
      <c r="V1" s="1465"/>
      <c r="W1" s="1463" t="s">
        <v>262</v>
      </c>
      <c r="X1" s="1464"/>
      <c r="Y1" s="1464"/>
      <c r="Z1" s="1465"/>
      <c r="AA1" s="1346" t="s">
        <v>266</v>
      </c>
      <c r="AB1" s="1463" t="s">
        <v>909</v>
      </c>
      <c r="AC1" s="1464"/>
      <c r="AD1" s="1464"/>
      <c r="AE1" s="1465"/>
    </row>
    <row r="2" spans="1:31">
      <c r="O2" s="1347"/>
      <c r="P2" s="1348"/>
      <c r="Q2" s="1348"/>
      <c r="R2" s="1349"/>
      <c r="S2" s="1347"/>
      <c r="T2" s="1348"/>
      <c r="U2" s="1348"/>
      <c r="V2" s="1349"/>
      <c r="W2" s="1347"/>
      <c r="X2" s="1348"/>
      <c r="Y2" s="1348"/>
      <c r="Z2" s="1349"/>
      <c r="AA2" s="1346"/>
      <c r="AB2" s="1347"/>
      <c r="AC2" s="1348"/>
      <c r="AD2" s="1348"/>
      <c r="AE2" s="1349"/>
    </row>
    <row r="3" spans="1:31">
      <c r="A3" s="1350"/>
      <c r="B3" s="1340" t="s">
        <v>1126</v>
      </c>
      <c r="C3" s="1351" t="s">
        <v>1129</v>
      </c>
      <c r="D3" s="1352" t="s">
        <v>1131</v>
      </c>
      <c r="E3" s="1352" t="s">
        <v>1132</v>
      </c>
      <c r="F3" s="1352" t="s">
        <v>1133</v>
      </c>
      <c r="G3" s="1352" t="s">
        <v>1134</v>
      </c>
      <c r="H3" s="1352" t="s">
        <v>636</v>
      </c>
      <c r="I3" s="1352" t="s">
        <v>637</v>
      </c>
      <c r="J3" s="1352" t="s">
        <v>1124</v>
      </c>
      <c r="M3" s="1350"/>
      <c r="N3" s="1340" t="s">
        <v>1126</v>
      </c>
      <c r="O3" s="1352" t="s">
        <v>1600</v>
      </c>
      <c r="P3" s="1352" t="s">
        <v>1601</v>
      </c>
      <c r="Q3" s="1352" t="s">
        <v>1602</v>
      </c>
      <c r="R3" s="1352" t="s">
        <v>1603</v>
      </c>
      <c r="S3" s="1352" t="s">
        <v>1600</v>
      </c>
      <c r="T3" s="1352" t="s">
        <v>1601</v>
      </c>
      <c r="U3" s="1352" t="s">
        <v>1602</v>
      </c>
      <c r="V3" s="1352" t="s">
        <v>1603</v>
      </c>
      <c r="W3" s="1352" t="s">
        <v>1600</v>
      </c>
      <c r="X3" s="1352" t="s">
        <v>1601</v>
      </c>
      <c r="Y3" s="1352" t="s">
        <v>1602</v>
      </c>
      <c r="Z3" s="1352" t="s">
        <v>1603</v>
      </c>
      <c r="AA3" s="1352" t="s">
        <v>1601</v>
      </c>
      <c r="AB3" s="1352" t="s">
        <v>1600</v>
      </c>
      <c r="AC3" s="1352" t="s">
        <v>1601</v>
      </c>
      <c r="AD3" s="1352" t="s">
        <v>1602</v>
      </c>
      <c r="AE3" s="1352" t="s">
        <v>1603</v>
      </c>
    </row>
    <row r="4" spans="1:31">
      <c r="A4" s="1466" t="s">
        <v>629</v>
      </c>
      <c r="B4" s="1340" t="s">
        <v>1072</v>
      </c>
      <c r="C4" s="1343">
        <v>6.2632292502352305E-2</v>
      </c>
      <c r="D4" s="1343">
        <f>Original_dep!F5/Original_dep!$C$5</f>
        <v>9.1265058983343084E-2</v>
      </c>
      <c r="E4" s="1343">
        <f>Original_dep!G5/Original_dep!$C$5</f>
        <v>1.0846449654820022E-2</v>
      </c>
      <c r="F4" s="1343">
        <f>Original_dep!H5/Original_dep!$C$5</f>
        <v>2.7073899543406383E-3</v>
      </c>
      <c r="G4" s="1343">
        <f>Original_dep!I5/Original_dep!$C$5</f>
        <v>1.7875485906568684E-3</v>
      </c>
      <c r="H4" s="1343">
        <f>Original_dep!J5/Original_dep!$C$5</f>
        <v>0.25057364126721698</v>
      </c>
      <c r="I4" s="1343">
        <f>Original_dep!K5/Original_dep!$C$5</f>
        <v>0.64281991154962248</v>
      </c>
      <c r="J4" s="1343">
        <f>Original_dep!L5/Original_dep!$C$5</f>
        <v>0</v>
      </c>
      <c r="M4" s="1472" t="s">
        <v>629</v>
      </c>
      <c r="N4" s="1340" t="s">
        <v>1072</v>
      </c>
      <c r="O4" s="1353">
        <v>3.2287934012567092</v>
      </c>
      <c r="P4" s="1353">
        <v>0.1818716167659894</v>
      </c>
      <c r="Q4" s="1353">
        <v>16.700737157377507</v>
      </c>
      <c r="R4" s="1353">
        <v>0</v>
      </c>
      <c r="S4" s="1353">
        <v>0.64006662903733291</v>
      </c>
      <c r="T4" s="1353">
        <v>0.2728074251489841</v>
      </c>
      <c r="U4" s="1353">
        <v>6.6278731488885292</v>
      </c>
      <c r="V4" s="1353">
        <v>0</v>
      </c>
      <c r="W4" s="1353">
        <v>0</v>
      </c>
      <c r="X4" s="1353">
        <v>1.5459087425109099</v>
      </c>
      <c r="Y4" s="1353">
        <v>0</v>
      </c>
      <c r="Z4" s="1353">
        <v>0</v>
      </c>
      <c r="AA4" s="1353">
        <v>1.7277803592768992</v>
      </c>
      <c r="AB4" s="1353">
        <v>0</v>
      </c>
      <c r="AC4" s="1353">
        <v>5.3652126945966874</v>
      </c>
      <c r="AD4" s="1353">
        <v>0</v>
      </c>
      <c r="AE4" s="1353">
        <v>0</v>
      </c>
    </row>
    <row r="5" spans="1:31" ht="18.75" customHeight="1" thickBot="1">
      <c r="A5" s="1468"/>
      <c r="B5" s="1340" t="s">
        <v>1074</v>
      </c>
      <c r="C5" s="1343">
        <v>8.1870513959475061E-2</v>
      </c>
      <c r="D5" s="1343">
        <f>Original_dep!F6/Original_dep!$C$5</f>
        <v>0.11929816053320223</v>
      </c>
      <c r="E5" s="1343">
        <f>Original_dep!G6/Original_dep!$C$5</f>
        <v>1.4178060109205406E-2</v>
      </c>
      <c r="F5" s="1343">
        <f>Original_dep!H6/Original_dep!$C$5</f>
        <v>3.5389955914876176E-3</v>
      </c>
      <c r="G5" s="1343">
        <f>Original_dep!I6/Original_dep!$C$5</f>
        <v>2.3366144842792824E-3</v>
      </c>
      <c r="H5" s="1343">
        <f>Original_dep!J6/Original_dep!$C$5</f>
        <v>0.32754018694866888</v>
      </c>
      <c r="I5" s="1343">
        <f>Original_dep!K6/Original_dep!$C$5</f>
        <v>0.8402693632837297</v>
      </c>
      <c r="J5" s="1343">
        <f>Original_dep!L6/Original_dep!$C$5</f>
        <v>0</v>
      </c>
      <c r="M5" s="1473"/>
      <c r="N5" s="1354" t="s">
        <v>1074</v>
      </c>
      <c r="O5" s="1355">
        <v>4.1363782612171143</v>
      </c>
      <c r="P5" s="1355">
        <v>0.23773555372754407</v>
      </c>
      <c r="Q5" s="1355">
        <v>21.824452925359171</v>
      </c>
      <c r="R5" s="1355">
        <v>0</v>
      </c>
      <c r="S5" s="1355">
        <v>0.92084615868652286</v>
      </c>
      <c r="T5" s="1355">
        <v>0.3566033305913161</v>
      </c>
      <c r="U5" s="1355">
        <v>8.6698055382373056</v>
      </c>
      <c r="V5" s="1355">
        <v>0</v>
      </c>
      <c r="W5" s="1355">
        <v>0</v>
      </c>
      <c r="X5" s="1355">
        <v>2.0207522066841248</v>
      </c>
      <c r="Y5" s="1355">
        <v>0</v>
      </c>
      <c r="Z5" s="1355">
        <v>0</v>
      </c>
      <c r="AA5" s="1355">
        <v>2.2584877604116689</v>
      </c>
      <c r="AB5" s="1355">
        <v>0</v>
      </c>
      <c r="AC5" s="1355">
        <v>7.0131988349625507</v>
      </c>
      <c r="AD5" s="1355">
        <v>0</v>
      </c>
      <c r="AE5" s="1355">
        <v>0</v>
      </c>
    </row>
    <row r="6" spans="1:31">
      <c r="A6" s="1466" t="s">
        <v>630</v>
      </c>
      <c r="B6" s="1340" t="s">
        <v>1170</v>
      </c>
      <c r="C6" s="1343">
        <v>0</v>
      </c>
      <c r="D6" s="1343">
        <f>Original_dep!F7/Original_dep!$C$5</f>
        <v>0</v>
      </c>
      <c r="E6" s="1343">
        <f>Original_dep!G7/Original_dep!$C$5</f>
        <v>0</v>
      </c>
      <c r="F6" s="1343">
        <f>Original_dep!H7/Original_dep!$C$5</f>
        <v>0</v>
      </c>
      <c r="G6" s="1343">
        <f>Original_dep!I7/Original_dep!$C$5</f>
        <v>0</v>
      </c>
      <c r="H6" s="1343">
        <f>Original_dep!J7/Original_dep!$C$5</f>
        <v>0</v>
      </c>
      <c r="I6" s="1343">
        <f>Original_dep!K7/Original_dep!$C$5</f>
        <v>0</v>
      </c>
      <c r="J6" s="1343">
        <f>Original_dep!L7/Original_dep!$C$5</f>
        <v>0</v>
      </c>
      <c r="M6" s="1469" t="s">
        <v>630</v>
      </c>
      <c r="N6" s="5" t="s">
        <v>1170</v>
      </c>
      <c r="O6" s="6">
        <v>0</v>
      </c>
      <c r="P6" s="6">
        <v>0</v>
      </c>
      <c r="Q6" s="6">
        <v>0</v>
      </c>
      <c r="R6" s="6">
        <v>0</v>
      </c>
      <c r="S6" s="6">
        <v>0</v>
      </c>
      <c r="T6" s="6">
        <v>0</v>
      </c>
      <c r="U6" s="6">
        <v>0</v>
      </c>
      <c r="V6" s="6">
        <v>0</v>
      </c>
      <c r="W6" s="6">
        <v>0</v>
      </c>
      <c r="X6" s="6">
        <v>0</v>
      </c>
      <c r="Y6" s="6">
        <v>0</v>
      </c>
      <c r="Z6" s="6">
        <v>0</v>
      </c>
      <c r="AA6" s="6">
        <v>0</v>
      </c>
      <c r="AB6" s="6">
        <v>0</v>
      </c>
      <c r="AC6" s="6">
        <v>0</v>
      </c>
      <c r="AD6" s="6">
        <v>0</v>
      </c>
      <c r="AE6" s="7">
        <v>0</v>
      </c>
    </row>
    <row r="7" spans="1:31" ht="15" customHeight="1">
      <c r="A7" s="1467"/>
      <c r="B7" s="1340" t="s">
        <v>1091</v>
      </c>
      <c r="C7" s="1343">
        <v>2.794559837285799E-2</v>
      </c>
      <c r="D7" s="1356">
        <f>Original_dep!F8/Original_dep!$C$5</f>
        <v>2.6011762280094018E-2</v>
      </c>
      <c r="E7" s="1356">
        <f>Original_dep!G8/Original_dep!$C$5</f>
        <v>2.1159348621667646E-2</v>
      </c>
      <c r="F7" s="1356">
        <f>Original_dep!H8/Original_dep!$C$5</f>
        <v>1.7981753598388401E-2</v>
      </c>
      <c r="G7" s="1356">
        <f>Original_dep!I8/Original_dep!$C$5</f>
        <v>2.1387612034454704E-3</v>
      </c>
      <c r="H7" s="1356">
        <f>Original_dep!J8/Original_dep!$C$5</f>
        <v>7.3455574848796737E-2</v>
      </c>
      <c r="I7" s="1356">
        <f>Original_dep!K8/Original_dep!$C$5</f>
        <v>0.29170730332292305</v>
      </c>
      <c r="J7" s="1356">
        <f>Original_dep!L8/Original_dep!$C$5</f>
        <v>1.3730638905597954E-2</v>
      </c>
      <c r="M7" s="1470"/>
      <c r="N7" s="1340" t="s">
        <v>1091</v>
      </c>
      <c r="O7" s="1353">
        <v>1.7667478953629443</v>
      </c>
      <c r="P7" s="1353">
        <v>0.10728634686857841</v>
      </c>
      <c r="Q7" s="1353">
        <v>6.9864526295399356</v>
      </c>
      <c r="R7" s="1353">
        <v>0.35432749731018109</v>
      </c>
      <c r="S7" s="1353">
        <v>0.67533593668573511</v>
      </c>
      <c r="T7" s="1353">
        <v>1.6512776870420732E-2</v>
      </c>
      <c r="U7" s="1353">
        <v>3.1549981888168799</v>
      </c>
      <c r="V7" s="1353">
        <v>0.14397182187639176</v>
      </c>
      <c r="W7" s="1353">
        <v>0</v>
      </c>
      <c r="X7" s="1353">
        <v>0.53811207995696975</v>
      </c>
      <c r="Y7" s="1353">
        <v>0.15479159282867444</v>
      </c>
      <c r="Z7" s="1353">
        <v>0</v>
      </c>
      <c r="AA7" s="1353">
        <v>0.59172604070387669</v>
      </c>
      <c r="AB7" s="1353">
        <v>0</v>
      </c>
      <c r="AC7" s="1353">
        <v>1.4121427815165624</v>
      </c>
      <c r="AD7" s="1353">
        <v>0.29012226178698608</v>
      </c>
      <c r="AE7" s="1357">
        <v>0</v>
      </c>
    </row>
    <row r="8" spans="1:31">
      <c r="A8" s="1467"/>
      <c r="B8" s="1340" t="s">
        <v>1092</v>
      </c>
      <c r="C8" s="1343">
        <v>1.7800066312386009E-2</v>
      </c>
      <c r="D8" s="1343">
        <f>Original_dep!F9/Original_dep!$C$5</f>
        <v>1.6568301287024564E-2</v>
      </c>
      <c r="E8" s="1343">
        <f>Original_dep!G9/Original_dep!$C$5</f>
        <v>1.3477536017206382E-2</v>
      </c>
      <c r="F8" s="1343">
        <f>Original_dep!H9/Original_dep!$C$5</f>
        <v>1.1453553514716355E-2</v>
      </c>
      <c r="G8" s="1343">
        <f>Original_dep!I9/Original_dep!$C$5</f>
        <v>1.3622929357155313E-3</v>
      </c>
      <c r="H8" s="1343">
        <f>Original_dep!J9/Original_dep!$C$5</f>
        <v>4.6787837063919584E-2</v>
      </c>
      <c r="I8" s="1343">
        <f>Original_dep!K9/Original_dep!$C$5</f>
        <v>0.1858041926201312</v>
      </c>
      <c r="J8" s="1343">
        <f>Original_dep!L9/Original_dep!$C$5</f>
        <v>8.7457881477481306E-3</v>
      </c>
      <c r="M8" s="1470"/>
      <c r="N8" s="1340" t="s">
        <v>1092</v>
      </c>
      <c r="O8" s="1353">
        <v>1.1471824663427077</v>
      </c>
      <c r="P8" s="1353">
        <v>5.564814915369394E-2</v>
      </c>
      <c r="Q8" s="1353">
        <v>4.3918931316640411</v>
      </c>
      <c r="R8" s="1353">
        <v>0.3173938452344075</v>
      </c>
      <c r="S8" s="1353">
        <v>0.40831309223840723</v>
      </c>
      <c r="T8" s="1353">
        <v>8.2649409081201955E-3</v>
      </c>
      <c r="U8" s="1353">
        <v>2.1119828342202278</v>
      </c>
      <c r="V8" s="1353">
        <v>0</v>
      </c>
      <c r="W8" s="1353">
        <v>0</v>
      </c>
      <c r="X8" s="1353">
        <v>0.20018380723838605</v>
      </c>
      <c r="Y8" s="1353">
        <v>0</v>
      </c>
      <c r="Z8" s="1353">
        <v>0</v>
      </c>
      <c r="AA8" s="1353">
        <v>0.51708231578118147</v>
      </c>
      <c r="AB8" s="1353">
        <v>0</v>
      </c>
      <c r="AC8" s="1353">
        <v>0.91680057616631427</v>
      </c>
      <c r="AD8" s="1353">
        <v>0.23915349699637276</v>
      </c>
      <c r="AE8" s="1357">
        <v>0</v>
      </c>
    </row>
    <row r="9" spans="1:31">
      <c r="A9" s="1467"/>
      <c r="B9" s="1340" t="s">
        <v>1093</v>
      </c>
      <c r="C9" s="1343">
        <v>5.3693419046853971E-2</v>
      </c>
      <c r="D9" s="1343">
        <f>Original_dep!F10/Original_dep!$C$5</f>
        <v>4.9977833131987497E-2</v>
      </c>
      <c r="E9" s="1343">
        <f>Original_dep!G10/Original_dep!$C$5</f>
        <v>4.0654623212688881E-2</v>
      </c>
      <c r="F9" s="1343">
        <f>Original_dep!H10/Original_dep!$C$5</f>
        <v>3.4549334684967098E-2</v>
      </c>
      <c r="G9" s="1343">
        <f>Original_dep!I10/Original_dep!$C$5</f>
        <v>4.1093198293898963E-3</v>
      </c>
      <c r="H9" s="1343">
        <f>Original_dep!J10/Original_dep!$C$5</f>
        <v>0.14113424622586207</v>
      </c>
      <c r="I9" s="1343">
        <f>Original_dep!K10/Original_dep!$C$5</f>
        <v>0.5604733263309839</v>
      </c>
      <c r="J9" s="1343">
        <f>Original_dep!L10/Original_dep!$C$5</f>
        <v>2.6381433623384229E-2</v>
      </c>
      <c r="M9" s="1470"/>
      <c r="N9" s="1340" t="s">
        <v>1093</v>
      </c>
      <c r="O9" s="1353">
        <v>3.5524136864046878</v>
      </c>
      <c r="P9" s="1353">
        <v>0.48332158511619666</v>
      </c>
      <c r="Q9" s="1353">
        <v>12.361325049009395</v>
      </c>
      <c r="R9" s="1353">
        <v>0.54423461451555599</v>
      </c>
      <c r="S9" s="1353">
        <v>1.0144332923080381</v>
      </c>
      <c r="T9" s="1353">
        <v>9.551842914802873E-2</v>
      </c>
      <c r="U9" s="1353">
        <v>6.7684671030751327</v>
      </c>
      <c r="V9" s="1353">
        <v>0.26553161779724338</v>
      </c>
      <c r="W9" s="1353">
        <v>0.12526334192689198</v>
      </c>
      <c r="X9" s="1353">
        <v>1.0524809459299602</v>
      </c>
      <c r="Y9" s="1353">
        <v>0.55448520607652885</v>
      </c>
      <c r="Z9" s="1353">
        <v>0.14764372537959802</v>
      </c>
      <c r="AA9" s="1353">
        <v>1.101809330288201</v>
      </c>
      <c r="AB9" s="1353">
        <v>0</v>
      </c>
      <c r="AC9" s="1353">
        <v>2.3887798618256002</v>
      </c>
      <c r="AD9" s="1353">
        <v>0.65588880986043996</v>
      </c>
      <c r="AE9" s="1357">
        <v>0</v>
      </c>
    </row>
    <row r="10" spans="1:31">
      <c r="A10" s="1467"/>
      <c r="B10" s="1340" t="s">
        <v>1094</v>
      </c>
      <c r="C10" s="1343">
        <v>4.3582058404142476E-2</v>
      </c>
      <c r="D10" s="1343">
        <f>Original_dep!F11/Original_dep!$C$5</f>
        <v>4.0566178893731451E-2</v>
      </c>
      <c r="E10" s="1343">
        <f>Original_dep!G11/Original_dep!$C$5</f>
        <v>3.2998683911480732E-2</v>
      </c>
      <c r="F10" s="1343">
        <f>Original_dep!H11/Original_dep!$C$5</f>
        <v>2.8043122393650696E-2</v>
      </c>
      <c r="G10" s="1343">
        <f>Original_dep!I11/Original_dep!$C$5</f>
        <v>3.3354668036597065E-3</v>
      </c>
      <c r="H10" s="1343">
        <f>Original_dep!J11/Original_dep!$C$5</f>
        <v>0.11455632870897506</v>
      </c>
      <c r="I10" s="1343">
        <f>Original_dep!K11/Original_dep!$C$5</f>
        <v>0.45492691051776402</v>
      </c>
      <c r="J10" s="1343">
        <f>Original_dep!L11/Original_dep!$C$5</f>
        <v>2.141337246480873E-2</v>
      </c>
      <c r="M10" s="1470"/>
      <c r="N10" s="1340" t="s">
        <v>1094</v>
      </c>
      <c r="O10" s="1353">
        <v>2.7690090213160063</v>
      </c>
      <c r="P10" s="1353">
        <v>0.17906078647272988</v>
      </c>
      <c r="Q10" s="1353">
        <v>11.383943850907778</v>
      </c>
      <c r="R10" s="1353">
        <v>0.53236390412924484</v>
      </c>
      <c r="S10" s="1353">
        <v>0.98623543192645036</v>
      </c>
      <c r="T10" s="1353">
        <v>5.1420037509116015E-2</v>
      </c>
      <c r="U10" s="1353">
        <v>4.9163475142710187</v>
      </c>
      <c r="V10" s="1353">
        <v>0.24474989181745693</v>
      </c>
      <c r="W10" s="1353">
        <v>5.3263733847506926E-2</v>
      </c>
      <c r="X10" s="1353">
        <v>0.56105636365232581</v>
      </c>
      <c r="Y10" s="1353">
        <v>1.7613304809253039E-2</v>
      </c>
      <c r="Z10" s="1353">
        <v>0</v>
      </c>
      <c r="AA10" s="1353">
        <v>1.3658715209297589</v>
      </c>
      <c r="AB10" s="1353">
        <v>0</v>
      </c>
      <c r="AC10" s="1353">
        <v>1.9999608790175141</v>
      </c>
      <c r="AD10" s="1353">
        <v>0.19187112043287446</v>
      </c>
      <c r="AE10" s="1357">
        <v>0</v>
      </c>
    </row>
    <row r="11" spans="1:31">
      <c r="A11" s="1467"/>
      <c r="B11" s="1340" t="s">
        <v>1095</v>
      </c>
      <c r="C11" s="1343">
        <v>3.0245356575215973E-2</v>
      </c>
      <c r="D11" s="1343">
        <f>Original_dep!F12/Original_dep!$C$5</f>
        <v>2.815237715844756E-2</v>
      </c>
      <c r="E11" s="1343">
        <f>Original_dep!G12/Original_dep!$C$5</f>
        <v>2.2900638426952127E-2</v>
      </c>
      <c r="F11" s="1343">
        <f>Original_dep!H12/Original_dep!$C$5</f>
        <v>1.9461546042941615E-2</v>
      </c>
      <c r="G11" s="1343">
        <f>Original_dep!I12/Original_dep!$C$5</f>
        <v>2.3147686574596224E-3</v>
      </c>
      <c r="H11" s="1343">
        <f>Original_dep!J12/Original_dep!$C$5</f>
        <v>7.9500536152309689E-2</v>
      </c>
      <c r="I11" s="1343">
        <f>Original_dep!K12/Original_dep!$C$5</f>
        <v>0.31571309681332788</v>
      </c>
      <c r="J11" s="1343">
        <f>Original_dep!L12/Original_dep!$C$5</f>
        <v>1.4860589641504674E-2</v>
      </c>
      <c r="M11" s="1470"/>
      <c r="N11" s="1340" t="s">
        <v>1095</v>
      </c>
      <c r="O11" s="1353">
        <v>1.98284149270115</v>
      </c>
      <c r="P11" s="1353">
        <v>5.9319162000827971E-2</v>
      </c>
      <c r="Q11" s="1353">
        <v>7.4378211506332308</v>
      </c>
      <c r="R11" s="1353">
        <v>0.36174071574815159</v>
      </c>
      <c r="S11" s="1353">
        <v>0.66019604950941035</v>
      </c>
      <c r="T11" s="1353">
        <v>0.13485449905005081</v>
      </c>
      <c r="U11" s="1353">
        <v>3.4987264048570719</v>
      </c>
      <c r="V11" s="1353">
        <v>0.17756570342028219</v>
      </c>
      <c r="W11" s="1353">
        <v>0</v>
      </c>
      <c r="X11" s="1353">
        <v>0.39388133833681283</v>
      </c>
      <c r="Y11" s="1353">
        <v>0</v>
      </c>
      <c r="Z11" s="1353">
        <v>0</v>
      </c>
      <c r="AA11" s="1353">
        <v>0.84045014849250288</v>
      </c>
      <c r="AB11" s="1353">
        <v>1.541022218913414E-5</v>
      </c>
      <c r="AC11" s="1353">
        <v>1.4566528780520478</v>
      </c>
      <c r="AD11" s="1353">
        <v>0.52101259753556484</v>
      </c>
      <c r="AE11" s="1357">
        <v>0</v>
      </c>
    </row>
    <row r="12" spans="1:31">
      <c r="A12" s="1467"/>
      <c r="B12" s="1340" t="s">
        <v>1096</v>
      </c>
      <c r="C12" s="1343">
        <v>0.14271010402976964</v>
      </c>
      <c r="D12" s="1343">
        <f>Original_dep!F13/Original_dep!$C$5</f>
        <v>0.13283456133096269</v>
      </c>
      <c r="E12" s="1343">
        <f>Original_dep!G13/Original_dep!$C$5</f>
        <v>0.10805468548968963</v>
      </c>
      <c r="F12" s="1343">
        <f>Original_dep!H13/Original_dep!$C$5</f>
        <v>9.182762495993213E-2</v>
      </c>
      <c r="G12" s="1343">
        <f>Original_dep!I13/Original_dep!$C$5</f>
        <v>1.0922036084759038E-2</v>
      </c>
      <c r="H12" s="1343">
        <f>Original_dep!J13/Original_dep!$C$5</f>
        <v>0.37511641684580016</v>
      </c>
      <c r="I12" s="1343">
        <f>Original_dep!K13/Original_dep!$C$5</f>
        <v>1.4896649929632719</v>
      </c>
      <c r="J12" s="1343">
        <f>Original_dep!L13/Original_dep!$C$5</f>
        <v>7.0118409363395168E-2</v>
      </c>
      <c r="M12" s="1470"/>
      <c r="N12" s="1340" t="s">
        <v>1096</v>
      </c>
      <c r="O12" s="1353">
        <v>9.1286233309056026</v>
      </c>
      <c r="P12" s="1353">
        <v>0.94434313308366191</v>
      </c>
      <c r="Q12" s="1353">
        <v>37.274406754745776</v>
      </c>
      <c r="R12" s="1353">
        <v>1.72083185497882</v>
      </c>
      <c r="S12" s="1353">
        <v>3.34239386010842</v>
      </c>
      <c r="T12" s="1353">
        <v>0.22248032916082688</v>
      </c>
      <c r="U12" s="1353">
        <v>16.101545900812702</v>
      </c>
      <c r="V12" s="1353">
        <v>0.82383892752790477</v>
      </c>
      <c r="W12" s="1353">
        <v>0</v>
      </c>
      <c r="X12" s="1353">
        <v>1.8542628074909964</v>
      </c>
      <c r="Y12" s="1353">
        <v>1.4320963164228545E-4</v>
      </c>
      <c r="Z12" s="1353">
        <v>0</v>
      </c>
      <c r="AA12" s="1353">
        <v>4.6136199546472954</v>
      </c>
      <c r="AB12" s="1353">
        <v>0</v>
      </c>
      <c r="AC12" s="1353">
        <v>5.978662855898099</v>
      </c>
      <c r="AD12" s="1353">
        <v>0.68541262783677237</v>
      </c>
      <c r="AE12" s="1357">
        <v>0</v>
      </c>
    </row>
    <row r="13" spans="1:31" ht="13.9" thickBot="1">
      <c r="A13" s="1468"/>
      <c r="B13" s="1340" t="s">
        <v>1097</v>
      </c>
      <c r="C13" s="1343">
        <v>3.6400965423340717E-2</v>
      </c>
      <c r="D13" s="1343">
        <f>Original_dep!F14/Original_dep!$C$5</f>
        <v>3.388201772331656E-2</v>
      </c>
      <c r="E13" s="1343">
        <f>Original_dep!G14/Original_dep!$C$5</f>
        <v>2.7561432297180961E-2</v>
      </c>
      <c r="F13" s="1343">
        <f>Original_dep!H14/Original_dep!$C$5</f>
        <v>2.3422407430778076E-2</v>
      </c>
      <c r="G13" s="1343">
        <f>Original_dep!I14/Original_dep!$C$5</f>
        <v>2.7858760287278522E-3</v>
      </c>
      <c r="H13" s="1343">
        <f>Original_dep!J14/Original_dep!$C$5</f>
        <v>9.5680679459690207E-2</v>
      </c>
      <c r="I13" s="1343">
        <f>Original_dep!K14/Original_dep!$C$5</f>
        <v>0.37996779744415049</v>
      </c>
      <c r="J13" s="1343">
        <f>Original_dep!L14/Original_dep!$C$5</f>
        <v>1.7885053144128926E-2</v>
      </c>
      <c r="M13" s="1471"/>
      <c r="N13" s="1358" t="s">
        <v>1097</v>
      </c>
      <c r="O13" s="1359">
        <v>2.1162001694007624</v>
      </c>
      <c r="P13" s="1359">
        <v>0.68359534020011936</v>
      </c>
      <c r="Q13" s="1359">
        <v>7.33786757202442</v>
      </c>
      <c r="R13" s="1359">
        <v>0.43143828208407375</v>
      </c>
      <c r="S13" s="1359">
        <v>1.064773375887192</v>
      </c>
      <c r="T13" s="1359">
        <v>0.15926104019567636</v>
      </c>
      <c r="U13" s="1359">
        <v>5.3272568782986678</v>
      </c>
      <c r="V13" s="1359">
        <v>0.21501127231597911</v>
      </c>
      <c r="W13" s="1359">
        <v>0</v>
      </c>
      <c r="X13" s="1359">
        <v>0.55500096852022285</v>
      </c>
      <c r="Y13" s="1359">
        <v>0.71549569163325544</v>
      </c>
      <c r="Z13" s="1359">
        <v>2.6178245186125903E-3</v>
      </c>
      <c r="AA13" s="1359">
        <v>0.7850350934376038</v>
      </c>
      <c r="AB13" s="1359">
        <v>0</v>
      </c>
      <c r="AC13" s="1359">
        <v>1.2894599923633276</v>
      </c>
      <c r="AD13" s="1359">
        <v>0.40881063988799027</v>
      </c>
      <c r="AE13" s="1360">
        <v>0</v>
      </c>
    </row>
    <row r="14" spans="1:31">
      <c r="A14" s="1466" t="s">
        <v>631</v>
      </c>
      <c r="B14" s="1340" t="s">
        <v>1076</v>
      </c>
      <c r="C14" s="1343">
        <v>8.0900151103890094E-3</v>
      </c>
      <c r="D14" s="1343">
        <f>Original_dep!F15/Original_dep!$C$5</f>
        <v>4.9207139940675541E-3</v>
      </c>
      <c r="E14" s="1343">
        <f>Original_dep!G15/Original_dep!$C$5</f>
        <v>1.1391552918420197E-3</v>
      </c>
      <c r="F14" s="1343">
        <f>Original_dep!H15/Original_dep!$C$5</f>
        <v>6.3548917503563945E-4</v>
      </c>
      <c r="G14" s="1343">
        <f>Original_dep!I15/Original_dep!$C$5</f>
        <v>1.427213547184672E-4</v>
      </c>
      <c r="H14" s="1343">
        <f>Original_dep!J15/Original_dep!$C$5</f>
        <v>5.4019150292694169E-2</v>
      </c>
      <c r="I14" s="1343">
        <f>Original_dep!K15/Original_dep!$C$5</f>
        <v>6.2346984072905176E-2</v>
      </c>
      <c r="J14" s="1343">
        <f>Original_dep!L15/Original_dep!$C$5</f>
        <v>5.9626227197680012E-3</v>
      </c>
      <c r="M14" s="1469" t="s">
        <v>631</v>
      </c>
      <c r="N14" s="5" t="s">
        <v>1076</v>
      </c>
      <c r="O14" s="6">
        <v>0.14552810225792148</v>
      </c>
      <c r="P14" s="6">
        <v>0.14831629272143221</v>
      </c>
      <c r="Q14" s="6">
        <v>1.1609339596435051</v>
      </c>
      <c r="R14" s="6">
        <v>0.13929402293259902</v>
      </c>
      <c r="S14" s="6">
        <v>0.10263300227010333</v>
      </c>
      <c r="T14" s="6">
        <v>1.3128828062570241E-2</v>
      </c>
      <c r="U14" s="6">
        <v>1.0662676181152111</v>
      </c>
      <c r="V14" s="6">
        <v>5.7821964304498839E-2</v>
      </c>
      <c r="W14" s="6">
        <v>0</v>
      </c>
      <c r="X14" s="6">
        <v>0.3943308735344398</v>
      </c>
      <c r="Y14" s="6">
        <v>0</v>
      </c>
      <c r="Z14" s="6">
        <v>0</v>
      </c>
      <c r="AA14" s="6">
        <v>0.42407064952784007</v>
      </c>
      <c r="AB14" s="6">
        <v>0</v>
      </c>
      <c r="AC14" s="6">
        <v>0.98056510384831064</v>
      </c>
      <c r="AD14" s="6">
        <v>3.5436011829238521E-2</v>
      </c>
      <c r="AE14" s="7">
        <v>1.9273859022382878E-2</v>
      </c>
    </row>
    <row r="15" spans="1:31" ht="15" customHeight="1">
      <c r="A15" s="1467"/>
      <c r="B15" s="1340" t="s">
        <v>1077</v>
      </c>
      <c r="C15" s="1343">
        <v>1.4874950255150236E-2</v>
      </c>
      <c r="D15" s="1343">
        <f>Original_dep!F16/Original_dep!$C$5</f>
        <v>9.0476191802881419E-3</v>
      </c>
      <c r="E15" s="1343">
        <f>Original_dep!G16/Original_dep!$C$5</f>
        <v>2.0945422311116541E-3</v>
      </c>
      <c r="F15" s="1343">
        <f>Original_dep!H16/Original_dep!$C$5</f>
        <v>1.1684613362714787E-3</v>
      </c>
      <c r="G15" s="1343">
        <f>Original_dep!I16/Original_dep!$C$5</f>
        <v>2.6241892293360215E-4</v>
      </c>
      <c r="H15" s="1343">
        <f>Original_dep!J16/Original_dep!$C$5</f>
        <v>9.9323939753515736E-2</v>
      </c>
      <c r="I15" s="1343">
        <f>Original_dep!K16/Original_dep!$C$5</f>
        <v>0.11463616247788613</v>
      </c>
      <c r="J15" s="1343">
        <f>Original_dep!L16/Original_dep!$C$5</f>
        <v>1.0963356079876686E-2</v>
      </c>
      <c r="M15" s="1470"/>
      <c r="N15" s="1340" t="s">
        <v>1077</v>
      </c>
      <c r="O15" s="1353">
        <v>0.45628889869156314</v>
      </c>
      <c r="P15" s="1353">
        <v>0.10981446959453887</v>
      </c>
      <c r="Q15" s="1353">
        <v>3.7132422744024374</v>
      </c>
      <c r="R15" s="1353">
        <v>0.19649168734238534</v>
      </c>
      <c r="S15" s="1353">
        <v>0</v>
      </c>
      <c r="T15" s="1353">
        <v>2.7844469101430028E-2</v>
      </c>
      <c r="U15" s="1353">
        <v>0.42497470385340014</v>
      </c>
      <c r="V15" s="1353">
        <v>0.201380029200627</v>
      </c>
      <c r="W15" s="1353">
        <v>0</v>
      </c>
      <c r="X15" s="1353">
        <v>0.64782746052547546</v>
      </c>
      <c r="Y15" s="1353">
        <v>0</v>
      </c>
      <c r="Z15" s="1353">
        <v>0</v>
      </c>
      <c r="AA15" s="1353">
        <v>0.87890592478630336</v>
      </c>
      <c r="AB15" s="1353">
        <v>0</v>
      </c>
      <c r="AC15" s="1353">
        <v>1.9401778564757584</v>
      </c>
      <c r="AD15" s="1353">
        <v>2.2049860718641602E-2</v>
      </c>
      <c r="AE15" s="1357">
        <v>0</v>
      </c>
    </row>
    <row r="16" spans="1:31">
      <c r="A16" s="1467"/>
      <c r="B16" s="1340" t="s">
        <v>1078</v>
      </c>
      <c r="C16" s="1343">
        <v>1.070737344073522E-2</v>
      </c>
      <c r="D16" s="1343">
        <f>Original_dep!F17/Original_dep!$C$5</f>
        <v>6.5127100024661806E-3</v>
      </c>
      <c r="E16" s="1343">
        <f>Original_dep!G17/Original_dep!$C$5</f>
        <v>1.5077056037977792E-3</v>
      </c>
      <c r="F16" s="1343">
        <f>Original_dep!H17/Original_dep!$C$5</f>
        <v>8.4108865333431366E-4</v>
      </c>
      <c r="G16" s="1343">
        <f>Original_dep!I17/Original_dep!$C$5</f>
        <v>1.8889591948670456E-4</v>
      </c>
      <c r="H16" s="1343">
        <f>Original_dep!J17/Original_dep!$C$5</f>
        <v>7.1495937552985001E-2</v>
      </c>
      <c r="I16" s="1343">
        <f>Original_dep!K17/Original_dep!$C$5</f>
        <v>8.25180710126098E-2</v>
      </c>
      <c r="J16" s="1343">
        <f>Original_dep!L17/Original_dep!$C$5</f>
        <v>7.8917069097659987E-3</v>
      </c>
      <c r="M16" s="1470"/>
      <c r="N16" s="1340" t="s">
        <v>1078</v>
      </c>
      <c r="O16" s="1353">
        <v>0.22802522204789036</v>
      </c>
      <c r="P16" s="1353">
        <v>8.9943058665761466E-2</v>
      </c>
      <c r="Q16" s="1353">
        <v>1.6848118841135529</v>
      </c>
      <c r="R16" s="1353">
        <v>0.16688988315262818</v>
      </c>
      <c r="S16" s="1353">
        <v>0.10042331400424061</v>
      </c>
      <c r="T16" s="1353">
        <v>1.2550218483121846E-2</v>
      </c>
      <c r="U16" s="1353">
        <v>0.60225465696611413</v>
      </c>
      <c r="V16" s="1353">
        <v>2.62652092132259E-2</v>
      </c>
      <c r="W16" s="1353">
        <v>0</v>
      </c>
      <c r="X16" s="1353">
        <v>0.37853996826402564</v>
      </c>
      <c r="Y16" s="1353">
        <v>0.65637491664747005</v>
      </c>
      <c r="Z16" s="1353">
        <v>9.3243246953456524E-2</v>
      </c>
      <c r="AA16" s="1353">
        <v>0.6135083535443826</v>
      </c>
      <c r="AB16" s="1353">
        <v>0</v>
      </c>
      <c r="AC16" s="1353">
        <v>1.5001211295726493</v>
      </c>
      <c r="AD16" s="1353">
        <v>5.1226080242178833E-2</v>
      </c>
      <c r="AE16" s="1357">
        <v>0</v>
      </c>
    </row>
    <row r="17" spans="1:31">
      <c r="A17" s="1467"/>
      <c r="B17" s="1340" t="s">
        <v>1079</v>
      </c>
      <c r="C17" s="1343">
        <v>1.6271470619628393E-2</v>
      </c>
      <c r="D17" s="1343">
        <f>Original_dep!F18/Original_dep!$C$5</f>
        <v>9.897046184653471E-3</v>
      </c>
      <c r="E17" s="1343">
        <f>Original_dep!G18/Original_dep!$C$5</f>
        <v>2.2911863092317927E-3</v>
      </c>
      <c r="F17" s="1343">
        <f>Original_dep!H18/Original_dep!$C$5</f>
        <v>1.2781612023697536E-3</v>
      </c>
      <c r="G17" s="1343">
        <f>Original_dep!I18/Original_dep!$C$5</f>
        <v>2.870558705277169E-4</v>
      </c>
      <c r="H17" s="1343">
        <f>Original_dep!J18/Original_dep!$C$5</f>
        <v>0.10864887208382458</v>
      </c>
      <c r="I17" s="1343">
        <f>Original_dep!K18/Original_dep!$C$5</f>
        <v>0.12539866807689243</v>
      </c>
      <c r="J17" s="1343">
        <f>Original_dep!L18/Original_dep!$C$5</f>
        <v>1.1992640196189758E-2</v>
      </c>
      <c r="M17" s="1470"/>
      <c r="N17" s="1340" t="s">
        <v>1079</v>
      </c>
      <c r="O17" s="1353">
        <v>0.4173994979805678</v>
      </c>
      <c r="P17" s="1353">
        <v>0.10237052214744385</v>
      </c>
      <c r="Q17" s="1353">
        <v>3.3736372328137243</v>
      </c>
      <c r="R17" s="1353">
        <v>0.20329050522917572</v>
      </c>
      <c r="S17" s="1353">
        <v>8.1727644078394196E-2</v>
      </c>
      <c r="T17" s="1353">
        <v>3.2529168778296473E-2</v>
      </c>
      <c r="U17" s="1353">
        <v>0.55804678311451617</v>
      </c>
      <c r="V17" s="1353">
        <v>6.1991847020463672E-3</v>
      </c>
      <c r="W17" s="1353">
        <v>0</v>
      </c>
      <c r="X17" s="1353">
        <v>0.53756069772838055</v>
      </c>
      <c r="Y17" s="1353">
        <v>0.25812573081164264</v>
      </c>
      <c r="Z17" s="1353">
        <v>0.22573582915037804</v>
      </c>
      <c r="AA17" s="1353">
        <v>0.87460119845212936</v>
      </c>
      <c r="AB17" s="1353">
        <v>0</v>
      </c>
      <c r="AC17" s="1353">
        <v>2.3959201897785962</v>
      </c>
      <c r="AD17" s="1353">
        <v>0.36103973369784614</v>
      </c>
      <c r="AE17" s="1357">
        <v>0</v>
      </c>
    </row>
    <row r="18" spans="1:31">
      <c r="A18" s="1467"/>
      <c r="B18" s="1340" t="s">
        <v>1080</v>
      </c>
      <c r="C18" s="1343">
        <v>4.3720818938284452E-2</v>
      </c>
      <c r="D18" s="1343">
        <f>Original_dep!F19/Original_dep!$C$5</f>
        <v>2.6592984394483425E-2</v>
      </c>
      <c r="E18" s="1343">
        <f>Original_dep!G19/Original_dep!$C$5</f>
        <v>6.1563299422340212E-3</v>
      </c>
      <c r="F18" s="1343">
        <f>Original_dep!H19/Original_dep!$C$5</f>
        <v>3.4343702428062521E-3</v>
      </c>
      <c r="G18" s="1343">
        <f>Original_dep!I19/Original_dep!$C$5</f>
        <v>7.7130814011208031E-4</v>
      </c>
      <c r="H18" s="1343">
        <f>Original_dep!J19/Original_dep!$C$5</f>
        <v>0.29193536191470615</v>
      </c>
      <c r="I18" s="1343">
        <f>Original_dep!K19/Original_dep!$C$5</f>
        <v>0.33694142282863032</v>
      </c>
      <c r="J18" s="1343">
        <f>Original_dep!L19/Original_dep!$C$5</f>
        <v>3.2223765317014673E-2</v>
      </c>
      <c r="M18" s="1470"/>
      <c r="N18" s="1340" t="s">
        <v>1080</v>
      </c>
      <c r="O18" s="1353">
        <v>1.1942703852698691</v>
      </c>
      <c r="P18" s="1353">
        <v>0.16144185762538268</v>
      </c>
      <c r="Q18" s="1353">
        <v>7.7491746867626148</v>
      </c>
      <c r="R18" s="1353">
        <v>1.0540160720293326</v>
      </c>
      <c r="S18" s="1353">
        <v>0.14675676483640504</v>
      </c>
      <c r="T18" s="1353">
        <v>0.12678824412431033</v>
      </c>
      <c r="U18" s="1353">
        <v>2.3845981547338639</v>
      </c>
      <c r="V18" s="1353">
        <v>0.11058523460601923</v>
      </c>
      <c r="W18" s="1353">
        <v>0</v>
      </c>
      <c r="X18" s="1353">
        <v>2.1230515424886804</v>
      </c>
      <c r="Y18" s="1353">
        <v>0.79124328022077206</v>
      </c>
      <c r="Z18" s="1353">
        <v>0</v>
      </c>
      <c r="AA18" s="1353">
        <v>2.6415227016732952</v>
      </c>
      <c r="AB18" s="1353">
        <v>1.0838184858955818E-4</v>
      </c>
      <c r="AC18" s="1353">
        <v>5.5418368130860758</v>
      </c>
      <c r="AD18" s="1353">
        <v>1.3029422970865603</v>
      </c>
      <c r="AE18" s="1357">
        <v>4.8330095310918329E-3</v>
      </c>
    </row>
    <row r="19" spans="1:31">
      <c r="A19" s="1467"/>
      <c r="B19" s="1340" t="s">
        <v>1081</v>
      </c>
      <c r="C19" s="1343">
        <v>4.2785748752864276E-2</v>
      </c>
      <c r="D19" s="1343">
        <f>Original_dep!F20/Original_dep!$C$5</f>
        <v>2.602423231132308E-2</v>
      </c>
      <c r="E19" s="1343">
        <f>Original_dep!G20/Original_dep!$C$5</f>
        <v>6.0246626788939064E-3</v>
      </c>
      <c r="F19" s="1343">
        <f>Original_dep!H20/Original_dep!$C$5</f>
        <v>3.3609183428252492E-3</v>
      </c>
      <c r="G19" s="1343">
        <f>Original_dep!I20/Original_dep!$C$5</f>
        <v>7.5481194303469328E-4</v>
      </c>
      <c r="H19" s="1343">
        <f>Original_dep!J20/Original_dep!$C$5</f>
        <v>0.28569165331945723</v>
      </c>
      <c r="I19" s="1343">
        <f>Original_dep!K20/Original_dep!$C$5</f>
        <v>0.32973515619476773</v>
      </c>
      <c r="J19" s="1343">
        <f>Original_dep!L20/Original_dep!$C$5</f>
        <v>3.1534586044036042E-2</v>
      </c>
      <c r="M19" s="1470"/>
      <c r="N19" s="1340" t="s">
        <v>1081</v>
      </c>
      <c r="O19" s="1353">
        <v>1.222606112883911</v>
      </c>
      <c r="P19" s="1353">
        <v>0.30769195833324708</v>
      </c>
      <c r="Q19" s="1353">
        <v>8.4822042185601223</v>
      </c>
      <c r="R19" s="1353">
        <v>1.1444232759021236</v>
      </c>
      <c r="S19" s="1353">
        <v>8.9846153729815456E-2</v>
      </c>
      <c r="T19" s="1353">
        <v>0.1740525665804164</v>
      </c>
      <c r="U19" s="1353">
        <v>2.3061794727225378</v>
      </c>
      <c r="V19" s="1353">
        <v>0</v>
      </c>
      <c r="W19" s="1353">
        <v>0</v>
      </c>
      <c r="X19" s="1353">
        <v>1.8561691560497739</v>
      </c>
      <c r="Y19" s="1353">
        <v>0.61418144827225751</v>
      </c>
      <c r="Z19" s="1353">
        <v>0</v>
      </c>
      <c r="AA19" s="1353">
        <v>2.5957707111449797</v>
      </c>
      <c r="AB19" s="1353">
        <v>0</v>
      </c>
      <c r="AC19" s="1353">
        <v>5.4343660187382365</v>
      </c>
      <c r="AD19" s="1353">
        <v>0.56387028805970429</v>
      </c>
      <c r="AE19" s="1357">
        <v>0</v>
      </c>
    </row>
    <row r="20" spans="1:31">
      <c r="A20" s="1467"/>
      <c r="B20" s="1340" t="s">
        <v>1082</v>
      </c>
      <c r="C20" s="1343">
        <v>9.3448431442720567E-2</v>
      </c>
      <c r="D20" s="1343">
        <f>Original_dep!F21/Original_dep!$C$5</f>
        <v>5.6839572985883623E-2</v>
      </c>
      <c r="E20" s="1343">
        <f>Original_dep!G21/Original_dep!$C$5</f>
        <v>1.3158476682646459E-2</v>
      </c>
      <c r="F20" s="1343">
        <f>Original_dep!H21/Original_dep!$C$5</f>
        <v>7.3405878475613189E-3</v>
      </c>
      <c r="G20" s="1343">
        <f>Original_dep!I21/Original_dep!$C$5</f>
        <v>1.6485861336270813E-3</v>
      </c>
      <c r="H20" s="1343">
        <f>Original_dep!J21/Original_dep!$C$5</f>
        <v>0.62397965811439815</v>
      </c>
      <c r="I20" s="1343">
        <f>Original_dep!K21/Original_dep!$C$5</f>
        <v>0.72017515261687992</v>
      </c>
      <c r="J20" s="1343">
        <f>Original_dep!L21/Original_dep!$C$5</f>
        <v>6.8874746566481404E-2</v>
      </c>
      <c r="M20" s="1470"/>
      <c r="N20" s="1340" t="s">
        <v>1082</v>
      </c>
      <c r="O20" s="1353">
        <v>2.6448444761706886</v>
      </c>
      <c r="P20" s="1353">
        <v>0.71014151674527359</v>
      </c>
      <c r="Q20" s="1353">
        <v>13.055136046087796</v>
      </c>
      <c r="R20" s="1353">
        <v>1.5572479928252323</v>
      </c>
      <c r="S20" s="1353">
        <v>0.22168489946132083</v>
      </c>
      <c r="T20" s="1353">
        <v>6.4168617283904911E-2</v>
      </c>
      <c r="U20" s="1353">
        <v>4.121321372330887</v>
      </c>
      <c r="V20" s="1353">
        <v>0.25845011282091424</v>
      </c>
      <c r="W20" s="1353">
        <v>0</v>
      </c>
      <c r="X20" s="1353">
        <v>3.4607532401031866</v>
      </c>
      <c r="Y20" s="1353">
        <v>7.2865962175241004</v>
      </c>
      <c r="Z20" s="1353">
        <v>0.66759214098829645</v>
      </c>
      <c r="AA20" s="1353">
        <v>5.5249541645902305</v>
      </c>
      <c r="AB20" s="1353">
        <v>0</v>
      </c>
      <c r="AC20" s="1353">
        <v>12.884860165978388</v>
      </c>
      <c r="AD20" s="1353">
        <v>1.672859682538687</v>
      </c>
      <c r="AE20" s="1357">
        <v>1.6246705665215369E-2</v>
      </c>
    </row>
    <row r="21" spans="1:31" ht="13.9" thickBot="1">
      <c r="A21" s="1468"/>
      <c r="B21" s="1340" t="s">
        <v>1171</v>
      </c>
      <c r="C21" s="1343">
        <v>4.5396024454633192E-2</v>
      </c>
      <c r="D21" s="1343">
        <f>Original_dep!F22/Original_dep!$C$5</f>
        <v>2.7611920343892305E-2</v>
      </c>
      <c r="E21" s="1343">
        <f>Original_dep!G22/Original_dep!$C$5</f>
        <v>6.3922156856884406E-3</v>
      </c>
      <c r="F21" s="1343">
        <f>Original_dep!H22/Original_dep!$C$5</f>
        <v>3.5659614644632433E-3</v>
      </c>
      <c r="G21" s="1343">
        <f>Original_dep!I22/Original_dep!$C$5</f>
        <v>8.0086155842623281E-4</v>
      </c>
      <c r="H21" s="1343">
        <f>Original_dep!J22/Original_dep!$C$5</f>
        <v>0.3031211480132493</v>
      </c>
      <c r="I21" s="1343">
        <f>Original_dep!K22/Original_dep!$C$5</f>
        <v>0.349851659734432</v>
      </c>
      <c r="J21" s="1343">
        <f>Original_dep!L22/Original_dep!$C$5</f>
        <v>3.3458450090252549E-2</v>
      </c>
      <c r="M21" s="1471"/>
      <c r="N21" s="1358" t="s">
        <v>1171</v>
      </c>
      <c r="O21" s="1359">
        <v>1.027523784954137</v>
      </c>
      <c r="P21" s="1359">
        <v>0.38191408647884734</v>
      </c>
      <c r="Q21" s="1359">
        <v>8.3525370287754921</v>
      </c>
      <c r="R21" s="1359">
        <v>0.87254887860982244</v>
      </c>
      <c r="S21" s="1359">
        <v>0.35555552304372862</v>
      </c>
      <c r="T21" s="1359">
        <v>9.2871439316012883E-2</v>
      </c>
      <c r="U21" s="1359">
        <v>3.9041343892437266</v>
      </c>
      <c r="V21" s="1359">
        <v>0.31048506973881856</v>
      </c>
      <c r="W21" s="1359">
        <v>9.4417774287011685E-3</v>
      </c>
      <c r="X21" s="1359">
        <v>1.8784919498352766</v>
      </c>
      <c r="Y21" s="1359">
        <v>9.088965212218203E-2</v>
      </c>
      <c r="Z21" s="1359">
        <v>3.1208376108198124E-2</v>
      </c>
      <c r="AA21" s="1359">
        <v>2.611981564028008</v>
      </c>
      <c r="AB21" s="1359">
        <v>1.353175069916433E-6</v>
      </c>
      <c r="AC21" s="1359">
        <v>6.0353260550728587</v>
      </c>
      <c r="AD21" s="1359">
        <v>0.34892341689042028</v>
      </c>
      <c r="AE21" s="1360">
        <v>0</v>
      </c>
    </row>
    <row r="22" spans="1:31">
      <c r="A22" s="1466" t="s">
        <v>633</v>
      </c>
      <c r="B22" s="1340" t="s">
        <v>1187</v>
      </c>
      <c r="C22" s="1343">
        <v>1.8030636598507351E-2</v>
      </c>
      <c r="D22" s="1343">
        <f>Original_dep!F23/Original_dep!$C$5</f>
        <v>1.1217510645233462E-2</v>
      </c>
      <c r="E22" s="1343">
        <f>Original_dep!G23/Original_dep!$C$5</f>
        <v>1.7892110642477145E-3</v>
      </c>
      <c r="F22" s="1343">
        <f>Original_dep!H23/Original_dep!$C$5</f>
        <v>3.5197967146156131E-4</v>
      </c>
      <c r="G22" s="1343">
        <f>Original_dep!I23/Original_dep!$C$5</f>
        <v>2.2152867818731053E-4</v>
      </c>
      <c r="H22" s="1343">
        <f>Original_dep!J23/Original_dep!$C$5</f>
        <v>0.14071172019851916</v>
      </c>
      <c r="I22" s="1343">
        <f>Original_dep!K23/Original_dep!$C$5</f>
        <v>0.11806084558337275</v>
      </c>
      <c r="J22" s="1343">
        <f>Original_dep!L23/Original_dep!$C$5</f>
        <v>1.5528038120630781E-2</v>
      </c>
      <c r="M22" s="1469" t="s">
        <v>633</v>
      </c>
      <c r="N22" s="5" t="s">
        <v>1187</v>
      </c>
      <c r="O22" s="6">
        <v>0.46541830535046924</v>
      </c>
      <c r="P22" s="6">
        <v>0.2053374775719603</v>
      </c>
      <c r="Q22" s="6">
        <v>4.1941545602196912</v>
      </c>
      <c r="R22" s="6">
        <v>0.37756222864693212</v>
      </c>
      <c r="S22" s="6">
        <v>2.7422518691785192E-2</v>
      </c>
      <c r="T22" s="6">
        <v>0.11600582326964125</v>
      </c>
      <c r="U22" s="6">
        <v>7.2352449765526433E-2</v>
      </c>
      <c r="V22" s="6">
        <v>0.18596659743404942</v>
      </c>
      <c r="W22" s="6">
        <v>0</v>
      </c>
      <c r="X22" s="6">
        <v>0.66675145678262604</v>
      </c>
      <c r="Y22" s="6">
        <v>0</v>
      </c>
      <c r="Z22" s="6">
        <v>0</v>
      </c>
      <c r="AA22" s="6">
        <v>2.4397447436594439</v>
      </c>
      <c r="AB22" s="6">
        <v>0</v>
      </c>
      <c r="AC22" s="6">
        <v>1.678736737343304</v>
      </c>
      <c r="AD22" s="6">
        <v>1.8045178828153152E-2</v>
      </c>
      <c r="AE22" s="7">
        <v>0</v>
      </c>
    </row>
    <row r="23" spans="1:31" ht="15" customHeight="1">
      <c r="A23" s="1467"/>
      <c r="B23" s="1340" t="s">
        <v>1193</v>
      </c>
      <c r="C23" s="1343">
        <v>5.5413718762955456E-2</v>
      </c>
      <c r="D23" s="1343">
        <f>Original_dep!F24/Original_dep!$C$5</f>
        <v>3.4474877063790689E-2</v>
      </c>
      <c r="E23" s="1343">
        <f>Original_dep!G24/Original_dep!$C$5</f>
        <v>5.4987985687648348E-3</v>
      </c>
      <c r="F23" s="1343">
        <f>Original_dep!H24/Original_dep!$C$5</f>
        <v>1.0817423122078272E-3</v>
      </c>
      <c r="G23" s="1343">
        <f>Original_dep!I24/Original_dep!$C$5</f>
        <v>6.8082609307411389E-4</v>
      </c>
      <c r="H23" s="1343">
        <f>Original_dep!J24/Original_dep!$C$5</f>
        <v>0.4324506041222036</v>
      </c>
      <c r="I23" s="1343">
        <f>Original_dep!K24/Original_dep!$C$5</f>
        <v>0.36283746601688582</v>
      </c>
      <c r="J23" s="1343">
        <f>Original_dep!L24/Original_dep!$C$5</f>
        <v>4.7722460194684325E-2</v>
      </c>
      <c r="M23" s="1470"/>
      <c r="N23" s="1340" t="s">
        <v>1193</v>
      </c>
      <c r="O23" s="1353">
        <v>1.4484534801513762</v>
      </c>
      <c r="P23" s="1353">
        <v>0.67276053085601284</v>
      </c>
      <c r="Q23" s="1353">
        <v>12.397488908705624</v>
      </c>
      <c r="R23" s="1353">
        <v>1.1603632667131942</v>
      </c>
      <c r="S23" s="1353">
        <v>6.6198688072210229E-2</v>
      </c>
      <c r="T23" s="1353">
        <v>0.43204664332740889</v>
      </c>
      <c r="U23" s="1353">
        <v>0.3845048958937814</v>
      </c>
      <c r="V23" s="1353">
        <v>0.57153497840229206</v>
      </c>
      <c r="W23" s="1353">
        <v>0</v>
      </c>
      <c r="X23" s="1353">
        <v>2.412261944458054</v>
      </c>
      <c r="Y23" s="1353">
        <v>0</v>
      </c>
      <c r="Z23" s="1353">
        <v>0</v>
      </c>
      <c r="AA23" s="1353">
        <v>6.6395184490880528</v>
      </c>
      <c r="AB23" s="1353">
        <v>0</v>
      </c>
      <c r="AC23" s="1353">
        <v>5.5374994370682922</v>
      </c>
      <c r="AD23" s="1353">
        <v>0.3857592427757614</v>
      </c>
      <c r="AE23" s="1357">
        <v>0</v>
      </c>
    </row>
    <row r="24" spans="1:31" ht="13.9" thickBot="1">
      <c r="A24" s="1468"/>
      <c r="B24" s="1340" t="s">
        <v>1195</v>
      </c>
      <c r="C24" s="1343">
        <v>3.9645010154520099E-2</v>
      </c>
      <c r="D24" s="1343">
        <f>Original_dep!F25/Original_dep!$C$5</f>
        <v>2.4664593566016049E-2</v>
      </c>
      <c r="E24" s="1343">
        <f>Original_dep!G25/Original_dep!$C$5</f>
        <v>3.9340425072153301E-3</v>
      </c>
      <c r="F24" s="1343">
        <f>Original_dep!H25/Original_dep!$C$5</f>
        <v>7.7391819046663244E-4</v>
      </c>
      <c r="G24" s="1343">
        <f>Original_dep!I25/Original_dep!$C$5</f>
        <v>4.8708799871106012E-4</v>
      </c>
      <c r="H24" s="1343">
        <f>Original_dep!J25/Original_dep!$C$5</f>
        <v>0.30939104926512101</v>
      </c>
      <c r="I24" s="1343">
        <f>Original_dep!K25/Original_dep!$C$5</f>
        <v>0.25958725286446704</v>
      </c>
      <c r="J24" s="1343">
        <f>Original_dep!L25/Original_dep!$C$5</f>
        <v>3.4142401218554039E-2</v>
      </c>
      <c r="M24" s="1471"/>
      <c r="N24" s="1358" t="s">
        <v>1195</v>
      </c>
      <c r="O24" s="1359">
        <v>0.88295626625504198</v>
      </c>
      <c r="P24" s="1359">
        <v>0.48736286330163653</v>
      </c>
      <c r="Q24" s="1359">
        <v>9.0287080783481812</v>
      </c>
      <c r="R24" s="1359">
        <v>1.1774727476693503</v>
      </c>
      <c r="S24" s="1359">
        <v>0.20068153915304451</v>
      </c>
      <c r="T24" s="1359">
        <v>5.2749046087832409E-2</v>
      </c>
      <c r="U24" s="1359">
        <v>0.39198619969739745</v>
      </c>
      <c r="V24" s="1359">
        <v>6.159088218578139E-2</v>
      </c>
      <c r="W24" s="1359">
        <v>0</v>
      </c>
      <c r="X24" s="1359">
        <v>1.0598365779354635</v>
      </c>
      <c r="Y24" s="1359">
        <v>0</v>
      </c>
      <c r="Z24" s="1359">
        <v>0</v>
      </c>
      <c r="AA24" s="1359">
        <v>3.8409211952928737</v>
      </c>
      <c r="AB24" s="1359">
        <v>0</v>
      </c>
      <c r="AC24" s="1359">
        <v>5.7872567193061926</v>
      </c>
      <c r="AD24" s="1359">
        <v>0</v>
      </c>
      <c r="AE24" s="1360">
        <v>0</v>
      </c>
    </row>
    <row r="25" spans="1:31">
      <c r="A25" s="1466" t="s">
        <v>632</v>
      </c>
      <c r="B25" s="1340" t="s">
        <v>1196</v>
      </c>
      <c r="C25" s="1343">
        <v>3.03223242548912E-2</v>
      </c>
      <c r="D25" s="1343">
        <f>Original_dep!F26/Original_dep!$C$5</f>
        <v>3.6400542023617262E-2</v>
      </c>
      <c r="E25" s="1343">
        <f>Original_dep!G26/Original_dep!$C$5</f>
        <v>3.5205932168674613E-3</v>
      </c>
      <c r="F25" s="1343">
        <f>Original_dep!H26/Original_dep!$C$5</f>
        <v>1.8406172069163251E-3</v>
      </c>
      <c r="G25" s="1343">
        <f>Original_dep!I26/Original_dep!$C$5</f>
        <v>7.8497766921833783E-4</v>
      </c>
      <c r="H25" s="1343">
        <f>Original_dep!J26/Original_dep!$C$5</f>
        <v>0.14588099953765873</v>
      </c>
      <c r="I25" s="1343">
        <f>Original_dep!K26/Original_dep!$C$5</f>
        <v>0.2635309122506298</v>
      </c>
      <c r="J25" s="1343">
        <f>Original_dep!L26/Original_dep!$C$5</f>
        <v>3.2173792713422127E-2</v>
      </c>
      <c r="M25" s="1469" t="s">
        <v>632</v>
      </c>
      <c r="N25" s="5" t="s">
        <v>1196</v>
      </c>
      <c r="O25" s="6">
        <v>1.1998534279525597</v>
      </c>
      <c r="P25" s="6">
        <v>0.10314663262361037</v>
      </c>
      <c r="Q25" s="6">
        <v>7.2640812738258402</v>
      </c>
      <c r="R25" s="6">
        <v>1.091906095835508</v>
      </c>
      <c r="S25" s="6">
        <v>0.34421213203261203</v>
      </c>
      <c r="T25" s="6">
        <v>7.6756618220415347E-4</v>
      </c>
      <c r="U25" s="6">
        <v>1.8010128551364943</v>
      </c>
      <c r="V25" s="6">
        <v>7.5714662016617584E-2</v>
      </c>
      <c r="W25" s="6">
        <v>0</v>
      </c>
      <c r="X25" s="6">
        <v>1.0168611240808656</v>
      </c>
      <c r="Y25" s="6">
        <v>0.22009657932865026</v>
      </c>
      <c r="Z25" s="6">
        <v>0</v>
      </c>
      <c r="AA25" s="6">
        <v>1.6235015466503715</v>
      </c>
      <c r="AB25" s="6">
        <v>0</v>
      </c>
      <c r="AC25" s="6">
        <v>2.5498979501237833</v>
      </c>
      <c r="AD25" s="6">
        <v>0.27862311435403986</v>
      </c>
      <c r="AE25" s="7">
        <v>0</v>
      </c>
    </row>
    <row r="26" spans="1:31" ht="15" customHeight="1">
      <c r="A26" s="1467"/>
      <c r="B26" s="1340" t="s">
        <v>1197</v>
      </c>
      <c r="C26" s="1343">
        <v>2.3417476467144413E-2</v>
      </c>
      <c r="D26" s="1343">
        <f>Original_dep!F27/Original_dep!$C$5</f>
        <v>2.8111592932783147E-2</v>
      </c>
      <c r="E26" s="1343">
        <f>Original_dep!G27/Original_dep!$C$5</f>
        <v>2.7189013649929336E-3</v>
      </c>
      <c r="F26" s="1343">
        <f>Original_dep!H27/Original_dep!$C$5</f>
        <v>1.4214810766371702E-3</v>
      </c>
      <c r="G26" s="1343">
        <f>Original_dep!I27/Original_dep!$C$5</f>
        <v>6.0622648651971727E-4</v>
      </c>
      <c r="H26" s="1343">
        <f>Original_dep!J27/Original_dep!$C$5</f>
        <v>0.1126617090748107</v>
      </c>
      <c r="I26" s="1343">
        <f>Original_dep!K27/Original_dep!$C$5</f>
        <v>0.2035209730005694</v>
      </c>
      <c r="J26" s="1343">
        <f>Original_dep!L27/Original_dep!$C$5</f>
        <v>2.4847337802734955E-2</v>
      </c>
      <c r="M26" s="1470"/>
      <c r="N26" s="1340" t="s">
        <v>1197</v>
      </c>
      <c r="O26" s="1353">
        <v>0.72588321843344839</v>
      </c>
      <c r="P26" s="1353">
        <v>6.8646950120044972E-2</v>
      </c>
      <c r="Q26" s="1353">
        <v>5.3478668808890557</v>
      </c>
      <c r="R26" s="1353">
        <v>0.6042888952883142</v>
      </c>
      <c r="S26" s="1353">
        <v>0.34049042404779106</v>
      </c>
      <c r="T26" s="1353">
        <v>9.8319187265362741E-3</v>
      </c>
      <c r="U26" s="1353">
        <v>0.76302649299536929</v>
      </c>
      <c r="V26" s="1353">
        <v>8.8650001419517982E-2</v>
      </c>
      <c r="W26" s="1353">
        <v>3.525700561836561E-2</v>
      </c>
      <c r="X26" s="1353">
        <v>0.61315918325777896</v>
      </c>
      <c r="Y26" s="1353">
        <v>1.0516886549632936</v>
      </c>
      <c r="Z26" s="1353">
        <v>0.20878230642621221</v>
      </c>
      <c r="AA26" s="1353">
        <v>0.81584435870225647</v>
      </c>
      <c r="AB26" s="1353">
        <v>9.0828037149378482E-2</v>
      </c>
      <c r="AC26" s="1353">
        <v>2.5811294386744756</v>
      </c>
      <c r="AD26" s="1353">
        <v>0.22022222677416492</v>
      </c>
      <c r="AE26" s="1357">
        <v>1.4804624031899748E-5</v>
      </c>
    </row>
    <row r="27" spans="1:31">
      <c r="A27" s="1467"/>
      <c r="B27" s="1340" t="s">
        <v>1198</v>
      </c>
      <c r="C27" s="1343">
        <v>3.9139853952953198E-2</v>
      </c>
      <c r="D27" s="1343">
        <f>Original_dep!F28/Original_dep!$C$5</f>
        <v>4.6985576918065541E-2</v>
      </c>
      <c r="E27" s="1343">
        <f>Original_dep!G28/Original_dep!$C$5</f>
        <v>4.5443582483200564E-3</v>
      </c>
      <c r="F27" s="1343">
        <f>Original_dep!H28/Original_dep!$C$5</f>
        <v>2.3758564170877107E-3</v>
      </c>
      <c r="G27" s="1343">
        <f>Original_dep!I28/Original_dep!$C$5</f>
        <v>1.0132439410405476E-3</v>
      </c>
      <c r="H27" s="1343">
        <f>Original_dep!J28/Original_dep!$C$5</f>
        <v>0.18830222143982817</v>
      </c>
      <c r="I27" s="1343">
        <f>Original_dep!K28/Original_dep!$C$5</f>
        <v>0.34016394425682467</v>
      </c>
      <c r="J27" s="1343">
        <f>Original_dep!L28/Original_dep!$C$5</f>
        <v>4.1529717093266742E-2</v>
      </c>
      <c r="M27" s="1470"/>
      <c r="N27" s="1340" t="s">
        <v>1198</v>
      </c>
      <c r="O27" s="1353">
        <v>1.8223948066345244</v>
      </c>
      <c r="P27" s="1353">
        <v>0.16168666247024022</v>
      </c>
      <c r="Q27" s="1353">
        <v>8.9694574476848974</v>
      </c>
      <c r="R27" s="1353">
        <v>0.96944182997932393</v>
      </c>
      <c r="S27" s="1353">
        <v>0.14847210658863028</v>
      </c>
      <c r="T27" s="1353">
        <v>5.5479366076503694E-2</v>
      </c>
      <c r="U27" s="1353">
        <v>1.2172367578989864</v>
      </c>
      <c r="V27" s="1353">
        <v>5.5454855599027318E-2</v>
      </c>
      <c r="W27" s="1353">
        <v>0</v>
      </c>
      <c r="X27" s="1353">
        <v>0.83517915689994859</v>
      </c>
      <c r="Y27" s="1353">
        <v>1.7453162079610252</v>
      </c>
      <c r="Z27" s="1353">
        <v>0.48226040273083121</v>
      </c>
      <c r="AA27" s="1353">
        <v>2.8698407512069526</v>
      </c>
      <c r="AB27" s="1353">
        <v>2.220261547090727E-2</v>
      </c>
      <c r="AC27" s="1353">
        <v>2.9114996179588934</v>
      </c>
      <c r="AD27" s="1353">
        <v>0.41289669532158429</v>
      </c>
      <c r="AE27" s="1357">
        <v>0</v>
      </c>
    </row>
    <row r="28" spans="1:31">
      <c r="A28" s="1467"/>
      <c r="B28" s="1340" t="s">
        <v>1199</v>
      </c>
      <c r="C28" s="1343">
        <v>1.2520639905022729E-2</v>
      </c>
      <c r="D28" s="1343">
        <f>Original_dep!F29/Original_dep!$C$5</f>
        <v>1.5030446716228954E-2</v>
      </c>
      <c r="E28" s="1343">
        <f>Original_dep!G29/Original_dep!$C$5</f>
        <v>1.4537170551282082E-3</v>
      </c>
      <c r="F28" s="1343">
        <f>Original_dep!H29/Original_dep!$C$5</f>
        <v>7.6002436544984116E-4</v>
      </c>
      <c r="G28" s="1343">
        <f>Original_dep!I29/Original_dep!$C$5</f>
        <v>3.2413157537491402E-4</v>
      </c>
      <c r="H28" s="1343">
        <f>Original_dep!J29/Original_dep!$C$5</f>
        <v>6.0236921445795212E-2</v>
      </c>
      <c r="I28" s="1343">
        <f>Original_dep!K29/Original_dep!$C$5</f>
        <v>0.10881671300642574</v>
      </c>
      <c r="J28" s="1343">
        <f>Original_dep!L29/Original_dep!$C$5</f>
        <v>1.3285144949883658E-2</v>
      </c>
      <c r="M28" s="1470"/>
      <c r="N28" s="1340" t="s">
        <v>1199</v>
      </c>
      <c r="O28" s="1353">
        <v>0.63404124755799707</v>
      </c>
      <c r="P28" s="1353">
        <v>2.0518735406924823E-2</v>
      </c>
      <c r="Q28" s="1353">
        <v>3.5003025316466685</v>
      </c>
      <c r="R28" s="1353">
        <v>0.32303302206742696</v>
      </c>
      <c r="S28" s="1353">
        <v>3.5315421730906771E-3</v>
      </c>
      <c r="T28" s="1353">
        <v>9.6090728799233846E-2</v>
      </c>
      <c r="U28" s="1353">
        <v>0.39614362284956389</v>
      </c>
      <c r="V28" s="1353">
        <v>0.15909885317422773</v>
      </c>
      <c r="W28" s="1353">
        <v>0</v>
      </c>
      <c r="X28" s="1353">
        <v>0.45035076657566936</v>
      </c>
      <c r="Y28" s="1353">
        <v>0</v>
      </c>
      <c r="Z28" s="1353">
        <v>0</v>
      </c>
      <c r="AA28" s="1353">
        <v>0.80724812782208888</v>
      </c>
      <c r="AB28" s="1353">
        <v>0</v>
      </c>
      <c r="AC28" s="1353">
        <v>0.81185284020143123</v>
      </c>
      <c r="AD28" s="1353">
        <v>5.2626745899968831E-2</v>
      </c>
      <c r="AE28" s="1357">
        <v>0</v>
      </c>
    </row>
    <row r="29" spans="1:31" ht="13.9" thickBot="1">
      <c r="A29" s="1468"/>
      <c r="B29" s="1340" t="s">
        <v>1200</v>
      </c>
      <c r="C29" s="1343">
        <v>9.3351322632061733E-3</v>
      </c>
      <c r="D29" s="1343">
        <f>Original_dep!F30/Original_dep!$C$5</f>
        <v>1.1206392735149546E-2</v>
      </c>
      <c r="E29" s="1343">
        <f>Original_dep!G30/Original_dep!$C$5</f>
        <v>1.0838616145694327E-3</v>
      </c>
      <c r="F29" s="1343">
        <f>Original_dep!H30/Original_dep!$C$5</f>
        <v>5.6665857564416021E-4</v>
      </c>
      <c r="G29" s="1343">
        <f>Original_dep!I30/Original_dep!$C$5</f>
        <v>2.4166585332370928E-4</v>
      </c>
      <c r="H29" s="1343">
        <f>Original_dep!J30/Original_dep!$C$5</f>
        <v>4.491141292221662E-2</v>
      </c>
      <c r="I29" s="1343">
        <f>Original_dep!K30/Original_dep!$C$5</f>
        <v>8.1131508937880265E-2</v>
      </c>
      <c r="J29" s="1343">
        <f>Original_dep!L30/Original_dep!$C$5</f>
        <v>9.9051315415020231E-3</v>
      </c>
      <c r="M29" s="1471"/>
      <c r="N29" s="1358" t="s">
        <v>1200</v>
      </c>
      <c r="O29" s="1359">
        <v>0.21569599169879672</v>
      </c>
      <c r="P29" s="1359">
        <v>8.6076240820176769E-3</v>
      </c>
      <c r="Q29" s="1359">
        <v>1.7669358320282107</v>
      </c>
      <c r="R29" s="1359">
        <v>0.3594676356663653</v>
      </c>
      <c r="S29" s="1359">
        <v>0.18715970435435444</v>
      </c>
      <c r="T29" s="1359">
        <v>1.7148752728414756E-3</v>
      </c>
      <c r="U29" s="1359">
        <v>0.96719434607649069</v>
      </c>
      <c r="V29" s="1359">
        <v>0</v>
      </c>
      <c r="W29" s="1359">
        <v>7.2505496722102519E-2</v>
      </c>
      <c r="X29" s="1359">
        <v>0.22375898125997645</v>
      </c>
      <c r="Y29" s="1359">
        <v>0</v>
      </c>
      <c r="Z29" s="1359">
        <v>0</v>
      </c>
      <c r="AA29" s="1359">
        <v>0.24838513874311222</v>
      </c>
      <c r="AB29" s="1359">
        <v>0</v>
      </c>
      <c r="AC29" s="1359">
        <v>1.1474157653374637</v>
      </c>
      <c r="AD29" s="1359">
        <v>0.21021756465348604</v>
      </c>
      <c r="AE29" s="1360">
        <v>0</v>
      </c>
    </row>
    <row r="30" spans="1:31">
      <c r="C30" s="8"/>
    </row>
    <row r="31" spans="1:31">
      <c r="C31" s="1340" t="s">
        <v>1604</v>
      </c>
      <c r="D31" s="1352" t="s">
        <v>1131</v>
      </c>
      <c r="E31" s="1352" t="s">
        <v>1132</v>
      </c>
      <c r="F31" s="1352" t="s">
        <v>1133</v>
      </c>
      <c r="G31" s="1352" t="s">
        <v>1134</v>
      </c>
      <c r="H31" s="1352" t="s">
        <v>636</v>
      </c>
      <c r="I31" s="1352" t="s">
        <v>637</v>
      </c>
      <c r="J31" s="1352" t="s">
        <v>1124</v>
      </c>
      <c r="O31" s="1463" t="s">
        <v>260</v>
      </c>
      <c r="P31" s="1464"/>
      <c r="Q31" s="1464"/>
      <c r="R31" s="1465"/>
      <c r="S31" s="1463" t="s">
        <v>1599</v>
      </c>
      <c r="T31" s="1464"/>
      <c r="U31" s="1464"/>
      <c r="V31" s="1465"/>
      <c r="W31" s="1463" t="s">
        <v>262</v>
      </c>
      <c r="X31" s="1464"/>
      <c r="Y31" s="1464"/>
      <c r="Z31" s="1465"/>
      <c r="AA31" s="1346" t="s">
        <v>266</v>
      </c>
      <c r="AB31" s="1463" t="s">
        <v>909</v>
      </c>
      <c r="AC31" s="1464"/>
      <c r="AD31" s="1464"/>
      <c r="AE31" s="1465"/>
    </row>
    <row r="32" spans="1:31">
      <c r="C32" s="1340" t="s">
        <v>629</v>
      </c>
      <c r="D32" s="1343">
        <f>SUM(Original_dep!F5:F6)/SUM(Original_dep!$C$5:$C$6)</f>
        <v>9.1265058983343084E-2</v>
      </c>
      <c r="E32" s="1343">
        <f>SUM(Original_dep!G5:G6)/SUM(Original_dep!$C$5:$C$6)</f>
        <v>1.0846449654820022E-2</v>
      </c>
      <c r="F32" s="1343">
        <f>SUM(Original_dep!H5:H6)/SUM(Original_dep!$C$5:$C$6)</f>
        <v>2.7073899543406383E-3</v>
      </c>
      <c r="G32" s="1343">
        <f>SUM(Original_dep!I5:I6)/SUM(Original_dep!$C$5:$C$6)</f>
        <v>1.7875485906568684E-3</v>
      </c>
      <c r="H32" s="1343">
        <f>SUM(Original_dep!J5:J6)/SUM(Original_dep!$C$5:$C$6)</f>
        <v>0.25057364126721698</v>
      </c>
      <c r="I32" s="1343">
        <f>SUM(Original_dep!K5:K6)/SUM(Original_dep!$C$5:$C$6)</f>
        <v>0.64281991154962248</v>
      </c>
      <c r="J32" s="1343">
        <f>SUM(Original_dep!L5:L6)/SUM(Original_dep!$C$5:$C$6)</f>
        <v>0</v>
      </c>
      <c r="K32" s="8">
        <f>SUM(D32:J32)</f>
        <v>1</v>
      </c>
      <c r="M32" s="3"/>
      <c r="N32" s="1340" t="s">
        <v>1126</v>
      </c>
      <c r="O32" s="1352" t="s">
        <v>1605</v>
      </c>
      <c r="P32" s="1352" t="s">
        <v>1606</v>
      </c>
      <c r="Q32" s="1352" t="s">
        <v>1607</v>
      </c>
      <c r="R32" s="1352" t="s">
        <v>1608</v>
      </c>
      <c r="S32" s="1352" t="s">
        <v>1605</v>
      </c>
      <c r="T32" s="1352" t="s">
        <v>1606</v>
      </c>
      <c r="U32" s="1352" t="s">
        <v>1607</v>
      </c>
      <c r="V32" s="1352" t="s">
        <v>1608</v>
      </c>
      <c r="W32" s="1352" t="s">
        <v>1605</v>
      </c>
      <c r="X32" s="1352" t="s">
        <v>1606</v>
      </c>
      <c r="Y32" s="1352" t="s">
        <v>1607</v>
      </c>
      <c r="Z32" s="1352" t="s">
        <v>1608</v>
      </c>
      <c r="AA32" s="1352" t="s">
        <v>1606</v>
      </c>
      <c r="AB32" s="1352" t="s">
        <v>1605</v>
      </c>
      <c r="AC32" s="1352" t="s">
        <v>1606</v>
      </c>
      <c r="AD32" s="1352" t="s">
        <v>1607</v>
      </c>
      <c r="AE32" s="1352" t="s">
        <v>1608</v>
      </c>
    </row>
    <row r="33" spans="3:31" ht="12.75" customHeight="1">
      <c r="C33" s="1340" t="s">
        <v>630</v>
      </c>
      <c r="D33" s="1356">
        <f>SUM(Original_dep!F8:F14)/SUM(Original_dep!C8:C14)</f>
        <v>5.829813632514063E-2</v>
      </c>
      <c r="E33" s="1356">
        <f>SUM(Original_dep!G8:G14)/SUM(Original_dep!$C$8:$C$14)</f>
        <v>4.7422799624812592E-2</v>
      </c>
      <c r="F33" s="1356">
        <f>SUM(Original_dep!H8:H14)/SUM(Original_dep!$C$8:$C$14)</f>
        <v>4.0301103452962429E-2</v>
      </c>
      <c r="G33" s="1356">
        <f>SUM(Original_dep!I8:I14)/SUM(Original_dep!$C$8:$C$14)</f>
        <v>4.7934388628795054E-3</v>
      </c>
      <c r="H33" s="1356">
        <f>SUM(Original_dep!J8:J14)/SUM(Original_dep!$C$8:$C$14)</f>
        <v>0.16463025727610348</v>
      </c>
      <c r="I33" s="1356">
        <f>SUM(Original_dep!K8:K14)/SUM(Original_dep!$C$8:$C$14)</f>
        <v>0.65378085317860479</v>
      </c>
      <c r="J33" s="1356">
        <f>SUM(Original_dep!L8:L14)/SUM(Original_dep!$C$8:$C$14)</f>
        <v>3.077341127949659E-2</v>
      </c>
      <c r="K33" s="8">
        <f>SUM(D33:J33)</f>
        <v>1</v>
      </c>
      <c r="M33" s="9"/>
      <c r="N33" s="1361" t="s">
        <v>629</v>
      </c>
      <c r="O33" s="1353">
        <f>SUM(O4:O5)/SUM($O$4:$R$5)</f>
        <v>0.15904073863405774</v>
      </c>
      <c r="P33" s="1353">
        <f t="shared" ref="P33:R33" si="0">SUM(P4:P5)/SUM($O$4:$R$5)</f>
        <v>9.060838957964442E-3</v>
      </c>
      <c r="Q33" s="1353">
        <f t="shared" si="0"/>
        <v>0.83189842240797784</v>
      </c>
      <c r="R33" s="1353">
        <f t="shared" si="0"/>
        <v>0</v>
      </c>
      <c r="S33" s="1353">
        <f>SUM(S4:S5)/SUM($S$4:$V$5)</f>
        <v>8.9256209322383845E-2</v>
      </c>
      <c r="T33" s="1353">
        <f t="shared" ref="T33:V33" si="1">SUM(T4:T5)/SUM($S$4:$V$5)</f>
        <v>3.5991003857452374E-2</v>
      </c>
      <c r="U33" s="1353">
        <f t="shared" si="1"/>
        <v>0.87475278682016377</v>
      </c>
      <c r="V33" s="1353">
        <f t="shared" si="1"/>
        <v>0</v>
      </c>
      <c r="W33" s="1353">
        <f>SUM(W4:W5)/SUM($W$4:$Z$5)</f>
        <v>0</v>
      </c>
      <c r="X33" s="1353">
        <f t="shared" ref="X33:Z33" si="2">SUM(X4:X5)/SUM($W$4:$Z$5)</f>
        <v>1</v>
      </c>
      <c r="Y33" s="1353">
        <f t="shared" si="2"/>
        <v>0</v>
      </c>
      <c r="Z33" s="1353">
        <f t="shared" si="2"/>
        <v>0</v>
      </c>
      <c r="AA33" s="1353">
        <v>1</v>
      </c>
      <c r="AB33" s="1353">
        <f>SUM(AB4:AB5)/SUM($AB$4:$AE$5)</f>
        <v>0</v>
      </c>
      <c r="AC33" s="1353">
        <f t="shared" ref="AC33:AE33" si="3">SUM(AC4:AC5)/SUM($AB$4:$AE$5)</f>
        <v>1</v>
      </c>
      <c r="AD33" s="1353">
        <f t="shared" si="3"/>
        <v>0</v>
      </c>
      <c r="AE33" s="1353">
        <f t="shared" si="3"/>
        <v>0</v>
      </c>
    </row>
    <row r="34" spans="3:31" ht="12.75" customHeight="1">
      <c r="C34" s="1340" t="s">
        <v>633</v>
      </c>
      <c r="D34" s="1343">
        <f>SUM(Original_dep!F23:F25)/SUM(Original_dep!$C$23:$C$25)</f>
        <v>3.8965812662359094E-2</v>
      </c>
      <c r="E34" s="1343">
        <f>SUM(Original_dep!G23:G25)/SUM(Original_dep!$C$23:$C$25)</f>
        <v>6.215110049618818E-3</v>
      </c>
      <c r="F34" s="1343">
        <f>SUM(Original_dep!H23:H25)/SUM(Original_dep!$C$23:$C$25)</f>
        <v>1.2226575372101599E-3</v>
      </c>
      <c r="G34" s="1343">
        <f>SUM(Original_dep!I23:I25)/SUM(Original_dep!$C$23:$C$25)</f>
        <v>7.6951520231047861E-4</v>
      </c>
      <c r="H34" s="1343">
        <f>SUM(Original_dep!J23:J25)/SUM(Original_dep!$C$23:$C$25)</f>
        <v>0.48878460667952173</v>
      </c>
      <c r="I34" s="1343">
        <f>SUM(Original_dep!K23:K25)/SUM(Original_dep!$C$23:$C$25)</f>
        <v>0.4101031803982445</v>
      </c>
      <c r="J34" s="1343">
        <f>SUM(Original_dep!L23:L25)/SUM(Original_dep!$C$23:$C$25)</f>
        <v>5.3939117470735119E-2</v>
      </c>
      <c r="K34" s="8">
        <f t="shared" ref="K34" si="4">SUM(D34:J34)</f>
        <v>0.99999999999999978</v>
      </c>
      <c r="M34" s="9"/>
      <c r="N34" s="1361" t="s">
        <v>630</v>
      </c>
      <c r="O34" s="1353">
        <f>SUM(O6:O13)/SUM($O$6:$R$13)</f>
        <v>0.19296196954649539</v>
      </c>
      <c r="P34" s="1353">
        <f t="shared" ref="P34:R34" si="5">SUM(P6:P13)/SUM($O$6:$R$13)</f>
        <v>2.1583534472684764E-2</v>
      </c>
      <c r="Q34" s="1353">
        <f t="shared" si="5"/>
        <v>0.74884019388009271</v>
      </c>
      <c r="R34" s="1353">
        <f t="shared" si="5"/>
        <v>3.6614302100727136E-2</v>
      </c>
      <c r="S34" s="1353">
        <f>SUM(S6:S13)/SUM($S$6:$V$13)</f>
        <v>0.15500443107768774</v>
      </c>
      <c r="T34" s="1353">
        <f t="shared" ref="T34:V34" si="6">SUM(T6:T13)/SUM($S$6:$V$13)</f>
        <v>1.3088271934179746E-2</v>
      </c>
      <c r="U34" s="1353">
        <f t="shared" si="6"/>
        <v>0.79633647189175383</v>
      </c>
      <c r="V34" s="1353">
        <f t="shared" si="6"/>
        <v>3.5570825096378801E-2</v>
      </c>
      <c r="W34" s="1353">
        <f>SUM(W6:W13)/SUM($W$6:$Z$13)</f>
        <v>2.5775259572373956E-2</v>
      </c>
      <c r="X34" s="1353">
        <f t="shared" ref="X34:Z34" si="7">SUM(X6:X13)/SUM($W$6:$Z$13)</f>
        <v>0.7442619192795632</v>
      </c>
      <c r="Y34" s="1353">
        <f t="shared" si="7"/>
        <v>0.20826846226399165</v>
      </c>
      <c r="Z34" s="1353">
        <f t="shared" si="7"/>
        <v>2.1694358884071292E-2</v>
      </c>
      <c r="AA34" s="1353">
        <v>1</v>
      </c>
      <c r="AB34" s="1353">
        <f>SUM(AB6:AB13)/SUM($AB$6:$AE$13)</f>
        <v>8.3593348827531276E-7</v>
      </c>
      <c r="AC34" s="1353">
        <f t="shared" ref="AC34:AE34" si="8">SUM(AC6:AC13)/SUM($AB$6:$AE$13)</f>
        <v>0.83768223134586384</v>
      </c>
      <c r="AD34" s="1353">
        <f t="shared" si="8"/>
        <v>0.16231693272064787</v>
      </c>
      <c r="AE34" s="1353">
        <f t="shared" si="8"/>
        <v>0</v>
      </c>
    </row>
    <row r="35" spans="3:31" ht="12.75" customHeight="1">
      <c r="M35" s="9"/>
      <c r="N35" s="1361" t="s">
        <v>631</v>
      </c>
      <c r="O35" s="1353">
        <f>SUM(O14:O21)/SUM($O$14:$R$21)</f>
        <v>0.1178476321684299</v>
      </c>
      <c r="P35" s="1353">
        <f t="shared" ref="P35:R35" si="9">SUM(P14:P21)/SUM($O$14:$R$21)</f>
        <v>3.2313325502133387E-2</v>
      </c>
      <c r="Q35" s="1353">
        <f t="shared" si="9"/>
        <v>0.76415455093452944</v>
      </c>
      <c r="R35" s="1353">
        <f t="shared" si="9"/>
        <v>8.5684491394907289E-2</v>
      </c>
      <c r="S35" s="1353">
        <f>SUM(S14:S21)/SUM($S$14:$V$21)</f>
        <v>6.1097560585356939E-2</v>
      </c>
      <c r="T35" s="1353">
        <f t="shared" ref="T35:V35" si="10">SUM(T14:T21)/SUM($S$14:$V$21)</f>
        <v>3.0249578804532051E-2</v>
      </c>
      <c r="U35" s="1353">
        <f t="shared" si="10"/>
        <v>0.85464260203016262</v>
      </c>
      <c r="V35" s="1353">
        <f t="shared" si="10"/>
        <v>5.4010258579948345E-2</v>
      </c>
      <c r="W35" s="1353">
        <f>SUM(W14:W21)/SUM($W$14:$Z$21)</f>
        <v>4.2914522100101585E-4</v>
      </c>
      <c r="X35" s="1353">
        <f t="shared" ref="X35:Y35" si="11">SUM(X14:X21)/SUM($W$14:$Z$21)</f>
        <v>0.51254677744731025</v>
      </c>
      <c r="Y35" s="1353">
        <f t="shared" si="11"/>
        <v>0.44076422300314183</v>
      </c>
      <c r="Z35" s="1353">
        <f>SUM(Z14:Z21)/SUM($W$14:$Z$21)</f>
        <v>4.6259854328547012E-2</v>
      </c>
      <c r="AA35" s="1353">
        <v>1</v>
      </c>
      <c r="AB35" s="1353">
        <f>SUM(AB14:AB21)/SUM($AB$14:$AE$21)</f>
        <v>2.6691736313469662E-6</v>
      </c>
      <c r="AC35" s="1353">
        <f t="shared" ref="AC35:AE35" si="12">SUM(AC14:AC21)/SUM($AB$14:$AE$21)</f>
        <v>0.89300417418604661</v>
      </c>
      <c r="AD35" s="1353">
        <f t="shared" si="12"/>
        <v>0.10601160405443673</v>
      </c>
      <c r="AE35" s="1353">
        <f t="shared" si="12"/>
        <v>9.8155258588519465E-4</v>
      </c>
    </row>
    <row r="36" spans="3:31">
      <c r="M36" s="9"/>
      <c r="N36" s="1361" t="s">
        <v>633</v>
      </c>
      <c r="O36" s="1353">
        <f>SUM(O22:O24)/SUM($O$22:$R$24)</f>
        <v>8.6061441319230922E-2</v>
      </c>
      <c r="P36" s="1353">
        <f t="shared" ref="P36:R36" si="13">SUM(P22:P24)/SUM($O$22:$R$24)</f>
        <v>4.2016716262640842E-2</v>
      </c>
      <c r="Q36" s="1353">
        <f t="shared" si="13"/>
        <v>0.78836608488629645</v>
      </c>
      <c r="R36" s="1353">
        <f t="shared" si="13"/>
        <v>8.3555757531831823E-2</v>
      </c>
      <c r="S36" s="1353">
        <f>SUM(S22:S24)/SUM($S$22:$V$24)</f>
        <v>0.11482564292205029</v>
      </c>
      <c r="T36" s="1353">
        <f t="shared" ref="T36:V36" si="14">SUM(T22:T24)/SUM($S$22:$V$24)</f>
        <v>0.23440970537878919</v>
      </c>
      <c r="U36" s="1353">
        <f t="shared" si="14"/>
        <v>0.3311861924091305</v>
      </c>
      <c r="V36" s="1353">
        <f t="shared" si="14"/>
        <v>0.31957845929002987</v>
      </c>
      <c r="W36" s="1353">
        <f>SUM(W22:W24)/SUM($W$22:$Z$24)</f>
        <v>0</v>
      </c>
      <c r="X36" s="1353">
        <f t="shared" ref="X36:Z36" si="15">SUM(X22:X24)/SUM($W$22:$Z$24)</f>
        <v>1</v>
      </c>
      <c r="Y36" s="1353">
        <f t="shared" si="15"/>
        <v>0</v>
      </c>
      <c r="Z36" s="1353">
        <f t="shared" si="15"/>
        <v>0</v>
      </c>
      <c r="AA36" s="1353">
        <v>1</v>
      </c>
      <c r="AB36" s="1353">
        <f>SUM(AB22:AB24)/SUM($AB$22:$AE$24)</f>
        <v>0</v>
      </c>
      <c r="AC36" s="1353">
        <f t="shared" ref="AC36:AE36" si="16">SUM(AC22:AC24)/SUM($AB$22:$AE$24)</f>
        <v>0.96988174334416744</v>
      </c>
      <c r="AD36" s="1353">
        <f t="shared" si="16"/>
        <v>3.011825665583261E-2</v>
      </c>
      <c r="AE36" s="1353">
        <f t="shared" si="16"/>
        <v>0</v>
      </c>
    </row>
    <row r="37" spans="3:31" ht="12.75" customHeight="1">
      <c r="M37" s="9"/>
      <c r="N37" s="1361" t="s">
        <v>632</v>
      </c>
      <c r="O37" s="1353">
        <f>SUM(O25:O29)/SUM($O$25:$R$29)</f>
        <v>0.13078007553412774</v>
      </c>
      <c r="P37" s="1353">
        <f t="shared" ref="P37:R37" si="17">SUM(P25:P29)/SUM($O$25:$R$29)</f>
        <v>1.0313848073099877E-2</v>
      </c>
      <c r="Q37" s="1353">
        <f t="shared" si="17"/>
        <v>0.76367289300143437</v>
      </c>
      <c r="R37" s="1353">
        <f t="shared" si="17"/>
        <v>9.5233183391338183E-2</v>
      </c>
      <c r="S37" s="1353">
        <f>SUM(S25:S29)/SUM($S$25:$V$29)</f>
        <v>0.15255889789866128</v>
      </c>
      <c r="T37" s="1353">
        <f t="shared" ref="T37:V37" si="18">SUM(T25:T29)/SUM($S$25:$V$29)</f>
        <v>2.4419244377311796E-2</v>
      </c>
      <c r="U37" s="1353">
        <f t="shared" si="18"/>
        <v>0.76656195536905336</v>
      </c>
      <c r="V37" s="1353">
        <f t="shared" si="18"/>
        <v>5.6459902354973508E-2</v>
      </c>
      <c r="W37" s="1353">
        <f>SUM(W25:W29)/SUM($W$25:$Z$29)</f>
        <v>1.5493768190570767E-2</v>
      </c>
      <c r="X37" s="1353">
        <f t="shared" ref="X37:Z37" si="19">SUM(X25:X29)/SUM($W$25:$Z$29)</f>
        <v>0.45136042829376566</v>
      </c>
      <c r="Y37" s="1353">
        <f t="shared" si="19"/>
        <v>0.4337897630291902</v>
      </c>
      <c r="Z37" s="1353">
        <f t="shared" si="19"/>
        <v>9.9356040486473479E-2</v>
      </c>
      <c r="AA37" s="1353">
        <v>1</v>
      </c>
      <c r="AB37" s="1353">
        <f>SUM(AB25:AB29)/SUM($AB$25:$AE$29)</f>
        <v>1.0012080192362086E-2</v>
      </c>
      <c r="AC37" s="1353">
        <f t="shared" ref="AC37:AE37" si="20">SUM(AC25:AC29)/SUM($AB$25:$AE$29)</f>
        <v>0.88594356854975154</v>
      </c>
      <c r="AD37" s="1353">
        <f t="shared" si="20"/>
        <v>0.10404303988721308</v>
      </c>
      <c r="AE37" s="1353">
        <f t="shared" si="20"/>
        <v>1.31137067325531E-6</v>
      </c>
    </row>
    <row r="39" spans="3:31">
      <c r="O39" s="1463" t="s">
        <v>260</v>
      </c>
      <c r="P39" s="1464"/>
      <c r="Q39" s="1464"/>
      <c r="R39" s="1465"/>
      <c r="S39" s="1463" t="s">
        <v>1599</v>
      </c>
      <c r="T39" s="1464"/>
      <c r="U39" s="1464"/>
      <c r="V39" s="1465"/>
      <c r="W39" s="1463" t="s">
        <v>262</v>
      </c>
      <c r="X39" s="1464"/>
      <c r="Y39" s="1464"/>
      <c r="Z39" s="1465"/>
      <c r="AA39" s="1346" t="s">
        <v>266</v>
      </c>
      <c r="AB39" s="1463" t="s">
        <v>909</v>
      </c>
      <c r="AC39" s="1464"/>
      <c r="AD39" s="1464"/>
      <c r="AE39" s="1465"/>
    </row>
    <row r="40" spans="3:31">
      <c r="N40" s="1340" t="s">
        <v>1126</v>
      </c>
      <c r="O40" s="1352" t="s">
        <v>1605</v>
      </c>
      <c r="P40" s="1352" t="s">
        <v>1606</v>
      </c>
      <c r="Q40" s="1352" t="s">
        <v>1607</v>
      </c>
      <c r="R40" s="1352" t="s">
        <v>1608</v>
      </c>
      <c r="S40" s="1352" t="s">
        <v>1605</v>
      </c>
      <c r="T40" s="1352" t="s">
        <v>1606</v>
      </c>
      <c r="U40" s="1352" t="s">
        <v>1607</v>
      </c>
      <c r="V40" s="1352" t="s">
        <v>1608</v>
      </c>
      <c r="W40" s="1352" t="s">
        <v>1605</v>
      </c>
      <c r="X40" s="1352" t="s">
        <v>1606</v>
      </c>
      <c r="Y40" s="1352" t="s">
        <v>1607</v>
      </c>
      <c r="Z40" s="1352" t="s">
        <v>1608</v>
      </c>
      <c r="AA40" s="1352" t="s">
        <v>1606</v>
      </c>
      <c r="AB40" s="1352" t="s">
        <v>1605</v>
      </c>
      <c r="AC40" s="1352" t="s">
        <v>1606</v>
      </c>
      <c r="AD40" s="1352" t="s">
        <v>1607</v>
      </c>
      <c r="AE40" s="1352" t="s">
        <v>1608</v>
      </c>
    </row>
    <row r="41" spans="3:31">
      <c r="N41" s="1361" t="s">
        <v>1194</v>
      </c>
      <c r="O41" s="1353">
        <f>SUM(O4:O13)/SUM($O$4:$R$13)</f>
        <v>0.18330811212001011</v>
      </c>
      <c r="P41" s="1353">
        <f t="shared" ref="P41:R41" si="21">SUM(P4:P13)/SUM($O$4:$R$13)</f>
        <v>1.801962143525811E-2</v>
      </c>
      <c r="Q41" s="1353">
        <f t="shared" si="21"/>
        <v>0.7724782599153267</v>
      </c>
      <c r="R41" s="1353">
        <f t="shared" si="21"/>
        <v>2.6194006529404706E-2</v>
      </c>
      <c r="S41" s="1353">
        <f>SUM(S4:S13)/SUM($S$4:$V$13)</f>
        <v>0.13859692482833616</v>
      </c>
      <c r="T41" s="1353">
        <f t="shared" ref="T41:V41" si="22">SUM(T4:T13)/SUM($S$4:$V$13)</f>
        <v>1.880366175197366E-2</v>
      </c>
      <c r="U41" s="1353">
        <f t="shared" si="22"/>
        <v>0.81590530801978511</v>
      </c>
      <c r="V41" s="1353">
        <f t="shared" si="22"/>
        <v>2.6694105399905091E-2</v>
      </c>
      <c r="W41" s="1353">
        <f>SUM(W4:W13)/SUM($W$4:$Z$13)</f>
        <v>1.7013991158963949E-2</v>
      </c>
      <c r="X41" s="1353">
        <f t="shared" ref="X41:Z41" si="23">SUM(X4:X13)/SUM($W$4:$Z$13)</f>
        <v>0.83118984962419251</v>
      </c>
      <c r="Y41" s="1353">
        <f t="shared" si="23"/>
        <v>0.13747592980396159</v>
      </c>
      <c r="Z41" s="1353">
        <f t="shared" si="23"/>
        <v>1.4320229412882083E-2</v>
      </c>
      <c r="AA41" s="1353">
        <v>1</v>
      </c>
      <c r="AB41" s="1353">
        <f>SUM(AB4:AB13)/SUM($AB$4:$AE$13)</f>
        <v>5.0011822967374794E-7</v>
      </c>
      <c r="AC41" s="1353">
        <f t="shared" ref="AC41:AE41" si="24">SUM(AC4:AC13)/SUM($AB$4:$AE$13)</f>
        <v>0.90288931327373301</v>
      </c>
      <c r="AD41" s="1353">
        <f t="shared" si="24"/>
        <v>9.7110186608037399E-2</v>
      </c>
      <c r="AE41" s="1353">
        <f t="shared" si="24"/>
        <v>0</v>
      </c>
    </row>
    <row r="42" spans="3:31">
      <c r="N42" s="1361" t="s">
        <v>631</v>
      </c>
      <c r="O42" s="1353">
        <f>(SUM(O14:O21)+SUM(O25:O29))/(SUM($O$14:$R$21)+SUM($O$25:$R$29))</f>
        <v>0.12251515466449822</v>
      </c>
      <c r="P42" s="1353">
        <f t="shared" ref="P42:R42" si="25">(SUM(P14:P21)+SUM(P25:P29))/(SUM($O$14:$R$21)+SUM($O$25:$R$29))</f>
        <v>2.4373367607237881E-2</v>
      </c>
      <c r="Q42" s="1353">
        <f t="shared" si="25"/>
        <v>0.76398071300038517</v>
      </c>
      <c r="R42" s="1353">
        <f t="shared" si="25"/>
        <v>8.91307647278788E-2</v>
      </c>
      <c r="S42" s="1353">
        <f>(SUM(S14:S21)+SUM(S25:S29))/(SUM($S$14:$V$21)+SUM($S$25:$V$29))</f>
        <v>8.595592867619839E-2</v>
      </c>
      <c r="T42" s="1353">
        <f t="shared" ref="T42:V42" si="26">(SUM(T14:T21)+SUM(T25:T29))/(SUM($S$14:$V$21)+SUM($S$25:$V$29))</f>
        <v>2.8664946395451106E-2</v>
      </c>
      <c r="U42" s="1353">
        <f t="shared" si="26"/>
        <v>0.83070307522354214</v>
      </c>
      <c r="V42" s="1353">
        <f t="shared" si="26"/>
        <v>5.467604970480823E-2</v>
      </c>
      <c r="W42" s="1353">
        <f>(SUM(W25:W29)+SUM(W14:W21))/(SUM($W$14:$Z$21)+SUM($W$25:$Z$29))</f>
        <v>4.0475880301584178E-3</v>
      </c>
      <c r="X42" s="1353">
        <f t="shared" ref="X42:Z42" si="27">(SUM(X25:X29)+SUM(X14:X21))/(SUM($W$14:$Z$21)+SUM($W$25:$Z$29))</f>
        <v>0.49785013979760206</v>
      </c>
      <c r="Y42" s="1353">
        <f t="shared" si="27"/>
        <v>0.43908899458279044</v>
      </c>
      <c r="Z42" s="1353">
        <f t="shared" si="27"/>
        <v>5.9013277589449173E-2</v>
      </c>
      <c r="AA42" s="1353">
        <v>1</v>
      </c>
      <c r="AB42" s="1353">
        <f>(SUM(AB25:AB29)+SUM(AB14:AB21))/(SUM($AB$25:$AE$29)+SUM($AB$14:$AE$21))</f>
        <v>2.1591095460544631E-3</v>
      </c>
      <c r="AC42" s="1353">
        <f t="shared" ref="AC42:AE42" si="28">(SUM(AC25:AC29)+SUM(AC14:AC21))/(SUM($AB$25:$AE$29)+SUM($AB$14:$AE$21))</f>
        <v>0.89148302823456438</v>
      </c>
      <c r="AD42" s="1353">
        <f t="shared" si="28"/>
        <v>0.1055874940605557</v>
      </c>
      <c r="AE42" s="1353">
        <f t="shared" si="28"/>
        <v>7.7036815882545247E-4</v>
      </c>
    </row>
    <row r="43" spans="3:31">
      <c r="N43" s="1361" t="s">
        <v>633</v>
      </c>
      <c r="O43" s="1353">
        <f>SUM(O22:O24)/SUM($O$22:$R$24)</f>
        <v>8.6061441319230922E-2</v>
      </c>
      <c r="P43" s="1353">
        <f t="shared" ref="P43:R43" si="29">SUM(P22:P24)/SUM($O$22:$R$24)</f>
        <v>4.2016716262640842E-2</v>
      </c>
      <c r="Q43" s="1353">
        <f t="shared" si="29"/>
        <v>0.78836608488629645</v>
      </c>
      <c r="R43" s="1353">
        <f t="shared" si="29"/>
        <v>8.3555757531831823E-2</v>
      </c>
      <c r="S43" s="1353">
        <f>SUM(S22:S24)/SUM($S$22:$V$24)</f>
        <v>0.11482564292205029</v>
      </c>
      <c r="T43" s="1353">
        <f t="shared" ref="T43:V43" si="30">SUM(T22:T24)/SUM($S$22:$V$24)</f>
        <v>0.23440970537878919</v>
      </c>
      <c r="U43" s="1353">
        <f t="shared" si="30"/>
        <v>0.3311861924091305</v>
      </c>
      <c r="V43" s="1353">
        <f t="shared" si="30"/>
        <v>0.31957845929002987</v>
      </c>
      <c r="W43" s="1353">
        <f>SUM(W22:W24)/SUM($W$22:$Z$24)</f>
        <v>0</v>
      </c>
      <c r="X43" s="1353">
        <f t="shared" ref="X43:Z43" si="31">SUM(X22:X24)/SUM($W$22:$Z$24)</f>
        <v>1</v>
      </c>
      <c r="Y43" s="1353">
        <f t="shared" si="31"/>
        <v>0</v>
      </c>
      <c r="Z43" s="1353">
        <f t="shared" si="31"/>
        <v>0</v>
      </c>
      <c r="AA43" s="1353">
        <v>1</v>
      </c>
      <c r="AB43" s="1353">
        <f>SUM(AB22:AB24)/SUM($AB$22:$AE$24)</f>
        <v>0</v>
      </c>
      <c r="AC43" s="1353">
        <f t="shared" ref="AC43:AE43" si="32">SUM(AC22:AC24)/SUM($AB$22:$AE$24)</f>
        <v>0.96988174334416744</v>
      </c>
      <c r="AD43" s="1353">
        <f t="shared" si="32"/>
        <v>3.011825665583261E-2</v>
      </c>
      <c r="AE43" s="1353">
        <f t="shared" si="32"/>
        <v>0</v>
      </c>
    </row>
    <row r="44" spans="3:31">
      <c r="N44" s="10"/>
      <c r="O44" s="11"/>
      <c r="P44" s="11"/>
      <c r="Q44" s="11"/>
      <c r="R44" s="11"/>
      <c r="S44" s="11"/>
      <c r="T44" s="11"/>
      <c r="U44" s="11"/>
      <c r="V44" s="11"/>
      <c r="W44" s="11"/>
      <c r="X44" s="11"/>
      <c r="Y44" s="11"/>
      <c r="Z44" s="11"/>
      <c r="AA44" s="11"/>
      <c r="AB44" s="11"/>
      <c r="AC44" s="11"/>
      <c r="AD44" s="11"/>
      <c r="AE44" s="11"/>
    </row>
    <row r="45" spans="3:31">
      <c r="N45" s="1362" t="s">
        <v>1126</v>
      </c>
      <c r="O45" s="1363" t="s">
        <v>260</v>
      </c>
      <c r="P45" s="1364" t="s">
        <v>1599</v>
      </c>
      <c r="Q45" s="1363" t="s">
        <v>262</v>
      </c>
      <c r="R45" s="1363" t="s">
        <v>266</v>
      </c>
      <c r="S45" s="1365" t="s">
        <v>1609</v>
      </c>
      <c r="T45" s="1365" t="s">
        <v>1610</v>
      </c>
      <c r="U45" s="11"/>
      <c r="V45" s="11"/>
      <c r="W45" s="11"/>
      <c r="X45" s="11"/>
      <c r="Y45" s="11"/>
      <c r="Z45" s="11"/>
      <c r="AA45" s="11"/>
      <c r="AB45" s="11"/>
      <c r="AC45" s="11"/>
      <c r="AD45" s="11"/>
      <c r="AE45" s="11"/>
    </row>
    <row r="46" spans="3:31">
      <c r="N46" s="1366" t="s">
        <v>1194</v>
      </c>
      <c r="O46" s="1367">
        <f>SUM(O4:R13)/SUM($O$4:$AE$29)</f>
        <v>0.28083184970387165</v>
      </c>
      <c r="P46" s="1367">
        <f>SUM(S4:V13)/SUM($O$4:$AE$29)</f>
        <v>0.120943569257078</v>
      </c>
      <c r="Q46" s="1367">
        <f>SUM(W4:Z13)/SUM($O$4:$AE$29)</f>
        <v>1.8109190484213417E-2</v>
      </c>
      <c r="R46" s="1367">
        <f>SUM(AA4:AA13)/SUM($O$4:$AE$29)</f>
        <v>2.3819840306263954E-2</v>
      </c>
      <c r="S46" s="1367">
        <f>SUM(AC4:AC13)/SUM($O$4:$AE$29)</f>
        <v>4.801444092723231E-2</v>
      </c>
      <c r="T46" s="1367">
        <f>SUM(AD4:AD13)/SUM($O$4:$AE$29)</f>
        <v>5.1641892863012644E-3</v>
      </c>
    </row>
    <row r="47" spans="3:31">
      <c r="N47" s="1366" t="s">
        <v>631</v>
      </c>
      <c r="O47" s="1367">
        <f>(SUM(O25:R29)+SUM(O14:R21))/SUM($O$4:$AE$29)</f>
        <v>0.16811648232376494</v>
      </c>
      <c r="P47" s="1367">
        <f>(SUM(T25:W29)+SUM(T14:W21))/SUM($O$4:$AE$29)</f>
        <v>3.9155082959863065E-2</v>
      </c>
      <c r="Q47" s="1367">
        <f>(SUM(W25:Z29)+SUM(W14:Z21))/SUM($O$4:$AE$29)</f>
        <v>4.9974483683345394E-2</v>
      </c>
      <c r="R47" s="1367">
        <f>(SUM(AA14:AA21)+SUM(AA25:AA29))/SUM($O$4:$AE$29)</f>
        <v>3.8883463836356165E-2</v>
      </c>
      <c r="S47" s="1367">
        <f>(SUM(AC25:AC29)+SUM(AC14:AC21))/SUM($O$4:$AE$29)</f>
        <v>8.0622676703661522E-2</v>
      </c>
      <c r="T47" s="1367">
        <f>(SUM(AD25:AD29)+SUM(AD14:AD21))/SUM($O$4:$AE$29)</f>
        <v>9.5489719130739462E-3</v>
      </c>
    </row>
    <row r="48" spans="3:31">
      <c r="N48" s="1366" t="s">
        <v>633</v>
      </c>
      <c r="O48" s="1367">
        <f>SUM(O22:R24)/SUM($O$4:$AE$29)</f>
        <v>5.6086494926674731E-2</v>
      </c>
      <c r="P48" s="1367">
        <f>SUM(S22:V24)/SUM($O$4:$AE$29)</f>
        <v>4.4234036988038319E-3</v>
      </c>
      <c r="Q48" s="1367">
        <f>SUM(W22:Z24)/SUM($O$4:$AE$29)</f>
        <v>7.1430030102349641E-3</v>
      </c>
      <c r="R48" s="1367">
        <f>SUM(AA22:AA24)/SUM($O$4:$AE$29)</f>
        <v>2.2298202747356808E-2</v>
      </c>
      <c r="S48" s="1367">
        <f>SUM(AC22:AC24)/SUM($O$4:$AE$29)</f>
        <v>2.2441980103343612E-2</v>
      </c>
      <c r="T48" s="1367">
        <f>SUM(AD22:AD24)/SUM($O$4:$AE$29)</f>
        <v>6.9690281444728718E-4</v>
      </c>
    </row>
    <row r="50" spans="14:24">
      <c r="N50" s="4" t="s">
        <v>1611</v>
      </c>
    </row>
    <row r="52" spans="14:24">
      <c r="N52" s="1340"/>
      <c r="O52" s="1340" t="s">
        <v>1590</v>
      </c>
      <c r="P52" s="1344" t="s">
        <v>640</v>
      </c>
      <c r="Q52" s="1344" t="s">
        <v>641</v>
      </c>
      <c r="R52" s="1344" t="s">
        <v>642</v>
      </c>
      <c r="S52" s="1344" t="s">
        <v>643</v>
      </c>
      <c r="T52" s="1344" t="s">
        <v>644</v>
      </c>
      <c r="U52" s="1344" t="s">
        <v>645</v>
      </c>
    </row>
    <row r="53" spans="14:24">
      <c r="N53" s="1361" t="s">
        <v>633</v>
      </c>
      <c r="O53" s="1368">
        <f>SUM(O54:O56)</f>
        <v>63.417039519561612</v>
      </c>
      <c r="P53" s="1343">
        <f>BldgArea!C52</f>
        <v>0.13102440772499316</v>
      </c>
      <c r="Q53" s="1343">
        <f>BldgArea!D52</f>
        <v>0.37727439214152464</v>
      </c>
      <c r="R53" s="1343">
        <f>BldgArea!E52</f>
        <v>0.14094626448462422</v>
      </c>
      <c r="S53" s="1343">
        <f>BldgArea!F52</f>
        <v>0.31719512276920037</v>
      </c>
      <c r="T53" s="1343">
        <f>BldgArea!G52</f>
        <v>3.3559812879657681E-2</v>
      </c>
      <c r="U53" s="1343">
        <f>BldgArea!H52</f>
        <v>1</v>
      </c>
    </row>
    <row r="54" spans="14:24">
      <c r="N54" s="1340" t="s">
        <v>1591</v>
      </c>
      <c r="O54" s="1353">
        <f>'NYC 2010'!CR16</f>
        <v>4.5396696044750486</v>
      </c>
      <c r="P54" s="1353">
        <f>$O$54*P53</f>
        <v>0.59480752119349722</v>
      </c>
      <c r="Q54" s="1353">
        <f t="shared" ref="Q54:T54" si="33">$O$54*Q53</f>
        <v>1.7127010905516795</v>
      </c>
      <c r="R54" s="1353">
        <f t="shared" si="33"/>
        <v>0.63984947274514958</v>
      </c>
      <c r="S54" s="1353">
        <f t="shared" si="33"/>
        <v>1.4399610575230704</v>
      </c>
      <c r="T54" s="1353">
        <f t="shared" si="33"/>
        <v>0.15235046246165224</v>
      </c>
      <c r="U54" s="1353">
        <f>SUM(P54:T54)-O54</f>
        <v>0</v>
      </c>
    </row>
    <row r="55" spans="14:24">
      <c r="N55" s="1340" t="s">
        <v>32</v>
      </c>
      <c r="O55" s="1353">
        <f>'NYC 2010'!CR17</f>
        <v>35.17611095505444</v>
      </c>
      <c r="P55" s="1353">
        <f>$O$55*P53</f>
        <v>4.6089291039546518</v>
      </c>
      <c r="Q55" s="1353">
        <f t="shared" ref="Q55:T55" si="34">$O$55*Q53</f>
        <v>13.271045878470989</v>
      </c>
      <c r="R55" s="1353">
        <f t="shared" si="34"/>
        <v>4.9579414382115905</v>
      </c>
      <c r="S55" s="1353">
        <f t="shared" si="34"/>
        <v>11.157690832931507</v>
      </c>
      <c r="T55" s="1353">
        <f t="shared" si="34"/>
        <v>1.1805037014857036</v>
      </c>
      <c r="U55" s="1353">
        <f t="shared" ref="U55:U56" si="35">SUM(P55:T55)-O55</f>
        <v>0</v>
      </c>
    </row>
    <row r="56" spans="14:24">
      <c r="N56" s="1340" t="s">
        <v>651</v>
      </c>
      <c r="O56" s="1353">
        <f>'NYC 2010'!CR18</f>
        <v>23.701258960032117</v>
      </c>
      <c r="P56" s="1353">
        <f>$O$56*P53</f>
        <v>3.1054434175748953</v>
      </c>
      <c r="Q56" s="1353">
        <f t="shared" ref="Q56:T56" si="36">$O$56*Q53</f>
        <v>8.9418780671349811</v>
      </c>
      <c r="R56" s="1353">
        <f t="shared" si="36"/>
        <v>3.3406039139992565</v>
      </c>
      <c r="S56" s="1353">
        <f t="shared" si="36"/>
        <v>7.5179237456119976</v>
      </c>
      <c r="T56" s="1353">
        <f t="shared" si="36"/>
        <v>0.7954098157109879</v>
      </c>
      <c r="U56" s="1353">
        <f t="shared" si="35"/>
        <v>0</v>
      </c>
    </row>
    <row r="58" spans="14:24">
      <c r="N58" s="1340"/>
      <c r="O58" s="1341">
        <v>2010</v>
      </c>
      <c r="P58" s="1341">
        <v>2015</v>
      </c>
      <c r="Q58" s="1341">
        <v>2020</v>
      </c>
      <c r="R58" s="1341">
        <v>2025</v>
      </c>
      <c r="S58" s="1341">
        <v>2030</v>
      </c>
      <c r="T58" s="1341">
        <v>2035</v>
      </c>
      <c r="U58" s="1341">
        <v>2040</v>
      </c>
      <c r="V58" s="1341">
        <v>2045</v>
      </c>
      <c r="W58" s="1341">
        <v>2050</v>
      </c>
      <c r="X58" s="1341">
        <v>2055</v>
      </c>
    </row>
    <row r="59" spans="14:24">
      <c r="N59" s="1340" t="s">
        <v>645</v>
      </c>
      <c r="O59" s="1340">
        <v>8242624</v>
      </c>
      <c r="P59" s="1340">
        <v>8550405</v>
      </c>
      <c r="Q59" s="1340">
        <v>8550971</v>
      </c>
      <c r="R59" s="1340">
        <v>8685999</v>
      </c>
      <c r="S59" s="1340">
        <v>8821027</v>
      </c>
      <c r="T59" s="1340">
        <v>8923086</v>
      </c>
      <c r="U59" s="1340">
        <v>9025145</v>
      </c>
      <c r="V59" s="1340">
        <v>9292840.212121211</v>
      </c>
      <c r="W59" s="1340">
        <v>9446271.7857142836</v>
      </c>
      <c r="X59" s="1340">
        <v>9599703.3593073562</v>
      </c>
    </row>
    <row r="60" spans="14:24">
      <c r="N60" s="1340" t="s">
        <v>1592</v>
      </c>
      <c r="O60" s="1340">
        <v>1385108</v>
      </c>
      <c r="P60" s="1340">
        <v>1455444</v>
      </c>
      <c r="Q60" s="1340">
        <v>1446788</v>
      </c>
      <c r="R60" s="1340">
        <v>1482893</v>
      </c>
      <c r="S60" s="1340">
        <v>1518998</v>
      </c>
      <c r="T60" s="1340">
        <v>1549121.5</v>
      </c>
      <c r="U60" s="1340">
        <v>1579245</v>
      </c>
      <c r="V60" s="1340">
        <v>1625954.9772727266</v>
      </c>
      <c r="W60" s="1340">
        <v>1660587.6071428563</v>
      </c>
      <c r="X60" s="1340">
        <v>1695220.2370129861</v>
      </c>
    </row>
    <row r="61" spans="14:24">
      <c r="N61" s="1340" t="s">
        <v>1593</v>
      </c>
      <c r="O61" s="1340">
        <v>2552911</v>
      </c>
      <c r="P61" s="1340">
        <v>2636735</v>
      </c>
      <c r="Q61" s="1340">
        <v>2648452</v>
      </c>
      <c r="R61" s="1340">
        <v>2701230.5</v>
      </c>
      <c r="S61" s="1340">
        <v>2754009</v>
      </c>
      <c r="T61" s="1340">
        <v>2797267</v>
      </c>
      <c r="U61" s="1340">
        <v>2840525</v>
      </c>
      <c r="V61" s="1340">
        <v>2908244.5075757541</v>
      </c>
      <c r="W61" s="1340">
        <v>2959463.6785714254</v>
      </c>
      <c r="X61" s="1340">
        <v>3010682.8495670967</v>
      </c>
    </row>
    <row r="62" spans="14:24">
      <c r="N62" s="1340" t="s">
        <v>1594</v>
      </c>
      <c r="O62" s="1340">
        <v>1585873</v>
      </c>
      <c r="P62" s="1340">
        <v>1644518</v>
      </c>
      <c r="Q62" s="1340">
        <v>1638281</v>
      </c>
      <c r="R62" s="1340">
        <v>1657500.5</v>
      </c>
      <c r="S62" s="1340">
        <v>1676720</v>
      </c>
      <c r="T62" s="1340">
        <v>1684168.5</v>
      </c>
      <c r="U62" s="1340">
        <v>1691617</v>
      </c>
      <c r="V62" s="1340">
        <v>1733166.166666667</v>
      </c>
      <c r="W62" s="1340">
        <v>1753311.5714285718</v>
      </c>
      <c r="X62" s="1340">
        <v>1773456.9761904767</v>
      </c>
    </row>
    <row r="63" spans="14:24">
      <c r="N63" s="1340" t="s">
        <v>1595</v>
      </c>
      <c r="O63" s="1340">
        <v>2250002</v>
      </c>
      <c r="P63" s="1340">
        <v>2339150</v>
      </c>
      <c r="Q63" s="1340">
        <v>2330295</v>
      </c>
      <c r="R63" s="1340">
        <v>2351923</v>
      </c>
      <c r="S63" s="1340">
        <v>2373551</v>
      </c>
      <c r="T63" s="1340">
        <v>2393100</v>
      </c>
      <c r="U63" s="1340">
        <v>2412649</v>
      </c>
      <c r="V63" s="1340">
        <v>2496538.7575757559</v>
      </c>
      <c r="W63" s="1340">
        <v>2533665.5714285709</v>
      </c>
      <c r="X63" s="1340">
        <v>2570792.385281384</v>
      </c>
    </row>
    <row r="64" spans="14:24">
      <c r="N64" s="1340" t="s">
        <v>1596</v>
      </c>
      <c r="O64" s="1340">
        <v>468730</v>
      </c>
      <c r="P64" s="1340">
        <v>474558</v>
      </c>
      <c r="Q64" s="1340">
        <v>487155</v>
      </c>
      <c r="R64" s="1340">
        <v>492452</v>
      </c>
      <c r="S64" s="1340">
        <v>497749</v>
      </c>
      <c r="T64" s="1340">
        <v>499429</v>
      </c>
      <c r="U64" s="1340">
        <v>501109</v>
      </c>
      <c r="V64" s="1340">
        <v>528935.80303030275</v>
      </c>
      <c r="W64" s="1340">
        <v>539243.35714285728</v>
      </c>
      <c r="X64" s="1340">
        <v>549550.9112554118</v>
      </c>
    </row>
    <row r="66" spans="13:27">
      <c r="N66" s="1340"/>
      <c r="O66" s="1341">
        <v>2010</v>
      </c>
      <c r="P66" s="1341">
        <v>2015</v>
      </c>
      <c r="Q66" s="1341">
        <v>2020</v>
      </c>
      <c r="R66" s="1341">
        <v>2025</v>
      </c>
      <c r="S66" s="1341">
        <v>2030</v>
      </c>
      <c r="T66" s="1341">
        <v>2035</v>
      </c>
      <c r="U66" s="1341">
        <v>2040</v>
      </c>
      <c r="V66" s="1341">
        <v>2045</v>
      </c>
      <c r="W66" s="1341">
        <v>2050</v>
      </c>
      <c r="X66" s="1341">
        <v>2055</v>
      </c>
    </row>
    <row r="67" spans="13:27">
      <c r="N67" s="1340" t="s">
        <v>1593</v>
      </c>
      <c r="O67" s="1342">
        <f>O61/$O$59</f>
        <v>0.30972066662266773</v>
      </c>
      <c r="P67" s="1343">
        <f>P61/$P$59</f>
        <v>0.30837545122131643</v>
      </c>
      <c r="Q67" s="1343">
        <f>Q61/$Q$59</f>
        <v>0.30972529318600189</v>
      </c>
      <c r="R67" s="1343">
        <f>R61/$R$59</f>
        <v>0.31098673854325792</v>
      </c>
      <c r="S67" s="1343">
        <f>S61/$S$59</f>
        <v>0.31220956471394995</v>
      </c>
      <c r="T67" s="1343">
        <f>T61/$T$59</f>
        <v>0.31348650007407752</v>
      </c>
      <c r="U67" s="1343">
        <f>U61/$U$59</f>
        <v>0.31473455551129648</v>
      </c>
      <c r="V67" s="1343">
        <f>V61/$V$59</f>
        <v>0.31295539804745115</v>
      </c>
      <c r="W67" s="1343">
        <f>W61/$W$59</f>
        <v>0.31329436053777954</v>
      </c>
      <c r="X67" s="1343">
        <f>X61/$X$59</f>
        <v>0.31362248778740653</v>
      </c>
    </row>
    <row r="68" spans="13:27">
      <c r="N68" s="1340" t="s">
        <v>1592</v>
      </c>
      <c r="O68" s="1342">
        <f>O60/$O$59</f>
        <v>0.16804211862630153</v>
      </c>
      <c r="P68" s="1343">
        <f>P60/$P$59</f>
        <v>0.1702193054013231</v>
      </c>
      <c r="Q68" s="1343">
        <f>Q60/$Q$59</f>
        <v>0.16919575566330419</v>
      </c>
      <c r="R68" s="1343">
        <f>R60/$R$59</f>
        <v>0.17072221629314027</v>
      </c>
      <c r="S68" s="1343">
        <f>S60/$S$59</f>
        <v>0.17220194428607916</v>
      </c>
      <c r="T68" s="1343">
        <f>T60/$T$59</f>
        <v>0.17360826736400389</v>
      </c>
      <c r="U68" s="1343">
        <f>U60/$U$59</f>
        <v>0.17498278421011518</v>
      </c>
      <c r="V68" s="1343">
        <f>V60/$V$59</f>
        <v>0.1749685715193828</v>
      </c>
      <c r="W68" s="1343">
        <f>W60/$W$59</f>
        <v>0.17579291013563511</v>
      </c>
      <c r="X68" s="1343">
        <f>X60/$X$59</f>
        <v>0.17659089802700953</v>
      </c>
    </row>
    <row r="69" spans="13:27">
      <c r="N69" s="1340" t="s">
        <v>1594</v>
      </c>
      <c r="O69" s="1342">
        <f>O62/$O$59</f>
        <v>0.19239904671133853</v>
      </c>
      <c r="P69" s="1343">
        <f>P62/$P$59</f>
        <v>0.19233217607820915</v>
      </c>
      <c r="Q69" s="1343">
        <f>Q62/$Q$59</f>
        <v>0.19159005450959896</v>
      </c>
      <c r="R69" s="1343">
        <f>R62/$R$59</f>
        <v>0.19082439452272559</v>
      </c>
      <c r="S69" s="1343">
        <f>S62/$S$59</f>
        <v>0.19008217523877888</v>
      </c>
      <c r="T69" s="1343">
        <f>T62/$T$59</f>
        <v>0.18874282955470786</v>
      </c>
      <c r="U69" s="1343">
        <f>U62/$U$59</f>
        <v>0.18743377530222505</v>
      </c>
      <c r="V69" s="1343">
        <f>V62/$V$59</f>
        <v>0.18650553836124223</v>
      </c>
      <c r="W69" s="1343">
        <f>W62/$W$59</f>
        <v>0.18560884243031489</v>
      </c>
      <c r="X69" s="1343">
        <f>X62/$X$59</f>
        <v>0.18474081019087202</v>
      </c>
    </row>
    <row r="70" spans="13:27">
      <c r="N70" s="1340" t="s">
        <v>1595</v>
      </c>
      <c r="O70" s="1342">
        <f>O63/$O$59</f>
        <v>0.27297156827728647</v>
      </c>
      <c r="P70" s="1343">
        <f>P63/$P$59</f>
        <v>0.27357183665569057</v>
      </c>
      <c r="Q70" s="1343">
        <f>Q63/$Q$59</f>
        <v>0.27251817366706071</v>
      </c>
      <c r="R70" s="1343">
        <f>R63/$R$59</f>
        <v>0.27077173276211519</v>
      </c>
      <c r="S70" s="1343">
        <f>S63/$S$59</f>
        <v>0.26907875919663321</v>
      </c>
      <c r="T70" s="1343">
        <f>T63/$T$59</f>
        <v>0.26819196856334232</v>
      </c>
      <c r="U70" s="1343">
        <f>U63/$U$59</f>
        <v>0.26732523410981207</v>
      </c>
      <c r="V70" s="1343">
        <f>V63/$V$59</f>
        <v>0.26865185460946267</v>
      </c>
      <c r="W70" s="1343">
        <f>W63/$W$59</f>
        <v>0.26821857648223352</v>
      </c>
      <c r="X70" s="1343">
        <f>X63/$X$59</f>
        <v>0.26779914847982067</v>
      </c>
    </row>
    <row r="71" spans="13:27">
      <c r="N71" s="1340" t="s">
        <v>1596</v>
      </c>
      <c r="O71" s="1342">
        <f>O64/$O$59</f>
        <v>5.686659976240576E-2</v>
      </c>
      <c r="P71" s="1343">
        <f>P64/$P$59</f>
        <v>5.5501230643460749E-2</v>
      </c>
      <c r="Q71" s="1343">
        <f>Q64/$Q$59</f>
        <v>5.6970722974034174E-2</v>
      </c>
      <c r="R71" s="1343">
        <f>R64/$R$59</f>
        <v>5.6694917878760978E-2</v>
      </c>
      <c r="S71" s="1343">
        <f>S64/$S$59</f>
        <v>5.6427556564558751E-2</v>
      </c>
      <c r="T71" s="1343">
        <f>T64/$T$59</f>
        <v>5.5970434443868414E-2</v>
      </c>
      <c r="U71" s="1343">
        <f>U64/$U$59</f>
        <v>5.5523650866551172E-2</v>
      </c>
      <c r="V71" s="1343">
        <f>V64/$V$59</f>
        <v>5.6918637462460606E-2</v>
      </c>
      <c r="W71" s="1343">
        <f>W64/$W$59</f>
        <v>5.7085310414036763E-2</v>
      </c>
      <c r="X71" s="1343">
        <f>X64/$X$59</f>
        <v>5.7246655514891179E-2</v>
      </c>
    </row>
    <row r="73" spans="13:27">
      <c r="O73" s="12">
        <f>O75-SUM(O76:O80)</f>
        <v>0</v>
      </c>
      <c r="P73" s="12">
        <f t="shared" ref="P73:X73" si="37">P75-SUM(P76:P80)</f>
        <v>0</v>
      </c>
      <c r="Q73" s="12">
        <f t="shared" si="37"/>
        <v>0</v>
      </c>
      <c r="R73" s="12">
        <f t="shared" si="37"/>
        <v>0</v>
      </c>
      <c r="S73" s="12">
        <f t="shared" si="37"/>
        <v>0</v>
      </c>
      <c r="T73" s="12">
        <f t="shared" si="37"/>
        <v>0</v>
      </c>
      <c r="U73" s="12">
        <f t="shared" si="37"/>
        <v>0</v>
      </c>
      <c r="V73" s="12">
        <f t="shared" si="37"/>
        <v>0</v>
      </c>
      <c r="W73" s="12">
        <f t="shared" si="37"/>
        <v>0</v>
      </c>
      <c r="X73" s="12">
        <f t="shared" si="37"/>
        <v>0</v>
      </c>
      <c r="AA73" s="4" t="s">
        <v>1612</v>
      </c>
    </row>
    <row r="74" spans="13:27">
      <c r="M74" s="1341"/>
      <c r="N74" s="1341" t="s">
        <v>1597</v>
      </c>
      <c r="O74" s="1341">
        <v>2010</v>
      </c>
      <c r="P74" s="1341">
        <v>2015</v>
      </c>
      <c r="Q74" s="1341">
        <v>2020</v>
      </c>
      <c r="R74" s="1341">
        <v>2025</v>
      </c>
      <c r="S74" s="1341">
        <v>2030</v>
      </c>
      <c r="T74" s="1341">
        <v>2035</v>
      </c>
      <c r="U74" s="1341">
        <v>2040</v>
      </c>
      <c r="V74" s="1341">
        <v>2045</v>
      </c>
      <c r="W74" s="1341">
        <v>2050</v>
      </c>
      <c r="X74" s="1341">
        <v>2055</v>
      </c>
    </row>
    <row r="75" spans="13:27">
      <c r="M75" s="1344" t="s">
        <v>645</v>
      </c>
      <c r="N75" s="1341" t="s">
        <v>1591</v>
      </c>
      <c r="O75" s="1345">
        <f>O54</f>
        <v>4.5396696044750486</v>
      </c>
      <c r="P75" s="1345">
        <f>O75*'Demand (old)'!F138/'Demand (old)'!E138</f>
        <v>4.5674318513344989</v>
      </c>
      <c r="Q75" s="1345">
        <f>P75*'Demand (old)'!G138/'Demand (old)'!F138</f>
        <v>5.1446498070028674</v>
      </c>
      <c r="R75" s="1345">
        <f>Q75*'Demand (old)'!H138/'Demand (old)'!G138</f>
        <v>5.4600559736372265</v>
      </c>
      <c r="S75" s="1345">
        <f>R75*'Demand (old)'!I138/'Demand (old)'!H138</f>
        <v>5.787059464168582</v>
      </c>
      <c r="T75" s="1345">
        <f>S75*'Demand (old)'!J138/'Demand (old)'!I138</f>
        <v>6.0509320831154154</v>
      </c>
      <c r="U75" s="1345">
        <f>T75*'Demand (old)'!K138/'Demand (old)'!J138</f>
        <v>6.4012419458908818</v>
      </c>
      <c r="V75" s="1345">
        <f>U75*'Demand (old)'!L138/'Demand (old)'!K138</f>
        <v>6.3335553135649167</v>
      </c>
      <c r="W75" s="1345">
        <f>V75*'Demand (old)'!M138/'Demand (old)'!L138</f>
        <v>6.5280941078071244</v>
      </c>
      <c r="X75" s="1345">
        <f>W75*'Demand (old)'!N138/'Demand (old)'!M138</f>
        <v>6.7226329020493214</v>
      </c>
    </row>
    <row r="76" spans="13:27">
      <c r="M76" s="1344" t="s">
        <v>640</v>
      </c>
      <c r="N76" s="1341" t="s">
        <v>1591</v>
      </c>
      <c r="O76" s="1345">
        <f>P54</f>
        <v>0.59480752119349722</v>
      </c>
      <c r="P76" s="1345">
        <f>$O$76+($P$75-$O$75)*P67</f>
        <v>0.6033687165956978</v>
      </c>
      <c r="Q76" s="1345">
        <f>$O$76+($Q$75-$O$75)*Q67</f>
        <v>0.78218519179315271</v>
      </c>
      <c r="R76" s="1345">
        <f>$O$76+($R$75-$O$75)*R67</f>
        <v>0.88103547633891388</v>
      </c>
      <c r="S76" s="1345">
        <f t="shared" ref="S76:X76" si="38">$O$76+(S75-$O$75)*S67</f>
        <v>0.98425456631701036</v>
      </c>
      <c r="T76" s="1345">
        <f t="shared" si="38"/>
        <v>1.0685679063157412</v>
      </c>
      <c r="U76" s="1345">
        <f t="shared" si="38"/>
        <v>1.1807086646211329</v>
      </c>
      <c r="V76" s="1345">
        <f t="shared" si="38"/>
        <v>1.156213737333351</v>
      </c>
      <c r="W76" s="1345">
        <f t="shared" si="38"/>
        <v>1.2177697044425719</v>
      </c>
      <c r="X76" s="1345">
        <f t="shared" si="38"/>
        <v>1.2794339013273412</v>
      </c>
    </row>
    <row r="77" spans="13:27">
      <c r="M77" s="1344" t="s">
        <v>641</v>
      </c>
      <c r="N77" s="1341" t="s">
        <v>1591</v>
      </c>
      <c r="O77" s="1345">
        <f>Q54</f>
        <v>1.7127010905516795</v>
      </c>
      <c r="P77" s="1345">
        <f>O77+($P$75-$O$75)*P68</f>
        <v>1.7174267609284752</v>
      </c>
      <c r="Q77" s="1345">
        <f>$O$77+($Q$75-$O$75)*Q68</f>
        <v>1.8150611730797126</v>
      </c>
      <c r="R77" s="1345">
        <f>$O$77+($R$75-$O$75)*R68</f>
        <v>1.869831491341043</v>
      </c>
      <c r="S77" s="1345">
        <f t="shared" ref="S77:X77" si="39">$O$77+(S75-$O$75)*S68</f>
        <v>1.9275040496736455</v>
      </c>
      <c r="T77" s="1345">
        <f t="shared" si="39"/>
        <v>1.9750687510006635</v>
      </c>
      <c r="U77" s="1345">
        <f t="shared" si="39"/>
        <v>2.0384442018611653</v>
      </c>
      <c r="V77" s="1345">
        <f t="shared" si="39"/>
        <v>2.026574710540169</v>
      </c>
      <c r="W77" s="1345">
        <f t="shared" si="39"/>
        <v>2.06225202057743</v>
      </c>
      <c r="X77" s="1345">
        <f t="shared" si="39"/>
        <v>2.0981925396303223</v>
      </c>
    </row>
    <row r="78" spans="13:27">
      <c r="M78" s="1344" t="s">
        <v>642</v>
      </c>
      <c r="N78" s="1341" t="s">
        <v>1591</v>
      </c>
      <c r="O78" s="1345">
        <f>R54</f>
        <v>0.63984947274514958</v>
      </c>
      <c r="P78" s="1345">
        <f>O78+($P$75-$O$75)*P69</f>
        <v>0.64518904609644812</v>
      </c>
      <c r="Q78" s="1345">
        <f>$O$78+($Q$75-$O$75)*Q69</f>
        <v>0.75575766272468259</v>
      </c>
      <c r="R78" s="1345">
        <f>$O$78+($R$75-$O$75)*R69</f>
        <v>0.81548164436749193</v>
      </c>
      <c r="S78" s="1345">
        <f t="shared" ref="S78:X78" si="40">$O$78+(S75-$O$75)*S69</f>
        <v>0.87695605064649151</v>
      </c>
      <c r="T78" s="1345">
        <f t="shared" si="40"/>
        <v>0.9250894291635936</v>
      </c>
      <c r="U78" s="1345">
        <f t="shared" si="40"/>
        <v>0.98877100469492185</v>
      </c>
      <c r="V78" s="1345">
        <f t="shared" si="40"/>
        <v>0.97441909267749427</v>
      </c>
      <c r="W78" s="1345">
        <f t="shared" si="40"/>
        <v>1.0089186430686901</v>
      </c>
      <c r="X78" s="1345">
        <f t="shared" si="40"/>
        <v>1.0431318809559584</v>
      </c>
    </row>
    <row r="79" spans="13:27">
      <c r="M79" s="1344" t="s">
        <v>643</v>
      </c>
      <c r="N79" s="1341" t="s">
        <v>1591</v>
      </c>
      <c r="O79" s="1345">
        <f>S54</f>
        <v>1.4399610575230704</v>
      </c>
      <c r="P79" s="1345">
        <f>O79+($P$75-$O$75)*P70</f>
        <v>1.4475560263860989</v>
      </c>
      <c r="Q79" s="1345">
        <f>$O$79+($Q$75-$O$75)*Q70</f>
        <v>1.6048291574206801</v>
      </c>
      <c r="R79" s="1345">
        <f>$O$79+($R$75-$O$75)*R70</f>
        <v>1.689175669511745</v>
      </c>
      <c r="S79" s="1345">
        <f t="shared" ref="S79:X79" si="41">$O$79+(S75-$O$75)*S70</f>
        <v>1.7756071732038687</v>
      </c>
      <c r="T79" s="1345">
        <f t="shared" si="41"/>
        <v>1.8452695166855464</v>
      </c>
      <c r="U79" s="1345">
        <f t="shared" si="41"/>
        <v>1.9376063195044089</v>
      </c>
      <c r="V79" s="1345">
        <f t="shared" si="41"/>
        <v>1.9218917802274744</v>
      </c>
      <c r="W79" s="1345">
        <f t="shared" si="41"/>
        <v>1.9732934472491919</v>
      </c>
      <c r="X79" s="1345">
        <f t="shared" si="41"/>
        <v>2.0245567697761619</v>
      </c>
    </row>
    <row r="80" spans="13:27">
      <c r="M80" s="1344" t="s">
        <v>644</v>
      </c>
      <c r="N80" s="1341" t="s">
        <v>1591</v>
      </c>
      <c r="O80" s="1345">
        <f>T54</f>
        <v>0.15235046246165224</v>
      </c>
      <c r="P80" s="1345">
        <f>O80+($P$75-$O$75)*P71</f>
        <v>0.15389130132777928</v>
      </c>
      <c r="Q80" s="1345">
        <f>$O$80+($Q$75-$O$75)*Q71</f>
        <v>0.18681662198463969</v>
      </c>
      <c r="R80" s="1345">
        <f>$O$80+($R$75-$O$75)*R71</f>
        <v>0.2045316920780329</v>
      </c>
      <c r="S80" s="1345">
        <f t="shared" ref="S80:X80" si="42">$O$80+(S75-$O$75)*S71</f>
        <v>0.22273762432756611</v>
      </c>
      <c r="T80" s="1345">
        <f t="shared" si="42"/>
        <v>0.23693647994987099</v>
      </c>
      <c r="U80" s="1345">
        <f t="shared" si="42"/>
        <v>0.25571175520925316</v>
      </c>
      <c r="V80" s="1345">
        <f t="shared" si="42"/>
        <v>0.2544559927864275</v>
      </c>
      <c r="W80" s="1345">
        <f t="shared" si="42"/>
        <v>0.26586029246924064</v>
      </c>
      <c r="X80" s="1345">
        <f t="shared" si="42"/>
        <v>0.27731781035953751</v>
      </c>
    </row>
    <row r="81" spans="13:24">
      <c r="M81" s="13"/>
      <c r="O81" s="11"/>
      <c r="P81" s="11"/>
      <c r="Q81" s="11"/>
      <c r="R81" s="11"/>
      <c r="S81" s="11"/>
      <c r="T81" s="11"/>
      <c r="U81" s="11"/>
      <c r="V81" s="11"/>
      <c r="W81" s="11"/>
    </row>
    <row r="82" spans="13:24">
      <c r="O82" s="12">
        <f>O84-SUM(O85:O89)</f>
        <v>0</v>
      </c>
      <c r="P82" s="12">
        <f t="shared" ref="P82:X82" si="43">P84-SUM(P85:P89)</f>
        <v>0</v>
      </c>
      <c r="Q82" s="12">
        <f t="shared" si="43"/>
        <v>0</v>
      </c>
      <c r="R82" s="12">
        <f t="shared" si="43"/>
        <v>0</v>
      </c>
      <c r="S82" s="12">
        <f t="shared" si="43"/>
        <v>0</v>
      </c>
      <c r="T82" s="12">
        <f t="shared" si="43"/>
        <v>0</v>
      </c>
      <c r="U82" s="12">
        <f t="shared" si="43"/>
        <v>0</v>
      </c>
      <c r="V82" s="12">
        <f t="shared" si="43"/>
        <v>0</v>
      </c>
      <c r="W82" s="12">
        <f t="shared" si="43"/>
        <v>0</v>
      </c>
      <c r="X82" s="12">
        <f t="shared" si="43"/>
        <v>0</v>
      </c>
    </row>
    <row r="83" spans="13:24">
      <c r="M83" s="1341"/>
      <c r="N83" s="1341" t="s">
        <v>1597</v>
      </c>
      <c r="O83" s="1341">
        <v>2010</v>
      </c>
      <c r="P83" s="1341">
        <v>2015</v>
      </c>
      <c r="Q83" s="1341">
        <v>2020</v>
      </c>
      <c r="R83" s="1341">
        <v>2025</v>
      </c>
      <c r="S83" s="1341">
        <v>2030</v>
      </c>
      <c r="T83" s="1341">
        <v>2035</v>
      </c>
      <c r="U83" s="1341">
        <v>2040</v>
      </c>
      <c r="V83" s="1341">
        <v>2045</v>
      </c>
      <c r="W83" s="1341">
        <v>2050</v>
      </c>
      <c r="X83" s="1341">
        <v>2055</v>
      </c>
    </row>
    <row r="84" spans="13:24">
      <c r="M84" s="1344" t="s">
        <v>645</v>
      </c>
      <c r="N84" s="1341" t="s">
        <v>32</v>
      </c>
      <c r="O84" s="1345">
        <f>O55</f>
        <v>35.17611095505444</v>
      </c>
      <c r="P84" s="1345">
        <f>O84*'Demand (old)'!F138/'Demand (old)'!E138</f>
        <v>35.391229666541058</v>
      </c>
      <c r="Q84" s="1345">
        <f>P84*'Demand (old)'!G138/'Demand (old)'!F138</f>
        <v>39.863864158228509</v>
      </c>
      <c r="R84" s="1345">
        <f>Q84*'Demand (old)'!H138/'Demand (old)'!G138</f>
        <v>42.307822260928702</v>
      </c>
      <c r="S84" s="1345">
        <f>R84*'Demand (old)'!I138/'Demand (old)'!H138</f>
        <v>44.841643456700766</v>
      </c>
      <c r="T84" s="1345">
        <f>S84*'Demand (old)'!J138/'Demand (old)'!I138</f>
        <v>46.886288404633696</v>
      </c>
      <c r="U84" s="1345">
        <f>T84*'Demand (old)'!K138/'Demand (old)'!J138</f>
        <v>49.600701495289584</v>
      </c>
      <c r="V84" s="1345">
        <f>U84*'Demand (old)'!L138/'Demand (old)'!K138</f>
        <v>49.076224452615584</v>
      </c>
      <c r="W84" s="1345">
        <f>V84*'Demand (old)'!M138/'Demand (old)'!L138</f>
        <v>50.583628913191454</v>
      </c>
      <c r="X84" s="1345">
        <f>W84*'Demand (old)'!N138/'Demand (old)'!M138</f>
        <v>52.091033373767246</v>
      </c>
    </row>
    <row r="85" spans="13:24">
      <c r="M85" s="1344" t="s">
        <v>640</v>
      </c>
      <c r="N85" s="1341" t="s">
        <v>32</v>
      </c>
      <c r="O85" s="1345">
        <f>P55</f>
        <v>4.6089291039546518</v>
      </c>
      <c r="P85" s="1345">
        <f>$O$85+($P$84-$O$84)*P67</f>
        <v>4.6752664336754854</v>
      </c>
      <c r="Q85" s="1345">
        <f>$O$85+($Q$84-$O$84)*Q67</f>
        <v>6.0608448391913594</v>
      </c>
      <c r="R85" s="1345">
        <f>O85+($R$84-$O$84)*R67</f>
        <v>6.8267967432005676</v>
      </c>
      <c r="S85" s="1345">
        <f>O85+($S$84-$O$84)*S67</f>
        <v>7.6266007990221869</v>
      </c>
      <c r="T85" s="1345">
        <f>O85+($T$84-$O$84)*T67</f>
        <v>8.2799116478696391</v>
      </c>
      <c r="U85" s="1345">
        <f>O85+($U$84-$O$84)*U67</f>
        <v>9.1488461960680105</v>
      </c>
      <c r="V85" s="1345">
        <f>O85+($V$84-$O$84)*V67</f>
        <v>8.959044656488647</v>
      </c>
      <c r="W85" s="1345">
        <f>O85+($W$84-$O$84)*W67</f>
        <v>9.4360175901235426</v>
      </c>
      <c r="X85" s="1345">
        <f>O85+($X$84-$O$84)*X67</f>
        <v>9.9138291536423377</v>
      </c>
    </row>
    <row r="86" spans="13:24">
      <c r="M86" s="1344" t="s">
        <v>641</v>
      </c>
      <c r="N86" s="1341" t="s">
        <v>32</v>
      </c>
      <c r="O86" s="1345">
        <f>Q55</f>
        <v>13.271045878470989</v>
      </c>
      <c r="P86" s="1345">
        <f>$O$86+($P$84-$O$84)*P68</f>
        <v>13.307663236119069</v>
      </c>
      <c r="Q86" s="1345">
        <f>O86+($Q$84-$O$84)*Q68</f>
        <v>14.0641938240451</v>
      </c>
      <c r="R86" s="1345">
        <f>O86+($R$84-$O$84)*R68</f>
        <v>14.488587438572688</v>
      </c>
      <c r="S86" s="1345">
        <f>O86+($S$84-$O$84)*S68</f>
        <v>14.935469367814777</v>
      </c>
      <c r="T86" s="1345">
        <f>O86+($T$84-$O$84)*T68</f>
        <v>15.304029496017474</v>
      </c>
      <c r="U86" s="1345">
        <f>O86+($U$84-$O$84)*U68</f>
        <v>15.795100892292224</v>
      </c>
      <c r="V86" s="1345">
        <f>O86+($V$84-$O$84)*V68</f>
        <v>15.703128881096553</v>
      </c>
      <c r="W86" s="1345">
        <f>O86+($W$84-$O$84)*W68</f>
        <v>15.979578298298954</v>
      </c>
      <c r="X86" s="1345">
        <f>O86+($X$84-$O$84)*X68</f>
        <v>16.25806721844868</v>
      </c>
    </row>
    <row r="87" spans="13:24">
      <c r="M87" s="1344" t="s">
        <v>642</v>
      </c>
      <c r="N87" s="1341" t="s">
        <v>32</v>
      </c>
      <c r="O87" s="1345">
        <f>R55</f>
        <v>4.9579414382115905</v>
      </c>
      <c r="P87" s="1345">
        <f>$O$87+($P$84-$O$84)*P69</f>
        <v>4.999315688106952</v>
      </c>
      <c r="Q87" s="1345">
        <f>O87+($Q$84-$O$84)*Q69</f>
        <v>5.8560683299352574</v>
      </c>
      <c r="R87" s="1345">
        <f>O87+($R$84-$O$84)*R69</f>
        <v>6.3188459300659234</v>
      </c>
      <c r="S87" s="1345">
        <f>O87+($S$84-$O$84)*S69</f>
        <v>6.7951868809656402</v>
      </c>
      <c r="T87" s="1345">
        <f>O87+($T$84-$O$84)*T69</f>
        <v>7.1681534646329119</v>
      </c>
      <c r="U87" s="1345">
        <f>O87+($U$84-$O$84)*U69</f>
        <v>7.661596900356626</v>
      </c>
      <c r="V87" s="1345">
        <f>O87+($V$84-$O$84)*V69</f>
        <v>7.5503895893566018</v>
      </c>
      <c r="W87" s="1345">
        <f>O87+($W$84-$O$84)*W69</f>
        <v>7.8177130111456901</v>
      </c>
      <c r="X87" s="1345">
        <f>O87+($X$84-$O$84)*X69</f>
        <v>8.0828179101603386</v>
      </c>
    </row>
    <row r="88" spans="13:24">
      <c r="M88" s="1344" t="s">
        <v>643</v>
      </c>
      <c r="N88" s="1341" t="s">
        <v>32</v>
      </c>
      <c r="O88" s="1345">
        <f>S55</f>
        <v>11.157690832931507</v>
      </c>
      <c r="P88" s="1345">
        <f>$O$88+($P$84-$O$84)*P70</f>
        <v>11.216541253931908</v>
      </c>
      <c r="Q88" s="1345">
        <f>O88+($Q$84-$O$84)*Q70</f>
        <v>12.435188774462418</v>
      </c>
      <c r="R88" s="1345">
        <f>O88+($R$84-$O$84)*R70</f>
        <v>13.088756660782249</v>
      </c>
      <c r="S88" s="1345">
        <f>O88+($S$84-$O$84)*S70</f>
        <v>13.758480325449231</v>
      </c>
      <c r="T88" s="1345">
        <f>O88+($T$84-$O$84)*T70</f>
        <v>14.298266375360228</v>
      </c>
      <c r="U88" s="1345">
        <f>O88+($U$84-$O$84)*U70</f>
        <v>15.013747876038048</v>
      </c>
      <c r="V88" s="1345">
        <f>O88+($V$84-$O$84)*V70</f>
        <v>14.891982103333333</v>
      </c>
      <c r="W88" s="1345">
        <f>O88+($W$84-$O$84)*W70</f>
        <v>15.290273366787467</v>
      </c>
      <c r="X88" s="1345">
        <f>O88+($X$84-$O$84)*X70</f>
        <v>15.687492653265025</v>
      </c>
    </row>
    <row r="89" spans="13:24">
      <c r="M89" s="1344" t="s">
        <v>644</v>
      </c>
      <c r="N89" s="1341" t="s">
        <v>32</v>
      </c>
      <c r="O89" s="1345">
        <f>T55</f>
        <v>1.1805037014857036</v>
      </c>
      <c r="P89" s="1345">
        <f>$O$89+($P$84-$O$84)*P71</f>
        <v>1.1924430547076466</v>
      </c>
      <c r="Q89" s="1345">
        <f>O89+($Q$84-$O$84)*Q71</f>
        <v>1.4475683905943748</v>
      </c>
      <c r="R89" s="1345">
        <f>O89+($R$84-$O$84)*R71</f>
        <v>1.5848354883072762</v>
      </c>
      <c r="S89" s="1345">
        <f>O89+($S$84-$O$84)*S71</f>
        <v>1.7259060834489328</v>
      </c>
      <c r="T89" s="1345">
        <f>O89+($T$84-$O$84)*T71</f>
        <v>1.8359274207534455</v>
      </c>
      <c r="U89" s="1345">
        <f>O89+($U$84-$O$84)*U71</f>
        <v>1.9814096305346764</v>
      </c>
      <c r="V89" s="1345">
        <f>O89+($V$84-$O$84)*V71</f>
        <v>1.9716792223404416</v>
      </c>
      <c r="W89" s="1345">
        <f>O89+($W$84-$O$84)*W71</f>
        <v>2.0600466468358007</v>
      </c>
      <c r="X89" s="1345">
        <f>O89+($X$84-$O$84)*X71</f>
        <v>2.1488264382508655</v>
      </c>
    </row>
    <row r="90" spans="13:24">
      <c r="M90" s="13"/>
      <c r="O90" s="11"/>
      <c r="P90" s="11"/>
      <c r="Q90" s="11"/>
      <c r="R90" s="11"/>
      <c r="S90" s="11"/>
      <c r="T90" s="11"/>
      <c r="U90" s="11"/>
      <c r="V90" s="11"/>
      <c r="W90" s="11"/>
    </row>
    <row r="91" spans="13:24">
      <c r="O91" s="12">
        <f>O93-SUM(O94:O98)</f>
        <v>0</v>
      </c>
      <c r="P91" s="12">
        <f t="shared" ref="P91:W91" si="44">P93-SUM(P94:P98)</f>
        <v>0</v>
      </c>
      <c r="Q91" s="12">
        <f t="shared" si="44"/>
        <v>0</v>
      </c>
      <c r="R91" s="12">
        <f t="shared" si="44"/>
        <v>0</v>
      </c>
      <c r="S91" s="12">
        <f t="shared" si="44"/>
        <v>0</v>
      </c>
      <c r="T91" s="12">
        <f t="shared" si="44"/>
        <v>0</v>
      </c>
      <c r="U91" s="12">
        <f t="shared" si="44"/>
        <v>0</v>
      </c>
      <c r="V91" s="12">
        <f t="shared" si="44"/>
        <v>0</v>
      </c>
      <c r="W91" s="12">
        <f t="shared" si="44"/>
        <v>0</v>
      </c>
      <c r="X91" s="12">
        <f t="shared" ref="X91" si="45">X93-SUM(X94:X98)</f>
        <v>0</v>
      </c>
    </row>
    <row r="92" spans="13:24">
      <c r="M92" s="1341"/>
      <c r="N92" s="1341" t="s">
        <v>1597</v>
      </c>
      <c r="O92" s="1341">
        <v>2010</v>
      </c>
      <c r="P92" s="1341">
        <v>2015</v>
      </c>
      <c r="Q92" s="1341">
        <v>2020</v>
      </c>
      <c r="R92" s="1341">
        <v>2025</v>
      </c>
      <c r="S92" s="1341">
        <v>2030</v>
      </c>
      <c r="T92" s="1341">
        <v>2035</v>
      </c>
      <c r="U92" s="1341">
        <v>2040</v>
      </c>
      <c r="V92" s="1341">
        <v>2045</v>
      </c>
      <c r="W92" s="1341">
        <v>2050</v>
      </c>
      <c r="X92" s="1341">
        <v>2055</v>
      </c>
    </row>
    <row r="93" spans="13:24">
      <c r="M93" s="1344" t="s">
        <v>645</v>
      </c>
      <c r="N93" s="1341" t="s">
        <v>651</v>
      </c>
      <c r="O93" s="1345">
        <f>O56</f>
        <v>23.701258960032117</v>
      </c>
      <c r="P93" s="1345">
        <f>O93*'Demand (old)'!F138/'Demand (old)'!E138</f>
        <v>23.846203473500573</v>
      </c>
      <c r="Q93" s="1345">
        <f>P93*'Demand (old)'!G138/'Demand (old)'!F138</f>
        <v>26.859813149013146</v>
      </c>
      <c r="R93" s="1345">
        <f>Q93*'Demand (old)'!H138/'Demand (old)'!G138</f>
        <v>28.506524007799619</v>
      </c>
      <c r="S93" s="1345">
        <f>R93*'Demand (old)'!I138/'Demand (old)'!H138</f>
        <v>30.213783585077667</v>
      </c>
      <c r="T93" s="1345">
        <f>S93*'Demand (old)'!J138/'Demand (old)'!I138</f>
        <v>31.591441833148341</v>
      </c>
      <c r="U93" s="1345">
        <f>T93*'Demand (old)'!K138/'Demand (old)'!J138</f>
        <v>33.420382152001075</v>
      </c>
      <c r="V93" s="1345">
        <f>U93*'Demand (old)'!L138/'Demand (old)'!K138</f>
        <v>33.066995553269585</v>
      </c>
      <c r="W93" s="1345">
        <f>V93*'Demand (old)'!M138/'Demand (old)'!L138</f>
        <v>34.082667340388582</v>
      </c>
      <c r="X93" s="1345">
        <f>W93*'Demand (old)'!N138/'Demand (old)'!M138</f>
        <v>35.098339127507522</v>
      </c>
    </row>
    <row r="94" spans="13:24">
      <c r="M94" s="1344" t="s">
        <v>640</v>
      </c>
      <c r="N94" s="1341" t="s">
        <v>651</v>
      </c>
      <c r="O94" s="1345">
        <f>P56</f>
        <v>3.1054434175748953</v>
      </c>
      <c r="P94" s="1345">
        <f>$O$94+($P$93-$O$93)*P67</f>
        <v>3.1501407473177845</v>
      </c>
      <c r="Q94" s="1345">
        <f>$O$94+($Q$93-$O$93)*Q67</f>
        <v>4.0837275398009192</v>
      </c>
      <c r="R94" s="1345">
        <f>$O$94+($R$93-$O$93)*R67</f>
        <v>4.5998171226160238</v>
      </c>
      <c r="S94" s="1345">
        <f>$O$94+($S$93-$O$93)*S67</f>
        <v>5.1387158959492467</v>
      </c>
      <c r="T94" s="1345">
        <f>$O$94+($T$93-$O$93)*T67</f>
        <v>5.5789092314125295</v>
      </c>
      <c r="U94" s="1345">
        <f>$O$94+($U$93-$O$93)*U67</f>
        <v>6.1643873353587786</v>
      </c>
      <c r="V94" s="1345">
        <f>$O$94+($V$93-$O$93)*V67</f>
        <v>6.0365012411191064</v>
      </c>
      <c r="W94" s="1345">
        <f>$O$94+($W$93-$O$93)*W67</f>
        <v>6.3578801175802191</v>
      </c>
      <c r="X94" s="1345">
        <f>$O$94+($X$93-$O$93)*X67</f>
        <v>6.6798240532110436</v>
      </c>
    </row>
    <row r="95" spans="13:24">
      <c r="M95" s="1344" t="s">
        <v>641</v>
      </c>
      <c r="N95" s="1341" t="s">
        <v>651</v>
      </c>
      <c r="O95" s="1345">
        <f>Q56</f>
        <v>8.9418780671349811</v>
      </c>
      <c r="P95" s="1345">
        <f>$O$95+($P$93-$O$93)*P68</f>
        <v>8.9665504215393153</v>
      </c>
      <c r="Q95" s="1345">
        <f>$O$95+($Q$93-$O$93)*Q68</f>
        <v>9.4762920299431208</v>
      </c>
      <c r="R95" s="1345">
        <f>$O$95+($R$93-$O$93)*R68</f>
        <v>9.7622435659658109</v>
      </c>
      <c r="S95" s="1345">
        <f>$O$95+($S$93-$O$93)*S68</f>
        <v>10.063347469778794</v>
      </c>
      <c r="T95" s="1345">
        <f>$O$95+($T$93-$O$93)*T68</f>
        <v>10.311679044921828</v>
      </c>
      <c r="U95" s="1345">
        <f>$O$95+($U$93-$O$93)*U68</f>
        <v>10.642557303346811</v>
      </c>
      <c r="V95" s="1345">
        <f>$O$95+($V$93-$O$93)*V68</f>
        <v>10.580587620080552</v>
      </c>
      <c r="W95" s="1345">
        <f>$O$95+($W$93-$O$93)*W68</f>
        <v>10.766856057624315</v>
      </c>
      <c r="X95" s="1345">
        <f>$O$95+($X$93-$O$93)*X68</f>
        <v>10.954498688795283</v>
      </c>
    </row>
    <row r="96" spans="13:24">
      <c r="M96" s="1344" t="s">
        <v>642</v>
      </c>
      <c r="N96" s="1341" t="s">
        <v>651</v>
      </c>
      <c r="O96" s="1345">
        <f>R56</f>
        <v>3.3406039139992565</v>
      </c>
      <c r="P96" s="1345">
        <f>$O$96+($P$93-$O$93)*P69</f>
        <v>3.3684814076852421</v>
      </c>
      <c r="Q96" s="1345">
        <f>$O$96+($Q$93-$O$93)*Q69</f>
        <v>3.9457514832376539</v>
      </c>
      <c r="R96" s="1345">
        <f>$O$96+($R$93-$O$93)*R69</f>
        <v>4.2575657072607065</v>
      </c>
      <c r="S96" s="1345">
        <f>$O$96+($S$93-$O$93)*S69</f>
        <v>4.5785187610240277</v>
      </c>
      <c r="T96" s="1345">
        <f>$O$96+($T$93-$O$93)*T69</f>
        <v>4.8298193551753075</v>
      </c>
      <c r="U96" s="1345">
        <f>$O$96+($U$93-$O$93)*U69</f>
        <v>5.1622958664974101</v>
      </c>
      <c r="V96" s="1345">
        <f>$O$96+($V$93-$O$93)*V69</f>
        <v>5.0873656594705974</v>
      </c>
      <c r="W96" s="1345">
        <f>$O$96+($W$93-$O$93)*W69</f>
        <v>5.2674851062735897</v>
      </c>
      <c r="X96" s="1345">
        <f>$O$96+($X$93-$O$93)*X69</f>
        <v>5.4461097379489818</v>
      </c>
    </row>
    <row r="97" spans="13:24">
      <c r="M97" s="1344" t="s">
        <v>643</v>
      </c>
      <c r="N97" s="1341" t="s">
        <v>651</v>
      </c>
      <c r="O97" s="1345">
        <f>S56</f>
        <v>7.5179237456119976</v>
      </c>
      <c r="P97" s="1345">
        <f>$O$97+($P$93-$O$93)*P70</f>
        <v>7.5575764823747287</v>
      </c>
      <c r="Q97" s="1345">
        <f>$O$97+($Q$93-$O$93)*Q70</f>
        <v>8.3786871646215513</v>
      </c>
      <c r="R97" s="1345">
        <f>$O$97+($R$93-$O$93)*R70</f>
        <v>8.8190536889772329</v>
      </c>
      <c r="S97" s="1345">
        <f>$O$97+($S$93-$O$93)*S70</f>
        <v>9.2703057909567725</v>
      </c>
      <c r="T97" s="1345">
        <f>$O$97+($T$93-$O$93)*T70</f>
        <v>9.6340074226778061</v>
      </c>
      <c r="U97" s="1345">
        <f>$O$97+($U$93-$O$93)*U70</f>
        <v>10.116090628247203</v>
      </c>
      <c r="V97" s="1345">
        <f>$O$97+($V$93-$O$93)*V70</f>
        <v>10.034046251168954</v>
      </c>
      <c r="W97" s="1345">
        <f>$O$97+($W$93-$O$93)*W70</f>
        <v>10.302410323271939</v>
      </c>
      <c r="X97" s="1345">
        <f>$O$97+($X$93-$O$93)*X70</f>
        <v>10.570052109618164</v>
      </c>
    </row>
    <row r="98" spans="13:24">
      <c r="M98" s="1344" t="s">
        <v>644</v>
      </c>
      <c r="N98" s="1341" t="s">
        <v>651</v>
      </c>
      <c r="O98" s="1345">
        <f>T56</f>
        <v>0.7954098157109879</v>
      </c>
      <c r="P98" s="1345">
        <f>$O$98+($P$93-$O$93)*P71</f>
        <v>0.80345441458350486</v>
      </c>
      <c r="Q98" s="1345">
        <f>$O$98+($Q$93-$O$93)*Q71</f>
        <v>0.97535493140990126</v>
      </c>
      <c r="R98" s="1345">
        <f>$O$98+($R$93-$O$93)*R71</f>
        <v>1.0678439229798469</v>
      </c>
      <c r="S98" s="1345">
        <f>$O$98+($S$93-$O$93)*S71</f>
        <v>1.1628956673688275</v>
      </c>
      <c r="T98" s="1345">
        <f>$O$98+($T$93-$O$93)*T71</f>
        <v>1.2370267789608729</v>
      </c>
      <c r="U98" s="1345">
        <f>$O$98+($U$93-$O$93)*U71</f>
        <v>1.3350510185508728</v>
      </c>
      <c r="V98" s="1345">
        <f>$O$98+($V$93-$O$93)*V71</f>
        <v>1.3284947814303723</v>
      </c>
      <c r="W98" s="1345">
        <f>$O$98+($W$93-$O$93)*W71</f>
        <v>1.3880357356385193</v>
      </c>
      <c r="X98" s="1345">
        <f>$O$98+($X$93-$O$93)*X71</f>
        <v>1.4478545379340506</v>
      </c>
    </row>
    <row r="100" spans="13:24">
      <c r="M100" s="1341"/>
      <c r="N100" s="1341" t="s">
        <v>1597</v>
      </c>
      <c r="O100" s="1341">
        <v>2010</v>
      </c>
      <c r="P100" s="1341">
        <v>2015</v>
      </c>
      <c r="Q100" s="1341">
        <v>2020</v>
      </c>
      <c r="R100" s="1341">
        <v>2025</v>
      </c>
      <c r="S100" s="1341">
        <v>2030</v>
      </c>
      <c r="T100" s="1341">
        <v>2035</v>
      </c>
      <c r="U100" s="1341">
        <v>2040</v>
      </c>
      <c r="V100" s="1341">
        <v>2045</v>
      </c>
      <c r="W100" s="1341">
        <v>2050</v>
      </c>
      <c r="X100" s="1341">
        <v>2055</v>
      </c>
    </row>
    <row r="101" spans="13:24">
      <c r="M101" s="1344" t="s">
        <v>645</v>
      </c>
      <c r="N101" s="1341" t="s">
        <v>98</v>
      </c>
      <c r="O101" s="1345">
        <f>SUM(O102:O106)</f>
        <v>63.417039519561612</v>
      </c>
      <c r="P101" s="1345">
        <f t="shared" ref="P101:X101" si="46">SUM(P102:P106)</f>
        <v>63.804864991376142</v>
      </c>
      <c r="Q101" s="1345">
        <f t="shared" si="46"/>
        <v>71.868327114244522</v>
      </c>
      <c r="R101" s="1345">
        <f t="shared" si="46"/>
        <v>76.274402242365568</v>
      </c>
      <c r="S101" s="1345">
        <f t="shared" si="46"/>
        <v>80.842486505947022</v>
      </c>
      <c r="T101" s="1345">
        <f t="shared" si="46"/>
        <v>84.528662320897467</v>
      </c>
      <c r="U101" s="1345">
        <f t="shared" si="46"/>
        <v>89.42232559318154</v>
      </c>
      <c r="V101" s="1345">
        <f t="shared" si="46"/>
        <v>88.476775319450056</v>
      </c>
      <c r="W101" s="1345">
        <f t="shared" si="46"/>
        <v>91.194390361387164</v>
      </c>
      <c r="X101" s="1345">
        <f t="shared" si="46"/>
        <v>93.912005403324088</v>
      </c>
    </row>
    <row r="102" spans="13:24">
      <c r="M102" s="1344" t="s">
        <v>294</v>
      </c>
      <c r="N102" s="1341" t="s">
        <v>98</v>
      </c>
      <c r="O102" s="1345">
        <f>O76+O85+O94</f>
        <v>8.3091800427230442</v>
      </c>
      <c r="P102" s="1345">
        <f t="shared" ref="P102:V102" si="47">P76+P85+P94</f>
        <v>8.4287758975889684</v>
      </c>
      <c r="Q102" s="1345">
        <f t="shared" si="47"/>
        <v>10.926757570785432</v>
      </c>
      <c r="R102" s="1345">
        <f t="shared" si="47"/>
        <v>12.307649342155505</v>
      </c>
      <c r="S102" s="1345">
        <f t="shared" si="47"/>
        <v>13.749571261288445</v>
      </c>
      <c r="T102" s="1345">
        <f t="shared" si="47"/>
        <v>14.927388785597909</v>
      </c>
      <c r="U102" s="1345">
        <f t="shared" si="47"/>
        <v>16.493942196047922</v>
      </c>
      <c r="V102" s="1345">
        <f t="shared" si="47"/>
        <v>16.151759634941104</v>
      </c>
      <c r="W102" s="1345">
        <f>W76+W85+W94</f>
        <v>17.011667412146334</v>
      </c>
      <c r="X102" s="1345">
        <f t="shared" ref="X102" si="48">X76+X85+X94</f>
        <v>17.873087108180723</v>
      </c>
    </row>
    <row r="103" spans="13:24">
      <c r="M103" s="1344" t="s">
        <v>297</v>
      </c>
      <c r="N103" s="1341" t="s">
        <v>98</v>
      </c>
      <c r="O103" s="1345">
        <f t="shared" ref="O103:X106" si="49">O77+O86+O95</f>
        <v>23.925625036157648</v>
      </c>
      <c r="P103" s="1345">
        <f t="shared" si="49"/>
        <v>23.991640418586861</v>
      </c>
      <c r="Q103" s="1345">
        <f t="shared" si="49"/>
        <v>25.355547027067935</v>
      </c>
      <c r="R103" s="1345">
        <f t="shared" si="49"/>
        <v>26.120662495879543</v>
      </c>
      <c r="S103" s="1345">
        <f t="shared" si="49"/>
        <v>26.926320887267217</v>
      </c>
      <c r="T103" s="1345">
        <f t="shared" si="49"/>
        <v>27.590777291939965</v>
      </c>
      <c r="U103" s="1345">
        <f t="shared" si="49"/>
        <v>28.476102397500199</v>
      </c>
      <c r="V103" s="1345">
        <f t="shared" si="49"/>
        <v>28.310291211717271</v>
      </c>
      <c r="W103" s="1345">
        <f t="shared" si="49"/>
        <v>28.808686376500695</v>
      </c>
      <c r="X103" s="1345">
        <f t="shared" si="49"/>
        <v>29.310758446874285</v>
      </c>
    </row>
    <row r="104" spans="13:24">
      <c r="M104" s="1344" t="s">
        <v>144</v>
      </c>
      <c r="N104" s="1341" t="s">
        <v>98</v>
      </c>
      <c r="O104" s="1345">
        <f t="shared" si="49"/>
        <v>8.9383948249559957</v>
      </c>
      <c r="P104" s="1345">
        <f t="shared" si="49"/>
        <v>9.0129861418886428</v>
      </c>
      <c r="Q104" s="1345">
        <f t="shared" si="49"/>
        <v>10.557577475897594</v>
      </c>
      <c r="R104" s="1345">
        <f t="shared" si="49"/>
        <v>11.391893281694122</v>
      </c>
      <c r="S104" s="1345">
        <f t="shared" si="49"/>
        <v>12.250661692636159</v>
      </c>
      <c r="T104" s="1345">
        <f t="shared" si="49"/>
        <v>12.923062248971814</v>
      </c>
      <c r="U104" s="1345">
        <f t="shared" si="49"/>
        <v>13.812663771548959</v>
      </c>
      <c r="V104" s="1345">
        <f t="shared" si="49"/>
        <v>13.612174341504693</v>
      </c>
      <c r="W104" s="1345">
        <f t="shared" si="49"/>
        <v>14.094116760487969</v>
      </c>
      <c r="X104" s="1345">
        <f t="shared" si="49"/>
        <v>14.572059529065278</v>
      </c>
    </row>
    <row r="105" spans="13:24">
      <c r="M105" s="1344" t="s">
        <v>298</v>
      </c>
      <c r="N105" s="1341" t="s">
        <v>98</v>
      </c>
      <c r="O105" s="1345">
        <f t="shared" si="49"/>
        <v>20.115575636066577</v>
      </c>
      <c r="P105" s="1345">
        <f t="shared" si="49"/>
        <v>20.221673762692735</v>
      </c>
      <c r="Q105" s="1345">
        <f t="shared" si="49"/>
        <v>22.418705096504649</v>
      </c>
      <c r="R105" s="1345">
        <f t="shared" si="49"/>
        <v>23.596986019271228</v>
      </c>
      <c r="S105" s="1345">
        <f t="shared" si="49"/>
        <v>24.80439328960987</v>
      </c>
      <c r="T105" s="1345">
        <f t="shared" si="49"/>
        <v>25.77754331472358</v>
      </c>
      <c r="U105" s="1345">
        <f t="shared" si="49"/>
        <v>27.067444823789661</v>
      </c>
      <c r="V105" s="1345">
        <f t="shared" si="49"/>
        <v>26.847920134729762</v>
      </c>
      <c r="W105" s="1345">
        <f t="shared" si="49"/>
        <v>27.565977137308597</v>
      </c>
      <c r="X105" s="1345">
        <f t="shared" si="49"/>
        <v>28.28210153265935</v>
      </c>
    </row>
    <row r="106" spans="13:24">
      <c r="M106" s="1344" t="s">
        <v>299</v>
      </c>
      <c r="N106" s="1341" t="s">
        <v>98</v>
      </c>
      <c r="O106" s="1345">
        <f t="shared" si="49"/>
        <v>2.1282639796583438</v>
      </c>
      <c r="P106" s="1345">
        <f t="shared" si="49"/>
        <v>2.1497887706189305</v>
      </c>
      <c r="Q106" s="1345">
        <f t="shared" si="49"/>
        <v>2.6097399439889157</v>
      </c>
      <c r="R106" s="1345">
        <f t="shared" si="49"/>
        <v>2.8572111033651559</v>
      </c>
      <c r="S106" s="1345">
        <f t="shared" si="49"/>
        <v>3.1115393751453264</v>
      </c>
      <c r="T106" s="1345">
        <f t="shared" si="49"/>
        <v>3.3098906796641892</v>
      </c>
      <c r="U106" s="1345">
        <f t="shared" si="49"/>
        <v>3.5721724042948022</v>
      </c>
      <c r="V106" s="1345">
        <f t="shared" si="49"/>
        <v>3.5546299965572414</v>
      </c>
      <c r="W106" s="1345">
        <f t="shared" si="49"/>
        <v>3.7139426749435609</v>
      </c>
      <c r="X106" s="1345">
        <f t="shared" si="49"/>
        <v>3.8739987865444538</v>
      </c>
    </row>
  </sheetData>
  <mergeCells count="22">
    <mergeCell ref="O1:R1"/>
    <mergeCell ref="S1:V1"/>
    <mergeCell ref="W1:Z1"/>
    <mergeCell ref="AB1:AE1"/>
    <mergeCell ref="A4:A5"/>
    <mergeCell ref="M4:M5"/>
    <mergeCell ref="A6:A13"/>
    <mergeCell ref="M6:M13"/>
    <mergeCell ref="A14:A21"/>
    <mergeCell ref="M14:M21"/>
    <mergeCell ref="A22:A24"/>
    <mergeCell ref="M22:M24"/>
    <mergeCell ref="O39:R39"/>
    <mergeCell ref="S39:V39"/>
    <mergeCell ref="W39:Z39"/>
    <mergeCell ref="AB39:AE39"/>
    <mergeCell ref="A25:A29"/>
    <mergeCell ref="M25:M29"/>
    <mergeCell ref="O31:R31"/>
    <mergeCell ref="S31:V31"/>
    <mergeCell ref="W31:Z31"/>
    <mergeCell ref="AB31:AE31"/>
  </mergeCells>
  <conditionalFormatting sqref="D32:J34">
    <cfRule type="colorScale" priority="4">
      <colorScale>
        <cfvo type="min"/>
        <cfvo type="max"/>
        <color rgb="FFFFEF9C"/>
        <color rgb="FF63BE7B"/>
      </colorScale>
    </cfRule>
  </conditionalFormatting>
  <conditionalFormatting sqref="O46:T48">
    <cfRule type="colorScale" priority="1">
      <colorScale>
        <cfvo type="min"/>
        <cfvo type="max"/>
        <color rgb="FFFFEF9C"/>
        <color rgb="FF63BE7B"/>
      </colorScale>
    </cfRule>
  </conditionalFormatting>
  <conditionalFormatting sqref="O33:AE37">
    <cfRule type="colorScale" priority="2">
      <colorScale>
        <cfvo type="min"/>
        <cfvo type="max"/>
        <color rgb="FFFFEF9C"/>
        <color rgb="FF63BE7B"/>
      </colorScale>
    </cfRule>
  </conditionalFormatting>
  <conditionalFormatting sqref="O41:AE43">
    <cfRule type="colorScale" priority="3">
      <colorScale>
        <cfvo type="min"/>
        <cfvo type="max"/>
        <color rgb="FFFFEF9C"/>
        <color rgb="FF63BE7B"/>
      </colorScale>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D1D5F-C649-4CBF-82BF-93C8250B359D}">
  <dimension ref="A2:N65"/>
  <sheetViews>
    <sheetView workbookViewId="0"/>
  </sheetViews>
  <sheetFormatPr defaultColWidth="8" defaultRowHeight="13.9"/>
  <cols>
    <col min="1" max="1" width="4.125" style="134" customWidth="1"/>
    <col min="2" max="2" width="24.125" style="134" customWidth="1"/>
    <col min="3" max="3" width="10.875" style="134" bestFit="1" customWidth="1"/>
    <col min="4" max="8" width="8" style="134"/>
    <col min="9" max="9" width="13.25" style="134" customWidth="1"/>
    <col min="10" max="10" width="9.125" style="134" bestFit="1" customWidth="1"/>
    <col min="11" max="16384" width="8" style="134"/>
  </cols>
  <sheetData>
    <row r="2" spans="1:14">
      <c r="A2" s="861"/>
      <c r="B2" s="867" t="s">
        <v>1613</v>
      </c>
      <c r="C2" s="868"/>
      <c r="D2" s="861"/>
      <c r="E2" s="861"/>
      <c r="F2" s="861"/>
      <c r="G2" s="861"/>
      <c r="H2" s="861" t="s">
        <v>1614</v>
      </c>
      <c r="I2" s="861"/>
      <c r="J2" s="861"/>
      <c r="K2" s="861"/>
      <c r="L2" s="861"/>
      <c r="M2" s="861"/>
      <c r="N2" s="861"/>
    </row>
    <row r="3" spans="1:14">
      <c r="A3" s="861"/>
      <c r="B3" s="336" t="s">
        <v>1615</v>
      </c>
      <c r="C3" s="870">
        <v>24</v>
      </c>
      <c r="D3" s="861"/>
      <c r="E3" s="861"/>
      <c r="F3" s="861"/>
      <c r="G3" s="861"/>
      <c r="H3" s="868" t="s">
        <v>722</v>
      </c>
      <c r="I3" s="868" t="s">
        <v>1616</v>
      </c>
      <c r="J3" s="868" t="s">
        <v>1617</v>
      </c>
      <c r="K3" s="861"/>
      <c r="L3" s="861"/>
      <c r="M3" s="861"/>
      <c r="N3" s="861"/>
    </row>
    <row r="4" spans="1:14">
      <c r="A4" s="861"/>
      <c r="B4" s="336" t="s">
        <v>1618</v>
      </c>
      <c r="C4" s="870">
        <v>365</v>
      </c>
      <c r="D4" s="861"/>
      <c r="E4" s="861"/>
      <c r="F4" s="861"/>
      <c r="G4" s="861"/>
      <c r="H4" s="1164" t="s">
        <v>1131</v>
      </c>
      <c r="I4" s="1165" t="s">
        <v>1619</v>
      </c>
      <c r="J4" s="1166">
        <f>gal_to_liter*FO2_l_to_gj*GJ_to_PJ</f>
        <v>1.4559841572241399E-7</v>
      </c>
      <c r="K4" s="861"/>
      <c r="L4" s="861"/>
      <c r="M4" s="861"/>
      <c r="N4" s="861"/>
    </row>
    <row r="5" spans="1:14">
      <c r="A5" s="861"/>
      <c r="B5" s="336" t="s">
        <v>1620</v>
      </c>
      <c r="C5" s="870">
        <v>1055.056</v>
      </c>
      <c r="D5" s="861"/>
      <c r="E5" s="861"/>
      <c r="F5" s="861"/>
      <c r="G5" s="861"/>
      <c r="H5" s="1165" t="s">
        <v>1132</v>
      </c>
      <c r="I5" s="1165" t="s">
        <v>1619</v>
      </c>
      <c r="J5" s="1166">
        <f>gal_to_liter*FO4_l_to_gj*GJ_to_PJ</f>
        <v>1.5403734079432151E-7</v>
      </c>
      <c r="K5" s="861"/>
      <c r="L5" s="861"/>
      <c r="M5" s="861"/>
      <c r="N5" s="861"/>
    </row>
    <row r="6" spans="1:14">
      <c r="A6" s="861"/>
      <c r="B6" s="336" t="s">
        <v>1621</v>
      </c>
      <c r="C6" s="870">
        <v>3.4119999999999999</v>
      </c>
      <c r="D6" s="861"/>
      <c r="E6" s="861"/>
      <c r="F6" s="861"/>
      <c r="G6" s="861"/>
      <c r="H6" s="1164" t="s">
        <v>1133</v>
      </c>
      <c r="I6" s="1165" t="s">
        <v>1619</v>
      </c>
      <c r="J6" s="1166">
        <f>gal_to_liter*FO6_l_to_gj*GJ_to_PJ</f>
        <v>1.5825880023634999E-7</v>
      </c>
      <c r="K6" s="861"/>
      <c r="L6" s="861"/>
      <c r="M6" s="861"/>
      <c r="N6" s="861"/>
    </row>
    <row r="7" spans="1:14">
      <c r="A7" s="861"/>
      <c r="B7" s="336" t="s">
        <v>1622</v>
      </c>
      <c r="C7" s="870">
        <f>1000000000000000</f>
        <v>1000000000000000</v>
      </c>
      <c r="D7" s="861"/>
      <c r="E7" s="861"/>
      <c r="F7" s="861"/>
      <c r="G7" s="861"/>
      <c r="H7" s="1165" t="s">
        <v>1134</v>
      </c>
      <c r="I7" s="1165" t="s">
        <v>1619</v>
      </c>
      <c r="J7" s="1166">
        <f>gal_to_liter*FO4_l_to_gj*GJ_to_PJ</f>
        <v>1.5403734079432151E-7</v>
      </c>
      <c r="K7" s="861"/>
      <c r="L7" s="861"/>
      <c r="M7" s="861"/>
      <c r="N7" s="861"/>
    </row>
    <row r="8" spans="1:14">
      <c r="A8" s="861"/>
      <c r="B8" s="336" t="s">
        <v>1623</v>
      </c>
      <c r="C8" s="870">
        <f>1000000</f>
        <v>1000000</v>
      </c>
      <c r="D8" s="861"/>
      <c r="E8" s="861"/>
      <c r="F8" s="861"/>
      <c r="G8" s="861"/>
      <c r="H8" s="1164" t="s">
        <v>636</v>
      </c>
      <c r="I8" s="1165" t="s">
        <v>1223</v>
      </c>
      <c r="J8" s="1166">
        <f>kwh_to_gj*GJ_to_PJ</f>
        <v>3.5998510260946996E-9</v>
      </c>
      <c r="K8" s="861"/>
      <c r="L8" s="861"/>
      <c r="M8" s="861"/>
      <c r="N8" s="861"/>
    </row>
    <row r="9" spans="1:14">
      <c r="A9" s="861"/>
      <c r="B9" s="336" t="s">
        <v>1624</v>
      </c>
      <c r="C9" s="870">
        <f>1000000000000</f>
        <v>1000000000000</v>
      </c>
      <c r="D9" s="861"/>
      <c r="E9" s="861"/>
      <c r="F9" s="861"/>
      <c r="G9" s="861"/>
      <c r="H9" s="1165" t="s">
        <v>637</v>
      </c>
      <c r="I9" s="1165" t="s">
        <v>1224</v>
      </c>
      <c r="J9" s="1166">
        <f>scf_to_gj*GJ_to_PJ</f>
        <v>1.0824874421961203E-9</v>
      </c>
      <c r="K9" s="861"/>
      <c r="L9" s="861"/>
      <c r="M9" s="861"/>
      <c r="N9" s="861"/>
    </row>
    <row r="10" spans="1:14">
      <c r="A10" s="861"/>
      <c r="B10" s="336" t="s">
        <v>1625</v>
      </c>
      <c r="C10" s="870">
        <f>1000000000</f>
        <v>1000000000</v>
      </c>
      <c r="D10" s="861"/>
      <c r="E10" s="861"/>
      <c r="F10" s="861"/>
      <c r="G10" s="861"/>
      <c r="H10" s="1164" t="s">
        <v>1124</v>
      </c>
      <c r="I10" s="1165" t="s">
        <v>1225</v>
      </c>
      <c r="J10" s="1166">
        <f>kgs_to_gj*GJ_to_PJ</f>
        <v>2.7769073565888775E-9</v>
      </c>
      <c r="K10" s="861"/>
      <c r="L10" s="861"/>
      <c r="M10" s="861"/>
      <c r="N10" s="861"/>
    </row>
    <row r="11" spans="1:14">
      <c r="A11" s="861"/>
      <c r="B11" s="336" t="s">
        <v>1626</v>
      </c>
      <c r="C11" s="870">
        <v>2.7780000000000001E-7</v>
      </c>
      <c r="D11" s="861"/>
      <c r="E11" s="861"/>
      <c r="F11" s="861"/>
      <c r="G11" s="861"/>
      <c r="H11" s="861"/>
      <c r="I11" s="861"/>
      <c r="J11" s="861"/>
      <c r="K11" s="861"/>
      <c r="L11" s="861"/>
      <c r="M11" s="861"/>
      <c r="N11" s="861"/>
    </row>
    <row r="12" spans="1:14" ht="11.25" customHeight="1">
      <c r="A12" s="861"/>
      <c r="B12" s="336" t="s">
        <v>1627</v>
      </c>
      <c r="C12" s="870">
        <v>1000000</v>
      </c>
      <c r="D12" s="861"/>
      <c r="E12" s="861"/>
      <c r="F12" s="861"/>
      <c r="G12" s="861"/>
      <c r="H12" s="861"/>
      <c r="I12" s="861"/>
      <c r="J12" s="861"/>
      <c r="K12" s="861"/>
      <c r="L12" s="861"/>
      <c r="M12" s="861"/>
      <c r="N12" s="861"/>
    </row>
    <row r="13" spans="1:14">
      <c r="A13" s="861"/>
      <c r="B13" s="336" t="s">
        <v>1628</v>
      </c>
      <c r="C13" s="870">
        <v>1000000</v>
      </c>
      <c r="D13" s="861"/>
      <c r="E13" s="861"/>
      <c r="F13" s="861"/>
      <c r="G13" s="861"/>
      <c r="H13" s="861"/>
      <c r="I13" s="861"/>
      <c r="J13" s="861"/>
      <c r="K13" s="861"/>
      <c r="L13" s="861"/>
      <c r="M13" s="861"/>
      <c r="N13" s="861"/>
    </row>
    <row r="14" spans="1:14">
      <c r="A14" s="861"/>
      <c r="B14" s="336" t="s">
        <v>1629</v>
      </c>
      <c r="C14" s="870">
        <f>1.05505585262*10^-6</f>
        <v>1.05505585262E-6</v>
      </c>
      <c r="D14" s="825"/>
      <c r="E14" s="859"/>
      <c r="F14" s="825"/>
      <c r="G14" s="859"/>
      <c r="H14" s="825"/>
      <c r="I14" s="859"/>
      <c r="J14" s="825"/>
      <c r="K14" s="859"/>
      <c r="L14" s="825"/>
      <c r="M14" s="859"/>
      <c r="N14" s="825"/>
    </row>
    <row r="15" spans="1:14">
      <c r="A15" s="861"/>
      <c r="B15" s="336" t="s">
        <v>1630</v>
      </c>
      <c r="C15" s="870">
        <v>1.054</v>
      </c>
      <c r="D15" s="861"/>
      <c r="E15" s="861"/>
      <c r="F15" s="861"/>
      <c r="G15" s="861"/>
      <c r="H15" s="861"/>
      <c r="I15" s="861"/>
      <c r="J15" s="861"/>
      <c r="K15" s="861"/>
      <c r="L15" s="861"/>
      <c r="M15" s="861"/>
      <c r="N15" s="861"/>
    </row>
    <row r="16" spans="1:14">
      <c r="A16" s="861"/>
      <c r="B16" s="336" t="s">
        <v>1631</v>
      </c>
      <c r="C16" s="870">
        <v>2</v>
      </c>
      <c r="D16" s="861" t="s">
        <v>1632</v>
      </c>
      <c r="E16" s="861"/>
      <c r="F16" s="861"/>
      <c r="G16" s="861"/>
      <c r="H16" s="861"/>
      <c r="I16" s="861"/>
      <c r="J16" s="861"/>
      <c r="K16" s="861"/>
      <c r="L16" s="861"/>
      <c r="M16" s="861"/>
      <c r="N16" s="861"/>
    </row>
    <row r="17" spans="2:4" s="861" customFormat="1">
      <c r="B17" s="336" t="s">
        <v>1633</v>
      </c>
      <c r="C17" s="870">
        <v>1055</v>
      </c>
    </row>
    <row r="18" spans="2:4">
      <c r="B18" s="860" t="s">
        <v>1634</v>
      </c>
      <c r="C18" s="870">
        <v>9.9999999999999995E-7</v>
      </c>
    </row>
    <row r="19" spans="2:4">
      <c r="B19" s="336" t="s">
        <v>1635</v>
      </c>
      <c r="C19" s="870">
        <f>10^(15)/1055</f>
        <v>947867298578.1991</v>
      </c>
      <c r="D19" s="862"/>
    </row>
    <row r="20" spans="2:4">
      <c r="B20" s="336" t="s">
        <v>1464</v>
      </c>
      <c r="C20" s="870">
        <f>139/36.72</f>
        <v>3.7854030501089326</v>
      </c>
      <c r="D20" s="862"/>
    </row>
    <row r="21" spans="2:4">
      <c r="B21" s="336" t="s">
        <v>1466</v>
      </c>
      <c r="C21" s="870">
        <f>3.412/947.817</f>
        <v>3.5998510260946996E-3</v>
      </c>
      <c r="D21" s="862"/>
    </row>
    <row r="22" spans="2:4">
      <c r="B22" s="336" t="s">
        <v>1468</v>
      </c>
      <c r="C22" s="870">
        <f>1.026/947.817</f>
        <v>1.0824874421961202E-3</v>
      </c>
      <c r="D22" s="862"/>
    </row>
    <row r="23" spans="2:4">
      <c r="B23" s="336" t="s">
        <v>1636</v>
      </c>
      <c r="C23" s="870">
        <v>3.8463121045518286E-2</v>
      </c>
      <c r="D23" s="862"/>
    </row>
    <row r="24" spans="2:4">
      <c r="B24" s="336" t="s">
        <v>1637</v>
      </c>
      <c r="C24" s="870">
        <v>4.0692454345089828E-2</v>
      </c>
      <c r="D24" s="862"/>
    </row>
    <row r="25" spans="2:4">
      <c r="B25" s="336" t="s">
        <v>1638</v>
      </c>
      <c r="C25" s="870">
        <v>4.1807648522868862E-2</v>
      </c>
      <c r="D25" s="862"/>
    </row>
    <row r="26" spans="2:4">
      <c r="B26" s="860" t="s">
        <v>1639</v>
      </c>
      <c r="C26" s="870">
        <f>2.632/947.817</f>
        <v>2.7769073565888777E-3</v>
      </c>
      <c r="D26" s="862"/>
    </row>
    <row r="27" spans="2:4">
      <c r="B27" s="871" t="s">
        <v>1640</v>
      </c>
      <c r="C27" s="870">
        <v>1055</v>
      </c>
      <c r="D27" s="863"/>
    </row>
    <row r="28" spans="2:4">
      <c r="B28" s="871" t="s">
        <v>1641</v>
      </c>
      <c r="C28" s="870">
        <f>1/0.947817</f>
        <v>1.0550559865459261</v>
      </c>
      <c r="D28" s="863"/>
    </row>
    <row r="29" spans="2:4">
      <c r="B29" s="863"/>
      <c r="C29" s="873"/>
      <c r="D29" s="863"/>
    </row>
    <row r="30" spans="2:4">
      <c r="B30" s="864" t="s">
        <v>1642</v>
      </c>
      <c r="C30" s="865"/>
      <c r="D30" s="865"/>
    </row>
    <row r="31" spans="2:4">
      <c r="B31" s="865" t="s">
        <v>1643</v>
      </c>
      <c r="C31" s="865"/>
      <c r="D31" s="865"/>
    </row>
    <row r="32" spans="2:4">
      <c r="B32" s="865" t="s">
        <v>1644</v>
      </c>
      <c r="C32" s="865"/>
      <c r="D32" s="865"/>
    </row>
    <row r="33" spans="2:4">
      <c r="B33" s="866" t="s">
        <v>1645</v>
      </c>
      <c r="C33" s="865"/>
      <c r="D33" s="865"/>
    </row>
    <row r="34" spans="2:4">
      <c r="B34" s="10" t="s">
        <v>1646</v>
      </c>
      <c r="C34" s="865"/>
      <c r="D34" s="865"/>
    </row>
    <row r="35" spans="2:4">
      <c r="B35" s="869" t="s">
        <v>723</v>
      </c>
      <c r="C35" s="869" t="s">
        <v>1647</v>
      </c>
      <c r="D35" s="869" t="s">
        <v>1648</v>
      </c>
    </row>
    <row r="36" spans="2:4">
      <c r="B36" s="345">
        <v>1983</v>
      </c>
      <c r="C36" s="345">
        <v>53.622999999999998</v>
      </c>
      <c r="D36" s="872">
        <f>$C$58/C36</f>
        <v>1.7155138653189863</v>
      </c>
    </row>
    <row r="37" spans="2:4">
      <c r="B37" s="345">
        <v>1984</v>
      </c>
      <c r="C37" s="345">
        <v>55.524999999999999</v>
      </c>
      <c r="D37" s="872">
        <f t="shared" ref="D37:D65" si="0">$C$58/C37</f>
        <v>1.6567492120666367</v>
      </c>
    </row>
    <row r="38" spans="2:4">
      <c r="B38" s="345">
        <v>1985</v>
      </c>
      <c r="C38" s="345">
        <v>57.302</v>
      </c>
      <c r="D38" s="872">
        <f t="shared" si="0"/>
        <v>1.6053715402603748</v>
      </c>
    </row>
    <row r="39" spans="2:4">
      <c r="B39" s="345">
        <v>1986</v>
      </c>
      <c r="C39" s="345">
        <v>58.457999999999998</v>
      </c>
      <c r="D39" s="872">
        <f t="shared" si="0"/>
        <v>1.5736255089123816</v>
      </c>
    </row>
    <row r="40" spans="2:4">
      <c r="B40" s="345">
        <v>1987</v>
      </c>
      <c r="C40" s="345">
        <v>59.948999999999998</v>
      </c>
      <c r="D40" s="872">
        <f t="shared" si="0"/>
        <v>1.5344876478339922</v>
      </c>
    </row>
    <row r="41" spans="2:4">
      <c r="B41" s="345">
        <v>1988</v>
      </c>
      <c r="C41" s="345">
        <v>62.048000000000002</v>
      </c>
      <c r="D41" s="872">
        <f t="shared" si="0"/>
        <v>1.4825780041258381</v>
      </c>
    </row>
    <row r="42" spans="2:4">
      <c r="B42" s="345">
        <v>1989</v>
      </c>
      <c r="C42" s="345">
        <v>64.459999999999994</v>
      </c>
      <c r="D42" s="872">
        <f t="shared" si="0"/>
        <v>1.4271020788085635</v>
      </c>
    </row>
    <row r="43" spans="2:4">
      <c r="B43" s="345">
        <v>1990</v>
      </c>
      <c r="C43" s="345">
        <v>66.844999999999999</v>
      </c>
      <c r="D43" s="872">
        <f t="shared" si="0"/>
        <v>1.3761837085795496</v>
      </c>
    </row>
    <row r="44" spans="2:4">
      <c r="B44" s="345">
        <v>1991</v>
      </c>
      <c r="C44" s="345">
        <v>69.069000000000003</v>
      </c>
      <c r="D44" s="872">
        <f t="shared" si="0"/>
        <v>1.3318710275232013</v>
      </c>
    </row>
    <row r="45" spans="2:4">
      <c r="B45" s="345">
        <v>1992</v>
      </c>
      <c r="C45" s="345">
        <v>70.644000000000005</v>
      </c>
      <c r="D45" s="872">
        <f t="shared" si="0"/>
        <v>1.3021771134137363</v>
      </c>
    </row>
    <row r="46" spans="2:4">
      <c r="B46" s="345">
        <v>1993</v>
      </c>
      <c r="C46" s="345">
        <v>72.325000000000003</v>
      </c>
      <c r="D46" s="872">
        <f t="shared" si="0"/>
        <v>1.2719115105426892</v>
      </c>
    </row>
    <row r="47" spans="2:4">
      <c r="B47" s="345">
        <v>1994</v>
      </c>
      <c r="C47" s="345">
        <v>73.864999999999995</v>
      </c>
      <c r="D47" s="872">
        <f t="shared" si="0"/>
        <v>1.2453936235023355</v>
      </c>
    </row>
    <row r="48" spans="2:4">
      <c r="B48" s="345">
        <v>1995</v>
      </c>
      <c r="C48" s="345">
        <v>75.406000000000006</v>
      </c>
      <c r="D48" s="872">
        <f t="shared" si="0"/>
        <v>1.2199427101291673</v>
      </c>
    </row>
    <row r="49" spans="2:4">
      <c r="B49" s="345">
        <v>1996</v>
      </c>
      <c r="C49" s="345">
        <v>76.783000000000001</v>
      </c>
      <c r="D49" s="872">
        <f t="shared" si="0"/>
        <v>1.1980646757745854</v>
      </c>
    </row>
    <row r="50" spans="2:4">
      <c r="B50" s="345">
        <v>1997</v>
      </c>
      <c r="C50" s="345">
        <v>78.096000000000004</v>
      </c>
      <c r="D50" s="872">
        <f t="shared" si="0"/>
        <v>1.1779220446629788</v>
      </c>
    </row>
    <row r="51" spans="2:4">
      <c r="B51" s="345">
        <v>1998</v>
      </c>
      <c r="C51" s="345">
        <v>78.944000000000003</v>
      </c>
      <c r="D51" s="872">
        <f t="shared" si="0"/>
        <v>1.1652690514795299</v>
      </c>
    </row>
    <row r="52" spans="2:4">
      <c r="B52" s="345">
        <v>1999</v>
      </c>
      <c r="C52" s="345">
        <v>80.070999999999998</v>
      </c>
      <c r="D52" s="872">
        <f t="shared" si="0"/>
        <v>1.148867879756716</v>
      </c>
    </row>
    <row r="53" spans="2:4">
      <c r="B53" s="345">
        <v>2000</v>
      </c>
      <c r="C53" s="345">
        <v>81.891000000000005</v>
      </c>
      <c r="D53" s="872">
        <f t="shared" si="0"/>
        <v>1.123334676582286</v>
      </c>
    </row>
    <row r="54" spans="2:4">
      <c r="B54" s="345">
        <v>2001</v>
      </c>
      <c r="C54" s="345">
        <v>83.766000000000005</v>
      </c>
      <c r="D54" s="872">
        <f t="shared" si="0"/>
        <v>1.0981901964997731</v>
      </c>
    </row>
    <row r="55" spans="2:4">
      <c r="B55" s="345">
        <v>2002</v>
      </c>
      <c r="C55" s="345">
        <v>85.054000000000002</v>
      </c>
      <c r="D55" s="872">
        <f t="shared" si="0"/>
        <v>1.0815599501493169</v>
      </c>
    </row>
    <row r="56" spans="2:4">
      <c r="B56" s="345">
        <v>2003</v>
      </c>
      <c r="C56" s="345">
        <v>86.754000000000005</v>
      </c>
      <c r="D56" s="872">
        <f t="shared" si="0"/>
        <v>1.0603660926297347</v>
      </c>
    </row>
    <row r="57" spans="2:4">
      <c r="B57" s="345">
        <v>2004</v>
      </c>
      <c r="C57" s="345">
        <v>89.132000000000005</v>
      </c>
      <c r="D57" s="872">
        <f t="shared" si="0"/>
        <v>1.0320760220796121</v>
      </c>
    </row>
    <row r="58" spans="2:4">
      <c r="B58" s="345">
        <v>2005</v>
      </c>
      <c r="C58" s="345">
        <v>91.991</v>
      </c>
      <c r="D58" s="872">
        <f t="shared" si="0"/>
        <v>1</v>
      </c>
    </row>
    <row r="59" spans="2:4">
      <c r="B59" s="345">
        <v>2006</v>
      </c>
      <c r="C59" s="345">
        <v>94.817999999999998</v>
      </c>
      <c r="D59" s="872">
        <f t="shared" si="0"/>
        <v>0.97018498597312752</v>
      </c>
    </row>
    <row r="60" spans="2:4">
      <c r="B60" s="345">
        <v>2007</v>
      </c>
      <c r="C60" s="345">
        <v>97.334999999999994</v>
      </c>
      <c r="D60" s="872">
        <f t="shared" si="0"/>
        <v>0.94509683053372384</v>
      </c>
    </row>
    <row r="61" spans="2:4">
      <c r="B61" s="345">
        <v>2008</v>
      </c>
      <c r="C61" s="345">
        <v>99.236000000000004</v>
      </c>
      <c r="D61" s="872">
        <f t="shared" si="0"/>
        <v>0.92699222056511743</v>
      </c>
    </row>
    <row r="62" spans="2:4">
      <c r="B62" s="345">
        <v>2009</v>
      </c>
      <c r="C62" s="345">
        <v>100</v>
      </c>
      <c r="D62" s="872">
        <f t="shared" si="0"/>
        <v>0.91991000000000001</v>
      </c>
    </row>
    <row r="63" spans="2:4">
      <c r="B63" s="345">
        <v>2010</v>
      </c>
      <c r="C63" s="345">
        <v>101.211</v>
      </c>
      <c r="D63" s="872">
        <f t="shared" si="0"/>
        <v>0.90890318246040447</v>
      </c>
    </row>
    <row r="64" spans="2:4">
      <c r="B64" s="345">
        <v>2011</v>
      </c>
      <c r="C64" s="345">
        <v>103.199</v>
      </c>
      <c r="D64" s="872">
        <f t="shared" si="0"/>
        <v>0.89139429645636103</v>
      </c>
    </row>
    <row r="65" spans="2:4">
      <c r="B65" s="345">
        <v>2012</v>
      </c>
      <c r="C65" s="345">
        <v>105.002</v>
      </c>
      <c r="D65" s="872">
        <f t="shared" si="0"/>
        <v>0.87608807451286641</v>
      </c>
    </row>
  </sheetData>
  <hyperlinks>
    <hyperlink ref="B33" r:id="rId1" xr:uid="{DA8F51D6-6F74-41DC-92BF-7D04187A8469}"/>
  </hyperlinks>
  <pageMargins left="0.7" right="0.7" top="0.75" bottom="0.75" header="0.3" footer="0.3"/>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29588-6A8B-4F74-BB4D-7B7AA01845A6}">
  <sheetPr>
    <tabColor theme="4" tint="0.59999389629810485"/>
  </sheetPr>
  <dimension ref="A1:BA65"/>
  <sheetViews>
    <sheetView workbookViewId="0"/>
  </sheetViews>
  <sheetFormatPr defaultColWidth="9" defaultRowHeight="13.15"/>
  <cols>
    <col min="1" max="1" width="11.875" style="14" customWidth="1"/>
    <col min="2" max="2" width="57.25" style="14" customWidth="1"/>
    <col min="3" max="12" width="13.375" style="14" customWidth="1"/>
    <col min="13" max="43" width="11.875" style="14" customWidth="1"/>
    <col min="44" max="44" width="14.625" style="14" customWidth="1"/>
    <col min="45" max="45" width="14.375" style="14" customWidth="1"/>
    <col min="46" max="47" width="14.875" style="14" customWidth="1"/>
    <col min="48" max="49" width="12.75" style="14" customWidth="1"/>
    <col min="50" max="51" width="11.875" style="14" customWidth="1"/>
    <col min="52" max="52" width="13.75" style="14" customWidth="1"/>
    <col min="53" max="53" width="16.375" style="14" customWidth="1"/>
    <col min="54" max="16384" width="9" style="14"/>
  </cols>
  <sheetData>
    <row r="1" spans="1:53">
      <c r="A1" s="305" t="s">
        <v>1649</v>
      </c>
    </row>
    <row r="3" spans="1:53">
      <c r="C3" s="1477" t="s">
        <v>1122</v>
      </c>
      <c r="D3" s="1478"/>
      <c r="E3" s="1479"/>
      <c r="F3" s="1480" t="s">
        <v>1123</v>
      </c>
      <c r="G3" s="1481"/>
      <c r="H3" s="1481"/>
      <c r="I3" s="1481"/>
      <c r="J3" s="1481"/>
      <c r="K3" s="1481"/>
      <c r="L3" s="1481"/>
      <c r="M3" s="1482" t="s">
        <v>635</v>
      </c>
      <c r="N3" s="1483"/>
      <c r="O3" s="1483"/>
      <c r="P3" s="1483"/>
      <c r="Q3" s="1483"/>
      <c r="R3" s="1483"/>
      <c r="S3" s="1483"/>
      <c r="T3" s="1484"/>
      <c r="U3" s="1482" t="s">
        <v>636</v>
      </c>
      <c r="V3" s="1483"/>
      <c r="W3" s="1483"/>
      <c r="X3" s="1483"/>
      <c r="Y3" s="1483"/>
      <c r="Z3" s="1483"/>
      <c r="AA3" s="1483"/>
      <c r="AB3" s="1484"/>
      <c r="AC3" s="1482" t="s">
        <v>740</v>
      </c>
      <c r="AD3" s="1483"/>
      <c r="AE3" s="1483"/>
      <c r="AF3" s="1483"/>
      <c r="AG3" s="1483"/>
      <c r="AH3" s="1483"/>
      <c r="AI3" s="1483"/>
      <c r="AJ3" s="1484"/>
      <c r="AK3" s="1482" t="s">
        <v>1124</v>
      </c>
      <c r="AL3" s="1483"/>
      <c r="AM3" s="1483"/>
      <c r="AN3" s="1483"/>
      <c r="AO3" s="1483"/>
      <c r="AP3" s="1483"/>
      <c r="AQ3" s="1483"/>
      <c r="AR3" s="1484"/>
      <c r="AS3" s="1485" t="s">
        <v>1125</v>
      </c>
      <c r="AT3" s="1485"/>
      <c r="AU3" s="1485"/>
      <c r="AV3" s="1485"/>
      <c r="AW3" s="1485"/>
      <c r="AX3" s="1485"/>
      <c r="AY3" s="1485"/>
      <c r="AZ3" s="1485"/>
      <c r="BA3" s="15"/>
    </row>
    <row r="4" spans="1:53" ht="39.6">
      <c r="A4" s="1258"/>
      <c r="B4" s="1258" t="s">
        <v>1126</v>
      </c>
      <c r="C4" s="16" t="s">
        <v>1128</v>
      </c>
      <c r="D4" s="17" t="s">
        <v>1129</v>
      </c>
      <c r="E4" s="18" t="s">
        <v>1130</v>
      </c>
      <c r="F4" s="19" t="s">
        <v>1131</v>
      </c>
      <c r="G4" s="20" t="s">
        <v>1132</v>
      </c>
      <c r="H4" s="20" t="s">
        <v>1133</v>
      </c>
      <c r="I4" s="20" t="s">
        <v>1134</v>
      </c>
      <c r="J4" s="20" t="s">
        <v>636</v>
      </c>
      <c r="K4" s="20" t="s">
        <v>637</v>
      </c>
      <c r="L4" s="20" t="s">
        <v>1124</v>
      </c>
      <c r="M4" s="21" t="s">
        <v>1135</v>
      </c>
      <c r="N4" s="22" t="s">
        <v>1136</v>
      </c>
      <c r="O4" s="23" t="s">
        <v>1137</v>
      </c>
      <c r="P4" s="24" t="s">
        <v>1138</v>
      </c>
      <c r="Q4" s="25" t="s">
        <v>1139</v>
      </c>
      <c r="R4" s="26" t="s">
        <v>1140</v>
      </c>
      <c r="S4" s="27" t="s">
        <v>1141</v>
      </c>
      <c r="T4" s="28" t="s">
        <v>1142</v>
      </c>
      <c r="U4" s="21" t="s">
        <v>1143</v>
      </c>
      <c r="V4" s="22" t="s">
        <v>1144</v>
      </c>
      <c r="W4" s="23" t="s">
        <v>1145</v>
      </c>
      <c r="X4" s="24" t="s">
        <v>1146</v>
      </c>
      <c r="Y4" s="25" t="s">
        <v>1147</v>
      </c>
      <c r="Z4" s="26" t="s">
        <v>1148</v>
      </c>
      <c r="AA4" s="27" t="s">
        <v>1149</v>
      </c>
      <c r="AB4" s="28" t="s">
        <v>1150</v>
      </c>
      <c r="AC4" s="21" t="s">
        <v>1151</v>
      </c>
      <c r="AD4" s="22" t="s">
        <v>1152</v>
      </c>
      <c r="AE4" s="23" t="s">
        <v>1153</v>
      </c>
      <c r="AF4" s="24" t="s">
        <v>1154</v>
      </c>
      <c r="AG4" s="25" t="s">
        <v>1155</v>
      </c>
      <c r="AH4" s="26" t="s">
        <v>1156</v>
      </c>
      <c r="AI4" s="27" t="s">
        <v>1157</v>
      </c>
      <c r="AJ4" s="28" t="s">
        <v>1158</v>
      </c>
      <c r="AK4" s="21" t="s">
        <v>1159</v>
      </c>
      <c r="AL4" s="22" t="s">
        <v>1160</v>
      </c>
      <c r="AM4" s="23" t="s">
        <v>1161</v>
      </c>
      <c r="AN4" s="24" t="s">
        <v>1162</v>
      </c>
      <c r="AO4" s="25" t="s">
        <v>1163</v>
      </c>
      <c r="AP4" s="26" t="s">
        <v>1164</v>
      </c>
      <c r="AQ4" s="27" t="s">
        <v>1165</v>
      </c>
      <c r="AR4" s="28" t="s">
        <v>1166</v>
      </c>
      <c r="AS4" s="29" t="s">
        <v>260</v>
      </c>
      <c r="AT4" s="30" t="s">
        <v>264</v>
      </c>
      <c r="AU4" s="31" t="s">
        <v>262</v>
      </c>
      <c r="AV4" s="32" t="s">
        <v>269</v>
      </c>
      <c r="AW4" s="33" t="s">
        <v>1167</v>
      </c>
      <c r="AX4" s="34" t="s">
        <v>275</v>
      </c>
      <c r="AY4" s="35" t="s">
        <v>1168</v>
      </c>
      <c r="AZ4" s="36" t="s">
        <v>286</v>
      </c>
      <c r="BA4" s="15"/>
    </row>
    <row r="5" spans="1:53">
      <c r="A5" s="1474" t="s">
        <v>629</v>
      </c>
      <c r="B5" s="356" t="s">
        <v>1072</v>
      </c>
      <c r="C5" s="357">
        <v>34397279.617698602</v>
      </c>
      <c r="D5" s="37">
        <v>6.2632292502352305E-2</v>
      </c>
      <c r="E5" s="358">
        <v>55.38356966714651</v>
      </c>
      <c r="F5" s="38">
        <v>3139269.7531758077</v>
      </c>
      <c r="G5" s="39">
        <v>373088.3616361348</v>
      </c>
      <c r="H5" s="39">
        <v>93126.849293603183</v>
      </c>
      <c r="I5" s="39">
        <v>61486.808703047362</v>
      </c>
      <c r="J5" s="39">
        <v>8619051.6034933645</v>
      </c>
      <c r="K5" s="39">
        <v>22111256.241396647</v>
      </c>
      <c r="L5" s="39">
        <v>0</v>
      </c>
      <c r="M5" s="359">
        <v>3060305.6636657752</v>
      </c>
      <c r="N5" s="360">
        <v>606666.10914281721</v>
      </c>
      <c r="O5" s="360">
        <v>0</v>
      </c>
      <c r="P5" s="360">
        <v>0</v>
      </c>
      <c r="Q5" s="360">
        <v>0</v>
      </c>
      <c r="R5" s="360">
        <v>0</v>
      </c>
      <c r="S5" s="360">
        <v>0</v>
      </c>
      <c r="T5" s="349">
        <v>0</v>
      </c>
      <c r="U5" s="359">
        <v>172381.0320698673</v>
      </c>
      <c r="V5" s="360">
        <v>258571.54810480092</v>
      </c>
      <c r="W5" s="360">
        <v>1465238.7725938722</v>
      </c>
      <c r="X5" s="360">
        <v>0</v>
      </c>
      <c r="Y5" s="360">
        <v>1637619.8046637392</v>
      </c>
      <c r="Z5" s="360">
        <v>0</v>
      </c>
      <c r="AA5" s="360">
        <v>0</v>
      </c>
      <c r="AB5" s="349">
        <v>5085240.446061085</v>
      </c>
      <c r="AC5" s="359">
        <v>15829244.599615162</v>
      </c>
      <c r="AD5" s="360">
        <v>6282011.6417814838</v>
      </c>
      <c r="AE5" s="360">
        <v>0</v>
      </c>
      <c r="AF5" s="360">
        <v>0</v>
      </c>
      <c r="AG5" s="360">
        <v>0</v>
      </c>
      <c r="AH5" s="360">
        <v>0</v>
      </c>
      <c r="AI5" s="360">
        <v>0</v>
      </c>
      <c r="AJ5" s="349">
        <v>0</v>
      </c>
      <c r="AK5" s="359">
        <v>0</v>
      </c>
      <c r="AL5" s="360">
        <v>0</v>
      </c>
      <c r="AM5" s="360">
        <v>0</v>
      </c>
      <c r="AN5" s="360">
        <v>0</v>
      </c>
      <c r="AO5" s="360">
        <v>0</v>
      </c>
      <c r="AP5" s="360">
        <v>0</v>
      </c>
      <c r="AQ5" s="360">
        <v>0</v>
      </c>
      <c r="AS5" s="350">
        <v>19061931.295350805</v>
      </c>
      <c r="AT5" s="350">
        <v>7147249.2990291016</v>
      </c>
      <c r="AU5" s="350">
        <v>1465238.7725938722</v>
      </c>
      <c r="AV5" s="350">
        <v>0</v>
      </c>
      <c r="AW5" s="350">
        <v>1637619.8046637392</v>
      </c>
      <c r="AX5" s="350">
        <v>0</v>
      </c>
      <c r="AY5" s="350">
        <v>0</v>
      </c>
      <c r="AZ5" s="350">
        <v>5085240.446061085</v>
      </c>
      <c r="BA5" s="40">
        <v>34397279.617698602</v>
      </c>
    </row>
    <row r="6" spans="1:53" ht="19.5" customHeight="1" thickBot="1">
      <c r="A6" s="1476"/>
      <c r="B6" s="41" t="s">
        <v>1074</v>
      </c>
      <c r="C6" s="42">
        <v>44962795.526013903</v>
      </c>
      <c r="D6" s="37">
        <v>8.1870513959475061E-2</v>
      </c>
      <c r="E6" s="43">
        <v>55.383569667146503</v>
      </c>
      <c r="F6" s="38">
        <v>4103532.1857376532</v>
      </c>
      <c r="G6" s="39">
        <v>487686.69801287673</v>
      </c>
      <c r="H6" s="39">
        <v>121731.82092620224</v>
      </c>
      <c r="I6" s="39">
        <v>80373.181774519093</v>
      </c>
      <c r="J6" s="39">
        <v>11266491.396506637</v>
      </c>
      <c r="K6" s="39">
        <v>28902980.243056018</v>
      </c>
      <c r="L6" s="39">
        <v>0</v>
      </c>
      <c r="M6" s="44">
        <v>3920530.1320734117</v>
      </c>
      <c r="N6" s="45">
        <v>872793.75437784009</v>
      </c>
      <c r="O6" s="45">
        <v>0</v>
      </c>
      <c r="P6" s="45">
        <v>0</v>
      </c>
      <c r="Q6" s="45">
        <v>0</v>
      </c>
      <c r="R6" s="45">
        <v>0</v>
      </c>
      <c r="S6" s="45">
        <v>0</v>
      </c>
      <c r="T6" s="46">
        <v>0</v>
      </c>
      <c r="U6" s="44">
        <v>225329.82793013274</v>
      </c>
      <c r="V6" s="45">
        <v>337994.74189519911</v>
      </c>
      <c r="W6" s="45">
        <v>1915303.5374061286</v>
      </c>
      <c r="X6" s="45">
        <v>0</v>
      </c>
      <c r="Y6" s="45">
        <v>2140633.3653362612</v>
      </c>
      <c r="Z6" s="45">
        <v>0</v>
      </c>
      <c r="AA6" s="45">
        <v>0</v>
      </c>
      <c r="AB6" s="46">
        <v>6647229.9239389161</v>
      </c>
      <c r="AC6" s="44">
        <v>20685590.124127481</v>
      </c>
      <c r="AD6" s="45">
        <v>8217390.1189285321</v>
      </c>
      <c r="AE6" s="45">
        <v>0</v>
      </c>
      <c r="AF6" s="45">
        <v>0</v>
      </c>
      <c r="AG6" s="45">
        <v>0</v>
      </c>
      <c r="AH6" s="45">
        <v>0</v>
      </c>
      <c r="AI6" s="45">
        <v>0</v>
      </c>
      <c r="AJ6" s="46">
        <v>0</v>
      </c>
      <c r="AK6" s="44">
        <v>0</v>
      </c>
      <c r="AL6" s="45">
        <v>0</v>
      </c>
      <c r="AM6" s="45">
        <v>0</v>
      </c>
      <c r="AN6" s="45">
        <v>0</v>
      </c>
      <c r="AO6" s="45">
        <v>0</v>
      </c>
      <c r="AP6" s="45">
        <v>0</v>
      </c>
      <c r="AQ6" s="45">
        <v>0</v>
      </c>
      <c r="AR6" s="46">
        <v>0</v>
      </c>
      <c r="AS6" s="350">
        <v>24831450.084131025</v>
      </c>
      <c r="AT6" s="350">
        <v>9428178.615201572</v>
      </c>
      <c r="AU6" s="350">
        <v>1915303.5374061286</v>
      </c>
      <c r="AV6" s="350">
        <v>0</v>
      </c>
      <c r="AW6" s="350">
        <v>2140633.3653362612</v>
      </c>
      <c r="AX6" s="350">
        <v>0</v>
      </c>
      <c r="AY6" s="350">
        <v>0</v>
      </c>
      <c r="AZ6" s="350">
        <v>6647229.9239389161</v>
      </c>
      <c r="BA6" s="40">
        <v>44962795.526013903</v>
      </c>
    </row>
    <row r="7" spans="1:53" s="58" customFormat="1">
      <c r="A7" s="1486" t="s">
        <v>630</v>
      </c>
      <c r="B7" s="47" t="s">
        <v>1170</v>
      </c>
      <c r="C7" s="48">
        <v>0</v>
      </c>
      <c r="D7" s="49">
        <v>0</v>
      </c>
      <c r="E7" s="50">
        <v>0</v>
      </c>
      <c r="F7" s="51">
        <v>0</v>
      </c>
      <c r="G7" s="52">
        <v>0</v>
      </c>
      <c r="H7" s="52">
        <v>0</v>
      </c>
      <c r="I7" s="52">
        <v>0</v>
      </c>
      <c r="J7" s="52">
        <v>0</v>
      </c>
      <c r="K7" s="52">
        <v>0</v>
      </c>
      <c r="L7" s="52">
        <v>0</v>
      </c>
      <c r="M7" s="53">
        <v>0</v>
      </c>
      <c r="N7" s="54">
        <v>0</v>
      </c>
      <c r="O7" s="54">
        <v>0</v>
      </c>
      <c r="P7" s="54">
        <v>0</v>
      </c>
      <c r="Q7" s="54">
        <v>0</v>
      </c>
      <c r="R7" s="54">
        <v>0</v>
      </c>
      <c r="S7" s="54">
        <v>0</v>
      </c>
      <c r="T7" s="55">
        <v>0</v>
      </c>
      <c r="U7" s="53">
        <v>0</v>
      </c>
      <c r="V7" s="54">
        <v>0</v>
      </c>
      <c r="W7" s="54">
        <v>0</v>
      </c>
      <c r="X7" s="54">
        <v>0</v>
      </c>
      <c r="Y7" s="54">
        <v>0</v>
      </c>
      <c r="Z7" s="54">
        <v>0</v>
      </c>
      <c r="AA7" s="54">
        <v>0</v>
      </c>
      <c r="AB7" s="55">
        <v>0</v>
      </c>
      <c r="AC7" s="53">
        <v>0</v>
      </c>
      <c r="AD7" s="54">
        <v>0</v>
      </c>
      <c r="AE7" s="54">
        <v>0</v>
      </c>
      <c r="AF7" s="54">
        <v>0</v>
      </c>
      <c r="AG7" s="54">
        <v>0</v>
      </c>
      <c r="AH7" s="54">
        <v>0</v>
      </c>
      <c r="AI7" s="54">
        <v>0</v>
      </c>
      <c r="AJ7" s="55">
        <v>0</v>
      </c>
      <c r="AK7" s="53">
        <v>0</v>
      </c>
      <c r="AL7" s="54">
        <v>0</v>
      </c>
      <c r="AM7" s="54">
        <v>0</v>
      </c>
      <c r="AN7" s="54">
        <v>0</v>
      </c>
      <c r="AO7" s="54">
        <v>0</v>
      </c>
      <c r="AP7" s="54">
        <v>0</v>
      </c>
      <c r="AQ7" s="54">
        <v>0</v>
      </c>
      <c r="AR7" s="55">
        <v>0</v>
      </c>
      <c r="AS7" s="56">
        <v>0</v>
      </c>
      <c r="AT7" s="56">
        <v>0</v>
      </c>
      <c r="AU7" s="56">
        <v>0</v>
      </c>
      <c r="AV7" s="56">
        <v>0</v>
      </c>
      <c r="AW7" s="56">
        <v>0</v>
      </c>
      <c r="AX7" s="56">
        <v>0</v>
      </c>
      <c r="AY7" s="56">
        <v>0</v>
      </c>
      <c r="AZ7" s="56">
        <v>0</v>
      </c>
      <c r="BA7" s="57">
        <v>0</v>
      </c>
    </row>
    <row r="8" spans="1:53">
      <c r="A8" s="1487"/>
      <c r="B8" s="41" t="s">
        <v>1091</v>
      </c>
      <c r="C8" s="59">
        <v>15347555.11749785</v>
      </c>
      <c r="D8" s="37">
        <v>2.794559837285799E-2</v>
      </c>
      <c r="E8" s="43">
        <v>92.325096950615716</v>
      </c>
      <c r="F8" s="60">
        <v>894733.86049749935</v>
      </c>
      <c r="G8" s="61">
        <v>727824.03106786753</v>
      </c>
      <c r="H8" s="61">
        <v>618523.40654032386</v>
      </c>
      <c r="I8" s="61">
        <v>73567.567150399409</v>
      </c>
      <c r="J8" s="61">
        <v>2526671.94755285</v>
      </c>
      <c r="K8" s="61">
        <v>10033937.678923406</v>
      </c>
      <c r="L8" s="61">
        <v>472296.62576550397</v>
      </c>
      <c r="M8" s="44">
        <v>1674553.9025025198</v>
      </c>
      <c r="N8" s="45">
        <v>640094.96275357017</v>
      </c>
      <c r="O8" s="45">
        <v>0</v>
      </c>
      <c r="P8" s="45">
        <v>0</v>
      </c>
      <c r="Q8" s="45">
        <v>0</v>
      </c>
      <c r="R8" s="45">
        <v>0</v>
      </c>
      <c r="S8" s="45">
        <v>0</v>
      </c>
      <c r="T8" s="46">
        <v>0</v>
      </c>
      <c r="U8" s="44">
        <v>101687.83633791166</v>
      </c>
      <c r="V8" s="45">
        <v>15651.09262169853</v>
      </c>
      <c r="W8" s="45">
        <v>510031.84203062457</v>
      </c>
      <c r="X8" s="45">
        <v>219597.21043935098</v>
      </c>
      <c r="Y8" s="45">
        <v>560848.0719143491</v>
      </c>
      <c r="Z8" s="45">
        <v>220104.12692545314</v>
      </c>
      <c r="AA8" s="45">
        <v>80459.316654335707</v>
      </c>
      <c r="AB8" s="46">
        <v>818292.45062912616</v>
      </c>
      <c r="AC8" s="44">
        <v>6621879.412535945</v>
      </c>
      <c r="AD8" s="45">
        <v>2990361.2979181465</v>
      </c>
      <c r="AE8" s="45">
        <v>146714.12176358575</v>
      </c>
      <c r="AF8" s="45">
        <v>0</v>
      </c>
      <c r="AG8" s="45">
        <v>0</v>
      </c>
      <c r="AH8" s="45">
        <v>0</v>
      </c>
      <c r="AI8" s="45">
        <v>59878.807191540611</v>
      </c>
      <c r="AJ8" s="46">
        <v>215104.03951418691</v>
      </c>
      <c r="AK8" s="44">
        <v>335837.66814836051</v>
      </c>
      <c r="AL8" s="45">
        <v>136458.95761714349</v>
      </c>
      <c r="AM8" s="45">
        <v>0</v>
      </c>
      <c r="AN8" s="45">
        <v>0</v>
      </c>
      <c r="AO8" s="45">
        <v>0</v>
      </c>
      <c r="AP8" s="45">
        <v>0</v>
      </c>
      <c r="AQ8" s="45">
        <v>0</v>
      </c>
      <c r="AR8" s="46">
        <v>0</v>
      </c>
      <c r="AS8" s="62">
        <v>8733958.8195247371</v>
      </c>
      <c r="AT8" s="62">
        <v>3782566.3109105588</v>
      </c>
      <c r="AU8" s="62">
        <v>656745.96379421034</v>
      </c>
      <c r="AV8" s="62">
        <v>219597.21043935098</v>
      </c>
      <c r="AW8" s="62">
        <v>560848.0719143491</v>
      </c>
      <c r="AX8" s="62">
        <v>220104.12692545314</v>
      </c>
      <c r="AY8" s="62">
        <v>140338.12384587631</v>
      </c>
      <c r="AZ8" s="62">
        <v>1033396.4901433131</v>
      </c>
      <c r="BA8" s="40">
        <v>15347555.11749785</v>
      </c>
    </row>
    <row r="9" spans="1:53">
      <c r="A9" s="1487"/>
      <c r="B9" s="41" t="s">
        <v>1092</v>
      </c>
      <c r="C9" s="59">
        <v>9775689.723280102</v>
      </c>
      <c r="D9" s="37">
        <v>1.7800066312386009E-2</v>
      </c>
      <c r="E9" s="43">
        <v>92.325096950615688</v>
      </c>
      <c r="F9" s="38">
        <v>569904.49216005963</v>
      </c>
      <c r="G9" s="39">
        <v>463590.57494145189</v>
      </c>
      <c r="H9" s="39">
        <v>393971.08286197303</v>
      </c>
      <c r="I9" s="39">
        <v>46859.171031022634</v>
      </c>
      <c r="J9" s="39">
        <v>1609374.3141949642</v>
      </c>
      <c r="K9" s="39">
        <v>6391158.7676953841</v>
      </c>
      <c r="L9" s="39">
        <v>300831.32039524679</v>
      </c>
      <c r="M9" s="44">
        <v>1087319.1817228743</v>
      </c>
      <c r="N9" s="45">
        <v>387006.139271633</v>
      </c>
      <c r="O9" s="45">
        <v>0</v>
      </c>
      <c r="P9" s="45">
        <v>0</v>
      </c>
      <c r="Q9" s="45">
        <v>0</v>
      </c>
      <c r="R9" s="45">
        <v>0</v>
      </c>
      <c r="S9" s="45">
        <v>0</v>
      </c>
      <c r="T9" s="46">
        <v>0</v>
      </c>
      <c r="U9" s="44">
        <v>52744.268481620151</v>
      </c>
      <c r="V9" s="45">
        <v>7833.6524910942162</v>
      </c>
      <c r="W9" s="45">
        <v>189737.63971004327</v>
      </c>
      <c r="X9" s="45">
        <v>112144.01593266016</v>
      </c>
      <c r="Y9" s="45">
        <v>490099.47150866076</v>
      </c>
      <c r="Z9" s="45">
        <v>69103.167302520902</v>
      </c>
      <c r="AA9" s="45">
        <v>44811.899700335183</v>
      </c>
      <c r="AB9" s="46">
        <v>642900.19906802976</v>
      </c>
      <c r="AC9" s="44">
        <v>4162711.5007776478</v>
      </c>
      <c r="AD9" s="45">
        <v>2001773.4880817742</v>
      </c>
      <c r="AE9" s="45">
        <v>0</v>
      </c>
      <c r="AF9" s="45">
        <v>0</v>
      </c>
      <c r="AG9" s="45">
        <v>0</v>
      </c>
      <c r="AH9" s="45">
        <v>0</v>
      </c>
      <c r="AI9" s="45">
        <v>0</v>
      </c>
      <c r="AJ9" s="46">
        <v>226673.7788359616</v>
      </c>
      <c r="AK9" s="44">
        <v>300831.32039524679</v>
      </c>
      <c r="AL9" s="45">
        <v>0</v>
      </c>
      <c r="AM9" s="45">
        <v>0</v>
      </c>
      <c r="AN9" s="45">
        <v>0</v>
      </c>
      <c r="AO9" s="45">
        <v>0</v>
      </c>
      <c r="AP9" s="45">
        <v>0</v>
      </c>
      <c r="AQ9" s="45">
        <v>0</v>
      </c>
      <c r="AR9" s="46">
        <v>0</v>
      </c>
      <c r="AS9" s="350">
        <v>5603606.2713773893</v>
      </c>
      <c r="AT9" s="350">
        <v>2396613.2798445015</v>
      </c>
      <c r="AU9" s="350">
        <v>189737.63971004327</v>
      </c>
      <c r="AV9" s="350">
        <v>112144.01593266016</v>
      </c>
      <c r="AW9" s="350">
        <v>490099.47150866076</v>
      </c>
      <c r="AX9" s="350">
        <v>69103.167302520902</v>
      </c>
      <c r="AY9" s="350">
        <v>44811.899700335183</v>
      </c>
      <c r="AZ9" s="350">
        <v>869573.97790399136</v>
      </c>
      <c r="BA9" s="40">
        <v>9775689.723280102</v>
      </c>
    </row>
    <row r="10" spans="1:53">
      <c r="A10" s="1487"/>
      <c r="B10" s="41" t="s">
        <v>1093</v>
      </c>
      <c r="C10" s="59">
        <v>29488103.896492932</v>
      </c>
      <c r="D10" s="37">
        <v>5.3693419046853971E-2</v>
      </c>
      <c r="E10" s="43">
        <v>92.325096950615702</v>
      </c>
      <c r="F10" s="38">
        <v>1719101.5009276555</v>
      </c>
      <c r="G10" s="39">
        <v>1398408.4423990396</v>
      </c>
      <c r="H10" s="39">
        <v>1188403.1257642661</v>
      </c>
      <c r="I10" s="39">
        <v>141349.42321007777</v>
      </c>
      <c r="J10" s="39">
        <v>4854634.1310641011</v>
      </c>
      <c r="K10" s="39">
        <v>19278757.724068489</v>
      </c>
      <c r="L10" s="39">
        <v>907449.5490593029</v>
      </c>
      <c r="M10" s="44">
        <v>3367038.5104097067</v>
      </c>
      <c r="N10" s="45">
        <v>961497.24186536227</v>
      </c>
      <c r="O10" s="45">
        <v>118726.74002596918</v>
      </c>
      <c r="P10" s="45">
        <v>0</v>
      </c>
      <c r="Q10" s="45">
        <v>0</v>
      </c>
      <c r="R10" s="45">
        <v>0</v>
      </c>
      <c r="S10" s="45">
        <v>0</v>
      </c>
      <c r="T10" s="46">
        <v>0</v>
      </c>
      <c r="U10" s="44">
        <v>458100.47299010138</v>
      </c>
      <c r="V10" s="45">
        <v>90534.00245193622</v>
      </c>
      <c r="W10" s="45">
        <v>997559.45935597096</v>
      </c>
      <c r="X10" s="45">
        <v>343545.64152403577</v>
      </c>
      <c r="Y10" s="45">
        <v>1044313.7465681074</v>
      </c>
      <c r="Z10" s="45">
        <v>411164.98442470666</v>
      </c>
      <c r="AA10" s="45">
        <v>157665.95797598618</v>
      </c>
      <c r="AB10" s="46">
        <v>1351749.8657732559</v>
      </c>
      <c r="AC10" s="44">
        <v>11716275.511208959</v>
      </c>
      <c r="AD10" s="45">
        <v>6415268.9985720925</v>
      </c>
      <c r="AE10" s="45">
        <v>525550.57127979188</v>
      </c>
      <c r="AF10" s="45">
        <v>0</v>
      </c>
      <c r="AG10" s="45">
        <v>0</v>
      </c>
      <c r="AH10" s="45">
        <v>0</v>
      </c>
      <c r="AI10" s="45">
        <v>91338.902922091656</v>
      </c>
      <c r="AJ10" s="46">
        <v>530323.74008555943</v>
      </c>
      <c r="AK10" s="44">
        <v>515834.88510496251</v>
      </c>
      <c r="AL10" s="45">
        <v>251675.41333271962</v>
      </c>
      <c r="AM10" s="45">
        <v>139939.25062162083</v>
      </c>
      <c r="AN10" s="45">
        <v>0</v>
      </c>
      <c r="AO10" s="45">
        <v>0</v>
      </c>
      <c r="AP10" s="45">
        <v>0</v>
      </c>
      <c r="AQ10" s="45">
        <v>0</v>
      </c>
      <c r="AR10" s="46">
        <v>0</v>
      </c>
      <c r="AS10" s="350">
        <v>16057249.379713729</v>
      </c>
      <c r="AT10" s="350">
        <v>7718975.6562221106</v>
      </c>
      <c r="AU10" s="350">
        <v>1781776.0212833527</v>
      </c>
      <c r="AV10" s="350">
        <v>343545.64152403577</v>
      </c>
      <c r="AW10" s="350">
        <v>1044313.7465681074</v>
      </c>
      <c r="AX10" s="350">
        <v>411164.98442470666</v>
      </c>
      <c r="AY10" s="350">
        <v>249004.86089807784</v>
      </c>
      <c r="AZ10" s="350">
        <v>1882073.6058588154</v>
      </c>
      <c r="BA10" s="40">
        <v>29488103.896492932</v>
      </c>
    </row>
    <row r="11" spans="1:53">
      <c r="A11" s="1487"/>
      <c r="B11" s="41" t="s">
        <v>1094</v>
      </c>
      <c r="C11" s="59">
        <v>23935005.240082145</v>
      </c>
      <c r="D11" s="37">
        <v>4.3582058404142476E-2</v>
      </c>
      <c r="E11" s="43">
        <v>92.325096950615716</v>
      </c>
      <c r="F11" s="38">
        <v>1395366.1984292641</v>
      </c>
      <c r="G11" s="39">
        <v>1135064.9575192549</v>
      </c>
      <c r="H11" s="39">
        <v>964607.12232774834</v>
      </c>
      <c r="I11" s="39">
        <v>114730.98430103433</v>
      </c>
      <c r="J11" s="39">
        <v>3940426.0705796089</v>
      </c>
      <c r="K11" s="39">
        <v>15648248.14669528</v>
      </c>
      <c r="L11" s="39">
        <v>736561.7602299538</v>
      </c>
      <c r="M11" s="44">
        <v>2624514.1567053339</v>
      </c>
      <c r="N11" s="45">
        <v>934770.82703948882</v>
      </c>
      <c r="O11" s="45">
        <v>50484.27883247898</v>
      </c>
      <c r="P11" s="45">
        <v>0</v>
      </c>
      <c r="Q11" s="45">
        <v>0</v>
      </c>
      <c r="R11" s="45">
        <v>0</v>
      </c>
      <c r="S11" s="45">
        <v>0</v>
      </c>
      <c r="T11" s="46">
        <v>0</v>
      </c>
      <c r="U11" s="44">
        <v>169716.87899562062</v>
      </c>
      <c r="V11" s="45">
        <v>48736.791878293101</v>
      </c>
      <c r="W11" s="45">
        <v>531778.82693040872</v>
      </c>
      <c r="X11" s="45">
        <v>192001.24017173125</v>
      </c>
      <c r="Y11" s="45">
        <v>1294596.4116856148</v>
      </c>
      <c r="Z11" s="45">
        <v>357113.48479489156</v>
      </c>
      <c r="AA11" s="45">
        <v>143757.11261244744</v>
      </c>
      <c r="AB11" s="46">
        <v>1202725.3235106007</v>
      </c>
      <c r="AC11" s="44">
        <v>10789896.878575906</v>
      </c>
      <c r="AD11" s="45">
        <v>4659798.3434358919</v>
      </c>
      <c r="AE11" s="45">
        <v>16694.191843506916</v>
      </c>
      <c r="AF11" s="45">
        <v>0</v>
      </c>
      <c r="AG11" s="45">
        <v>0</v>
      </c>
      <c r="AH11" s="45">
        <v>0</v>
      </c>
      <c r="AI11" s="45">
        <v>19414.921934670536</v>
      </c>
      <c r="AJ11" s="46">
        <v>162443.81090530622</v>
      </c>
      <c r="AK11" s="44">
        <v>504583.62257053575</v>
      </c>
      <c r="AL11" s="45">
        <v>231978.13765941796</v>
      </c>
      <c r="AM11" s="45">
        <v>0</v>
      </c>
      <c r="AN11" s="45">
        <v>0</v>
      </c>
      <c r="AO11" s="45">
        <v>0</v>
      </c>
      <c r="AP11" s="45">
        <v>0</v>
      </c>
      <c r="AQ11" s="45">
        <v>0</v>
      </c>
      <c r="AR11" s="46">
        <v>0</v>
      </c>
      <c r="AS11" s="350">
        <v>14088711.536847396</v>
      </c>
      <c r="AT11" s="350">
        <v>5875284.1000130922</v>
      </c>
      <c r="AU11" s="350">
        <v>598957.29760639463</v>
      </c>
      <c r="AV11" s="350">
        <v>192001.24017173125</v>
      </c>
      <c r="AW11" s="350">
        <v>1294596.4116856148</v>
      </c>
      <c r="AX11" s="350">
        <v>357113.48479489156</v>
      </c>
      <c r="AY11" s="350">
        <v>163172.03454711798</v>
      </c>
      <c r="AZ11" s="350">
        <v>1365169.1344159069</v>
      </c>
      <c r="BA11" s="40">
        <v>23935005.240082145</v>
      </c>
    </row>
    <row r="12" spans="1:53">
      <c r="A12" s="1487"/>
      <c r="B12" s="41" t="s">
        <v>1095</v>
      </c>
      <c r="C12" s="59">
        <v>16610568.537238672</v>
      </c>
      <c r="D12" s="37">
        <v>3.0245356575215973E-2</v>
      </c>
      <c r="E12" s="43">
        <v>92.325096950615716</v>
      </c>
      <c r="F12" s="38">
        <v>968365.18902203196</v>
      </c>
      <c r="G12" s="39">
        <v>787719.66339568584</v>
      </c>
      <c r="H12" s="39">
        <v>669424.24103177851</v>
      </c>
      <c r="I12" s="39">
        <v>79621.744760923422</v>
      </c>
      <c r="J12" s="39">
        <v>2734602.171787953</v>
      </c>
      <c r="K12" s="39">
        <v>10859671.670057589</v>
      </c>
      <c r="L12" s="39">
        <v>511163.85718271171</v>
      </c>
      <c r="M12" s="44">
        <v>1879371.1136497634</v>
      </c>
      <c r="N12" s="45">
        <v>625745.11848823749</v>
      </c>
      <c r="O12" s="45">
        <v>0</v>
      </c>
      <c r="P12" s="45">
        <v>0</v>
      </c>
      <c r="Q12" s="45">
        <v>0</v>
      </c>
      <c r="R12" s="45">
        <v>0</v>
      </c>
      <c r="S12" s="45">
        <v>0</v>
      </c>
      <c r="T12" s="46">
        <v>14.606072418693502</v>
      </c>
      <c r="U12" s="44">
        <v>56223.717307023922</v>
      </c>
      <c r="V12" s="45">
        <v>127817.40295091413</v>
      </c>
      <c r="W12" s="45">
        <v>373327.47584755335</v>
      </c>
      <c r="X12" s="45">
        <v>78583.143372521707</v>
      </c>
      <c r="Y12" s="45">
        <v>796593.03951106395</v>
      </c>
      <c r="Z12" s="45">
        <v>315192.95581559453</v>
      </c>
      <c r="AA12" s="45">
        <v>84312.192576945221</v>
      </c>
      <c r="AB12" s="46">
        <v>902552.2444063361</v>
      </c>
      <c r="AC12" s="44">
        <v>7049694.2243986726</v>
      </c>
      <c r="AD12" s="45">
        <v>3316152.785815795</v>
      </c>
      <c r="AE12" s="45">
        <v>0</v>
      </c>
      <c r="AF12" s="45">
        <v>0</v>
      </c>
      <c r="AG12" s="45">
        <v>0</v>
      </c>
      <c r="AH12" s="45">
        <v>0</v>
      </c>
      <c r="AI12" s="45">
        <v>90424.789541529521</v>
      </c>
      <c r="AJ12" s="46">
        <v>403399.87030159082</v>
      </c>
      <c r="AK12" s="44">
        <v>342864.0435004913</v>
      </c>
      <c r="AL12" s="45">
        <v>168299.81368222041</v>
      </c>
      <c r="AM12" s="45">
        <v>0</v>
      </c>
      <c r="AN12" s="45">
        <v>0</v>
      </c>
      <c r="AO12" s="45">
        <v>0</v>
      </c>
      <c r="AP12" s="45">
        <v>0</v>
      </c>
      <c r="AQ12" s="45">
        <v>0</v>
      </c>
      <c r="AR12" s="46">
        <v>0</v>
      </c>
      <c r="AS12" s="350">
        <v>9328153.0988559499</v>
      </c>
      <c r="AT12" s="350">
        <v>4238015.1209371667</v>
      </c>
      <c r="AU12" s="350">
        <v>373327.47584755335</v>
      </c>
      <c r="AV12" s="350">
        <v>78583.143372521707</v>
      </c>
      <c r="AW12" s="350">
        <v>796593.03951106395</v>
      </c>
      <c r="AX12" s="350">
        <v>315192.95581559453</v>
      </c>
      <c r="AY12" s="350">
        <v>174736.98211847473</v>
      </c>
      <c r="AZ12" s="350">
        <v>1305966.7207803456</v>
      </c>
      <c r="BA12" s="40">
        <v>16610568.537238669</v>
      </c>
    </row>
    <row r="13" spans="1:53">
      <c r="A13" s="1487"/>
      <c r="B13" s="41" t="s">
        <v>1096</v>
      </c>
      <c r="C13" s="59">
        <v>78375533.713674605</v>
      </c>
      <c r="D13" s="37">
        <v>0.14271010402976964</v>
      </c>
      <c r="E13" s="43">
        <v>92.325096950615702</v>
      </c>
      <c r="F13" s="38">
        <v>4569147.5489954576</v>
      </c>
      <c r="G13" s="39">
        <v>3716787.2307913341</v>
      </c>
      <c r="H13" s="39">
        <v>3158620.4923759447</v>
      </c>
      <c r="I13" s="39">
        <v>375688.32920205069</v>
      </c>
      <c r="J13" s="39">
        <v>12902984.279434174</v>
      </c>
      <c r="K13" s="39">
        <v>51240423.299654685</v>
      </c>
      <c r="L13" s="39">
        <v>2411882.5332209594</v>
      </c>
      <c r="M13" s="44">
        <v>8652265.4779239111</v>
      </c>
      <c r="N13" s="45">
        <v>3167978.1234408752</v>
      </c>
      <c r="O13" s="45">
        <v>0</v>
      </c>
      <c r="P13" s="45">
        <v>0</v>
      </c>
      <c r="Q13" s="45">
        <v>0</v>
      </c>
      <c r="R13" s="45">
        <v>0</v>
      </c>
      <c r="S13" s="45">
        <v>0</v>
      </c>
      <c r="T13" s="46">
        <v>0</v>
      </c>
      <c r="U13" s="44">
        <v>895064.58898701216</v>
      </c>
      <c r="V13" s="45">
        <v>210870.66491157387</v>
      </c>
      <c r="W13" s="45">
        <v>1757502.0345002031</v>
      </c>
      <c r="X13" s="45">
        <v>203770.52842316352</v>
      </c>
      <c r="Y13" s="45">
        <v>4372867.9796338566</v>
      </c>
      <c r="Z13" s="45">
        <v>1094017.3979818092</v>
      </c>
      <c r="AA13" s="45">
        <v>290102.83154979203</v>
      </c>
      <c r="AB13" s="46">
        <v>4078788.2534467643</v>
      </c>
      <c r="AC13" s="44">
        <v>35329320.871670403</v>
      </c>
      <c r="AD13" s="45">
        <v>15261320.868300993</v>
      </c>
      <c r="AE13" s="45">
        <v>135.73654066432192</v>
      </c>
      <c r="AF13" s="45">
        <v>0</v>
      </c>
      <c r="AG13" s="45">
        <v>0</v>
      </c>
      <c r="AH13" s="45">
        <v>0</v>
      </c>
      <c r="AI13" s="45">
        <v>63110.874252552305</v>
      </c>
      <c r="AJ13" s="46">
        <v>586534.94889008068</v>
      </c>
      <c r="AK13" s="44">
        <v>1631033.893329449</v>
      </c>
      <c r="AL13" s="45">
        <v>780848.63989151036</v>
      </c>
      <c r="AM13" s="45">
        <v>0</v>
      </c>
      <c r="AN13" s="45">
        <v>0</v>
      </c>
      <c r="AO13" s="45">
        <v>0</v>
      </c>
      <c r="AP13" s="45">
        <v>0</v>
      </c>
      <c r="AQ13" s="45">
        <v>0</v>
      </c>
      <c r="AR13" s="46">
        <v>0</v>
      </c>
      <c r="AS13" s="350">
        <v>46507684.831910774</v>
      </c>
      <c r="AT13" s="350">
        <v>19421018.29654495</v>
      </c>
      <c r="AU13" s="350">
        <v>1757637.7710408673</v>
      </c>
      <c r="AV13" s="350">
        <v>203770.52842316352</v>
      </c>
      <c r="AW13" s="350">
        <v>4372867.9796338566</v>
      </c>
      <c r="AX13" s="350">
        <v>1094017.3979818092</v>
      </c>
      <c r="AY13" s="350">
        <v>353213.70580234431</v>
      </c>
      <c r="AZ13" s="350">
        <v>4665323.202336845</v>
      </c>
      <c r="BA13" s="40">
        <v>78375533.71367462</v>
      </c>
    </row>
    <row r="14" spans="1:53" s="73" customFormat="1" ht="13.9" thickBot="1">
      <c r="A14" s="1488"/>
      <c r="B14" s="63" t="s">
        <v>1097</v>
      </c>
      <c r="C14" s="64">
        <v>19991192.019257538</v>
      </c>
      <c r="D14" s="65">
        <v>3.6400965423340717E-2</v>
      </c>
      <c r="E14" s="66">
        <v>92.325096950615702</v>
      </c>
      <c r="F14" s="67">
        <v>1165449.2376407394</v>
      </c>
      <c r="G14" s="68">
        <v>948038.29339040269</v>
      </c>
      <c r="H14" s="68">
        <v>805667.09771613497</v>
      </c>
      <c r="I14" s="68">
        <v>95826.556740395681</v>
      </c>
      <c r="J14" s="68">
        <v>3291155.0853863554</v>
      </c>
      <c r="K14" s="68">
        <v>13069858.574407509</v>
      </c>
      <c r="L14" s="68">
        <v>615197.17397600214</v>
      </c>
      <c r="M14" s="69">
        <v>2005770.7505679845</v>
      </c>
      <c r="N14" s="70">
        <v>1009210.4349196877</v>
      </c>
      <c r="O14" s="70">
        <v>0</v>
      </c>
      <c r="P14" s="70">
        <v>0</v>
      </c>
      <c r="Q14" s="70">
        <v>0</v>
      </c>
      <c r="R14" s="70">
        <v>0</v>
      </c>
      <c r="S14" s="70">
        <v>0</v>
      </c>
      <c r="T14" s="71">
        <v>0</v>
      </c>
      <c r="U14" s="69">
        <v>647923.36680807953</v>
      </c>
      <c r="V14" s="70">
        <v>150950.34049636943</v>
      </c>
      <c r="W14" s="70">
        <v>526039.41975393961</v>
      </c>
      <c r="X14" s="70">
        <v>134887.83931300163</v>
      </c>
      <c r="Y14" s="70">
        <v>744069.70160692558</v>
      </c>
      <c r="Z14" s="70">
        <v>203339.30652170378</v>
      </c>
      <c r="AA14" s="70">
        <v>87693.058411811988</v>
      </c>
      <c r="AB14" s="71">
        <v>796252.05247452366</v>
      </c>
      <c r="AC14" s="69">
        <v>6954956.5113566583</v>
      </c>
      <c r="AD14" s="70">
        <v>5049265.2735583549</v>
      </c>
      <c r="AE14" s="70">
        <v>678159.06604041741</v>
      </c>
      <c r="AF14" s="70">
        <v>0</v>
      </c>
      <c r="AG14" s="70">
        <v>0</v>
      </c>
      <c r="AH14" s="70">
        <v>0</v>
      </c>
      <c r="AI14" s="70">
        <v>17382.150455331401</v>
      </c>
      <c r="AJ14" s="71">
        <v>370095.57299674809</v>
      </c>
      <c r="AK14" s="69">
        <v>408924.59011785145</v>
      </c>
      <c r="AL14" s="70">
        <v>203791.36496143378</v>
      </c>
      <c r="AM14" s="70">
        <v>2481.2188967169814</v>
      </c>
      <c r="AN14" s="70">
        <v>0</v>
      </c>
      <c r="AO14" s="70">
        <v>0</v>
      </c>
      <c r="AP14" s="70">
        <v>0</v>
      </c>
      <c r="AQ14" s="70">
        <v>0</v>
      </c>
      <c r="AR14" s="71">
        <v>0</v>
      </c>
      <c r="AS14" s="1369">
        <v>10017575.218850574</v>
      </c>
      <c r="AT14" s="1369">
        <v>6413217.4139358457</v>
      </c>
      <c r="AU14" s="1369">
        <v>1206679.7046910741</v>
      </c>
      <c r="AV14" s="1369">
        <v>134887.83931300163</v>
      </c>
      <c r="AW14" s="1369">
        <v>744069.70160692558</v>
      </c>
      <c r="AX14" s="1369">
        <v>203339.30652170378</v>
      </c>
      <c r="AY14" s="1369">
        <v>105075.20886714339</v>
      </c>
      <c r="AZ14" s="1369">
        <v>1166347.6254712718</v>
      </c>
      <c r="BA14" s="72">
        <v>19991192.019257538</v>
      </c>
    </row>
    <row r="15" spans="1:53">
      <c r="A15" s="1474" t="s">
        <v>631</v>
      </c>
      <c r="B15" s="74" t="s">
        <v>1076</v>
      </c>
      <c r="C15" s="42">
        <v>4442987.8062184351</v>
      </c>
      <c r="D15" s="37">
        <v>8.0900151103890094E-3</v>
      </c>
      <c r="E15" s="43">
        <v>141.604614679127</v>
      </c>
      <c r="F15" s="38">
        <v>169259.17517266417</v>
      </c>
      <c r="G15" s="39">
        <v>39183.843101471008</v>
      </c>
      <c r="H15" s="39">
        <v>21859.0988477215</v>
      </c>
      <c r="I15" s="39">
        <v>4909.2263456678638</v>
      </c>
      <c r="J15" s="39">
        <v>1858111.8173282866</v>
      </c>
      <c r="K15" s="39">
        <v>2144566.6444759206</v>
      </c>
      <c r="L15" s="75">
        <v>205098.00094670246</v>
      </c>
      <c r="M15" s="44">
        <v>137934.02680676509</v>
      </c>
      <c r="N15" s="45">
        <v>97277.31666075949</v>
      </c>
      <c r="O15" s="45">
        <v>0</v>
      </c>
      <c r="P15" s="45">
        <v>0</v>
      </c>
      <c r="Q15" s="45">
        <v>0</v>
      </c>
      <c r="R15" s="45">
        <v>0</v>
      </c>
      <c r="S15" s="45">
        <v>0</v>
      </c>
      <c r="T15" s="46">
        <v>0</v>
      </c>
      <c r="U15" s="44">
        <v>140576.72146277488</v>
      </c>
      <c r="V15" s="45">
        <v>12443.728007353993</v>
      </c>
      <c r="W15" s="45">
        <v>373753.5530040476</v>
      </c>
      <c r="X15" s="45">
        <v>359660.22444605251</v>
      </c>
      <c r="Y15" s="45">
        <v>401941.42184487538</v>
      </c>
      <c r="Z15" s="45">
        <v>70590.525001990201</v>
      </c>
      <c r="AA15" s="45">
        <v>116825.66934066512</v>
      </c>
      <c r="AB15" s="46">
        <v>382319.97422052693</v>
      </c>
      <c r="AC15" s="44">
        <v>1100353.0825032438</v>
      </c>
      <c r="AD15" s="45">
        <v>1010626.7032852992</v>
      </c>
      <c r="AE15" s="45">
        <v>0</v>
      </c>
      <c r="AF15" s="45">
        <v>0</v>
      </c>
      <c r="AG15" s="45">
        <v>0</v>
      </c>
      <c r="AH15" s="45">
        <v>0</v>
      </c>
      <c r="AI15" s="45">
        <v>17302.888919636429</v>
      </c>
      <c r="AJ15" s="46">
        <v>16283.96976774107</v>
      </c>
      <c r="AK15" s="44">
        <v>132025.25969283318</v>
      </c>
      <c r="AL15" s="45">
        <v>54804.647697949513</v>
      </c>
      <c r="AM15" s="45">
        <v>0</v>
      </c>
      <c r="AN15" s="45">
        <v>0</v>
      </c>
      <c r="AO15" s="45">
        <v>0</v>
      </c>
      <c r="AP15" s="45">
        <v>0</v>
      </c>
      <c r="AQ15" s="45">
        <v>18268.093555919786</v>
      </c>
      <c r="AR15" s="46">
        <v>0</v>
      </c>
      <c r="AS15" s="62">
        <v>1510889.0904656169</v>
      </c>
      <c r="AT15" s="62">
        <v>1175152.3956513624</v>
      </c>
      <c r="AU15" s="62">
        <v>373753.5530040476</v>
      </c>
      <c r="AV15" s="62">
        <v>359660.22444605251</v>
      </c>
      <c r="AW15" s="62">
        <v>401941.42184487538</v>
      </c>
      <c r="AX15" s="62">
        <v>70590.525001990201</v>
      </c>
      <c r="AY15" s="62">
        <v>152396.65181622133</v>
      </c>
      <c r="AZ15" s="62">
        <v>398603.94398826797</v>
      </c>
      <c r="BA15" s="40">
        <v>4442987.8062184351</v>
      </c>
    </row>
    <row r="16" spans="1:53">
      <c r="A16" s="1475"/>
      <c r="B16" s="74" t="s">
        <v>1077</v>
      </c>
      <c r="C16" s="42">
        <v>8169233.5181015972</v>
      </c>
      <c r="D16" s="37">
        <v>1.4874950255150236E-2</v>
      </c>
      <c r="E16" s="43">
        <v>141.604614679127</v>
      </c>
      <c r="F16" s="38">
        <v>311213.48681882425</v>
      </c>
      <c r="G16" s="39">
        <v>72046.554794625859</v>
      </c>
      <c r="H16" s="39">
        <v>40191.89130619981</v>
      </c>
      <c r="I16" s="39">
        <v>9026.4970691224134</v>
      </c>
      <c r="J16" s="39">
        <v>3416473.3284331309</v>
      </c>
      <c r="K16" s="39">
        <v>3943172.1350517781</v>
      </c>
      <c r="L16" s="75">
        <v>377109.6246279144</v>
      </c>
      <c r="M16" s="44">
        <v>432478.42998877232</v>
      </c>
      <c r="N16" s="45">
        <v>0</v>
      </c>
      <c r="O16" s="45">
        <v>0</v>
      </c>
      <c r="P16" s="45">
        <v>0</v>
      </c>
      <c r="Q16" s="45">
        <v>0</v>
      </c>
      <c r="R16" s="45">
        <v>0</v>
      </c>
      <c r="S16" s="45">
        <v>0</v>
      </c>
      <c r="T16" s="46">
        <v>0</v>
      </c>
      <c r="U16" s="44">
        <v>104084.03433983016</v>
      </c>
      <c r="V16" s="45">
        <v>26391.464520370548</v>
      </c>
      <c r="W16" s="45">
        <v>614021.9580951453</v>
      </c>
      <c r="X16" s="45">
        <v>462107.20497227821</v>
      </c>
      <c r="Y16" s="45">
        <v>833042.08265726699</v>
      </c>
      <c r="Z16" s="45">
        <v>152820.74599377968</v>
      </c>
      <c r="AA16" s="45">
        <v>150115.93636314021</v>
      </c>
      <c r="AB16" s="46">
        <v>1073889.9014913195</v>
      </c>
      <c r="AC16" s="44">
        <v>3519474.5995497908</v>
      </c>
      <c r="AD16" s="45">
        <v>402798.30001233454</v>
      </c>
      <c r="AE16" s="45">
        <v>0</v>
      </c>
      <c r="AF16" s="45">
        <v>0</v>
      </c>
      <c r="AG16" s="45">
        <v>0</v>
      </c>
      <c r="AH16" s="45">
        <v>0</v>
      </c>
      <c r="AI16" s="45">
        <v>20899.235489652616</v>
      </c>
      <c r="AJ16" s="46">
        <v>0</v>
      </c>
      <c r="AK16" s="44">
        <v>186238.18526236436</v>
      </c>
      <c r="AL16" s="45">
        <v>190871.43936555003</v>
      </c>
      <c r="AM16" s="45">
        <v>0</v>
      </c>
      <c r="AN16" s="45">
        <v>0</v>
      </c>
      <c r="AO16" s="45">
        <v>0</v>
      </c>
      <c r="AP16" s="45">
        <v>0</v>
      </c>
      <c r="AQ16" s="45">
        <v>0</v>
      </c>
      <c r="AR16" s="46">
        <v>0</v>
      </c>
      <c r="AS16" s="350">
        <v>4242275.2491407581</v>
      </c>
      <c r="AT16" s="350">
        <v>620061.20389825513</v>
      </c>
      <c r="AU16" s="350">
        <v>614021.9580951453</v>
      </c>
      <c r="AV16" s="350">
        <v>462107.20497227821</v>
      </c>
      <c r="AW16" s="350">
        <v>833042.08265726699</v>
      </c>
      <c r="AX16" s="350">
        <v>152820.74599377968</v>
      </c>
      <c r="AY16" s="350">
        <v>171015.17185279282</v>
      </c>
      <c r="AZ16" s="350">
        <v>1073889.9014913195</v>
      </c>
      <c r="BA16" s="40">
        <v>8169233.5181015963</v>
      </c>
    </row>
    <row r="17" spans="1:53">
      <c r="A17" s="1475"/>
      <c r="B17" s="74" t="s">
        <v>1078</v>
      </c>
      <c r="C17" s="42">
        <v>5880425.3125215936</v>
      </c>
      <c r="D17" s="37">
        <v>1.070737344073522E-2</v>
      </c>
      <c r="E17" s="43">
        <v>141.60461467912702</v>
      </c>
      <c r="F17" s="38">
        <v>224019.50702381178</v>
      </c>
      <c r="G17" s="39">
        <v>51860.971235003315</v>
      </c>
      <c r="H17" s="39">
        <v>28931.161592013952</v>
      </c>
      <c r="I17" s="39">
        <v>6497.5057612264591</v>
      </c>
      <c r="J17" s="39">
        <v>2459265.755539543</v>
      </c>
      <c r="K17" s="39">
        <v>2838397.1621338488</v>
      </c>
      <c r="L17" s="75">
        <v>271453.24923614523</v>
      </c>
      <c r="M17" s="44">
        <v>216126.20932023617</v>
      </c>
      <c r="N17" s="45">
        <v>95182.936291819351</v>
      </c>
      <c r="O17" s="45">
        <v>0</v>
      </c>
      <c r="P17" s="45">
        <v>0</v>
      </c>
      <c r="Q17" s="45">
        <v>0</v>
      </c>
      <c r="R17" s="45">
        <v>0</v>
      </c>
      <c r="S17" s="45">
        <v>0</v>
      </c>
      <c r="T17" s="46">
        <v>0</v>
      </c>
      <c r="U17" s="44">
        <v>85249.57085675378</v>
      </c>
      <c r="V17" s="45">
        <v>11895.311941975517</v>
      </c>
      <c r="W17" s="45">
        <v>358786.66264350328</v>
      </c>
      <c r="X17" s="45">
        <v>316930.84850593837</v>
      </c>
      <c r="Y17" s="45">
        <v>581493.72094460123</v>
      </c>
      <c r="Z17" s="45">
        <v>142879.84662692071</v>
      </c>
      <c r="AA17" s="45">
        <v>74215.264505747691</v>
      </c>
      <c r="AB17" s="46">
        <v>887814.52951410215</v>
      </c>
      <c r="AC17" s="44">
        <v>1596893.548270162</v>
      </c>
      <c r="AD17" s="45">
        <v>570827.27466090699</v>
      </c>
      <c r="AE17" s="45">
        <v>622123.38334269868</v>
      </c>
      <c r="AF17" s="45">
        <v>0</v>
      </c>
      <c r="AG17" s="45">
        <v>0</v>
      </c>
      <c r="AH17" s="45">
        <v>0</v>
      </c>
      <c r="AI17" s="45">
        <v>973.69799759660907</v>
      </c>
      <c r="AJ17" s="46">
        <v>47579.25786248425</v>
      </c>
      <c r="AK17" s="44">
        <v>158181.08845915002</v>
      </c>
      <c r="AL17" s="45">
        <v>24894.61496090658</v>
      </c>
      <c r="AM17" s="45">
        <v>88377.545816088648</v>
      </c>
      <c r="AN17" s="45">
        <v>0</v>
      </c>
      <c r="AO17" s="45">
        <v>0</v>
      </c>
      <c r="AP17" s="45">
        <v>0</v>
      </c>
      <c r="AQ17" s="45">
        <v>0</v>
      </c>
      <c r="AR17" s="46">
        <v>0</v>
      </c>
      <c r="AS17" s="350">
        <v>2056450.4169063019</v>
      </c>
      <c r="AT17" s="350">
        <v>702800.13785560848</v>
      </c>
      <c r="AU17" s="350">
        <v>1069287.5918022906</v>
      </c>
      <c r="AV17" s="350">
        <v>316930.84850593837</v>
      </c>
      <c r="AW17" s="350">
        <v>581493.72094460123</v>
      </c>
      <c r="AX17" s="350">
        <v>142879.84662692071</v>
      </c>
      <c r="AY17" s="350">
        <v>75188.962503344301</v>
      </c>
      <c r="AZ17" s="350">
        <v>935393.78737658635</v>
      </c>
      <c r="BA17" s="40">
        <v>5880425.3125215927</v>
      </c>
    </row>
    <row r="18" spans="1:53">
      <c r="A18" s="1475"/>
      <c r="B18" s="74" t="s">
        <v>1079</v>
      </c>
      <c r="C18" s="42">
        <v>8936194.1313820612</v>
      </c>
      <c r="D18" s="37">
        <v>1.6271470619628393E-2</v>
      </c>
      <c r="E18" s="43">
        <v>141.604614679127</v>
      </c>
      <c r="F18" s="38">
        <v>340431.46500280255</v>
      </c>
      <c r="G18" s="39">
        <v>78810.576134888834</v>
      </c>
      <c r="H18" s="39">
        <v>43965.268274406262</v>
      </c>
      <c r="I18" s="39">
        <v>9873.9410444437653</v>
      </c>
      <c r="J18" s="39">
        <v>3737225.6332148821</v>
      </c>
      <c r="K18" s="39">
        <v>4313373.0495278444</v>
      </c>
      <c r="L18" s="75">
        <v>412514.19818279095</v>
      </c>
      <c r="M18" s="44">
        <v>395618.39019616606</v>
      </c>
      <c r="N18" s="45">
        <v>77462.860260375324</v>
      </c>
      <c r="O18" s="45">
        <v>0</v>
      </c>
      <c r="P18" s="45">
        <v>0</v>
      </c>
      <c r="Q18" s="45">
        <v>0</v>
      </c>
      <c r="R18" s="45">
        <v>0</v>
      </c>
      <c r="S18" s="45">
        <v>0</v>
      </c>
      <c r="T18" s="46">
        <v>0</v>
      </c>
      <c r="U18" s="44">
        <v>97028.533506760898</v>
      </c>
      <c r="V18" s="45">
        <v>30831.703077630831</v>
      </c>
      <c r="W18" s="45">
        <v>509509.23251453118</v>
      </c>
      <c r="X18" s="45">
        <v>213033.68001914676</v>
      </c>
      <c r="Y18" s="45">
        <v>828961.98933947331</v>
      </c>
      <c r="Z18" s="45">
        <v>52957.669691063398</v>
      </c>
      <c r="AA18" s="45">
        <v>89973.057853865161</v>
      </c>
      <c r="AB18" s="46">
        <v>1914929.7672124102</v>
      </c>
      <c r="AC18" s="44">
        <v>3197591.1269872924</v>
      </c>
      <c r="AD18" s="45">
        <v>528926.294971711</v>
      </c>
      <c r="AE18" s="45">
        <v>244655.98685666162</v>
      </c>
      <c r="AF18" s="45">
        <v>0</v>
      </c>
      <c r="AG18" s="45">
        <v>0</v>
      </c>
      <c r="AH18" s="45">
        <v>0</v>
      </c>
      <c r="AI18" s="45">
        <v>107566.57105345896</v>
      </c>
      <c r="AJ18" s="46">
        <v>234633.06965872055</v>
      </c>
      <c r="AK18" s="44">
        <v>192682.22125335669</v>
      </c>
      <c r="AL18" s="45">
        <v>5875.6933925839576</v>
      </c>
      <c r="AM18" s="45">
        <v>213956.2835368503</v>
      </c>
      <c r="AN18" s="45">
        <v>0</v>
      </c>
      <c r="AO18" s="45">
        <v>0</v>
      </c>
      <c r="AP18" s="45">
        <v>0</v>
      </c>
      <c r="AQ18" s="45">
        <v>0</v>
      </c>
      <c r="AR18" s="46">
        <v>0</v>
      </c>
      <c r="AS18" s="350">
        <v>3882920.2719435762</v>
      </c>
      <c r="AT18" s="350">
        <v>643096.55170230113</v>
      </c>
      <c r="AU18" s="350">
        <v>968121.5029080431</v>
      </c>
      <c r="AV18" s="350">
        <v>213033.68001914676</v>
      </c>
      <c r="AW18" s="350">
        <v>828961.98933947331</v>
      </c>
      <c r="AX18" s="350">
        <v>52957.669691063398</v>
      </c>
      <c r="AY18" s="350">
        <v>197539.62890732411</v>
      </c>
      <c r="AZ18" s="350">
        <v>2149562.8368711309</v>
      </c>
      <c r="BA18" s="40">
        <v>8936194.1313820593</v>
      </c>
    </row>
    <row r="19" spans="1:53">
      <c r="A19" s="1475"/>
      <c r="B19" s="74" t="s">
        <v>1080</v>
      </c>
      <c r="C19" s="42">
        <v>24011211.693687584</v>
      </c>
      <c r="D19" s="37">
        <v>4.3720818938284452E-2</v>
      </c>
      <c r="E19" s="43">
        <v>141.60461467912702</v>
      </c>
      <c r="F19" s="38">
        <v>914726.3200861417</v>
      </c>
      <c r="G19" s="39">
        <v>211761.0024418339</v>
      </c>
      <c r="H19" s="39">
        <v>118132.99355251009</v>
      </c>
      <c r="I19" s="39">
        <v>26530.901766842278</v>
      </c>
      <c r="J19" s="39">
        <v>10041782.274074188</v>
      </c>
      <c r="K19" s="39">
        <v>11589868.335821612</v>
      </c>
      <c r="L19" s="75">
        <v>1108409.8659444519</v>
      </c>
      <c r="M19" s="44">
        <v>1131949.9174419632</v>
      </c>
      <c r="N19" s="45">
        <v>139098.57423374013</v>
      </c>
      <c r="O19" s="45">
        <v>0</v>
      </c>
      <c r="P19" s="45">
        <v>0</v>
      </c>
      <c r="Q19" s="45">
        <v>0</v>
      </c>
      <c r="R19" s="45">
        <v>0</v>
      </c>
      <c r="S19" s="45">
        <v>0</v>
      </c>
      <c r="T19" s="46">
        <v>102.726171624389</v>
      </c>
      <c r="U19" s="44">
        <v>153017.35659252276</v>
      </c>
      <c r="V19" s="45">
        <v>120172.06843548569</v>
      </c>
      <c r="W19" s="45">
        <v>2012264.5992783674</v>
      </c>
      <c r="X19" s="45">
        <v>994494.46517966921</v>
      </c>
      <c r="Y19" s="45">
        <v>2503680.4403422363</v>
      </c>
      <c r="Z19" s="45">
        <v>839592.88373312552</v>
      </c>
      <c r="AA19" s="45">
        <v>352019.11322522914</v>
      </c>
      <c r="AB19" s="46">
        <v>3066541.3472875524</v>
      </c>
      <c r="AC19" s="44">
        <v>7344800.4364121938</v>
      </c>
      <c r="AD19" s="45">
        <v>2260162.9561243011</v>
      </c>
      <c r="AE19" s="45">
        <v>749953.92732611531</v>
      </c>
      <c r="AF19" s="45">
        <v>0</v>
      </c>
      <c r="AG19" s="45">
        <v>0</v>
      </c>
      <c r="AH19" s="45">
        <v>0</v>
      </c>
      <c r="AI19" s="45">
        <v>596568.05628693546</v>
      </c>
      <c r="AJ19" s="46">
        <v>638382.95967206685</v>
      </c>
      <c r="AK19" s="44">
        <v>999014.47815479594</v>
      </c>
      <c r="AL19" s="45">
        <v>104814.57861344973</v>
      </c>
      <c r="AM19" s="45">
        <v>0</v>
      </c>
      <c r="AN19" s="45">
        <v>0</v>
      </c>
      <c r="AO19" s="45">
        <v>0</v>
      </c>
      <c r="AP19" s="45">
        <v>0</v>
      </c>
      <c r="AQ19" s="45">
        <v>4558.5028501050792</v>
      </c>
      <c r="AR19" s="46">
        <v>22.30632610119752</v>
      </c>
      <c r="AS19" s="350">
        <v>9628782.1886014752</v>
      </c>
      <c r="AT19" s="350">
        <v>2624248.1774069769</v>
      </c>
      <c r="AU19" s="350">
        <v>2762218.5266044829</v>
      </c>
      <c r="AV19" s="350">
        <v>994494.46517966921</v>
      </c>
      <c r="AW19" s="350">
        <v>2503680.4403422363</v>
      </c>
      <c r="AX19" s="350">
        <v>839592.88373312552</v>
      </c>
      <c r="AY19" s="350">
        <v>953145.6723622696</v>
      </c>
      <c r="AZ19" s="350">
        <v>3705049.3394573447</v>
      </c>
      <c r="BA19" s="40">
        <v>24011211.693687581</v>
      </c>
    </row>
    <row r="20" spans="1:53">
      <c r="A20" s="1475"/>
      <c r="B20" s="74" t="s">
        <v>1081</v>
      </c>
      <c r="C20" s="42">
        <v>23497676.752764527</v>
      </c>
      <c r="D20" s="37">
        <v>4.2785748752864276E-2</v>
      </c>
      <c r="E20" s="43">
        <v>141.604614679127</v>
      </c>
      <c r="F20" s="38">
        <v>895162.79564852675</v>
      </c>
      <c r="G20" s="39">
        <v>207232.00676822683</v>
      </c>
      <c r="H20" s="39">
        <v>115606.44801041231</v>
      </c>
      <c r="I20" s="39">
        <v>25963.477463342733</v>
      </c>
      <c r="J20" s="39">
        <v>9827015.6836719811</v>
      </c>
      <c r="K20" s="39">
        <v>11341992.36741695</v>
      </c>
      <c r="L20" s="75">
        <v>1084703.9737850837</v>
      </c>
      <c r="M20" s="44">
        <v>1158807.005191087</v>
      </c>
      <c r="N20" s="45">
        <v>85157.722699421298</v>
      </c>
      <c r="O20" s="45">
        <v>0</v>
      </c>
      <c r="P20" s="45">
        <v>0</v>
      </c>
      <c r="Q20" s="45">
        <v>0</v>
      </c>
      <c r="R20" s="45">
        <v>0</v>
      </c>
      <c r="S20" s="45">
        <v>0</v>
      </c>
      <c r="T20" s="46">
        <v>0</v>
      </c>
      <c r="U20" s="44">
        <v>291635.70589098346</v>
      </c>
      <c r="V20" s="45">
        <v>164970.00243939218</v>
      </c>
      <c r="W20" s="45">
        <v>1759308.9043014972</v>
      </c>
      <c r="X20" s="45">
        <v>1019206.0227526488</v>
      </c>
      <c r="Y20" s="45">
        <v>2460315.9204310863</v>
      </c>
      <c r="Z20" s="45">
        <v>245311.52104428606</v>
      </c>
      <c r="AA20" s="45">
        <v>422349.8673212463</v>
      </c>
      <c r="AB20" s="46">
        <v>3463917.7394908406</v>
      </c>
      <c r="AC20" s="44">
        <v>8039578.3763451269</v>
      </c>
      <c r="AD20" s="45">
        <v>2185836.3867615601</v>
      </c>
      <c r="AE20" s="45">
        <v>582131.69165127375</v>
      </c>
      <c r="AF20" s="45">
        <v>0</v>
      </c>
      <c r="AG20" s="45">
        <v>0</v>
      </c>
      <c r="AH20" s="45">
        <v>0</v>
      </c>
      <c r="AI20" s="45">
        <v>157972.42303074256</v>
      </c>
      <c r="AJ20" s="46">
        <v>376473.48962824699</v>
      </c>
      <c r="AK20" s="44">
        <v>1084703.9737850837</v>
      </c>
      <c r="AL20" s="45">
        <v>0</v>
      </c>
      <c r="AM20" s="45">
        <v>0</v>
      </c>
      <c r="AN20" s="45">
        <v>0</v>
      </c>
      <c r="AO20" s="45">
        <v>0</v>
      </c>
      <c r="AP20" s="45">
        <v>0</v>
      </c>
      <c r="AQ20" s="45">
        <v>0</v>
      </c>
      <c r="AR20" s="46">
        <v>0</v>
      </c>
      <c r="AS20" s="350">
        <v>10574725.061212281</v>
      </c>
      <c r="AT20" s="350">
        <v>2435964.1119003734</v>
      </c>
      <c r="AU20" s="350">
        <v>2341440.5959527707</v>
      </c>
      <c r="AV20" s="350">
        <v>1019206.0227526488</v>
      </c>
      <c r="AW20" s="350">
        <v>2460315.9204310863</v>
      </c>
      <c r="AX20" s="350">
        <v>245311.52104428606</v>
      </c>
      <c r="AY20" s="350">
        <v>580322.29035198886</v>
      </c>
      <c r="AZ20" s="350">
        <v>3840391.2291190876</v>
      </c>
      <c r="BA20" s="40">
        <v>23497676.752764527</v>
      </c>
    </row>
    <row r="21" spans="1:53">
      <c r="A21" s="1475"/>
      <c r="B21" s="74" t="s">
        <v>1082</v>
      </c>
      <c r="C21" s="42">
        <v>51321318.408548974</v>
      </c>
      <c r="D21" s="37">
        <v>9.3448431442720567E-2</v>
      </c>
      <c r="E21" s="43">
        <v>141.60461467912702</v>
      </c>
      <c r="F21" s="38">
        <v>1955126.6853460269</v>
      </c>
      <c r="G21" s="39">
        <v>452615.80179595738</v>
      </c>
      <c r="H21" s="39">
        <v>252496.25275084699</v>
      </c>
      <c r="I21" s="39">
        <v>56706.87821223135</v>
      </c>
      <c r="J21" s="39">
        <v>21463202.77591693</v>
      </c>
      <c r="K21" s="39">
        <v>24772066.098281585</v>
      </c>
      <c r="L21" s="75">
        <v>2369103.9162453874</v>
      </c>
      <c r="M21" s="44">
        <v>2506828.8750806861</v>
      </c>
      <c r="N21" s="45">
        <v>210116.74302437637</v>
      </c>
      <c r="O21" s="45">
        <v>0</v>
      </c>
      <c r="P21" s="45">
        <v>0</v>
      </c>
      <c r="Q21" s="45">
        <v>0</v>
      </c>
      <c r="R21" s="45">
        <v>0</v>
      </c>
      <c r="S21" s="45">
        <v>0</v>
      </c>
      <c r="T21" s="46">
        <v>0</v>
      </c>
      <c r="U21" s="44">
        <v>673084.28741643659</v>
      </c>
      <c r="V21" s="45">
        <v>60820.114048518102</v>
      </c>
      <c r="W21" s="45">
        <v>3280161.1701495843</v>
      </c>
      <c r="X21" s="45">
        <v>3604871.3886736045</v>
      </c>
      <c r="Y21" s="45">
        <v>5236646.1461449815</v>
      </c>
      <c r="Z21" s="45">
        <v>725372.90503117221</v>
      </c>
      <c r="AA21" s="45">
        <v>1584772.7835169109</v>
      </c>
      <c r="AB21" s="46">
        <v>6297473.9809357198</v>
      </c>
      <c r="AC21" s="44">
        <v>12373881.452501521</v>
      </c>
      <c r="AD21" s="45">
        <v>3906258.9550083899</v>
      </c>
      <c r="AE21" s="45">
        <v>6906360.6437796028</v>
      </c>
      <c r="AF21" s="45">
        <v>294677.93651885045</v>
      </c>
      <c r="AG21" s="45">
        <v>0</v>
      </c>
      <c r="AH21" s="45">
        <v>0</v>
      </c>
      <c r="AI21" s="45">
        <v>0</v>
      </c>
      <c r="AJ21" s="46">
        <v>1290887.1104732179</v>
      </c>
      <c r="AK21" s="44">
        <v>1475986.3081733049</v>
      </c>
      <c r="AL21" s="45">
        <v>244963.4416785709</v>
      </c>
      <c r="AM21" s="45">
        <v>632755.26061532926</v>
      </c>
      <c r="AN21" s="45">
        <v>12282.438374665608</v>
      </c>
      <c r="AO21" s="45">
        <v>49.074364351369518</v>
      </c>
      <c r="AP21" s="45">
        <v>0</v>
      </c>
      <c r="AQ21" s="45">
        <v>28.040307127497094</v>
      </c>
      <c r="AR21" s="46">
        <v>3039.352732038014</v>
      </c>
      <c r="AS21" s="350">
        <v>17029780.923171949</v>
      </c>
      <c r="AT21" s="350">
        <v>4422159.2537598554</v>
      </c>
      <c r="AU21" s="350">
        <v>10819277.074544515</v>
      </c>
      <c r="AV21" s="350">
        <v>3911831.7635671203</v>
      </c>
      <c r="AW21" s="350">
        <v>5236695.2205093326</v>
      </c>
      <c r="AX21" s="350">
        <v>725372.90503117221</v>
      </c>
      <c r="AY21" s="350">
        <v>1584800.8238240383</v>
      </c>
      <c r="AZ21" s="350">
        <v>7591400.4441409763</v>
      </c>
      <c r="BA21" s="40">
        <v>51321318.408548974</v>
      </c>
    </row>
    <row r="22" spans="1:53" ht="13.9" thickBot="1">
      <c r="A22" s="1264"/>
      <c r="B22" s="74" t="s">
        <v>1171</v>
      </c>
      <c r="C22" s="42">
        <v>24931224.521907061</v>
      </c>
      <c r="D22" s="37">
        <v>4.5396024454633192E-2</v>
      </c>
      <c r="E22" s="43">
        <v>141.604614679127</v>
      </c>
      <c r="F22" s="38">
        <v>949774.94485048414</v>
      </c>
      <c r="G22" s="39">
        <v>219874.83031726431</v>
      </c>
      <c r="H22" s="39">
        <v>122659.37359908018</v>
      </c>
      <c r="I22" s="39">
        <v>27547.458960252996</v>
      </c>
      <c r="J22" s="39">
        <v>10426542.88624954</v>
      </c>
      <c r="K22" s="39">
        <v>12033945.364601204</v>
      </c>
      <c r="L22" s="75">
        <v>1150879.6633292299</v>
      </c>
      <c r="M22" s="44">
        <v>973904.63490867044</v>
      </c>
      <c r="N22" s="45">
        <v>337001.61196280218</v>
      </c>
      <c r="O22" s="45">
        <v>8949.0782931108188</v>
      </c>
      <c r="P22" s="45">
        <v>0</v>
      </c>
      <c r="Q22" s="45">
        <v>0</v>
      </c>
      <c r="R22" s="45">
        <v>0</v>
      </c>
      <c r="S22" s="45">
        <v>0</v>
      </c>
      <c r="T22" s="46">
        <v>1.2825624980479653</v>
      </c>
      <c r="U22" s="44">
        <v>361984.7096534723</v>
      </c>
      <c r="V22" s="45">
        <v>88025.140171856328</v>
      </c>
      <c r="W22" s="45">
        <v>1780466.8304246203</v>
      </c>
      <c r="X22" s="45">
        <v>1318812.1591436421</v>
      </c>
      <c r="Y22" s="45">
        <v>2475680.8443285008</v>
      </c>
      <c r="Z22" s="45">
        <v>442917.97398342739</v>
      </c>
      <c r="AA22" s="45">
        <v>466119.26334511384</v>
      </c>
      <c r="AB22" s="46">
        <v>3492535.9651989071</v>
      </c>
      <c r="AC22" s="44">
        <v>7916677.5939243371</v>
      </c>
      <c r="AD22" s="45">
        <v>3700405.4141291804</v>
      </c>
      <c r="AE22" s="45">
        <v>86146.768340725757</v>
      </c>
      <c r="AF22" s="45">
        <v>0</v>
      </c>
      <c r="AG22" s="45">
        <v>0</v>
      </c>
      <c r="AH22" s="45">
        <v>0</v>
      </c>
      <c r="AI22" s="45">
        <v>43130.580079103951</v>
      </c>
      <c r="AJ22" s="46">
        <v>287585.00812785729</v>
      </c>
      <c r="AK22" s="44">
        <v>827016.76545657613</v>
      </c>
      <c r="AL22" s="45">
        <v>294283.06470012647</v>
      </c>
      <c r="AM22" s="45">
        <v>29579.833172527276</v>
      </c>
      <c r="AN22" s="45">
        <v>0</v>
      </c>
      <c r="AO22" s="45">
        <v>0</v>
      </c>
      <c r="AP22" s="45">
        <v>0</v>
      </c>
      <c r="AQ22" s="45">
        <v>0</v>
      </c>
      <c r="AR22" s="46">
        <v>0</v>
      </c>
      <c r="AS22" s="350">
        <v>10079583.703943055</v>
      </c>
      <c r="AT22" s="350">
        <v>4419715.2309639649</v>
      </c>
      <c r="AU22" s="350">
        <v>1905142.5102309841</v>
      </c>
      <c r="AV22" s="350">
        <v>1318812.1591436421</v>
      </c>
      <c r="AW22" s="350">
        <v>2475680.8443285008</v>
      </c>
      <c r="AX22" s="350">
        <v>442917.97398342739</v>
      </c>
      <c r="AY22" s="350">
        <v>509249.84342421778</v>
      </c>
      <c r="AZ22" s="350">
        <v>3780122.2558892625</v>
      </c>
      <c r="BA22" s="40">
        <v>24931224.52190705</v>
      </c>
    </row>
    <row r="23" spans="1:53" s="89" customFormat="1">
      <c r="A23" s="1489" t="s">
        <v>633</v>
      </c>
      <c r="B23" s="76" t="s">
        <v>1187</v>
      </c>
      <c r="C23" s="77">
        <v>9902317.5423552338</v>
      </c>
      <c r="D23" s="78">
        <v>1.8030636598507351E-2</v>
      </c>
      <c r="E23" s="79">
        <v>199.94947393904599</v>
      </c>
      <c r="F23" s="80">
        <v>385851.85027860606</v>
      </c>
      <c r="G23" s="81">
        <v>61543.993272008738</v>
      </c>
      <c r="H23" s="81">
        <v>12107.143179009014</v>
      </c>
      <c r="I23" s="81">
        <v>7619.98388694809</v>
      </c>
      <c r="J23" s="81">
        <v>4840100.3851558315</v>
      </c>
      <c r="K23" s="81">
        <v>4060971.9174332097</v>
      </c>
      <c r="L23" s="82">
        <v>534122.26914962009</v>
      </c>
      <c r="M23" s="83">
        <v>441131.4379183859</v>
      </c>
      <c r="N23" s="84">
        <v>25991.532698185954</v>
      </c>
      <c r="O23" s="85">
        <v>0</v>
      </c>
      <c r="P23" s="85">
        <v>0</v>
      </c>
      <c r="Q23" s="85">
        <v>0</v>
      </c>
      <c r="R23" s="85">
        <v>0</v>
      </c>
      <c r="S23" s="85">
        <v>0</v>
      </c>
      <c r="T23" s="86">
        <v>0</v>
      </c>
      <c r="U23" s="83">
        <v>194622.37668465578</v>
      </c>
      <c r="V23" s="85">
        <v>109952.30535100697</v>
      </c>
      <c r="W23" s="85">
        <v>631958.44573241775</v>
      </c>
      <c r="X23" s="85">
        <v>561009.82386927679</v>
      </c>
      <c r="Y23" s="85">
        <v>2312431.8372348463</v>
      </c>
      <c r="Z23" s="85">
        <v>401398.73698881723</v>
      </c>
      <c r="AA23" s="85">
        <v>75495.738740693938</v>
      </c>
      <c r="AB23" s="86">
        <v>553231.12055411609</v>
      </c>
      <c r="AC23" s="83">
        <v>3975291.4974163952</v>
      </c>
      <c r="AD23" s="85">
        <v>68576.890584375215</v>
      </c>
      <c r="AE23" s="85">
        <v>0</v>
      </c>
      <c r="AF23" s="85">
        <v>0</v>
      </c>
      <c r="AG23" s="85">
        <v>0</v>
      </c>
      <c r="AH23" s="85">
        <v>0</v>
      </c>
      <c r="AI23" s="85">
        <v>16990.025580756006</v>
      </c>
      <c r="AJ23" s="86">
        <v>113.50385168295416</v>
      </c>
      <c r="AK23" s="83">
        <v>357859.94429521344</v>
      </c>
      <c r="AL23" s="85">
        <v>176262.32485440664</v>
      </c>
      <c r="AM23" s="85">
        <v>0</v>
      </c>
      <c r="AN23" s="85">
        <v>0</v>
      </c>
      <c r="AO23" s="85">
        <v>0</v>
      </c>
      <c r="AP23" s="85">
        <v>0</v>
      </c>
      <c r="AQ23" s="85">
        <v>0</v>
      </c>
      <c r="AR23" s="86">
        <v>0</v>
      </c>
      <c r="AS23" s="87">
        <v>4968905.2563146502</v>
      </c>
      <c r="AT23" s="87">
        <v>380783.0534879748</v>
      </c>
      <c r="AU23" s="87">
        <v>631958.44573241775</v>
      </c>
      <c r="AV23" s="87">
        <v>561009.82386927679</v>
      </c>
      <c r="AW23" s="87">
        <v>2312431.8372348463</v>
      </c>
      <c r="AX23" s="87">
        <v>401398.73698881723</v>
      </c>
      <c r="AY23" s="87">
        <v>92485.76432144994</v>
      </c>
      <c r="AZ23" s="87">
        <v>553344.62440579908</v>
      </c>
      <c r="BA23" s="88">
        <v>9902317.5423552319</v>
      </c>
    </row>
    <row r="24" spans="1:53" s="101" customFormat="1">
      <c r="A24" s="1490"/>
      <c r="B24" s="90" t="s">
        <v>1193</v>
      </c>
      <c r="C24" s="91">
        <v>30432882.188917208</v>
      </c>
      <c r="D24" s="92">
        <v>5.5413718762955456E-2</v>
      </c>
      <c r="E24" s="93">
        <v>199.94947393904596</v>
      </c>
      <c r="F24" s="94">
        <v>1185841.9861489926</v>
      </c>
      <c r="G24" s="95">
        <v>189143.71193120489</v>
      </c>
      <c r="H24" s="95">
        <v>37208.992787308453</v>
      </c>
      <c r="I24" s="95">
        <v>23418.56549449559</v>
      </c>
      <c r="J24" s="95">
        <v>14875124.350834122</v>
      </c>
      <c r="K24" s="95">
        <v>12480621.774360036</v>
      </c>
      <c r="L24" s="96">
        <v>1641522.8073610479</v>
      </c>
      <c r="M24" s="97">
        <v>1372869.00646488</v>
      </c>
      <c r="N24" s="98">
        <v>62744.249897121837</v>
      </c>
      <c r="O24" s="98">
        <v>0</v>
      </c>
      <c r="P24" s="98">
        <v>0</v>
      </c>
      <c r="Q24" s="98">
        <v>0</v>
      </c>
      <c r="R24" s="98">
        <v>0</v>
      </c>
      <c r="S24" s="98">
        <v>0</v>
      </c>
      <c r="T24" s="99">
        <v>0</v>
      </c>
      <c r="U24" s="97">
        <v>637653.94901640469</v>
      </c>
      <c r="V24" s="98">
        <v>409501.20531961956</v>
      </c>
      <c r="W24" s="98">
        <v>2286383.1696376358</v>
      </c>
      <c r="X24" s="98">
        <v>671721.33131731697</v>
      </c>
      <c r="Y24" s="98">
        <v>6293049.2566817803</v>
      </c>
      <c r="Z24" s="98">
        <v>583677.15450777567</v>
      </c>
      <c r="AA24" s="98">
        <v>2136992.0714683286</v>
      </c>
      <c r="AB24" s="99">
        <v>1856146.2128852627</v>
      </c>
      <c r="AC24" s="97">
        <v>11750552.236565653</v>
      </c>
      <c r="AD24" s="98">
        <v>364440.32317241572</v>
      </c>
      <c r="AE24" s="98">
        <v>0</v>
      </c>
      <c r="AF24" s="98">
        <v>0</v>
      </c>
      <c r="AG24" s="98">
        <v>0</v>
      </c>
      <c r="AH24" s="98">
        <v>0</v>
      </c>
      <c r="AI24" s="98">
        <v>280955.02391743526</v>
      </c>
      <c r="AJ24" s="99">
        <v>84674.190704532695</v>
      </c>
      <c r="AK24" s="97">
        <v>1099812.1699734535</v>
      </c>
      <c r="AL24" s="98">
        <v>541710.63738759444</v>
      </c>
      <c r="AM24" s="98">
        <v>0</v>
      </c>
      <c r="AN24" s="98">
        <v>0</v>
      </c>
      <c r="AO24" s="98">
        <v>0</v>
      </c>
      <c r="AP24" s="98">
        <v>0</v>
      </c>
      <c r="AQ24" s="98">
        <v>0</v>
      </c>
      <c r="AR24" s="99">
        <v>0</v>
      </c>
      <c r="AS24" s="351">
        <v>14860887.362020392</v>
      </c>
      <c r="AT24" s="351">
        <v>1378396.4157767515</v>
      </c>
      <c r="AU24" s="351">
        <v>2286383.1696376358</v>
      </c>
      <c r="AV24" s="351">
        <v>671721.33131731697</v>
      </c>
      <c r="AW24" s="351">
        <v>6293049.2566817803</v>
      </c>
      <c r="AX24" s="351">
        <v>583677.15450777567</v>
      </c>
      <c r="AY24" s="351">
        <v>2417947.0953857638</v>
      </c>
      <c r="AZ24" s="351">
        <v>1940820.4035897953</v>
      </c>
      <c r="BA24" s="100">
        <v>30432882.188917212</v>
      </c>
    </row>
    <row r="25" spans="1:53" s="113" customFormat="1" ht="13.9" thickBot="1">
      <c r="A25" s="1491"/>
      <c r="B25" s="102" t="s">
        <v>1195</v>
      </c>
      <c r="C25" s="103">
        <v>21772801.940473631</v>
      </c>
      <c r="D25" s="104">
        <v>3.9645010154520099E-2</v>
      </c>
      <c r="E25" s="105">
        <v>199.94947393904599</v>
      </c>
      <c r="F25" s="106">
        <v>848394.92154714395</v>
      </c>
      <c r="G25" s="107">
        <v>135320.36014859777</v>
      </c>
      <c r="H25" s="107">
        <v>26620.68039870408</v>
      </c>
      <c r="I25" s="107">
        <v>16754.502090089551</v>
      </c>
      <c r="J25" s="107">
        <v>10642210.432785532</v>
      </c>
      <c r="K25" s="107">
        <v>8929095.3219693061</v>
      </c>
      <c r="L25" s="108">
        <v>1174405.7215342568</v>
      </c>
      <c r="M25" s="109">
        <v>836881.06564445246</v>
      </c>
      <c r="N25" s="110">
        <v>190209.39854008288</v>
      </c>
      <c r="O25" s="110">
        <v>0</v>
      </c>
      <c r="P25" s="110">
        <v>0</v>
      </c>
      <c r="Q25" s="110">
        <v>0</v>
      </c>
      <c r="R25" s="110">
        <v>0</v>
      </c>
      <c r="S25" s="110">
        <v>0</v>
      </c>
      <c r="T25" s="111">
        <v>0</v>
      </c>
      <c r="U25" s="109">
        <v>461930.86564221</v>
      </c>
      <c r="V25" s="110">
        <v>49996.448962243769</v>
      </c>
      <c r="W25" s="110">
        <v>1004531.2533015115</v>
      </c>
      <c r="X25" s="110">
        <v>1365548.5754430369</v>
      </c>
      <c r="Y25" s="110">
        <v>3640490.8666728758</v>
      </c>
      <c r="Z25" s="110">
        <v>862352.60792440909</v>
      </c>
      <c r="AA25" s="110">
        <v>1842260.5997807912</v>
      </c>
      <c r="AB25" s="111">
        <v>1415099.2150584534</v>
      </c>
      <c r="AC25" s="109">
        <v>8557564.0909695569</v>
      </c>
      <c r="AD25" s="110">
        <v>371531.23099974816</v>
      </c>
      <c r="AE25" s="110">
        <v>0</v>
      </c>
      <c r="AF25" s="110">
        <v>0</v>
      </c>
      <c r="AG25" s="110">
        <v>0</v>
      </c>
      <c r="AH25" s="110">
        <v>0</v>
      </c>
      <c r="AI25" s="110">
        <v>0</v>
      </c>
      <c r="AJ25" s="111">
        <v>0</v>
      </c>
      <c r="AK25" s="109">
        <v>1116028.8289433727</v>
      </c>
      <c r="AL25" s="110">
        <v>58376.892590884105</v>
      </c>
      <c r="AM25" s="110">
        <v>0</v>
      </c>
      <c r="AN25" s="110">
        <v>0</v>
      </c>
      <c r="AO25" s="110">
        <v>0</v>
      </c>
      <c r="AP25" s="110">
        <v>0</v>
      </c>
      <c r="AQ25" s="110">
        <v>0</v>
      </c>
      <c r="AR25" s="111">
        <v>0</v>
      </c>
      <c r="AS25" s="1370">
        <v>10972404.851199593</v>
      </c>
      <c r="AT25" s="1370">
        <v>670113.97109295893</v>
      </c>
      <c r="AU25" s="1370">
        <v>1004531.2533015115</v>
      </c>
      <c r="AV25" s="1370">
        <v>1365548.5754430369</v>
      </c>
      <c r="AW25" s="1370">
        <v>3640490.8666728758</v>
      </c>
      <c r="AX25" s="1370">
        <v>862352.60792440909</v>
      </c>
      <c r="AY25" s="1370">
        <v>1842260.5997807912</v>
      </c>
      <c r="AZ25" s="1370">
        <v>1415099.2150584534</v>
      </c>
      <c r="BA25" s="112">
        <v>21772801.940473631</v>
      </c>
    </row>
    <row r="26" spans="1:53">
      <c r="A26" s="1474" t="s">
        <v>632</v>
      </c>
      <c r="B26" s="114" t="s">
        <v>1196</v>
      </c>
      <c r="C26" s="42">
        <v>16652838.725563886</v>
      </c>
      <c r="D26" s="37">
        <v>3.03223242548912E-2</v>
      </c>
      <c r="E26" s="43">
        <v>117.9471648922992</v>
      </c>
      <c r="F26" s="38">
        <v>1252079.6222221514</v>
      </c>
      <c r="G26" s="39">
        <v>121098.82930076309</v>
      </c>
      <c r="H26" s="39">
        <v>63312.224735448239</v>
      </c>
      <c r="I26" s="39">
        <v>27001.096381752486</v>
      </c>
      <c r="J26" s="39">
        <v>5017909.5320062079</v>
      </c>
      <c r="K26" s="39">
        <v>9064746.4765921067</v>
      </c>
      <c r="L26" s="39">
        <v>1106690.9443254548</v>
      </c>
      <c r="M26" s="44">
        <v>1137241.6208800573</v>
      </c>
      <c r="N26" s="45">
        <v>326250.15176005766</v>
      </c>
      <c r="O26" s="45">
        <v>0</v>
      </c>
      <c r="P26" s="45">
        <v>0</v>
      </c>
      <c r="Q26" s="45">
        <v>0</v>
      </c>
      <c r="R26" s="45">
        <v>0</v>
      </c>
      <c r="S26" s="45">
        <v>0</v>
      </c>
      <c r="T26" s="46">
        <v>0</v>
      </c>
      <c r="U26" s="44">
        <v>97764.144303326044</v>
      </c>
      <c r="V26" s="45">
        <v>727.51236846662766</v>
      </c>
      <c r="W26" s="45">
        <v>963798.38238488883</v>
      </c>
      <c r="X26" s="45">
        <v>1022049.909877732</v>
      </c>
      <c r="Y26" s="45">
        <v>1538782.5607703717</v>
      </c>
      <c r="Z26" s="45">
        <v>140870.35090923795</v>
      </c>
      <c r="AA26" s="45">
        <v>242865.22076120335</v>
      </c>
      <c r="AB26" s="46">
        <v>1011051.4506309817</v>
      </c>
      <c r="AC26" s="44">
        <v>6885020.5946795009</v>
      </c>
      <c r="AD26" s="45">
        <v>1707030.8180027376</v>
      </c>
      <c r="AE26" s="45">
        <v>208611.30601009287</v>
      </c>
      <c r="AF26" s="45">
        <v>0</v>
      </c>
      <c r="AG26" s="45">
        <v>0</v>
      </c>
      <c r="AH26" s="45">
        <v>0</v>
      </c>
      <c r="AI26" s="45">
        <v>0</v>
      </c>
      <c r="AJ26" s="46">
        <v>264083.75789977412</v>
      </c>
      <c r="AK26" s="44">
        <v>1034927.2914073681</v>
      </c>
      <c r="AL26" s="45">
        <v>71763.652918086576</v>
      </c>
      <c r="AM26" s="45">
        <v>0</v>
      </c>
      <c r="AN26" s="45">
        <v>0</v>
      </c>
      <c r="AO26" s="45">
        <v>0</v>
      </c>
      <c r="AP26" s="45">
        <v>0</v>
      </c>
      <c r="AQ26" s="45">
        <v>0</v>
      </c>
      <c r="AR26" s="46">
        <v>0</v>
      </c>
      <c r="AS26" s="62">
        <v>9154953.6512702517</v>
      </c>
      <c r="AT26" s="62">
        <v>2105772.1350493482</v>
      </c>
      <c r="AU26" s="62">
        <v>1172409.6883949817</v>
      </c>
      <c r="AV26" s="62">
        <v>1022049.909877732</v>
      </c>
      <c r="AW26" s="62">
        <v>1538782.5607703717</v>
      </c>
      <c r="AX26" s="62">
        <v>140870.35090923795</v>
      </c>
      <c r="AY26" s="62">
        <v>242865.22076120335</v>
      </c>
      <c r="AZ26" s="62">
        <v>1275135.2085307557</v>
      </c>
      <c r="BA26" s="40">
        <v>16652838.725563886</v>
      </c>
    </row>
    <row r="27" spans="1:53">
      <c r="A27" s="1475"/>
      <c r="B27" s="114" t="s">
        <v>1197</v>
      </c>
      <c r="C27" s="42">
        <v>12860737.708922133</v>
      </c>
      <c r="D27" s="37">
        <v>2.3417476467144413E-2</v>
      </c>
      <c r="E27" s="43">
        <v>117.94716489229921</v>
      </c>
      <c r="F27" s="38">
        <v>966962.32260786183</v>
      </c>
      <c r="G27" s="39">
        <v>93522.810504604349</v>
      </c>
      <c r="H27" s="39">
        <v>48895.082064356</v>
      </c>
      <c r="I27" s="39">
        <v>20852.541968473706</v>
      </c>
      <c r="J27" s="39">
        <v>3875256.3092540759</v>
      </c>
      <c r="K27" s="39">
        <v>7000567.8163666734</v>
      </c>
      <c r="L27" s="39">
        <v>854680.8261560871</v>
      </c>
      <c r="M27" s="44">
        <v>688004.54177935363</v>
      </c>
      <c r="N27" s="45">
        <v>322722.6532152376</v>
      </c>
      <c r="O27" s="45">
        <v>33417.193536069739</v>
      </c>
      <c r="P27" s="45">
        <v>0</v>
      </c>
      <c r="Q27" s="45">
        <v>0</v>
      </c>
      <c r="R27" s="45">
        <v>0</v>
      </c>
      <c r="S27" s="45">
        <v>86088.368614634906</v>
      </c>
      <c r="T27" s="46">
        <v>0</v>
      </c>
      <c r="U27" s="44">
        <v>65064.754581072957</v>
      </c>
      <c r="V27" s="45">
        <v>9318.8608945401884</v>
      </c>
      <c r="W27" s="45">
        <v>581162.77136905363</v>
      </c>
      <c r="X27" s="45">
        <v>1268168.8604259379</v>
      </c>
      <c r="Y27" s="45">
        <v>773271.25068903773</v>
      </c>
      <c r="Z27" s="45">
        <v>98967.806109928933</v>
      </c>
      <c r="AA27" s="45">
        <v>141230.18782565679</v>
      </c>
      <c r="AB27" s="46">
        <v>938071.81735884701</v>
      </c>
      <c r="AC27" s="44">
        <v>5068799.7868632264</v>
      </c>
      <c r="AD27" s="45">
        <v>723209.57331364043</v>
      </c>
      <c r="AE27" s="45">
        <v>996808.51241349487</v>
      </c>
      <c r="AF27" s="45">
        <v>1314.391032362227</v>
      </c>
      <c r="AG27" s="45">
        <v>3019.5469662375485</v>
      </c>
      <c r="AH27" s="45">
        <v>0</v>
      </c>
      <c r="AI27" s="45">
        <v>31302.586931957627</v>
      </c>
      <c r="AJ27" s="46">
        <v>176113.41884575546</v>
      </c>
      <c r="AK27" s="44">
        <v>572755.3605694857</v>
      </c>
      <c r="AL27" s="45">
        <v>84023.989061219021</v>
      </c>
      <c r="AM27" s="45">
        <v>197887.44444926505</v>
      </c>
      <c r="AN27" s="45">
        <v>0</v>
      </c>
      <c r="AO27" s="45">
        <v>0</v>
      </c>
      <c r="AP27" s="45">
        <v>0</v>
      </c>
      <c r="AQ27" s="45">
        <v>0</v>
      </c>
      <c r="AR27" s="46">
        <v>14.032076117236551</v>
      </c>
      <c r="AS27" s="350">
        <v>6394624.4437931385</v>
      </c>
      <c r="AT27" s="350">
        <v>1139275.0764846371</v>
      </c>
      <c r="AU27" s="350">
        <v>1809275.9217678832</v>
      </c>
      <c r="AV27" s="350">
        <v>1269483.2514583</v>
      </c>
      <c r="AW27" s="350">
        <v>776290.79765527532</v>
      </c>
      <c r="AX27" s="350">
        <v>98967.806109928933</v>
      </c>
      <c r="AY27" s="350">
        <v>258621.14337224932</v>
      </c>
      <c r="AZ27" s="350">
        <v>1114199.2682807199</v>
      </c>
      <c r="BA27" s="40">
        <v>12860737.708922133</v>
      </c>
    </row>
    <row r="28" spans="1:53">
      <c r="A28" s="1475"/>
      <c r="B28" s="114" t="s">
        <v>1198</v>
      </c>
      <c r="C28" s="42">
        <v>21495373.182532851</v>
      </c>
      <c r="D28" s="37">
        <v>3.9139853952953198E-2</v>
      </c>
      <c r="E28" s="43">
        <v>117.94716489229921</v>
      </c>
      <c r="F28" s="38">
        <v>1616176.0272495858</v>
      </c>
      <c r="G28" s="39">
        <v>156313.56135045999</v>
      </c>
      <c r="H28" s="39">
        <v>81722.997510069545</v>
      </c>
      <c r="I28" s="39">
        <v>34852.835160910632</v>
      </c>
      <c r="J28" s="39">
        <v>6477084.1634995705</v>
      </c>
      <c r="K28" s="39">
        <v>11700714.306461239</v>
      </c>
      <c r="L28" s="39">
        <v>1428509.2913010134</v>
      </c>
      <c r="M28" s="44">
        <v>1727296.9976982796</v>
      </c>
      <c r="N28" s="45">
        <v>140724.40451368745</v>
      </c>
      <c r="O28" s="45">
        <v>0</v>
      </c>
      <c r="P28" s="45">
        <v>0</v>
      </c>
      <c r="Q28" s="45">
        <v>0</v>
      </c>
      <c r="R28" s="45">
        <v>0</v>
      </c>
      <c r="S28" s="45">
        <v>21044.019059059236</v>
      </c>
      <c r="T28" s="46">
        <v>0</v>
      </c>
      <c r="U28" s="44">
        <v>153249.38681561439</v>
      </c>
      <c r="V28" s="45">
        <v>52584.292991440074</v>
      </c>
      <c r="W28" s="45">
        <v>791597.10343861347</v>
      </c>
      <c r="X28" s="45">
        <v>1191254.7416245851</v>
      </c>
      <c r="Y28" s="45">
        <v>2720084.196566781</v>
      </c>
      <c r="Z28" s="45">
        <v>115857.15681572867</v>
      </c>
      <c r="AA28" s="45">
        <v>290443.87715331098</v>
      </c>
      <c r="AB28" s="46">
        <v>1162013.4080934967</v>
      </c>
      <c r="AC28" s="44">
        <v>8501405.3288375363</v>
      </c>
      <c r="AD28" s="45">
        <v>1153717.8386113357</v>
      </c>
      <c r="AE28" s="45">
        <v>1654240.5822657775</v>
      </c>
      <c r="AF28" s="45">
        <v>0</v>
      </c>
      <c r="AG28" s="45">
        <v>0</v>
      </c>
      <c r="AH28" s="45">
        <v>0</v>
      </c>
      <c r="AI28" s="45">
        <v>206073.28874295353</v>
      </c>
      <c r="AJ28" s="46">
        <v>185277.26800363557</v>
      </c>
      <c r="AK28" s="44">
        <v>918853.56360227533</v>
      </c>
      <c r="AL28" s="45">
        <v>52561.061541260911</v>
      </c>
      <c r="AM28" s="45">
        <v>457094.66615747707</v>
      </c>
      <c r="AN28" s="45">
        <v>0</v>
      </c>
      <c r="AO28" s="45">
        <v>0</v>
      </c>
      <c r="AP28" s="45">
        <v>0</v>
      </c>
      <c r="AQ28" s="45">
        <v>0</v>
      </c>
      <c r="AR28" s="46">
        <v>0</v>
      </c>
      <c r="AS28" s="350">
        <v>11300805.276953707</v>
      </c>
      <c r="AT28" s="350">
        <v>1399587.5976577241</v>
      </c>
      <c r="AU28" s="350">
        <v>2902932.3518618681</v>
      </c>
      <c r="AV28" s="350">
        <v>1191254.7416245851</v>
      </c>
      <c r="AW28" s="350">
        <v>2720084.196566781</v>
      </c>
      <c r="AX28" s="350">
        <v>115857.15681572867</v>
      </c>
      <c r="AY28" s="350">
        <v>517561.1849553237</v>
      </c>
      <c r="AZ28" s="350">
        <v>1347290.6760971323</v>
      </c>
      <c r="BA28" s="40">
        <v>21495373.182532851</v>
      </c>
    </row>
    <row r="29" spans="1:53">
      <c r="A29" s="1475"/>
      <c r="B29" s="114" t="s">
        <v>1199</v>
      </c>
      <c r="C29" s="42">
        <v>6876260.3857971029</v>
      </c>
      <c r="D29" s="37">
        <v>1.2520639905022729E-2</v>
      </c>
      <c r="E29" s="43">
        <v>117.9471648922992</v>
      </c>
      <c r="F29" s="38">
        <v>517006.47847704712</v>
      </c>
      <c r="G29" s="39">
        <v>50003.912030262349</v>
      </c>
      <c r="H29" s="39">
        <v>26142.770614642137</v>
      </c>
      <c r="I29" s="39">
        <v>11149.244431096069</v>
      </c>
      <c r="J29" s="39">
        <v>2071986.2302803635</v>
      </c>
      <c r="K29" s="39">
        <v>3742998.9043608867</v>
      </c>
      <c r="L29" s="39">
        <v>456972.84560280468</v>
      </c>
      <c r="M29" s="44">
        <v>600955.14942028385</v>
      </c>
      <c r="N29" s="45">
        <v>3347.25613276384</v>
      </c>
      <c r="O29" s="45">
        <v>0</v>
      </c>
      <c r="P29" s="45">
        <v>0</v>
      </c>
      <c r="Q29" s="45">
        <v>0</v>
      </c>
      <c r="R29" s="45">
        <v>0</v>
      </c>
      <c r="S29" s="45">
        <v>0</v>
      </c>
      <c r="T29" s="46">
        <v>0</v>
      </c>
      <c r="U29" s="44">
        <v>19448.008705862387</v>
      </c>
      <c r="V29" s="45">
        <v>91076.437859297759</v>
      </c>
      <c r="W29" s="45">
        <v>426850.16670664586</v>
      </c>
      <c r="X29" s="45">
        <v>11046.66703481667</v>
      </c>
      <c r="Y29" s="45">
        <v>765123.5958906489</v>
      </c>
      <c r="Z29" s="45">
        <v>102053.65361237312</v>
      </c>
      <c r="AA29" s="45">
        <v>122611.16922919739</v>
      </c>
      <c r="AB29" s="46">
        <v>533776.53124152112</v>
      </c>
      <c r="AC29" s="44">
        <v>3317646.6657707593</v>
      </c>
      <c r="AD29" s="45">
        <v>375471.70783975848</v>
      </c>
      <c r="AE29" s="45">
        <v>0</v>
      </c>
      <c r="AF29" s="45">
        <v>0</v>
      </c>
      <c r="AG29" s="45">
        <v>0</v>
      </c>
      <c r="AH29" s="45">
        <v>0</v>
      </c>
      <c r="AI29" s="45">
        <v>0</v>
      </c>
      <c r="AJ29" s="46">
        <v>49880.530750369129</v>
      </c>
      <c r="AK29" s="44">
        <v>306176.22874205688</v>
      </c>
      <c r="AL29" s="45">
        <v>150796.6168607478</v>
      </c>
      <c r="AM29" s="45">
        <v>0</v>
      </c>
      <c r="AN29" s="45">
        <v>0</v>
      </c>
      <c r="AO29" s="45">
        <v>0</v>
      </c>
      <c r="AP29" s="45">
        <v>0</v>
      </c>
      <c r="AQ29" s="45">
        <v>0</v>
      </c>
      <c r="AR29" s="46">
        <v>0</v>
      </c>
      <c r="AS29" s="350">
        <v>4244226.0526389619</v>
      </c>
      <c r="AT29" s="350">
        <v>620692.01869256794</v>
      </c>
      <c r="AU29" s="350">
        <v>426850.16670664586</v>
      </c>
      <c r="AV29" s="350">
        <v>11046.66703481667</v>
      </c>
      <c r="AW29" s="350">
        <v>765123.5958906489</v>
      </c>
      <c r="AX29" s="350">
        <v>102053.65361237312</v>
      </c>
      <c r="AY29" s="350">
        <v>122611.16922919739</v>
      </c>
      <c r="AZ29" s="350">
        <v>583657.06199189019</v>
      </c>
      <c r="BA29" s="40">
        <v>6876260.385797102</v>
      </c>
    </row>
    <row r="30" spans="1:53">
      <c r="A30" s="1476"/>
      <c r="B30" s="114" t="s">
        <v>1200</v>
      </c>
      <c r="C30" s="42">
        <v>5126798.6831815643</v>
      </c>
      <c r="D30" s="37">
        <v>9.3351322632061733E-3</v>
      </c>
      <c r="E30" s="43">
        <v>117.9471648922992</v>
      </c>
      <c r="F30" s="38">
        <v>385469.42441668519</v>
      </c>
      <c r="G30" s="39">
        <v>37281.891023235046</v>
      </c>
      <c r="H30" s="39">
        <v>19491.513474198993</v>
      </c>
      <c r="I30" s="39">
        <v>8312.6479308253656</v>
      </c>
      <c r="J30" s="39">
        <v>1544830.4283114073</v>
      </c>
      <c r="K30" s="39">
        <v>2790703.1987420809</v>
      </c>
      <c r="L30" s="39">
        <v>340709.57928313105</v>
      </c>
      <c r="M30" s="44">
        <v>204440.35371507867</v>
      </c>
      <c r="N30" s="45">
        <v>177393.17201983606</v>
      </c>
      <c r="O30" s="45">
        <v>68721.95111002987</v>
      </c>
      <c r="P30" s="45">
        <v>0</v>
      </c>
      <c r="Q30" s="45">
        <v>0</v>
      </c>
      <c r="R30" s="45">
        <v>0</v>
      </c>
      <c r="S30" s="45">
        <v>0</v>
      </c>
      <c r="T30" s="46">
        <v>0</v>
      </c>
      <c r="U30" s="44">
        <v>8158.4534701575558</v>
      </c>
      <c r="V30" s="45">
        <v>1625.3881428011216</v>
      </c>
      <c r="W30" s="45">
        <v>212082.59326207239</v>
      </c>
      <c r="X30" s="45">
        <v>228368.87887407714</v>
      </c>
      <c r="Y30" s="45">
        <v>235423.68693212038</v>
      </c>
      <c r="Z30" s="45">
        <v>30114.621958405838</v>
      </c>
      <c r="AA30" s="45">
        <v>0</v>
      </c>
      <c r="AB30" s="46">
        <v>829056.8056717728</v>
      </c>
      <c r="AC30" s="44">
        <v>1674732.0320913938</v>
      </c>
      <c r="AD30" s="45">
        <v>916723.35988154134</v>
      </c>
      <c r="AE30" s="45">
        <v>0</v>
      </c>
      <c r="AF30" s="45">
        <v>0</v>
      </c>
      <c r="AG30" s="45">
        <v>0</v>
      </c>
      <c r="AH30" s="45">
        <v>0</v>
      </c>
      <c r="AI30" s="45">
        <v>5841.745182044363</v>
      </c>
      <c r="AJ30" s="46">
        <v>193406.06158710134</v>
      </c>
      <c r="AK30" s="44">
        <v>340709.57928313105</v>
      </c>
      <c r="AL30" s="45">
        <v>0</v>
      </c>
      <c r="AM30" s="45">
        <v>0</v>
      </c>
      <c r="AN30" s="45">
        <v>0</v>
      </c>
      <c r="AO30" s="45">
        <v>0</v>
      </c>
      <c r="AP30" s="45">
        <v>0</v>
      </c>
      <c r="AQ30" s="45">
        <v>0</v>
      </c>
      <c r="AR30" s="46">
        <v>0</v>
      </c>
      <c r="AS30" s="350">
        <v>2228040.4185597608</v>
      </c>
      <c r="AT30" s="350">
        <v>1095741.9200441786</v>
      </c>
      <c r="AU30" s="350">
        <v>280804.54437210225</v>
      </c>
      <c r="AV30" s="350">
        <v>228368.87887407714</v>
      </c>
      <c r="AW30" s="350">
        <v>235423.68693212038</v>
      </c>
      <c r="AX30" s="350">
        <v>30114.621958405838</v>
      </c>
      <c r="AY30" s="350">
        <v>5841.745182044363</v>
      </c>
      <c r="AZ30" s="350">
        <v>1022462.8672588741</v>
      </c>
      <c r="BA30" s="40">
        <v>5126798.6831815634</v>
      </c>
    </row>
    <row r="31" spans="1:53" s="115" customFormat="1">
      <c r="A31" s="1371"/>
      <c r="B31" s="1372" t="s">
        <v>1173</v>
      </c>
      <c r="C31" s="1373"/>
      <c r="D31" s="1374"/>
      <c r="E31" s="1375"/>
      <c r="F31" s="1376"/>
      <c r="G31" s="1377"/>
      <c r="H31" s="1377"/>
      <c r="I31" s="1377"/>
      <c r="J31" s="1377"/>
      <c r="K31" s="1377"/>
      <c r="L31" s="1377"/>
      <c r="M31" s="1378"/>
      <c r="N31" s="1379"/>
      <c r="O31" s="1379"/>
      <c r="P31" s="1379"/>
      <c r="Q31" s="1379"/>
      <c r="R31" s="1379"/>
      <c r="S31" s="1379"/>
      <c r="T31" s="1380"/>
      <c r="U31" s="1378"/>
      <c r="V31" s="1379"/>
      <c r="W31" s="1379"/>
      <c r="X31" s="1379"/>
      <c r="Y31" s="1379"/>
      <c r="Z31" s="1379"/>
      <c r="AA31" s="1379"/>
      <c r="AB31" s="1380"/>
      <c r="AC31" s="1378"/>
      <c r="AD31" s="1379"/>
      <c r="AE31" s="1379"/>
      <c r="AF31" s="1379"/>
      <c r="AG31" s="1379"/>
      <c r="AH31" s="1379"/>
      <c r="AI31" s="1379"/>
      <c r="AJ31" s="1380"/>
      <c r="AK31" s="1378"/>
      <c r="AL31" s="1379"/>
      <c r="AM31" s="1379"/>
      <c r="AN31" s="1379"/>
      <c r="AO31" s="1379"/>
      <c r="AP31" s="1379"/>
      <c r="AQ31" s="1379"/>
      <c r="AR31" s="1380"/>
      <c r="AS31" s="1381">
        <v>277360574.75469786</v>
      </c>
      <c r="AT31" s="1381">
        <v>92254677.344063729</v>
      </c>
      <c r="AU31" s="1381">
        <v>41313813.038890824</v>
      </c>
      <c r="AV31" s="1381">
        <v>16201089.167262102</v>
      </c>
      <c r="AW31" s="1381">
        <v>46685130.031230643</v>
      </c>
      <c r="AX31" s="1381">
        <v>7677771.5836991211</v>
      </c>
      <c r="AY31" s="1381">
        <v>10954205.783809591</v>
      </c>
      <c r="AZ31" s="1381">
        <v>56746744.190457888</v>
      </c>
      <c r="BA31" s="1382">
        <v>549194005.89411175</v>
      </c>
    </row>
    <row r="32" spans="1:53">
      <c r="A32" s="1258" t="s">
        <v>1180</v>
      </c>
      <c r="C32" s="116">
        <v>549194005.89411175</v>
      </c>
      <c r="D32" s="117">
        <v>1</v>
      </c>
      <c r="E32" s="118"/>
      <c r="F32" s="39">
        <v>31442366.979483519</v>
      </c>
      <c r="G32" s="39">
        <v>12215822.909304457</v>
      </c>
      <c r="H32" s="39">
        <v>9073419.1315349061</v>
      </c>
      <c r="I32" s="39">
        <v>1386521.070841192</v>
      </c>
      <c r="J32" s="39">
        <v>164319512.98655564</v>
      </c>
      <c r="K32" s="39">
        <v>310284093.21955132</v>
      </c>
      <c r="L32" s="39">
        <v>20472269.596840799</v>
      </c>
      <c r="M32" s="119">
        <v>42234136.5516764</v>
      </c>
      <c r="N32" s="119">
        <v>11496443.29520978</v>
      </c>
      <c r="O32" s="119">
        <v>280299.24179765861</v>
      </c>
      <c r="P32" s="119">
        <v>0</v>
      </c>
      <c r="Q32" s="119">
        <v>0</v>
      </c>
      <c r="R32" s="119">
        <v>0</v>
      </c>
      <c r="S32" s="119">
        <v>107132.38767369415</v>
      </c>
      <c r="T32" s="119">
        <v>118.61480654113046</v>
      </c>
      <c r="U32" s="119">
        <v>6323724.8488462092</v>
      </c>
      <c r="V32" s="119">
        <v>2489292.2223338792</v>
      </c>
      <c r="W32" s="119">
        <v>25853155.804372881</v>
      </c>
      <c r="X32" s="119">
        <v>15892814.401336223</v>
      </c>
      <c r="Y32" s="119">
        <v>46682061.409900054</v>
      </c>
      <c r="Z32" s="119">
        <v>7677771.5836991211</v>
      </c>
      <c r="AA32" s="119">
        <v>8997092.189912755</v>
      </c>
      <c r="AB32" s="119">
        <v>50403600.526154466</v>
      </c>
      <c r="AC32" s="119">
        <v>213959832.08395457</v>
      </c>
      <c r="AD32" s="119">
        <v>74439886.843752295</v>
      </c>
      <c r="AE32" s="119">
        <v>13418286.489454409</v>
      </c>
      <c r="AF32" s="119">
        <v>295992.32755121269</v>
      </c>
      <c r="AG32" s="119">
        <v>3019.5469662375485</v>
      </c>
      <c r="AH32" s="119">
        <v>0</v>
      </c>
      <c r="AI32" s="119">
        <v>1827126.5695099891</v>
      </c>
      <c r="AJ32" s="119">
        <v>6339949.3583626188</v>
      </c>
      <c r="AK32" s="119">
        <v>14842881.270220721</v>
      </c>
      <c r="AL32" s="119">
        <v>3829054.9827677817</v>
      </c>
      <c r="AM32" s="119">
        <v>1762071.5032658756</v>
      </c>
      <c r="AN32" s="119">
        <v>12282.438374665608</v>
      </c>
      <c r="AO32" s="119">
        <v>49.074364351369518</v>
      </c>
      <c r="AP32" s="119">
        <v>0</v>
      </c>
      <c r="AQ32" s="119">
        <v>22854.636713152362</v>
      </c>
      <c r="AR32" s="119">
        <v>3075.6911342564481</v>
      </c>
      <c r="AS32" s="120">
        <v>0.50503205020080799</v>
      </c>
      <c r="AT32" s="120">
        <v>0.16798194509400935</v>
      </c>
      <c r="AU32" s="120">
        <v>7.522626357079433E-2</v>
      </c>
      <c r="AV32" s="120">
        <v>2.9499755994033518E-2</v>
      </c>
      <c r="AW32" s="120">
        <v>8.500662703924676E-2</v>
      </c>
      <c r="AX32" s="120">
        <v>1.398007170744585E-2</v>
      </c>
      <c r="AY32" s="120">
        <v>1.9945967483704901E-2</v>
      </c>
      <c r="AZ32" s="120">
        <v>0.10332731890995736</v>
      </c>
      <c r="BA32" s="121">
        <v>1</v>
      </c>
    </row>
    <row r="33" spans="2:53">
      <c r="C33" s="122"/>
      <c r="L33" s="122"/>
      <c r="T33" s="123">
        <v>54118130.091164067</v>
      </c>
      <c r="AB33" s="123">
        <v>164319512.98655558</v>
      </c>
      <c r="AJ33" s="123">
        <v>310284093.21955127</v>
      </c>
      <c r="AR33" s="123">
        <v>20472269.596840803</v>
      </c>
      <c r="AZ33" s="123"/>
      <c r="BA33" s="121">
        <v>0</v>
      </c>
    </row>
    <row r="34" spans="2:53">
      <c r="C34" s="124"/>
      <c r="F34" s="125"/>
      <c r="G34" s="39" t="s">
        <v>1650</v>
      </c>
      <c r="H34" s="39"/>
      <c r="I34" s="39"/>
      <c r="J34" s="39"/>
      <c r="K34" s="39"/>
      <c r="L34" s="39"/>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6"/>
      <c r="AX34" s="126"/>
      <c r="AY34" s="126"/>
      <c r="AZ34" s="126"/>
    </row>
    <row r="35" spans="2:53">
      <c r="E35" s="14" t="s">
        <v>1591</v>
      </c>
      <c r="F35" s="127">
        <v>2882033.6396915754</v>
      </c>
      <c r="G35" s="128">
        <v>4.9089182291387777E-2</v>
      </c>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6"/>
      <c r="AX35" s="126"/>
      <c r="AY35" s="126"/>
      <c r="AZ35" s="126"/>
    </row>
    <row r="36" spans="2:53">
      <c r="E36" s="14" t="s">
        <v>32</v>
      </c>
      <c r="F36" s="127">
        <v>30357435.168775484</v>
      </c>
      <c r="G36" s="128">
        <v>0.51707296138933478</v>
      </c>
      <c r="K36" s="129"/>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row>
    <row r="37" spans="2:53">
      <c r="E37" s="14" t="s">
        <v>651</v>
      </c>
      <c r="F37" s="127">
        <v>25470689.013762552</v>
      </c>
      <c r="G37" s="128">
        <v>0.43383785631927746</v>
      </c>
      <c r="J37" s="129"/>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6"/>
      <c r="AX37" s="126"/>
      <c r="AY37" s="126"/>
      <c r="AZ37" s="126"/>
    </row>
    <row r="38" spans="2:53">
      <c r="E38" s="14" t="s">
        <v>1180</v>
      </c>
      <c r="F38" s="127">
        <v>58710157.822229609</v>
      </c>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row>
    <row r="39" spans="2:53">
      <c r="F39" s="125"/>
      <c r="M39" s="126"/>
      <c r="N39" s="126"/>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6"/>
      <c r="AX39" s="126"/>
      <c r="AY39" s="126"/>
      <c r="AZ39" s="126"/>
    </row>
    <row r="40" spans="2:53">
      <c r="F40" s="125"/>
      <c r="J40" s="130"/>
      <c r="K40" s="130"/>
      <c r="M40" s="126"/>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6"/>
      <c r="AX40" s="126"/>
      <c r="AY40" s="126"/>
      <c r="AZ40" s="126"/>
    </row>
    <row r="41" spans="2:53">
      <c r="F41" s="125"/>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row>
    <row r="42" spans="2:53">
      <c r="F42" s="125"/>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row>
    <row r="43" spans="2:53">
      <c r="F43" s="125"/>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row>
    <row r="44" spans="2:53">
      <c r="F44" s="125"/>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row>
    <row r="45" spans="2:53">
      <c r="F45" s="125"/>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row>
    <row r="46" spans="2:53">
      <c r="B46" s="131"/>
      <c r="C46" s="132"/>
      <c r="D46" s="132"/>
      <c r="E46" s="132"/>
      <c r="F46" s="132"/>
      <c r="G46" s="132"/>
      <c r="H46" s="131"/>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c r="AP46" s="126"/>
      <c r="AQ46" s="126"/>
      <c r="AR46" s="126"/>
      <c r="AS46" s="126"/>
      <c r="AT46" s="126"/>
      <c r="AU46" s="126"/>
      <c r="AV46" s="126"/>
      <c r="AW46" s="126"/>
      <c r="AX46" s="126"/>
      <c r="AY46" s="126"/>
      <c r="AZ46" s="126"/>
    </row>
    <row r="47" spans="2:53">
      <c r="B47" s="131"/>
      <c r="C47" s="135"/>
      <c r="D47" s="135"/>
      <c r="E47" s="135"/>
      <c r="F47" s="135"/>
      <c r="G47" s="135"/>
      <c r="H47" s="136"/>
      <c r="M47" s="126"/>
      <c r="N47" s="126"/>
      <c r="O47" s="126"/>
      <c r="P47" s="126"/>
      <c r="Q47" s="126"/>
      <c r="R47" s="126"/>
      <c r="S47" s="126"/>
      <c r="T47" s="126"/>
      <c r="U47" s="126"/>
      <c r="V47" s="126"/>
      <c r="W47" s="126"/>
      <c r="X47" s="126"/>
      <c r="Y47" s="126"/>
      <c r="Z47" s="126"/>
      <c r="AA47" s="126"/>
      <c r="AB47" s="126"/>
      <c r="AC47" s="126"/>
      <c r="AD47" s="126"/>
      <c r="AE47" s="126"/>
      <c r="AF47" s="126"/>
      <c r="AG47" s="126"/>
      <c r="AH47" s="126"/>
      <c r="AI47" s="126"/>
      <c r="AJ47" s="126"/>
      <c r="AK47" s="126"/>
      <c r="AL47" s="126"/>
      <c r="AM47" s="126"/>
      <c r="AN47" s="126"/>
      <c r="AO47" s="126"/>
      <c r="AP47" s="126"/>
      <c r="AQ47" s="126"/>
      <c r="AR47" s="126"/>
      <c r="AS47" s="126"/>
      <c r="AT47" s="126"/>
      <c r="AU47" s="126"/>
      <c r="AV47" s="126"/>
      <c r="AW47" s="126"/>
      <c r="AX47" s="126"/>
      <c r="AY47" s="126"/>
      <c r="AZ47" s="126"/>
    </row>
    <row r="48" spans="2:53">
      <c r="B48" s="132"/>
      <c r="C48" s="135"/>
      <c r="D48" s="135"/>
      <c r="E48" s="135"/>
      <c r="F48" s="135"/>
      <c r="G48" s="135"/>
      <c r="H48" s="13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6"/>
      <c r="AX48" s="126"/>
      <c r="AY48" s="126"/>
      <c r="AZ48" s="126"/>
    </row>
    <row r="49" spans="2:52">
      <c r="B49" s="132"/>
      <c r="C49" s="135"/>
      <c r="D49" s="135"/>
      <c r="E49" s="135"/>
      <c r="F49" s="135"/>
      <c r="G49" s="135"/>
      <c r="H49" s="13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6"/>
    </row>
    <row r="50" spans="2:52">
      <c r="B50" s="131"/>
      <c r="C50" s="131"/>
      <c r="D50" s="131"/>
      <c r="E50" s="136"/>
      <c r="F50" s="136"/>
      <c r="G50" s="131"/>
      <c r="H50" s="13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row>
    <row r="51" spans="2:52">
      <c r="F51" s="125"/>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row>
    <row r="52" spans="2:52">
      <c r="F52" s="125"/>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c r="AQ52" s="126"/>
      <c r="AR52" s="126"/>
      <c r="AS52" s="126"/>
      <c r="AT52" s="126"/>
      <c r="AU52" s="126"/>
      <c r="AV52" s="126"/>
      <c r="AW52" s="126"/>
      <c r="AX52" s="126"/>
      <c r="AY52" s="126"/>
      <c r="AZ52" s="126"/>
    </row>
    <row r="53" spans="2:52">
      <c r="F53" s="125"/>
      <c r="M53" s="126"/>
      <c r="N53" s="126"/>
      <c r="O53" s="126"/>
      <c r="P53" s="126"/>
      <c r="Q53" s="126"/>
      <c r="R53" s="126"/>
      <c r="S53" s="126"/>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c r="AP53" s="126"/>
      <c r="AQ53" s="126"/>
      <c r="AR53" s="126"/>
      <c r="AS53" s="126"/>
      <c r="AT53" s="126"/>
      <c r="AU53" s="126"/>
      <c r="AV53" s="126"/>
      <c r="AW53" s="126"/>
      <c r="AX53" s="126"/>
      <c r="AY53" s="126"/>
      <c r="AZ53" s="126"/>
    </row>
    <row r="54" spans="2:52">
      <c r="B54" s="426"/>
      <c r="F54" s="125"/>
      <c r="M54" s="126"/>
      <c r="N54" s="126"/>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6"/>
      <c r="AQ54" s="126"/>
      <c r="AR54" s="126"/>
      <c r="AS54" s="126"/>
      <c r="AT54" s="126"/>
      <c r="AU54" s="126"/>
      <c r="AV54" s="126"/>
      <c r="AW54" s="126"/>
      <c r="AX54" s="126"/>
      <c r="AY54" s="126"/>
      <c r="AZ54" s="126"/>
    </row>
    <row r="55" spans="2:52">
      <c r="B55" s="426"/>
      <c r="F55" s="125"/>
    </row>
    <row r="56" spans="2:52">
      <c r="B56" s="426"/>
      <c r="F56" s="125"/>
    </row>
    <row r="57" spans="2:52">
      <c r="B57" s="426"/>
      <c r="F57" s="125"/>
    </row>
    <row r="58" spans="2:52">
      <c r="B58" s="426"/>
      <c r="F58" s="125"/>
    </row>
    <row r="59" spans="2:52">
      <c r="F59" s="125"/>
    </row>
    <row r="60" spans="2:52">
      <c r="F60" s="125"/>
    </row>
    <row r="61" spans="2:52">
      <c r="B61" s="426"/>
      <c r="F61" s="125"/>
    </row>
    <row r="62" spans="2:52">
      <c r="B62" s="426"/>
      <c r="F62" s="125"/>
    </row>
    <row r="63" spans="2:52">
      <c r="B63" s="426"/>
      <c r="F63" s="125"/>
    </row>
    <row r="64" spans="2:52">
      <c r="B64" s="426"/>
      <c r="F64" s="125"/>
    </row>
    <row r="65" spans="2:6">
      <c r="B65" s="426"/>
      <c r="F65" s="125"/>
    </row>
  </sheetData>
  <mergeCells count="12">
    <mergeCell ref="AS3:AZ3"/>
    <mergeCell ref="A5:A6"/>
    <mergeCell ref="A7:A14"/>
    <mergeCell ref="A15:A21"/>
    <mergeCell ref="A23:A25"/>
    <mergeCell ref="AC3:AJ3"/>
    <mergeCell ref="AK3:AR3"/>
    <mergeCell ref="A26:A30"/>
    <mergeCell ref="C3:E3"/>
    <mergeCell ref="F3:L3"/>
    <mergeCell ref="M3:T3"/>
    <mergeCell ref="U3:AB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AD80-DDC1-47BD-8E66-208BA23C58F0}">
  <sheetPr>
    <tabColor theme="4" tint="0.59999389629810485"/>
  </sheetPr>
  <dimension ref="B1:AJ236"/>
  <sheetViews>
    <sheetView workbookViewId="0"/>
  </sheetViews>
  <sheetFormatPr defaultColWidth="9" defaultRowHeight="14.45"/>
  <cols>
    <col min="1" max="1" width="3.625" style="366" customWidth="1"/>
    <col min="2" max="2" width="18.625" style="543" customWidth="1"/>
    <col min="3" max="3" width="62.25" style="543" customWidth="1"/>
    <col min="4" max="12" width="9" style="366"/>
    <col min="13" max="13" width="10.25" style="366" customWidth="1"/>
    <col min="14" max="14" width="9.5" style="366" customWidth="1"/>
    <col min="15" max="16384" width="9" style="366"/>
  </cols>
  <sheetData>
    <row r="1" spans="2:15" ht="75" customHeight="1">
      <c r="B1" s="1383"/>
      <c r="C1" s="1384"/>
      <c r="D1" s="1385" t="s">
        <v>755</v>
      </c>
      <c r="E1" s="1386"/>
      <c r="F1" s="1387"/>
      <c r="G1" s="1387"/>
      <c r="H1" s="1387"/>
      <c r="I1" s="1387"/>
      <c r="J1" s="1387"/>
      <c r="K1" s="1387"/>
      <c r="L1" s="1387"/>
      <c r="M1" s="1387"/>
      <c r="N1" s="1387"/>
      <c r="O1" s="542"/>
    </row>
    <row r="2" spans="2:15" ht="11.25" customHeight="1"/>
    <row r="3" spans="2:15" ht="30" customHeight="1">
      <c r="B3" s="1512" t="s">
        <v>1487</v>
      </c>
      <c r="C3" s="1512"/>
      <c r="D3" s="1512"/>
      <c r="E3" s="1512"/>
      <c r="F3" s="1512"/>
      <c r="G3" s="1512"/>
      <c r="H3" s="1512"/>
      <c r="I3" s="1512"/>
      <c r="J3" s="1512"/>
      <c r="K3" s="1512"/>
      <c r="L3" s="1512"/>
      <c r="M3" s="1512"/>
      <c r="N3" s="1512"/>
    </row>
    <row r="4" spans="2:15">
      <c r="B4" s="544" t="s">
        <v>1488</v>
      </c>
    </row>
    <row r="5" spans="2:15" ht="11.25" customHeight="1"/>
    <row r="6" spans="2:15" ht="15" thickBot="1">
      <c r="B6" s="545" t="s">
        <v>1489</v>
      </c>
    </row>
    <row r="7" spans="2:15">
      <c r="B7" s="546"/>
      <c r="C7" s="547"/>
      <c r="D7" s="1513" t="s">
        <v>1490</v>
      </c>
      <c r="E7" s="1514"/>
      <c r="F7" s="1514"/>
      <c r="G7" s="1514"/>
      <c r="H7" s="1514"/>
      <c r="I7" s="1514"/>
      <c r="J7" s="1514"/>
      <c r="K7" s="1515"/>
      <c r="L7" s="1513" t="s">
        <v>1491</v>
      </c>
      <c r="M7" s="1514"/>
      <c r="N7" s="1515"/>
    </row>
    <row r="8" spans="2:15" ht="29.45" thickBot="1">
      <c r="B8" s="548" t="s">
        <v>1492</v>
      </c>
      <c r="C8" s="549" t="s">
        <v>1493</v>
      </c>
      <c r="D8" s="550">
        <v>2005</v>
      </c>
      <c r="E8" s="550">
        <v>2010</v>
      </c>
      <c r="F8" s="550">
        <v>2015</v>
      </c>
      <c r="G8" s="551">
        <v>2020</v>
      </c>
      <c r="H8" s="550">
        <v>2025</v>
      </c>
      <c r="I8" s="551">
        <v>2030</v>
      </c>
      <c r="J8" s="550">
        <v>2035</v>
      </c>
      <c r="K8" s="551">
        <v>2040</v>
      </c>
      <c r="L8" s="552">
        <v>2045</v>
      </c>
      <c r="M8" s="551">
        <v>2050</v>
      </c>
      <c r="N8" s="549">
        <v>2055</v>
      </c>
    </row>
    <row r="9" spans="2:15">
      <c r="B9" s="1516" t="s">
        <v>816</v>
      </c>
      <c r="C9" s="553" t="s">
        <v>1494</v>
      </c>
      <c r="D9" s="554">
        <v>474.05392456054699</v>
      </c>
      <c r="E9" s="555">
        <v>555.158142</v>
      </c>
      <c r="F9" s="556">
        <v>624.38342299999999</v>
      </c>
      <c r="G9" s="557">
        <v>698.30908199999999</v>
      </c>
      <c r="H9" s="556">
        <v>763.49041699999998</v>
      </c>
      <c r="I9" s="557">
        <v>827.59405500000003</v>
      </c>
      <c r="J9" s="556">
        <v>893.85522500000002</v>
      </c>
      <c r="K9" s="557">
        <v>963.15045199999997</v>
      </c>
      <c r="L9" s="558">
        <v>1035.2836796098636</v>
      </c>
      <c r="M9" s="554">
        <v>1104.2357550631532</v>
      </c>
      <c r="N9" s="559">
        <v>1173.1878305164391</v>
      </c>
    </row>
    <row r="10" spans="2:15">
      <c r="B10" s="1517"/>
      <c r="C10" s="560" t="s">
        <v>1495</v>
      </c>
      <c r="D10" s="561">
        <v>1071.72741699219</v>
      </c>
      <c r="E10" s="562">
        <v>1148.7</v>
      </c>
      <c r="F10" s="563">
        <v>1199.292725</v>
      </c>
      <c r="G10" s="564">
        <v>1294.2116699999999</v>
      </c>
      <c r="H10" s="563">
        <v>1370.3057859999999</v>
      </c>
      <c r="I10" s="564">
        <v>1442.165649</v>
      </c>
      <c r="J10" s="563">
        <v>1511.2280270000001</v>
      </c>
      <c r="K10" s="564">
        <v>1585.314453</v>
      </c>
      <c r="L10" s="565">
        <v>1660.6786948948102</v>
      </c>
      <c r="M10" s="561">
        <v>1734.6365791216485</v>
      </c>
      <c r="N10" s="566">
        <v>1808.5944633484905</v>
      </c>
    </row>
    <row r="11" spans="2:15" ht="28.9">
      <c r="B11" s="1517"/>
      <c r="C11" s="560" t="s">
        <v>1496</v>
      </c>
      <c r="D11" s="561">
        <v>2.2607712745666499</v>
      </c>
      <c r="E11" s="562">
        <v>2.0691401478175564</v>
      </c>
      <c r="F11" s="563">
        <v>1.9207639999999999</v>
      </c>
      <c r="G11" s="563">
        <v>1.853351</v>
      </c>
      <c r="H11" s="563">
        <v>1.794791</v>
      </c>
      <c r="I11" s="563">
        <v>1.7425999999999999</v>
      </c>
      <c r="J11" s="563">
        <v>1.690685</v>
      </c>
      <c r="K11" s="564">
        <v>1.6459680000000001</v>
      </c>
      <c r="L11" s="565">
        <v>1.6040808211336051</v>
      </c>
      <c r="M11" s="561">
        <v>1.5708933270526471</v>
      </c>
      <c r="N11" s="566">
        <v>1.5416069075250673</v>
      </c>
    </row>
    <row r="12" spans="2:15">
      <c r="B12" s="1517"/>
      <c r="C12" s="560" t="s">
        <v>1497</v>
      </c>
      <c r="D12" s="561"/>
      <c r="E12" s="562">
        <v>1211.8785</v>
      </c>
      <c r="F12" s="567">
        <v>1265.2543271554064</v>
      </c>
      <c r="G12" s="562">
        <v>1415.0577275854735</v>
      </c>
      <c r="H12" s="562">
        <v>1547.1415772211101</v>
      </c>
      <c r="I12" s="562">
        <v>1677.041575168211</v>
      </c>
      <c r="J12" s="562">
        <v>1811.3136089484544</v>
      </c>
      <c r="K12" s="568">
        <v>1951.7338740985208</v>
      </c>
      <c r="L12" s="565">
        <v>2097.9050807691788</v>
      </c>
      <c r="M12" s="568">
        <v>2237.6299815592188</v>
      </c>
      <c r="N12" s="569">
        <v>2377.3548823492515</v>
      </c>
    </row>
    <row r="13" spans="2:15">
      <c r="B13" s="1517"/>
      <c r="C13" s="560" t="s">
        <v>1498</v>
      </c>
      <c r="D13" s="561"/>
      <c r="E13" s="562">
        <v>1020.9886241416605</v>
      </c>
      <c r="F13" s="567">
        <v>1065.9569211531359</v>
      </c>
      <c r="G13" s="567">
        <v>1192.1639358801374</v>
      </c>
      <c r="H13" s="567">
        <v>1303.4425070494606</v>
      </c>
      <c r="I13" s="567">
        <v>1412.8812174317432</v>
      </c>
      <c r="J13" s="567">
        <v>1526.0032994143785</v>
      </c>
      <c r="K13" s="570">
        <v>1644.3051698718323</v>
      </c>
      <c r="L13" s="571">
        <v>1767.4521183388622</v>
      </c>
      <c r="M13" s="567">
        <v>1885.1681552319608</v>
      </c>
      <c r="N13" s="572">
        <v>2002.8841921250532</v>
      </c>
    </row>
    <row r="14" spans="2:15">
      <c r="B14" s="1517"/>
      <c r="C14" s="560" t="s">
        <v>1499</v>
      </c>
      <c r="D14" s="561"/>
      <c r="E14" s="562">
        <v>1211.8785</v>
      </c>
      <c r="F14" s="567">
        <v>1265.253824875</v>
      </c>
      <c r="G14" s="568">
        <v>1365.3933118499999</v>
      </c>
      <c r="H14" s="562">
        <v>1445.6726042299997</v>
      </c>
      <c r="I14" s="568">
        <v>1521.4847596949999</v>
      </c>
      <c r="J14" s="562">
        <v>1594.3455684850001</v>
      </c>
      <c r="K14" s="568">
        <v>1672.5067479149998</v>
      </c>
      <c r="L14" s="565">
        <v>1752.0160231140246</v>
      </c>
      <c r="M14" s="568">
        <v>1830.041590973339</v>
      </c>
      <c r="N14" s="569">
        <v>1908.0671588326575</v>
      </c>
    </row>
    <row r="15" spans="2:15" ht="15" thickBot="1">
      <c r="B15" s="1518"/>
      <c r="C15" s="560" t="s">
        <v>1500</v>
      </c>
      <c r="D15" s="573"/>
      <c r="E15" s="574">
        <v>1</v>
      </c>
      <c r="F15" s="574">
        <v>0.99999960302020263</v>
      </c>
      <c r="G15" s="568">
        <v>0.96490290483045071</v>
      </c>
      <c r="H15" s="562">
        <v>0.93441519865727907</v>
      </c>
      <c r="I15" s="568">
        <v>0.90724331598183039</v>
      </c>
      <c r="J15" s="562">
        <v>0.88021508843550644</v>
      </c>
      <c r="K15" s="568">
        <v>0.85693381157690252</v>
      </c>
      <c r="L15" s="575">
        <v>0.83512645027374788</v>
      </c>
      <c r="M15" s="576">
        <v>0.81784817242131103</v>
      </c>
      <c r="N15" s="577">
        <v>0.80260089606274776</v>
      </c>
    </row>
    <row r="16" spans="2:15">
      <c r="B16" s="1519" t="s">
        <v>1501</v>
      </c>
      <c r="C16" s="578" t="s">
        <v>1494</v>
      </c>
      <c r="D16" s="579">
        <v>153.66319274902301</v>
      </c>
      <c r="E16" s="580">
        <v>141.57605000000001</v>
      </c>
      <c r="F16" s="581">
        <v>145.05102500000001</v>
      </c>
      <c r="G16" s="582">
        <v>161.20468099999999</v>
      </c>
      <c r="H16" s="581">
        <v>178.025375</v>
      </c>
      <c r="I16" s="582">
        <v>192.435776</v>
      </c>
      <c r="J16" s="581">
        <v>206.46096800000001</v>
      </c>
      <c r="K16" s="583">
        <v>221.61811800000001</v>
      </c>
      <c r="L16" s="584">
        <v>226.38389895560158</v>
      </c>
      <c r="M16" s="579">
        <v>237.80156578604056</v>
      </c>
      <c r="N16" s="585">
        <v>249.21923261647862</v>
      </c>
    </row>
    <row r="17" spans="2:14">
      <c r="B17" s="1520"/>
      <c r="C17" s="586" t="s">
        <v>1495</v>
      </c>
      <c r="D17" s="587">
        <v>2239.73071289063</v>
      </c>
      <c r="E17" s="588">
        <v>1991.767212</v>
      </c>
      <c r="F17" s="589">
        <v>2061.9201659999999</v>
      </c>
      <c r="G17" s="590">
        <v>2216.056885</v>
      </c>
      <c r="H17" s="589">
        <v>2389.0192870000001</v>
      </c>
      <c r="I17" s="590">
        <v>2553.6560060000002</v>
      </c>
      <c r="J17" s="589">
        <v>2735.857422</v>
      </c>
      <c r="K17" s="591">
        <v>2922.0390619999998</v>
      </c>
      <c r="L17" s="592">
        <v>2932.2261699559167</v>
      </c>
      <c r="M17" s="587">
        <v>3052.9973534769306</v>
      </c>
      <c r="N17" s="593">
        <v>3173.7685369979517</v>
      </c>
    </row>
    <row r="18" spans="2:14" ht="28.9">
      <c r="B18" s="1520"/>
      <c r="C18" s="586" t="s">
        <v>1496</v>
      </c>
      <c r="D18" s="587">
        <v>14.575585365295399</v>
      </c>
      <c r="E18" s="588">
        <v>14.068531999999999</v>
      </c>
      <c r="F18" s="589">
        <v>14.215137</v>
      </c>
      <c r="G18" s="590">
        <v>13.746852000000001</v>
      </c>
      <c r="H18" s="589">
        <v>13.419543000000001</v>
      </c>
      <c r="I18" s="590">
        <v>13.270173</v>
      </c>
      <c r="J18" s="589">
        <v>13.251208</v>
      </c>
      <c r="K18" s="591">
        <v>13.185019</v>
      </c>
      <c r="L18" s="592">
        <v>12.952450167540338</v>
      </c>
      <c r="M18" s="587">
        <v>12.838424101142516</v>
      </c>
      <c r="N18" s="593">
        <v>12.734845957422706</v>
      </c>
    </row>
    <row r="19" spans="2:14">
      <c r="B19" s="1520"/>
      <c r="C19" s="586" t="s">
        <v>1497</v>
      </c>
      <c r="D19" s="587"/>
      <c r="E19" s="588">
        <v>2101.3143853008228</v>
      </c>
      <c r="F19" s="588">
        <v>2175.3258029455233</v>
      </c>
      <c r="G19" s="588">
        <v>2417.5816898563935</v>
      </c>
      <c r="H19" s="588">
        <v>2669.8411253319505</v>
      </c>
      <c r="I19" s="588">
        <v>2885.9534701160842</v>
      </c>
      <c r="J19" s="588">
        <v>3096.28884726261</v>
      </c>
      <c r="K19" s="594">
        <v>3323.6001640500353</v>
      </c>
      <c r="L19" s="592">
        <v>3395.0724358516754</v>
      </c>
      <c r="M19" s="587">
        <v>3566.3028374685482</v>
      </c>
      <c r="N19" s="593">
        <v>3737.5332390854082</v>
      </c>
    </row>
    <row r="20" spans="2:14">
      <c r="B20" s="1520"/>
      <c r="C20" s="586" t="s">
        <v>1502</v>
      </c>
      <c r="D20" s="587"/>
      <c r="E20" s="588">
        <v>248.19468555354138</v>
      </c>
      <c r="F20" s="588">
        <v>244.73734451034423</v>
      </c>
      <c r="G20" s="588">
        <v>271.99260088356596</v>
      </c>
      <c r="H20" s="588">
        <v>300.37331713414795</v>
      </c>
      <c r="I20" s="588">
        <v>324.68726647762355</v>
      </c>
      <c r="J20" s="588">
        <v>348.35127192899989</v>
      </c>
      <c r="K20" s="588">
        <v>373.92517353600311</v>
      </c>
      <c r="L20" s="592">
        <v>381.96623753808029</v>
      </c>
      <c r="M20" s="587">
        <v>401.2306961007514</v>
      </c>
      <c r="N20" s="593">
        <v>420.49515466342103</v>
      </c>
    </row>
    <row r="21" spans="2:14">
      <c r="B21" s="1520"/>
      <c r="C21" s="586" t="s">
        <v>883</v>
      </c>
      <c r="D21" s="587"/>
      <c r="E21" s="588">
        <v>933.62670841738793</v>
      </c>
      <c r="F21" s="588">
        <v>920.62132947126963</v>
      </c>
      <c r="G21" s="588">
        <v>1023.146632291719</v>
      </c>
      <c r="H21" s="588">
        <v>1129.9055447013995</v>
      </c>
      <c r="I21" s="588">
        <v>1221.3666186706055</v>
      </c>
      <c r="J21" s="588">
        <v>1310.3828176607872</v>
      </c>
      <c r="K21" s="588">
        <v>1406.5834173049154</v>
      </c>
      <c r="L21" s="592">
        <v>1436.8312531910444</v>
      </c>
      <c r="M21" s="587">
        <v>1509.2978049916865</v>
      </c>
      <c r="N21" s="593">
        <v>1581.764356792323</v>
      </c>
    </row>
    <row r="22" spans="2:14">
      <c r="B22" s="1520"/>
      <c r="C22" s="586" t="s">
        <v>1503</v>
      </c>
      <c r="D22" s="587"/>
      <c r="E22" s="588">
        <v>854.85136572265901</v>
      </c>
      <c r="F22" s="588">
        <v>842.94332383225958</v>
      </c>
      <c r="G22" s="588">
        <v>936.81798952788586</v>
      </c>
      <c r="H22" s="588">
        <v>1034.5690513320014</v>
      </c>
      <c r="I22" s="588">
        <v>1118.3130394678712</v>
      </c>
      <c r="J22" s="588">
        <v>1199.8184404939282</v>
      </c>
      <c r="K22" s="588">
        <v>1287.9020538349862</v>
      </c>
      <c r="L22" s="592">
        <v>1315.5977094801033</v>
      </c>
      <c r="M22" s="587">
        <v>1381.9498502420147</v>
      </c>
      <c r="N22" s="593">
        <v>1448.3019910039213</v>
      </c>
    </row>
    <row r="23" spans="2:14">
      <c r="B23" s="1520"/>
      <c r="C23" s="586" t="s">
        <v>1504</v>
      </c>
      <c r="D23" s="587"/>
      <c r="E23" s="588">
        <v>169.38330714319585</v>
      </c>
      <c r="F23" s="588">
        <v>167.02380513164971</v>
      </c>
      <c r="G23" s="588">
        <v>185.62446715322253</v>
      </c>
      <c r="H23" s="588">
        <v>204.99321216440123</v>
      </c>
      <c r="I23" s="588">
        <v>221.58654549998386</v>
      </c>
      <c r="J23" s="588">
        <v>237.73631717889461</v>
      </c>
      <c r="K23" s="588">
        <v>255.1895193741303</v>
      </c>
      <c r="L23" s="592">
        <v>260.6772356424471</v>
      </c>
      <c r="M23" s="587">
        <v>273.82448613409537</v>
      </c>
      <c r="N23" s="593">
        <v>286.97173662574261</v>
      </c>
    </row>
    <row r="24" spans="2:14">
      <c r="B24" s="1520"/>
      <c r="C24" s="586" t="s">
        <v>1498</v>
      </c>
      <c r="D24" s="587"/>
      <c r="E24" s="588"/>
      <c r="F24" s="588"/>
      <c r="G24" s="595"/>
      <c r="H24" s="588"/>
      <c r="I24" s="595"/>
      <c r="J24" s="588"/>
      <c r="K24" s="593"/>
      <c r="L24" s="592"/>
      <c r="M24" s="587"/>
      <c r="N24" s="593"/>
    </row>
    <row r="25" spans="2:14">
      <c r="B25" s="1520"/>
      <c r="C25" s="586" t="s">
        <v>1502</v>
      </c>
      <c r="D25" s="587"/>
      <c r="E25" s="588">
        <v>204.35891651253638</v>
      </c>
      <c r="F25" s="588">
        <v>201.51220580224731</v>
      </c>
      <c r="G25" s="588">
        <v>223.95368012020344</v>
      </c>
      <c r="H25" s="588">
        <v>247.32183729844206</v>
      </c>
      <c r="I25" s="588">
        <v>267.34149377453326</v>
      </c>
      <c r="J25" s="588">
        <v>286.82599846328009</v>
      </c>
      <c r="K25" s="588">
        <v>307.88307634449831</v>
      </c>
      <c r="L25" s="592">
        <v>314.50393981467107</v>
      </c>
      <c r="M25" s="587">
        <v>330.36593891544896</v>
      </c>
      <c r="N25" s="593">
        <v>346.22793801622561</v>
      </c>
    </row>
    <row r="26" spans="2:14">
      <c r="B26" s="1520"/>
      <c r="C26" s="586" t="s">
        <v>883</v>
      </c>
      <c r="D26" s="587"/>
      <c r="E26" s="588">
        <v>724.3327123082413</v>
      </c>
      <c r="F26" s="588">
        <v>714.24278951393001</v>
      </c>
      <c r="G26" s="588">
        <v>793.7846770827249</v>
      </c>
      <c r="H26" s="588">
        <v>876.61111284296999</v>
      </c>
      <c r="I26" s="588">
        <v>947.56907407250526</v>
      </c>
      <c r="J26" s="588">
        <v>1016.630235533091</v>
      </c>
      <c r="K26" s="588">
        <v>1091.2652482610677</v>
      </c>
      <c r="L26" s="592">
        <v>1114.7323329227668</v>
      </c>
      <c r="M26" s="587">
        <v>1170.9538329550028</v>
      </c>
      <c r="N26" s="593">
        <v>1227.1753329872349</v>
      </c>
    </row>
    <row r="27" spans="2:14">
      <c r="B27" s="1520"/>
      <c r="C27" s="586" t="s">
        <v>1503</v>
      </c>
      <c r="D27" s="587"/>
      <c r="E27" s="588">
        <v>683.45326282221049</v>
      </c>
      <c r="F27" s="588">
        <v>673.93278895955598</v>
      </c>
      <c r="G27" s="588">
        <v>748.98553981032228</v>
      </c>
      <c r="H27" s="588">
        <v>827.13746751752217</v>
      </c>
      <c r="I27" s="588">
        <v>894.09074644785449</v>
      </c>
      <c r="J27" s="588">
        <v>959.25427604203173</v>
      </c>
      <c r="K27" s="588">
        <v>1029.6770832726484</v>
      </c>
      <c r="L27" s="592">
        <v>1051.8197468696749</v>
      </c>
      <c r="M27" s="587">
        <v>1104.8682520453449</v>
      </c>
      <c r="N27" s="593">
        <v>1157.9167572210108</v>
      </c>
    </row>
    <row r="28" spans="2:14">
      <c r="B28" s="1520"/>
      <c r="C28" s="586" t="s">
        <v>1504</v>
      </c>
      <c r="D28" s="587"/>
      <c r="E28" s="588">
        <v>157.32286337235578</v>
      </c>
      <c r="F28" s="588">
        <v>155.13136281158648</v>
      </c>
      <c r="G28" s="588">
        <v>172.4076190094973</v>
      </c>
      <c r="H28" s="588">
        <v>190.3972690906096</v>
      </c>
      <c r="I28" s="588">
        <v>205.80912258003823</v>
      </c>
      <c r="J28" s="588">
        <v>220.80899692531889</v>
      </c>
      <c r="K28" s="588">
        <v>237.01949482314237</v>
      </c>
      <c r="L28" s="592">
        <v>242.11647427919226</v>
      </c>
      <c r="M28" s="587">
        <v>254.32761319072108</v>
      </c>
      <c r="N28" s="593">
        <v>266.53875210224896</v>
      </c>
    </row>
    <row r="29" spans="2:14">
      <c r="B29" s="1520"/>
      <c r="C29" s="586" t="s">
        <v>1499</v>
      </c>
      <c r="D29" s="587"/>
      <c r="E29" s="588">
        <v>2101.31440866</v>
      </c>
      <c r="F29" s="588">
        <v>2175.3257751299998</v>
      </c>
      <c r="G29" s="595">
        <v>2337.940013675</v>
      </c>
      <c r="H29" s="588">
        <v>2520.415347785</v>
      </c>
      <c r="I29" s="595">
        <v>2694.1070863300001</v>
      </c>
      <c r="J29" s="588">
        <v>2886.3295802099997</v>
      </c>
      <c r="K29" s="593">
        <v>3082.7512104099997</v>
      </c>
      <c r="L29" s="592">
        <v>3093.4986093034918</v>
      </c>
      <c r="M29" s="587">
        <v>3220.9122079181616</v>
      </c>
      <c r="N29" s="593">
        <v>3348.3258065328387</v>
      </c>
    </row>
    <row r="30" spans="2:14" ht="15" thickBot="1">
      <c r="B30" s="1520"/>
      <c r="C30" s="586" t="s">
        <v>1500</v>
      </c>
      <c r="D30" s="596"/>
      <c r="E30" s="597">
        <v>1.00000001111646</v>
      </c>
      <c r="F30" s="597">
        <v>0.99999998721316896</v>
      </c>
      <c r="G30" s="598">
        <v>0.96705729675421048</v>
      </c>
      <c r="H30" s="599">
        <v>0.9440319590071593</v>
      </c>
      <c r="I30" s="598">
        <v>0.93352408977738399</v>
      </c>
      <c r="J30" s="599">
        <v>0.93219002573411947</v>
      </c>
      <c r="K30" s="600">
        <v>0.92753371592491896</v>
      </c>
      <c r="L30" s="601">
        <v>0.91117308032559485</v>
      </c>
      <c r="M30" s="598">
        <v>0.90315162640659152</v>
      </c>
      <c r="N30" s="602">
        <v>0.89586515820584101</v>
      </c>
    </row>
    <row r="31" spans="2:14" ht="18">
      <c r="B31" s="1521" t="s">
        <v>788</v>
      </c>
      <c r="C31" s="603" t="s">
        <v>1494</v>
      </c>
      <c r="D31" s="604">
        <v>224.15490722656301</v>
      </c>
      <c r="E31" s="605">
        <v>301.88516199999998</v>
      </c>
      <c r="F31" s="606">
        <v>315.14694200000002</v>
      </c>
      <c r="G31" s="607">
        <v>397.13443000000001</v>
      </c>
      <c r="H31" s="606">
        <v>444.06924400000003</v>
      </c>
      <c r="I31" s="607">
        <v>459.27142300000003</v>
      </c>
      <c r="J31" s="606">
        <v>455.50756799999999</v>
      </c>
      <c r="K31" s="608">
        <v>448.54836999999998</v>
      </c>
      <c r="L31" s="609">
        <v>475.18606820000059</v>
      </c>
      <c r="M31" s="609">
        <v>486.61268860000018</v>
      </c>
      <c r="N31" s="609">
        <v>498.03930899999978</v>
      </c>
    </row>
    <row r="32" spans="2:14">
      <c r="B32" s="1522"/>
      <c r="C32" s="610" t="s">
        <v>1497</v>
      </c>
      <c r="D32" s="611">
        <v>7242.1597155312929</v>
      </c>
      <c r="E32" s="612">
        <v>5792.608883731129</v>
      </c>
      <c r="F32" s="612">
        <v>6183.12402071407</v>
      </c>
      <c r="G32" s="613">
        <v>7791.7031909057532</v>
      </c>
      <c r="H32" s="612">
        <v>8712.555457500639</v>
      </c>
      <c r="I32" s="613">
        <v>9010.8193643168288</v>
      </c>
      <c r="J32" s="612">
        <v>8936.9732336411107</v>
      </c>
      <c r="K32" s="614">
        <v>8800.4350713298118</v>
      </c>
      <c r="L32" s="615">
        <v>9323.0617246354159</v>
      </c>
      <c r="M32" s="612">
        <v>9547.2498783342671</v>
      </c>
      <c r="N32" s="614">
        <v>9771.4380320331184</v>
      </c>
    </row>
    <row r="33" spans="2:14">
      <c r="B33" s="1522"/>
      <c r="C33" s="610" t="s">
        <v>1505</v>
      </c>
      <c r="D33" s="611"/>
      <c r="E33" s="612">
        <v>3130.9217367050533</v>
      </c>
      <c r="F33" s="612">
        <v>3382.5002467663494</v>
      </c>
      <c r="G33" s="612">
        <v>4262.4792706204125</v>
      </c>
      <c r="H33" s="612">
        <v>4766.2348169361139</v>
      </c>
      <c r="I33" s="612">
        <v>4929.4011605235009</v>
      </c>
      <c r="J33" s="612">
        <v>4889.0033689869651</v>
      </c>
      <c r="K33" s="612">
        <v>4814.3096759341033</v>
      </c>
      <c r="L33" s="615">
        <v>5100.2144674036945</v>
      </c>
      <c r="M33" s="612">
        <v>5222.8574036715136</v>
      </c>
      <c r="N33" s="614">
        <v>5345.5003399393327</v>
      </c>
    </row>
    <row r="34" spans="2:14">
      <c r="B34" s="1522"/>
      <c r="C34" s="610" t="s">
        <v>1506</v>
      </c>
      <c r="D34" s="611"/>
      <c r="E34" s="612">
        <v>615.62583864413671</v>
      </c>
      <c r="F34" s="612">
        <v>665.09313430522843</v>
      </c>
      <c r="G34" s="612">
        <v>838.1213573356531</v>
      </c>
      <c r="H34" s="612">
        <v>937.17363546720776</v>
      </c>
      <c r="I34" s="612">
        <v>969.25665304374877</v>
      </c>
      <c r="J34" s="612">
        <v>961.31332951621016</v>
      </c>
      <c r="K34" s="612">
        <v>946.62648286398826</v>
      </c>
      <c r="L34" s="615">
        <v>1002.8432751770646</v>
      </c>
      <c r="M34" s="612">
        <v>1026.9582696876309</v>
      </c>
      <c r="N34" s="614">
        <v>1051.0732641981974</v>
      </c>
    </row>
    <row r="35" spans="2:14">
      <c r="B35" s="1522"/>
      <c r="C35" s="610" t="s">
        <v>1507</v>
      </c>
      <c r="D35" s="611"/>
      <c r="E35" s="612">
        <v>1557.5782230669624</v>
      </c>
      <c r="F35" s="612">
        <v>1682.7340850194523</v>
      </c>
      <c r="G35" s="612">
        <v>2120.5080952229951</v>
      </c>
      <c r="H35" s="612">
        <v>2371.117575329733</v>
      </c>
      <c r="I35" s="612">
        <v>2452.2899472002077</v>
      </c>
      <c r="J35" s="612">
        <v>2432.192759966289</v>
      </c>
      <c r="K35" s="612">
        <v>2395.0339679288932</v>
      </c>
      <c r="L35" s="615">
        <v>2537.2665481441318</v>
      </c>
      <c r="M35" s="612">
        <v>2598.279241148965</v>
      </c>
      <c r="N35" s="614">
        <v>2659.2919341537981</v>
      </c>
    </row>
    <row r="36" spans="2:14">
      <c r="B36" s="1522"/>
      <c r="C36" s="610" t="s">
        <v>1508</v>
      </c>
      <c r="D36" s="611"/>
      <c r="E36" s="612">
        <v>419.11913429414074</v>
      </c>
      <c r="F36" s="612">
        <v>452.79655462303896</v>
      </c>
      <c r="G36" s="612">
        <v>570.59446772669128</v>
      </c>
      <c r="H36" s="612">
        <v>638.02942976758322</v>
      </c>
      <c r="I36" s="612">
        <v>659.87160354937009</v>
      </c>
      <c r="J36" s="612">
        <v>654.46377517164558</v>
      </c>
      <c r="K36" s="612">
        <v>644.46494460282622</v>
      </c>
      <c r="L36" s="615">
        <v>682.73743391052369</v>
      </c>
      <c r="M36" s="612">
        <v>699.1549638261564</v>
      </c>
      <c r="N36" s="614">
        <v>715.572493741789</v>
      </c>
    </row>
    <row r="37" spans="2:14">
      <c r="B37" s="1522"/>
      <c r="C37" s="610" t="s">
        <v>1498</v>
      </c>
      <c r="D37" s="611"/>
      <c r="E37" s="612"/>
      <c r="F37" s="612"/>
      <c r="G37" s="613"/>
      <c r="H37" s="612"/>
      <c r="I37" s="613"/>
      <c r="J37" s="612"/>
      <c r="K37" s="614"/>
      <c r="L37" s="615"/>
      <c r="M37" s="612"/>
      <c r="N37" s="614"/>
    </row>
    <row r="38" spans="2:14">
      <c r="B38" s="1522"/>
      <c r="C38" s="610" t="s">
        <v>1505</v>
      </c>
      <c r="D38" s="611"/>
      <c r="E38" s="612">
        <v>2915.3822325219985</v>
      </c>
      <c r="F38" s="612">
        <v>3149.6415273866896</v>
      </c>
      <c r="G38" s="612">
        <v>3969.0408694590546</v>
      </c>
      <c r="H38" s="612">
        <v>4438.1167815285744</v>
      </c>
      <c r="I38" s="612">
        <v>4590.0503969439706</v>
      </c>
      <c r="J38" s="612">
        <v>4552.4336777848739</v>
      </c>
      <c r="K38" s="612">
        <v>4482.8820620242914</v>
      </c>
      <c r="L38" s="615">
        <v>4749.1045419641896</v>
      </c>
      <c r="M38" s="612">
        <v>4863.304470102863</v>
      </c>
      <c r="N38" s="614">
        <v>4977.5043982415364</v>
      </c>
    </row>
    <row r="39" spans="2:14">
      <c r="B39" s="1522"/>
      <c r="C39" s="610" t="s">
        <v>1506</v>
      </c>
      <c r="D39" s="611"/>
      <c r="E39" s="612">
        <v>551.70360203743724</v>
      </c>
      <c r="F39" s="612">
        <v>596.03456329043127</v>
      </c>
      <c r="G39" s="612">
        <v>751.09675838975568</v>
      </c>
      <c r="H39" s="612">
        <v>839.86414793849394</v>
      </c>
      <c r="I39" s="612">
        <v>868.61589169277102</v>
      </c>
      <c r="J39" s="612">
        <v>861.4973467467961</v>
      </c>
      <c r="K39" s="612">
        <v>848.33547846256681</v>
      </c>
      <c r="L39" s="615">
        <v>898.71511633225509</v>
      </c>
      <c r="M39" s="612">
        <v>920.32618022764666</v>
      </c>
      <c r="N39" s="614">
        <v>941.93724412303834</v>
      </c>
    </row>
    <row r="40" spans="2:14">
      <c r="B40" s="1522"/>
      <c r="C40" s="610" t="s">
        <v>1507</v>
      </c>
      <c r="D40" s="611"/>
      <c r="E40" s="612">
        <v>1442.0294627072517</v>
      </c>
      <c r="F40" s="612">
        <v>1557.9006515138333</v>
      </c>
      <c r="G40" s="612">
        <v>1963.1984473946595</v>
      </c>
      <c r="H40" s="612">
        <v>2195.2164922001862</v>
      </c>
      <c r="I40" s="612">
        <v>2270.3671010502312</v>
      </c>
      <c r="J40" s="612">
        <v>2251.7608213272201</v>
      </c>
      <c r="K40" s="612">
        <v>2217.3586499800717</v>
      </c>
      <c r="L40" s="615">
        <v>2349.0397226798336</v>
      </c>
      <c r="M40" s="612">
        <v>2405.5261961096176</v>
      </c>
      <c r="N40" s="614">
        <v>2462.0126695394015</v>
      </c>
    </row>
    <row r="41" spans="2:14">
      <c r="B41" s="1522"/>
      <c r="C41" s="610" t="s">
        <v>1508</v>
      </c>
      <c r="D41" s="611"/>
      <c r="E41" s="612">
        <v>407.81898498538715</v>
      </c>
      <c r="F41" s="612">
        <v>440.58840602026333</v>
      </c>
      <c r="G41" s="612">
        <v>555.21029136137349</v>
      </c>
      <c r="H41" s="612">
        <v>620.82709460840465</v>
      </c>
      <c r="I41" s="612">
        <v>642.08036703788832</v>
      </c>
      <c r="J41" s="612">
        <v>636.81834271229172</v>
      </c>
      <c r="K41" s="612">
        <v>627.08909725447154</v>
      </c>
      <c r="L41" s="615">
        <v>664.32969656191165</v>
      </c>
      <c r="M41" s="612">
        <v>680.30458255091946</v>
      </c>
      <c r="N41" s="614">
        <v>696.27946853992717</v>
      </c>
    </row>
    <row r="42" spans="2:14">
      <c r="B42" s="1522"/>
      <c r="C42" s="610" t="s">
        <v>1500</v>
      </c>
      <c r="D42" s="616"/>
      <c r="E42" s="617">
        <v>1.0000000401880873</v>
      </c>
      <c r="F42" s="617">
        <v>0.99999999039578225</v>
      </c>
      <c r="G42" s="613">
        <v>0.92493101445734627</v>
      </c>
      <c r="H42" s="612">
        <v>0.88554409371625309</v>
      </c>
      <c r="I42" s="613">
        <v>0.86286178255605084</v>
      </c>
      <c r="J42" s="612">
        <v>0.84852482722670386</v>
      </c>
      <c r="K42" s="614">
        <v>0.83905339127275858</v>
      </c>
      <c r="L42" s="615">
        <v>0.85017501315572785</v>
      </c>
      <c r="M42" s="612">
        <v>0.84920294563430543</v>
      </c>
      <c r="N42" s="614">
        <v>0.84827548281122511</v>
      </c>
    </row>
    <row r="43" spans="2:14">
      <c r="B43" s="1523" t="s">
        <v>1509</v>
      </c>
      <c r="C43" s="1388" t="s">
        <v>1510</v>
      </c>
      <c r="D43" s="618">
        <v>2744.65087890625</v>
      </c>
      <c r="E43" s="1389">
        <v>2160.8791500000002</v>
      </c>
      <c r="F43" s="1390">
        <v>2502.851318</v>
      </c>
      <c r="G43" s="619">
        <v>2740.892578</v>
      </c>
      <c r="H43" s="1390">
        <v>2830.9907229999999</v>
      </c>
      <c r="I43" s="619">
        <v>2791.1423340000001</v>
      </c>
      <c r="J43" s="1390">
        <v>2675.4433589999999</v>
      </c>
      <c r="K43" s="620">
        <v>2579.820557</v>
      </c>
      <c r="L43" s="1391">
        <v>2755.5113614162947</v>
      </c>
      <c r="M43" s="618">
        <v>2783.773027900299</v>
      </c>
      <c r="N43" s="621">
        <v>2812.0346943843015</v>
      </c>
    </row>
    <row r="44" spans="2:14" ht="28.9">
      <c r="B44" s="1524"/>
      <c r="C44" s="610" t="s">
        <v>1511</v>
      </c>
      <c r="D44" s="611">
        <v>12.244438171386699</v>
      </c>
      <c r="E44" s="612">
        <v>7.1579519999999999</v>
      </c>
      <c r="F44" s="622">
        <v>7.9418550000000003</v>
      </c>
      <c r="G44" s="623">
        <v>6.901675</v>
      </c>
      <c r="H44" s="622">
        <v>6.3751119999999997</v>
      </c>
      <c r="I44" s="623">
        <v>6.0773260000000002</v>
      </c>
      <c r="J44" s="622">
        <v>5.8735429999999997</v>
      </c>
      <c r="K44" s="624">
        <v>5.7514880000000002</v>
      </c>
      <c r="L44" s="615">
        <v>5.7988050277949865</v>
      </c>
      <c r="M44" s="612">
        <v>5.7207160707405729</v>
      </c>
      <c r="N44" s="614">
        <v>5.6462103363497818</v>
      </c>
    </row>
    <row r="45" spans="2:14">
      <c r="B45" s="1524"/>
      <c r="C45" s="610" t="s">
        <v>1512</v>
      </c>
      <c r="D45" s="611">
        <v>2895.6067019777438</v>
      </c>
      <c r="E45" s="612">
        <v>2279.7278715591756</v>
      </c>
      <c r="F45" s="612">
        <v>2640.5081394955673</v>
      </c>
      <c r="G45" s="612">
        <v>3327.4531817888706</v>
      </c>
      <c r="H45" s="612">
        <v>3720.7038908270392</v>
      </c>
      <c r="I45" s="612">
        <v>3848.0777347006965</v>
      </c>
      <c r="J45" s="612">
        <v>3816.5416845638651</v>
      </c>
      <c r="K45" s="625">
        <v>3758.2329513527989</v>
      </c>
      <c r="L45" s="615">
        <v>3981.4210885060638</v>
      </c>
      <c r="M45" s="612">
        <v>4077.1608217925286</v>
      </c>
      <c r="N45" s="614">
        <v>4172.9005550789934</v>
      </c>
    </row>
    <row r="46" spans="2:14">
      <c r="B46" s="1525"/>
      <c r="C46" s="626" t="s">
        <v>1513</v>
      </c>
      <c r="D46" s="627">
        <v>2895.6066772460936</v>
      </c>
      <c r="E46" s="628">
        <v>2279.7275032500002</v>
      </c>
      <c r="F46" s="628">
        <v>2640.5081404899997</v>
      </c>
      <c r="G46" s="629">
        <v>2891.6416697899999</v>
      </c>
      <c r="H46" s="628">
        <v>2986.6952127649997</v>
      </c>
      <c r="I46" s="629">
        <v>2944.6551623699997</v>
      </c>
      <c r="J46" s="628">
        <v>2822.5927437449996</v>
      </c>
      <c r="K46" s="630">
        <v>2721.7106876349999</v>
      </c>
      <c r="L46" s="631">
        <v>2907.0644862941908</v>
      </c>
      <c r="M46" s="628">
        <v>2936.8805444348154</v>
      </c>
      <c r="N46" s="630">
        <v>2966.6966025754377</v>
      </c>
    </row>
    <row r="47" spans="2:14">
      <c r="B47" s="1524" t="s">
        <v>1514</v>
      </c>
      <c r="C47" s="610" t="s">
        <v>1515</v>
      </c>
      <c r="D47" s="611">
        <v>4119.9560546875</v>
      </c>
      <c r="E47" s="612">
        <v>3329.7456050000001</v>
      </c>
      <c r="F47" s="622">
        <v>3357.9296880000002</v>
      </c>
      <c r="G47" s="623">
        <v>4090.1860350000002</v>
      </c>
      <c r="H47" s="622">
        <v>4482.1391599999997</v>
      </c>
      <c r="I47" s="623">
        <v>4578.6127930000002</v>
      </c>
      <c r="J47" s="622">
        <v>4512.4653319999998</v>
      </c>
      <c r="K47" s="624">
        <v>4419.2646480000003</v>
      </c>
      <c r="L47" s="632">
        <v>4757.5067659709821</v>
      </c>
      <c r="M47" s="611">
        <v>4901.1110663065483</v>
      </c>
      <c r="N47" s="614">
        <v>5044.7153666421073</v>
      </c>
    </row>
    <row r="48" spans="2:14" ht="28.9">
      <c r="B48" s="1524"/>
      <c r="C48" s="610" t="s">
        <v>1516</v>
      </c>
      <c r="D48" s="611">
        <v>18.379947662353501</v>
      </c>
      <c r="E48" s="612">
        <v>11.02984</v>
      </c>
      <c r="F48" s="622">
        <v>10.655124000000001</v>
      </c>
      <c r="G48" s="623">
        <v>10.299248</v>
      </c>
      <c r="H48" s="622">
        <v>10.093334</v>
      </c>
      <c r="I48" s="623">
        <v>9.9692959999999999</v>
      </c>
      <c r="J48" s="622">
        <v>9.9064549999999993</v>
      </c>
      <c r="K48" s="624">
        <v>9.8523700000000005</v>
      </c>
      <c r="L48" s="615">
        <v>10.011881838186804</v>
      </c>
      <c r="M48" s="612">
        <v>10.071893275958745</v>
      </c>
      <c r="N48" s="614">
        <v>10.129151003705431</v>
      </c>
    </row>
    <row r="49" spans="2:14">
      <c r="B49" s="1524"/>
      <c r="C49" s="610" t="s">
        <v>1512</v>
      </c>
      <c r="D49" s="611">
        <v>4346.5530135535491</v>
      </c>
      <c r="E49" s="612">
        <v>3512.8810121719539</v>
      </c>
      <c r="F49" s="612">
        <v>3542.6158812185026</v>
      </c>
      <c r="G49" s="612">
        <v>4464.2500091168831</v>
      </c>
      <c r="H49" s="612">
        <v>4991.8515666736002</v>
      </c>
      <c r="I49" s="612">
        <v>5162.7416296161318</v>
      </c>
      <c r="J49" s="612">
        <v>5120.431549077246</v>
      </c>
      <c r="K49" s="625">
        <v>5042.2021199770134</v>
      </c>
      <c r="L49" s="615">
        <v>5341.640636129353</v>
      </c>
      <c r="M49" s="612">
        <v>5470.0890565417394</v>
      </c>
      <c r="N49" s="614">
        <v>5598.5374769541259</v>
      </c>
    </row>
    <row r="50" spans="2:14" ht="15" thickBot="1">
      <c r="B50" s="1526"/>
      <c r="C50" s="633" t="s">
        <v>1517</v>
      </c>
      <c r="D50" s="634">
        <v>4346.5536376953123</v>
      </c>
      <c r="E50" s="635">
        <v>3512.8816132749998</v>
      </c>
      <c r="F50" s="635">
        <v>3542.6158208400002</v>
      </c>
      <c r="G50" s="636">
        <v>4315.1462669249995</v>
      </c>
      <c r="H50" s="635">
        <v>4728.6568137999993</v>
      </c>
      <c r="I50" s="636">
        <v>4830.4364966149997</v>
      </c>
      <c r="J50" s="635">
        <v>4760.6509252599999</v>
      </c>
      <c r="K50" s="637">
        <v>4662.3242036399997</v>
      </c>
      <c r="L50" s="638">
        <v>5019.1696380993862</v>
      </c>
      <c r="M50" s="635">
        <v>5170.6721749534081</v>
      </c>
      <c r="N50" s="637">
        <v>5322.1747118074227</v>
      </c>
    </row>
    <row r="51" spans="2:14">
      <c r="B51" s="1527" t="s">
        <v>1518</v>
      </c>
      <c r="C51" s="639" t="s">
        <v>1494</v>
      </c>
      <c r="D51" s="640">
        <v>22.540349960327099</v>
      </c>
      <c r="E51" s="641">
        <v>19.313880999999999</v>
      </c>
      <c r="F51" s="642">
        <v>22.565615000000001</v>
      </c>
      <c r="G51" s="643">
        <v>25.019855</v>
      </c>
      <c r="H51" s="642">
        <v>27.276409000000001</v>
      </c>
      <c r="I51" s="643">
        <v>29.271837000000001</v>
      </c>
      <c r="J51" s="642">
        <v>30.529619</v>
      </c>
      <c r="K51" s="644">
        <v>31.85125</v>
      </c>
      <c r="L51" s="645">
        <v>33.740577545632505</v>
      </c>
      <c r="M51" s="640">
        <v>35.450461001319582</v>
      </c>
      <c r="N51" s="646">
        <v>37.160344457006659</v>
      </c>
    </row>
    <row r="52" spans="2:14">
      <c r="B52" s="1528"/>
      <c r="C52" s="647" t="s">
        <v>1495</v>
      </c>
      <c r="D52" s="648">
        <v>209.47463989257801</v>
      </c>
      <c r="E52" s="649">
        <v>253.72013899999999</v>
      </c>
      <c r="F52" s="650">
        <v>220.482742</v>
      </c>
      <c r="G52" s="651">
        <v>231.85755900000001</v>
      </c>
      <c r="H52" s="650">
        <v>233.72006200000001</v>
      </c>
      <c r="I52" s="651">
        <v>242.796539</v>
      </c>
      <c r="J52" s="650">
        <v>232.20609999999999</v>
      </c>
      <c r="K52" s="652">
        <v>224.66166699999999</v>
      </c>
      <c r="L52" s="653">
        <v>234.73330002685552</v>
      </c>
      <c r="M52" s="648">
        <v>235.53738203580733</v>
      </c>
      <c r="N52" s="654">
        <v>236.34146404475919</v>
      </c>
    </row>
    <row r="53" spans="2:14" ht="28.9">
      <c r="B53" s="1528"/>
      <c r="C53" s="647" t="s">
        <v>1496</v>
      </c>
      <c r="D53" s="648">
        <v>9.2933177947997994</v>
      </c>
      <c r="E53" s="649">
        <v>13.136673999999999</v>
      </c>
      <c r="F53" s="650">
        <v>9.77074</v>
      </c>
      <c r="G53" s="651">
        <v>9.2669429999999995</v>
      </c>
      <c r="H53" s="650">
        <v>8.5685789999999997</v>
      </c>
      <c r="I53" s="651">
        <v>8.2945440000000001</v>
      </c>
      <c r="J53" s="650">
        <v>7.6059289999999997</v>
      </c>
      <c r="K53" s="652">
        <v>7.0534650000000001</v>
      </c>
      <c r="L53" s="653">
        <v>6.9570030243077507</v>
      </c>
      <c r="M53" s="648">
        <v>6.6441274776945738</v>
      </c>
      <c r="N53" s="654">
        <v>6.3600450291357973</v>
      </c>
    </row>
    <row r="54" spans="2:14">
      <c r="B54" s="1528"/>
      <c r="C54" s="647" t="s">
        <v>1497</v>
      </c>
      <c r="D54" s="648">
        <v>220.99574033362552</v>
      </c>
      <c r="E54" s="649">
        <v>267.67476708224262</v>
      </c>
      <c r="F54" s="649">
        <v>232.6093087458805</v>
      </c>
      <c r="G54" s="649">
        <v>257.9079354350485</v>
      </c>
      <c r="H54" s="649">
        <v>281.16878899865628</v>
      </c>
      <c r="I54" s="649">
        <v>301.73792162509585</v>
      </c>
      <c r="J54" s="649">
        <v>314.70330287320331</v>
      </c>
      <c r="K54" s="655">
        <v>328.32684795837497</v>
      </c>
      <c r="L54" s="656">
        <v>347.80228323386507</v>
      </c>
      <c r="M54" s="649">
        <v>365.42798537685508</v>
      </c>
      <c r="N54" s="654">
        <v>383.05368751984514</v>
      </c>
    </row>
    <row r="55" spans="2:14">
      <c r="B55" s="1528"/>
      <c r="C55" s="647" t="s">
        <v>1499</v>
      </c>
      <c r="D55" s="648">
        <v>220.99574508666979</v>
      </c>
      <c r="E55" s="649">
        <v>267.67474664499997</v>
      </c>
      <c r="F55" s="649">
        <v>232.60929281</v>
      </c>
      <c r="G55" s="657">
        <v>244.60972474499999</v>
      </c>
      <c r="H55" s="649">
        <v>246.57466540999999</v>
      </c>
      <c r="I55" s="657">
        <v>256.15034864500001</v>
      </c>
      <c r="J55" s="649">
        <v>244.97743549999998</v>
      </c>
      <c r="K55" s="654">
        <v>237.01805868499997</v>
      </c>
      <c r="L55" s="656">
        <v>247.64363152833255</v>
      </c>
      <c r="M55" s="649">
        <v>248.49193804777673</v>
      </c>
      <c r="N55" s="654">
        <v>249.34024456722091</v>
      </c>
    </row>
    <row r="56" spans="2:14">
      <c r="B56" s="1529"/>
      <c r="C56" s="658" t="s">
        <v>1500</v>
      </c>
      <c r="D56" s="659">
        <v>1.0000000215074021</v>
      </c>
      <c r="E56" s="660">
        <v>0.99999992364897572</v>
      </c>
      <c r="F56" s="661">
        <v>0.99999993149078781</v>
      </c>
      <c r="G56" s="662">
        <v>0.94843814841285667</v>
      </c>
      <c r="H56" s="663">
        <v>0.87696314476489912</v>
      </c>
      <c r="I56" s="662">
        <v>0.84891666007848487</v>
      </c>
      <c r="J56" s="662">
        <v>0.77843935307759871</v>
      </c>
      <c r="K56" s="664">
        <v>0.72189667143836178</v>
      </c>
      <c r="L56" s="656">
        <v>0.71202416851822381</v>
      </c>
      <c r="M56" s="649">
        <v>0.68000248473448011</v>
      </c>
      <c r="N56" s="654">
        <v>0.6509276706918613</v>
      </c>
    </row>
    <row r="57" spans="2:14">
      <c r="B57" s="1530" t="s">
        <v>1519</v>
      </c>
      <c r="C57" s="647" t="s">
        <v>1494</v>
      </c>
      <c r="D57" s="648">
        <v>8.46930027008057</v>
      </c>
      <c r="E57" s="649">
        <v>5.6083460000000001</v>
      </c>
      <c r="F57" s="650">
        <v>8.1092479999999991</v>
      </c>
      <c r="G57" s="651">
        <v>9.6043889999999994</v>
      </c>
      <c r="H57" s="650">
        <v>10.166302999999999</v>
      </c>
      <c r="I57" s="651">
        <v>11.058609000000001</v>
      </c>
      <c r="J57" s="650">
        <v>11.799562</v>
      </c>
      <c r="K57" s="652">
        <v>12.639805000000001</v>
      </c>
      <c r="L57" s="1392">
        <v>13.408352968194151</v>
      </c>
      <c r="M57" s="665">
        <v>14.236443564735055</v>
      </c>
      <c r="N57" s="666">
        <v>15.064534161275958</v>
      </c>
    </row>
    <row r="58" spans="2:14">
      <c r="B58" s="1530"/>
      <c r="C58" s="647" t="s">
        <v>1495</v>
      </c>
      <c r="D58" s="648">
        <v>451.16394042968801</v>
      </c>
      <c r="E58" s="649">
        <v>247.77973900000001</v>
      </c>
      <c r="F58" s="650">
        <v>368.156677</v>
      </c>
      <c r="G58" s="651">
        <v>430.93170199999997</v>
      </c>
      <c r="H58" s="650">
        <v>447.85247800000002</v>
      </c>
      <c r="I58" s="651">
        <v>465.27633700000001</v>
      </c>
      <c r="J58" s="650">
        <v>476.17111199999999</v>
      </c>
      <c r="K58" s="652">
        <v>494.84353599999997</v>
      </c>
      <c r="L58" s="653">
        <v>516.84303607114998</v>
      </c>
      <c r="M58" s="648">
        <v>537.74772404724717</v>
      </c>
      <c r="N58" s="654">
        <v>558.65241202334437</v>
      </c>
    </row>
    <row r="59" spans="2:14" ht="28.9">
      <c r="B59" s="1530"/>
      <c r="C59" s="647" t="s">
        <v>1496</v>
      </c>
      <c r="D59" s="648">
        <v>53.2705078125</v>
      </c>
      <c r="E59" s="649">
        <v>44.180542000000003</v>
      </c>
      <c r="F59" s="650">
        <v>45.399608999999998</v>
      </c>
      <c r="G59" s="651">
        <v>44.868201999999997</v>
      </c>
      <c r="H59" s="650">
        <v>44.052643000000003</v>
      </c>
      <c r="I59" s="651">
        <v>42.073672999999999</v>
      </c>
      <c r="J59" s="650">
        <v>40.354984000000002</v>
      </c>
      <c r="K59" s="652">
        <v>39.149619999999999</v>
      </c>
      <c r="L59" s="653">
        <v>38.546347735411594</v>
      </c>
      <c r="M59" s="648">
        <v>37.772616566913975</v>
      </c>
      <c r="N59" s="654">
        <v>37.083948699813419</v>
      </c>
    </row>
    <row r="60" spans="2:14">
      <c r="B60" s="1530"/>
      <c r="C60" s="647" t="s">
        <v>1497</v>
      </c>
      <c r="D60" s="648">
        <v>475.97794214494076</v>
      </c>
      <c r="E60" s="649">
        <v>261.40765313372628</v>
      </c>
      <c r="F60" s="649">
        <v>388.40530635065363</v>
      </c>
      <c r="G60" s="649">
        <v>460.01745807451545</v>
      </c>
      <c r="H60" s="649">
        <v>486.93122114018092</v>
      </c>
      <c r="I60" s="649">
        <v>529.66963354149436</v>
      </c>
      <c r="J60" s="649">
        <v>565.15875373567712</v>
      </c>
      <c r="K60" s="655">
        <v>605.40352610223852</v>
      </c>
      <c r="L60" s="653">
        <v>642.21435110495406</v>
      </c>
      <c r="M60" s="648">
        <v>681.87706481596217</v>
      </c>
      <c r="N60" s="654">
        <v>721.53977852697028</v>
      </c>
    </row>
    <row r="61" spans="2:14">
      <c r="B61" s="1530"/>
      <c r="C61" s="647" t="s">
        <v>1520</v>
      </c>
      <c r="D61" s="648"/>
      <c r="E61" s="649">
        <v>228.55914849358095</v>
      </c>
      <c r="F61" s="649">
        <v>279.73546529093557</v>
      </c>
      <c r="G61" s="649">
        <v>331.31163651057949</v>
      </c>
      <c r="H61" s="649">
        <v>350.69534191008029</v>
      </c>
      <c r="I61" s="649">
        <v>381.47620273612648</v>
      </c>
      <c r="J61" s="649">
        <v>407.03601200743185</v>
      </c>
      <c r="K61" s="649">
        <v>436.0209149925733</v>
      </c>
      <c r="L61" s="653">
        <v>462.5326363607191</v>
      </c>
      <c r="M61" s="648">
        <v>491.09833176507942</v>
      </c>
      <c r="N61" s="654">
        <v>519.66402716943969</v>
      </c>
    </row>
    <row r="62" spans="2:14">
      <c r="B62" s="1530"/>
      <c r="C62" s="647" t="s">
        <v>1521</v>
      </c>
      <c r="D62" s="648"/>
      <c r="E62" s="649">
        <v>88.789193439273078</v>
      </c>
      <c r="F62" s="649">
        <v>108.66984105971804</v>
      </c>
      <c r="G62" s="649">
        <v>128.70582156393593</v>
      </c>
      <c r="H62" s="649">
        <v>136.23587923010061</v>
      </c>
      <c r="I62" s="649">
        <v>148.19343080536785</v>
      </c>
      <c r="J62" s="649">
        <v>158.12274172824519</v>
      </c>
      <c r="K62" s="649">
        <v>169.38261110966513</v>
      </c>
      <c r="L62" s="653">
        <v>179.68171474423488</v>
      </c>
      <c r="M62" s="648">
        <v>190.77873305088269</v>
      </c>
      <c r="N62" s="654">
        <v>201.8757513575305</v>
      </c>
    </row>
    <row r="63" spans="2:14">
      <c r="B63" s="1530"/>
      <c r="C63" s="647" t="s">
        <v>1498</v>
      </c>
      <c r="D63" s="648"/>
      <c r="E63" s="649"/>
      <c r="F63" s="649"/>
      <c r="G63" s="657"/>
      <c r="H63" s="649"/>
      <c r="I63" s="657"/>
      <c r="J63" s="649"/>
      <c r="K63" s="654"/>
      <c r="L63" s="653"/>
      <c r="M63" s="648"/>
      <c r="N63" s="654"/>
    </row>
    <row r="64" spans="2:14">
      <c r="B64" s="1530"/>
      <c r="C64" s="647" t="s">
        <v>1520</v>
      </c>
      <c r="D64" s="648"/>
      <c r="E64" s="649">
        <v>228.26074665363285</v>
      </c>
      <c r="F64" s="649">
        <v>279.37024876780919</v>
      </c>
      <c r="G64" s="649">
        <v>330.87908326306098</v>
      </c>
      <c r="H64" s="649">
        <v>350.23748171950416</v>
      </c>
      <c r="I64" s="649">
        <v>380.97815572491237</v>
      </c>
      <c r="J64" s="649">
        <v>406.50459466663108</v>
      </c>
      <c r="K64" s="649">
        <v>435.45165559452613</v>
      </c>
      <c r="L64" s="653">
        <v>461.92876383741049</v>
      </c>
      <c r="M64" s="648">
        <v>490.45716449280002</v>
      </c>
      <c r="N64" s="654">
        <v>518.98556514818938</v>
      </c>
    </row>
    <row r="65" spans="2:14">
      <c r="B65" s="1530"/>
      <c r="C65" s="647" t="s">
        <v>1499</v>
      </c>
      <c r="D65" s="648">
        <v>475.9779571533208</v>
      </c>
      <c r="E65" s="649">
        <v>261.407624645</v>
      </c>
      <c r="F65" s="649">
        <v>388.40529423499999</v>
      </c>
      <c r="G65" s="657">
        <v>454.63294560999992</v>
      </c>
      <c r="H65" s="649">
        <v>472.48436428999997</v>
      </c>
      <c r="I65" s="657">
        <v>490.86653553499997</v>
      </c>
      <c r="J65" s="649">
        <v>502.36052315999996</v>
      </c>
      <c r="K65" s="654">
        <v>522.05993047999993</v>
      </c>
      <c r="L65" s="653">
        <v>545.26940305506321</v>
      </c>
      <c r="M65" s="648">
        <v>567.32384886984573</v>
      </c>
      <c r="N65" s="654">
        <v>589.37829468462826</v>
      </c>
    </row>
    <row r="66" spans="2:14" ht="15" thickBot="1">
      <c r="B66" s="1531"/>
      <c r="C66" s="667" t="s">
        <v>1500</v>
      </c>
      <c r="D66" s="668">
        <v>1.0000000315316713</v>
      </c>
      <c r="E66" s="669">
        <v>0.99999989101800979</v>
      </c>
      <c r="F66" s="669">
        <v>0.99999996880667319</v>
      </c>
      <c r="G66" s="670">
        <v>0.98829498235337987</v>
      </c>
      <c r="H66" s="670">
        <v>0.97033080602974542</v>
      </c>
      <c r="I66" s="670">
        <v>0.92674094275133756</v>
      </c>
      <c r="J66" s="670">
        <v>0.88888391065239047</v>
      </c>
      <c r="K66" s="671">
        <v>0.86233381202975712</v>
      </c>
      <c r="L66" s="672">
        <v>0.84904580864147083</v>
      </c>
      <c r="M66" s="670">
        <v>0.83200312511312546</v>
      </c>
      <c r="N66" s="671">
        <v>0.81683409872127788</v>
      </c>
    </row>
    <row r="67" spans="2:14" ht="18">
      <c r="B67" s="1532" t="s">
        <v>1522</v>
      </c>
      <c r="C67" s="673" t="s">
        <v>1494</v>
      </c>
      <c r="D67" s="674">
        <v>73.466018676757798</v>
      </c>
      <c r="E67" s="675">
        <v>102.142471</v>
      </c>
      <c r="F67" s="676">
        <v>131.344955</v>
      </c>
      <c r="G67" s="677">
        <v>146.92245500000001</v>
      </c>
      <c r="H67" s="676">
        <v>164.62550400000001</v>
      </c>
      <c r="I67" s="677">
        <v>164.68884299999999</v>
      </c>
      <c r="J67" s="676">
        <v>158.96772799999999</v>
      </c>
      <c r="K67" s="678">
        <v>148.204071</v>
      </c>
      <c r="L67" s="679">
        <v>155.75335699999999</v>
      </c>
      <c r="M67" s="679">
        <v>155.4439026</v>
      </c>
      <c r="N67" s="679">
        <v>155.13444820000001</v>
      </c>
    </row>
    <row r="68" spans="2:14">
      <c r="B68" s="1510"/>
      <c r="C68" s="680" t="s">
        <v>1495</v>
      </c>
      <c r="D68" s="681">
        <v>1469.9580078125</v>
      </c>
      <c r="E68" s="682">
        <v>1271.547607</v>
      </c>
      <c r="F68" s="683">
        <v>1441.387207</v>
      </c>
      <c r="G68" s="684">
        <v>1491.57251</v>
      </c>
      <c r="H68" s="683">
        <v>1555.166504</v>
      </c>
      <c r="I68" s="684">
        <v>1479.319336</v>
      </c>
      <c r="J68" s="683">
        <v>1367.8271480000001</v>
      </c>
      <c r="K68" s="685">
        <v>1279.8317870000001</v>
      </c>
      <c r="L68" s="686">
        <v>1383.5711494397324</v>
      </c>
      <c r="M68" s="681">
        <v>1375.5700130148812</v>
      </c>
      <c r="N68" s="687">
        <v>1367.56887659003</v>
      </c>
    </row>
    <row r="69" spans="2:14" ht="28.9">
      <c r="B69" s="1510"/>
      <c r="C69" s="680" t="s">
        <v>1496</v>
      </c>
      <c r="D69" s="681">
        <v>20.008680343627901</v>
      </c>
      <c r="E69" s="682">
        <v>12.448766000000001</v>
      </c>
      <c r="F69" s="683">
        <v>10.974057999999999</v>
      </c>
      <c r="G69" s="684">
        <v>10.152108</v>
      </c>
      <c r="H69" s="683">
        <v>9.4466920000000005</v>
      </c>
      <c r="I69" s="684">
        <v>8.9825110000000006</v>
      </c>
      <c r="J69" s="683">
        <v>8.6044339999999995</v>
      </c>
      <c r="K69" s="685">
        <v>8.6356059999999992</v>
      </c>
      <c r="L69" s="686">
        <v>8.8830903942554027</v>
      </c>
      <c r="M69" s="681">
        <v>8.849301838198194</v>
      </c>
      <c r="N69" s="687">
        <v>8.8153784827142587</v>
      </c>
    </row>
    <row r="70" spans="2:14">
      <c r="B70" s="1510"/>
      <c r="C70" s="680" t="s">
        <v>1497</v>
      </c>
      <c r="D70" s="681">
        <v>1550.8057784324674</v>
      </c>
      <c r="E70" s="682">
        <v>1341.4828447485293</v>
      </c>
      <c r="F70" s="682">
        <v>1520.6634476571462</v>
      </c>
      <c r="G70" s="682">
        <v>1701.0139975193715</v>
      </c>
      <c r="H70" s="682">
        <v>1905.9733697798695</v>
      </c>
      <c r="I70" s="682">
        <v>1906.7066853618128</v>
      </c>
      <c r="J70" s="682">
        <v>1840.469725896236</v>
      </c>
      <c r="K70" s="688">
        <v>1715.8520748945743</v>
      </c>
      <c r="L70" s="689">
        <v>1803.2549239504046</v>
      </c>
      <c r="M70" s="682">
        <v>1799.6721750370818</v>
      </c>
      <c r="N70" s="687">
        <v>1796.0894261237593</v>
      </c>
    </row>
    <row r="71" spans="2:14">
      <c r="B71" s="1510"/>
      <c r="C71" s="680" t="s">
        <v>1523</v>
      </c>
      <c r="D71" s="681"/>
      <c r="E71" s="682">
        <v>959.725762341782</v>
      </c>
      <c r="F71" s="682">
        <v>1128.6474936285406</v>
      </c>
      <c r="G71" s="682">
        <v>1262.5049861527007</v>
      </c>
      <c r="H71" s="682">
        <v>1414.6273260129046</v>
      </c>
      <c r="I71" s="682">
        <v>1415.1715981823149</v>
      </c>
      <c r="J71" s="682">
        <v>1366.010044124067</v>
      </c>
      <c r="K71" s="682">
        <v>1273.5179153222618</v>
      </c>
      <c r="L71" s="689">
        <v>1338.3889468939353</v>
      </c>
      <c r="M71" s="682">
        <v>1335.7298045389639</v>
      </c>
      <c r="N71" s="687">
        <v>1333.0706621839925</v>
      </c>
    </row>
    <row r="72" spans="2:14">
      <c r="B72" s="1510"/>
      <c r="C72" s="680" t="s">
        <v>1524</v>
      </c>
      <c r="D72" s="681"/>
      <c r="E72" s="682">
        <v>255.1169747997142</v>
      </c>
      <c r="F72" s="682">
        <v>300.02021982530829</v>
      </c>
      <c r="G72" s="682">
        <v>335.60259125578119</v>
      </c>
      <c r="H72" s="682">
        <v>376.04017526925315</v>
      </c>
      <c r="I72" s="682">
        <v>376.18485521302046</v>
      </c>
      <c r="J72" s="682">
        <v>363.11659400766337</v>
      </c>
      <c r="K72" s="682">
        <v>338.53007875655067</v>
      </c>
      <c r="L72" s="689">
        <v>355.77427702243853</v>
      </c>
      <c r="M72" s="682">
        <v>355.06741639643343</v>
      </c>
      <c r="N72" s="687">
        <v>354.36055577042839</v>
      </c>
    </row>
    <row r="73" spans="2:14">
      <c r="B73" s="1510"/>
      <c r="C73" s="680" t="s">
        <v>1525</v>
      </c>
      <c r="D73" s="681"/>
      <c r="E73" s="682">
        <v>78.226972229036448</v>
      </c>
      <c r="F73" s="682">
        <v>91.995734203297289</v>
      </c>
      <c r="G73" s="682">
        <v>102.90642011088975</v>
      </c>
      <c r="H73" s="682">
        <v>115.30586849771166</v>
      </c>
      <c r="I73" s="682">
        <v>115.35023196647757</v>
      </c>
      <c r="J73" s="682">
        <v>111.34308776450577</v>
      </c>
      <c r="K73" s="682">
        <v>103.80408081576184</v>
      </c>
      <c r="L73" s="689">
        <v>109.09170003403081</v>
      </c>
      <c r="M73" s="682">
        <v>108.87495410168464</v>
      </c>
      <c r="N73" s="687">
        <v>108.65820816933847</v>
      </c>
    </row>
    <row r="74" spans="2:14">
      <c r="B74" s="1510"/>
      <c r="C74" s="680" t="s">
        <v>1526</v>
      </c>
      <c r="D74" s="681"/>
      <c r="E74" s="682"/>
      <c r="F74" s="682"/>
      <c r="G74" s="690"/>
      <c r="H74" s="682"/>
      <c r="I74" s="690"/>
      <c r="J74" s="682"/>
      <c r="K74" s="687"/>
      <c r="L74" s="689"/>
      <c r="M74" s="682"/>
      <c r="N74" s="687"/>
    </row>
    <row r="75" spans="2:14">
      <c r="B75" s="1510"/>
      <c r="C75" s="680" t="s">
        <v>1523</v>
      </c>
      <c r="D75" s="681"/>
      <c r="E75" s="682">
        <v>845.43917976064381</v>
      </c>
      <c r="F75" s="682">
        <v>994.24528203131081</v>
      </c>
      <c r="G75" s="682">
        <v>1112.1626841945138</v>
      </c>
      <c r="H75" s="682">
        <v>1246.1699092593749</v>
      </c>
      <c r="I75" s="682">
        <v>1246.6493681157779</v>
      </c>
      <c r="J75" s="682">
        <v>1203.3420968413802</v>
      </c>
      <c r="K75" s="682">
        <v>1121.8641657731232</v>
      </c>
      <c r="L75" s="689">
        <v>1179.0101900586014</v>
      </c>
      <c r="M75" s="682">
        <v>1176.6677051325239</v>
      </c>
      <c r="N75" s="687">
        <v>1174.3252202064464</v>
      </c>
    </row>
    <row r="76" spans="2:14">
      <c r="B76" s="1510"/>
      <c r="C76" s="680" t="s">
        <v>1524</v>
      </c>
      <c r="D76" s="681"/>
      <c r="E76" s="682">
        <v>224.73699715156354</v>
      </c>
      <c r="F76" s="682">
        <v>264.29304965389275</v>
      </c>
      <c r="G76" s="682">
        <v>295.63818187449095</v>
      </c>
      <c r="H76" s="682">
        <v>331.26035562590982</v>
      </c>
      <c r="I76" s="682">
        <v>331.38780671432073</v>
      </c>
      <c r="J76" s="682">
        <v>319.87574726163268</v>
      </c>
      <c r="K76" s="682">
        <v>298.21705672450116</v>
      </c>
      <c r="L76" s="689">
        <v>313.40777204089403</v>
      </c>
      <c r="M76" s="682">
        <v>312.78508617446835</v>
      </c>
      <c r="N76" s="687">
        <v>312.16240030804272</v>
      </c>
    </row>
    <row r="77" spans="2:14">
      <c r="B77" s="1510"/>
      <c r="C77" s="680" t="s">
        <v>1499</v>
      </c>
      <c r="D77" s="681">
        <v>1550.8056982421874</v>
      </c>
      <c r="E77" s="682">
        <v>1341.4827253849999</v>
      </c>
      <c r="F77" s="682">
        <v>1520.663503385</v>
      </c>
      <c r="G77" s="690">
        <v>1573.6089980499999</v>
      </c>
      <c r="H77" s="682">
        <v>1640.70066172</v>
      </c>
      <c r="I77" s="690">
        <v>1560.6818994799999</v>
      </c>
      <c r="J77" s="682">
        <v>1443.05764114</v>
      </c>
      <c r="K77" s="687">
        <v>1350.222535285</v>
      </c>
      <c r="L77" s="689">
        <v>1459.6675626589176</v>
      </c>
      <c r="M77" s="682">
        <v>1451.2263637306994</v>
      </c>
      <c r="N77" s="687">
        <v>1442.7851648024812</v>
      </c>
    </row>
    <row r="78" spans="2:14">
      <c r="B78" s="1533"/>
      <c r="C78" s="691" t="s">
        <v>1500</v>
      </c>
      <c r="D78" s="692">
        <v>0.99999994829121663</v>
      </c>
      <c r="E78" s="693">
        <v>0.99999991102120322</v>
      </c>
      <c r="F78" s="693">
        <v>1.000000036647066</v>
      </c>
      <c r="G78" s="694">
        <v>0.92510055787008849</v>
      </c>
      <c r="H78" s="694">
        <v>0.86082034918960737</v>
      </c>
      <c r="I78" s="694">
        <v>0.81852227794745891</v>
      </c>
      <c r="J78" s="694">
        <v>0.78407029511843118</v>
      </c>
      <c r="K78" s="695">
        <v>0.78691080369964916</v>
      </c>
      <c r="L78" s="696">
        <v>0.80946267955348905</v>
      </c>
      <c r="M78" s="694">
        <v>0.80638373135973906</v>
      </c>
      <c r="N78" s="695">
        <v>0.80329249970377936</v>
      </c>
    </row>
    <row r="79" spans="2:14" ht="18">
      <c r="B79" s="1510" t="s">
        <v>1527</v>
      </c>
      <c r="C79" s="680" t="s">
        <v>1494</v>
      </c>
      <c r="D79" s="681">
        <v>29.627761840820298</v>
      </c>
      <c r="E79" s="682">
        <v>30.641382</v>
      </c>
      <c r="F79" s="683">
        <v>37.339989000000003</v>
      </c>
      <c r="G79" s="684">
        <v>42.331283999999997</v>
      </c>
      <c r="H79" s="683">
        <v>50.611656000000004</v>
      </c>
      <c r="I79" s="684">
        <v>51.879615999999999</v>
      </c>
      <c r="J79" s="683">
        <v>50.266201000000002</v>
      </c>
      <c r="K79" s="685">
        <v>47.575302000000001</v>
      </c>
      <c r="L79" s="1393">
        <v>51.575586099999953</v>
      </c>
      <c r="M79" s="1393">
        <v>52.589844199999959</v>
      </c>
      <c r="N79" s="1393">
        <v>53.604102299999965</v>
      </c>
    </row>
    <row r="80" spans="2:14">
      <c r="B80" s="1510"/>
      <c r="C80" s="680" t="s">
        <v>1495</v>
      </c>
      <c r="D80" s="681">
        <v>399.37713623046898</v>
      </c>
      <c r="E80" s="682">
        <v>348.97265599999997</v>
      </c>
      <c r="F80" s="683">
        <v>393.59216300000003</v>
      </c>
      <c r="G80" s="684">
        <v>418.66980000000001</v>
      </c>
      <c r="H80" s="683">
        <v>455.24691799999999</v>
      </c>
      <c r="I80" s="684">
        <v>423.25616500000001</v>
      </c>
      <c r="J80" s="683">
        <v>357.36361699999998</v>
      </c>
      <c r="K80" s="685">
        <v>320.08630399999998</v>
      </c>
      <c r="L80" s="686">
        <v>368.81102901381132</v>
      </c>
      <c r="M80" s="681">
        <v>364.19779214936761</v>
      </c>
      <c r="N80" s="687">
        <v>359.58455528492368</v>
      </c>
    </row>
    <row r="81" spans="2:14" ht="28.9">
      <c r="B81" s="1510"/>
      <c r="C81" s="680" t="s">
        <v>1496</v>
      </c>
      <c r="D81" s="681">
        <v>13.4798288345337</v>
      </c>
      <c r="E81" s="682">
        <v>11.388933</v>
      </c>
      <c r="F81" s="683">
        <v>10.540768</v>
      </c>
      <c r="G81" s="684">
        <v>9.8903160000000003</v>
      </c>
      <c r="H81" s="683">
        <v>8.9949030000000008</v>
      </c>
      <c r="I81" s="684">
        <v>8.1584280000000007</v>
      </c>
      <c r="J81" s="683">
        <v>7.1094220000000004</v>
      </c>
      <c r="K81" s="685">
        <v>6.7279929999999997</v>
      </c>
      <c r="L81" s="686">
        <v>7.1508839143140959</v>
      </c>
      <c r="M81" s="681">
        <v>6.9252494980650257</v>
      </c>
      <c r="N81" s="687">
        <v>6.7081536646668907</v>
      </c>
    </row>
    <row r="82" spans="2:14">
      <c r="B82" s="1510"/>
      <c r="C82" s="680" t="s">
        <v>1497</v>
      </c>
      <c r="D82" s="681">
        <v>421.34290207463897</v>
      </c>
      <c r="E82" s="682">
        <v>368.16614218980334</v>
      </c>
      <c r="F82" s="682">
        <v>415.23973003598741</v>
      </c>
      <c r="G82" s="682">
        <v>470.7454771943481</v>
      </c>
      <c r="H82" s="682">
        <v>562.82743881135752</v>
      </c>
      <c r="I82" s="682">
        <v>576.92780097526781</v>
      </c>
      <c r="J82" s="682">
        <v>558.98580294639817</v>
      </c>
      <c r="K82" s="688">
        <v>529.06163306209248</v>
      </c>
      <c r="L82" s="686">
        <v>573.54683335905111</v>
      </c>
      <c r="M82" s="681">
        <v>584.82590094610418</v>
      </c>
      <c r="N82" s="687">
        <v>596.10496853315715</v>
      </c>
    </row>
    <row r="83" spans="2:14">
      <c r="B83" s="1510"/>
      <c r="C83" s="680" t="s">
        <v>1528</v>
      </c>
      <c r="D83" s="681"/>
      <c r="E83" s="682">
        <v>349.9593058418759</v>
      </c>
      <c r="F83" s="682">
        <v>377.96992567442686</v>
      </c>
      <c r="G83" s="682">
        <v>428.49375952368524</v>
      </c>
      <c r="H83" s="682">
        <v>512.31091301552499</v>
      </c>
      <c r="I83" s="682">
        <v>525.14569845046833</v>
      </c>
      <c r="J83" s="682">
        <v>508.81408282969221</v>
      </c>
      <c r="K83" s="682">
        <v>481.57575410315224</v>
      </c>
      <c r="L83" s="686">
        <v>522.06818927643451</v>
      </c>
      <c r="M83" s="681">
        <v>532.3349051737448</v>
      </c>
      <c r="N83" s="687">
        <v>542.60162107105486</v>
      </c>
    </row>
    <row r="84" spans="2:14">
      <c r="B84" s="1510"/>
      <c r="C84" s="680" t="s">
        <v>1529</v>
      </c>
      <c r="D84" s="681"/>
      <c r="E84" s="682">
        <v>34.507811276151834</v>
      </c>
      <c r="F84" s="682">
        <v>37.269804361560574</v>
      </c>
      <c r="G84" s="682">
        <v>42.25171767066292</v>
      </c>
      <c r="H84" s="682">
        <v>50.516525795832543</v>
      </c>
      <c r="I84" s="682">
        <v>51.782102524799548</v>
      </c>
      <c r="J84" s="682">
        <v>50.171720116705984</v>
      </c>
      <c r="K84" s="682">
        <v>47.485878958940276</v>
      </c>
      <c r="L84" s="686">
        <v>51.478644082616654</v>
      </c>
      <c r="M84" s="681">
        <v>52.490995772359476</v>
      </c>
      <c r="N84" s="687">
        <v>53.503347462102298</v>
      </c>
    </row>
    <row r="85" spans="2:14">
      <c r="B85" s="1510"/>
      <c r="C85" s="680" t="s">
        <v>1526</v>
      </c>
      <c r="D85" s="681"/>
      <c r="E85" s="682"/>
      <c r="F85" s="682"/>
      <c r="G85" s="690"/>
      <c r="H85" s="682"/>
      <c r="I85" s="690"/>
      <c r="J85" s="682"/>
      <c r="K85" s="687"/>
      <c r="L85" s="686"/>
      <c r="M85" s="681"/>
      <c r="N85" s="687"/>
    </row>
    <row r="86" spans="2:14">
      <c r="B86" s="1510"/>
      <c r="C86" s="680" t="s">
        <v>1528</v>
      </c>
      <c r="D86" s="681"/>
      <c r="E86" s="682">
        <v>299.34610263401072</v>
      </c>
      <c r="F86" s="682">
        <v>323.30565947181526</v>
      </c>
      <c r="G86" s="682">
        <v>366.52243496667074</v>
      </c>
      <c r="H86" s="682">
        <v>438.21745153809917</v>
      </c>
      <c r="I86" s="682">
        <v>449.19599371131409</v>
      </c>
      <c r="J86" s="682">
        <v>435.22635380122409</v>
      </c>
      <c r="K86" s="682">
        <v>411.92739472099925</v>
      </c>
      <c r="L86" s="686">
        <v>446.56357227919568</v>
      </c>
      <c r="M86" s="681">
        <v>455.34545445637406</v>
      </c>
      <c r="N86" s="687">
        <v>464.1273366335522</v>
      </c>
    </row>
    <row r="87" spans="2:14">
      <c r="B87" s="1510"/>
      <c r="C87" s="680" t="s">
        <v>1529</v>
      </c>
      <c r="D87" s="681"/>
      <c r="E87" s="682">
        <v>33.802148900292373</v>
      </c>
      <c r="F87" s="682">
        <v>36.507661017170264</v>
      </c>
      <c r="G87" s="682">
        <v>41.387697427912016</v>
      </c>
      <c r="H87" s="682">
        <v>49.483495583398039</v>
      </c>
      <c r="I87" s="682">
        <v>50.723192088486208</v>
      </c>
      <c r="J87" s="682">
        <v>49.145740956938802</v>
      </c>
      <c r="K87" s="682">
        <v>46.514823510138214</v>
      </c>
      <c r="L87" s="686">
        <v>50.425939174772559</v>
      </c>
      <c r="M87" s="681">
        <v>51.417588928571881</v>
      </c>
      <c r="N87" s="687">
        <v>52.409238682371203</v>
      </c>
    </row>
    <row r="88" spans="2:14">
      <c r="B88" s="1510"/>
      <c r="C88" s="680" t="s">
        <v>1499</v>
      </c>
      <c r="D88" s="681">
        <v>421.34287872314474</v>
      </c>
      <c r="E88" s="682">
        <v>368.16615207999996</v>
      </c>
      <c r="F88" s="682">
        <v>415.23973196500003</v>
      </c>
      <c r="G88" s="690">
        <v>441.696639</v>
      </c>
      <c r="H88" s="682">
        <v>480.28549848999995</v>
      </c>
      <c r="I88" s="690">
        <v>446.53525407500001</v>
      </c>
      <c r="J88" s="682">
        <v>377.01861593499996</v>
      </c>
      <c r="K88" s="687">
        <v>337.69105071999996</v>
      </c>
      <c r="L88" s="686">
        <v>389.09563560957093</v>
      </c>
      <c r="M88" s="681">
        <v>384.22867071758282</v>
      </c>
      <c r="N88" s="687">
        <v>379.36170582559447</v>
      </c>
    </row>
    <row r="89" spans="2:14" ht="15" thickBot="1">
      <c r="B89" s="1511"/>
      <c r="C89" s="697" t="s">
        <v>1500</v>
      </c>
      <c r="D89" s="698">
        <v>0.99999994457840846</v>
      </c>
      <c r="E89" s="699">
        <v>1.0000000268634062</v>
      </c>
      <c r="F89" s="699">
        <v>1.0000000046455397</v>
      </c>
      <c r="G89" s="700">
        <v>0.93829183794291615</v>
      </c>
      <c r="H89" s="700">
        <v>0.85334414310773665</v>
      </c>
      <c r="I89" s="700">
        <v>0.77398810270566665</v>
      </c>
      <c r="J89" s="700">
        <v>0.6744690365081647</v>
      </c>
      <c r="K89" s="701">
        <v>0.63828300828680085</v>
      </c>
      <c r="L89" s="702">
        <v>0.67840255229164481</v>
      </c>
      <c r="M89" s="700">
        <v>0.65699667216516144</v>
      </c>
      <c r="N89" s="701">
        <v>0.63640084523887541</v>
      </c>
    </row>
    <row r="90" spans="2:14" ht="15" customHeight="1">
      <c r="B90" s="1494" t="s">
        <v>1530</v>
      </c>
      <c r="C90" s="703" t="s">
        <v>1494</v>
      </c>
      <c r="D90" s="704">
        <v>2058.6334915161128</v>
      </c>
      <c r="E90" s="705">
        <v>1817.4983669999999</v>
      </c>
      <c r="F90" s="705">
        <v>2331.5900649999999</v>
      </c>
      <c r="G90" s="705">
        <v>2715.4532160000003</v>
      </c>
      <c r="H90" s="705">
        <v>3145.8756720000001</v>
      </c>
      <c r="I90" s="705">
        <v>3593.4124139999999</v>
      </c>
      <c r="J90" s="705">
        <v>3996.5087359999998</v>
      </c>
      <c r="K90" s="706">
        <v>4381.5793830000002</v>
      </c>
      <c r="L90" s="707">
        <v>4685.6883424424159</v>
      </c>
      <c r="M90" s="708">
        <v>5059.1593256375054</v>
      </c>
      <c r="N90" s="709">
        <v>5432.6303088325949</v>
      </c>
    </row>
    <row r="91" spans="2:14">
      <c r="B91" s="1495"/>
      <c r="C91" s="710" t="s">
        <v>1495</v>
      </c>
      <c r="D91" s="711">
        <v>1947.2432403564449</v>
      </c>
      <c r="E91" s="712">
        <v>1823.8076159999998</v>
      </c>
      <c r="F91" s="712">
        <v>2186.4813680000002</v>
      </c>
      <c r="G91" s="712">
        <v>2327.7836620000003</v>
      </c>
      <c r="H91" s="712">
        <v>2480.0323250000001</v>
      </c>
      <c r="I91" s="712">
        <v>2587.0031430000004</v>
      </c>
      <c r="J91" s="712">
        <v>2652.3962239999996</v>
      </c>
      <c r="K91" s="713">
        <v>2717.192352</v>
      </c>
      <c r="L91" s="714">
        <v>2923.4425346608914</v>
      </c>
      <c r="M91" s="715">
        <v>3053.0425442978521</v>
      </c>
      <c r="N91" s="716">
        <v>3182.6425539348129</v>
      </c>
    </row>
    <row r="92" spans="2:14">
      <c r="B92" s="1495"/>
      <c r="C92" s="717" t="s">
        <v>1499</v>
      </c>
      <c r="D92" s="711">
        <v>2054.3416185760493</v>
      </c>
      <c r="E92" s="712">
        <v>1924.1170348799997</v>
      </c>
      <c r="F92" s="712">
        <v>2306.7378432400001</v>
      </c>
      <c r="G92" s="712">
        <v>2455.8117634100004</v>
      </c>
      <c r="H92" s="712">
        <v>2616.434102875</v>
      </c>
      <c r="I92" s="712">
        <v>2729.2883158650002</v>
      </c>
      <c r="J92" s="712">
        <v>2798.2780163199996</v>
      </c>
      <c r="K92" s="713">
        <v>2866.63793136</v>
      </c>
      <c r="L92" s="718">
        <v>3084.2318740672404</v>
      </c>
      <c r="M92" s="712">
        <v>3220.9598842342334</v>
      </c>
      <c r="N92" s="719">
        <v>3357.6878944012274</v>
      </c>
    </row>
    <row r="93" spans="2:14" ht="28.9">
      <c r="B93" s="1495"/>
      <c r="C93" s="710" t="s">
        <v>1496</v>
      </c>
      <c r="D93" s="711">
        <v>0.94589116925440042</v>
      </c>
      <c r="E93" s="712">
        <v>1.0034713918397704</v>
      </c>
      <c r="F93" s="712">
        <v>0.9377640610250243</v>
      </c>
      <c r="G93" s="712">
        <v>0.85723578233063547</v>
      </c>
      <c r="H93" s="712">
        <v>0.78834403631193473</v>
      </c>
      <c r="I93" s="712">
        <v>0.71992937212577912</v>
      </c>
      <c r="J93" s="712">
        <v>0.66367832506096636</v>
      </c>
      <c r="K93" s="713">
        <v>0.62013993459581696</v>
      </c>
      <c r="L93" s="718">
        <v>0.62390887336246659</v>
      </c>
      <c r="M93" s="712">
        <v>0.60346835270168875</v>
      </c>
      <c r="N93" s="719">
        <v>0.58583823544192604</v>
      </c>
    </row>
    <row r="94" spans="2:14">
      <c r="B94" s="1495"/>
      <c r="C94" s="710" t="s">
        <v>1512</v>
      </c>
      <c r="D94" s="711">
        <v>2054.3416185760493</v>
      </c>
      <c r="E94" s="712">
        <v>1924.1170348799997</v>
      </c>
      <c r="F94" s="712">
        <v>2306.7378432400001</v>
      </c>
      <c r="G94" s="712">
        <v>2686.5094293044021</v>
      </c>
      <c r="H94" s="712">
        <v>3112.3440486655472</v>
      </c>
      <c r="I94" s="712">
        <v>3555.110534296346</v>
      </c>
      <c r="J94" s="712">
        <v>3953.9102866139801</v>
      </c>
      <c r="K94" s="713">
        <v>4334.8764980804081</v>
      </c>
      <c r="L94" s="720">
        <v>4635.7439857852678</v>
      </c>
      <c r="M94" s="712">
        <v>5005.2341732844852</v>
      </c>
      <c r="N94" s="713">
        <v>5374.7243607837027</v>
      </c>
    </row>
    <row r="95" spans="2:14">
      <c r="B95" s="1496"/>
      <c r="C95" s="721" t="s">
        <v>1500</v>
      </c>
      <c r="D95" s="722">
        <v>1</v>
      </c>
      <c r="E95" s="723">
        <v>1</v>
      </c>
      <c r="F95" s="724">
        <v>1</v>
      </c>
      <c r="G95" s="725">
        <v>0.91412735671873868</v>
      </c>
      <c r="H95" s="726">
        <v>0.84066351983060028</v>
      </c>
      <c r="I95" s="725">
        <v>0.76770842693508579</v>
      </c>
      <c r="J95" s="725">
        <v>0.70772420552727511</v>
      </c>
      <c r="K95" s="727">
        <v>0.661296332808886</v>
      </c>
      <c r="L95" s="728">
        <v>0.66531540212844387</v>
      </c>
      <c r="M95" s="725">
        <v>0.64351831956757521</v>
      </c>
      <c r="N95" s="727">
        <v>0.62471815650684537</v>
      </c>
    </row>
    <row r="96" spans="2:14">
      <c r="B96" s="1497" t="s">
        <v>1531</v>
      </c>
      <c r="C96" s="710" t="s">
        <v>1495</v>
      </c>
      <c r="D96" s="711">
        <v>362.50369262695301</v>
      </c>
      <c r="E96" s="712">
        <v>345.82843000000003</v>
      </c>
      <c r="F96" s="729">
        <v>366.052032</v>
      </c>
      <c r="G96" s="730">
        <v>390.47351099999997</v>
      </c>
      <c r="H96" s="729">
        <v>406.86325099999999</v>
      </c>
      <c r="I96" s="730">
        <v>403.86682100000002</v>
      </c>
      <c r="J96" s="729">
        <v>397.68994099999998</v>
      </c>
      <c r="K96" s="731">
        <v>393.68231200000002</v>
      </c>
      <c r="L96" s="730"/>
      <c r="M96" s="730"/>
      <c r="N96" s="730"/>
    </row>
    <row r="97" spans="2:14">
      <c r="B97" s="1498"/>
      <c r="C97" s="732" t="s">
        <v>1494</v>
      </c>
      <c r="D97" s="733">
        <v>252.17987060546901</v>
      </c>
      <c r="E97" s="725">
        <v>250.150497</v>
      </c>
      <c r="F97" s="734">
        <v>303.98458900000003</v>
      </c>
      <c r="G97" s="735">
        <v>352.73410000000001</v>
      </c>
      <c r="H97" s="734">
        <v>392.77136200000001</v>
      </c>
      <c r="I97" s="735">
        <v>417.94552599999997</v>
      </c>
      <c r="J97" s="734">
        <v>440.20840500000003</v>
      </c>
      <c r="K97" s="736">
        <v>465.58431999999999</v>
      </c>
      <c r="L97" s="730"/>
      <c r="M97" s="730"/>
      <c r="N97" s="730"/>
    </row>
    <row r="98" spans="2:14">
      <c r="B98" s="1497" t="s">
        <v>1532</v>
      </c>
      <c r="C98" s="710" t="s">
        <v>1495</v>
      </c>
      <c r="D98" s="711">
        <v>166.083251953125</v>
      </c>
      <c r="E98" s="712">
        <v>184.772186</v>
      </c>
      <c r="F98" s="729">
        <v>201.61064099999999</v>
      </c>
      <c r="G98" s="730">
        <v>218.24438499999999</v>
      </c>
      <c r="H98" s="729">
        <v>234.23178100000001</v>
      </c>
      <c r="I98" s="730">
        <v>242.380493</v>
      </c>
      <c r="J98" s="729">
        <v>242.12423699999999</v>
      </c>
      <c r="K98" s="731">
        <v>241.86308299999999</v>
      </c>
      <c r="L98" s="730"/>
      <c r="M98" s="730"/>
      <c r="N98" s="730"/>
    </row>
    <row r="99" spans="2:14">
      <c r="B99" s="1498"/>
      <c r="C99" s="732" t="s">
        <v>1494</v>
      </c>
      <c r="D99" s="733">
        <v>283.05764770507801</v>
      </c>
      <c r="E99" s="725">
        <v>277.55310100000003</v>
      </c>
      <c r="F99" s="734">
        <v>371.25707999999997</v>
      </c>
      <c r="G99" s="735">
        <v>440.45327800000001</v>
      </c>
      <c r="H99" s="734">
        <v>509.79702800000001</v>
      </c>
      <c r="I99" s="735">
        <v>575.05071999999996</v>
      </c>
      <c r="J99" s="734">
        <v>624.93353300000001</v>
      </c>
      <c r="K99" s="736">
        <v>675.849243</v>
      </c>
      <c r="L99" s="730"/>
      <c r="M99" s="730"/>
      <c r="N99" s="730"/>
    </row>
    <row r="100" spans="2:14">
      <c r="B100" s="1497" t="s">
        <v>1533</v>
      </c>
      <c r="C100" s="710" t="s">
        <v>1495</v>
      </c>
      <c r="D100" s="711">
        <v>187.23100280761699</v>
      </c>
      <c r="E100" s="712">
        <v>248.224411</v>
      </c>
      <c r="F100" s="729">
        <v>424.75839200000001</v>
      </c>
      <c r="G100" s="730">
        <v>477.09768700000001</v>
      </c>
      <c r="H100" s="729">
        <v>551.25500499999998</v>
      </c>
      <c r="I100" s="730">
        <v>604.03265399999998</v>
      </c>
      <c r="J100" s="729">
        <v>643.38226299999997</v>
      </c>
      <c r="K100" s="731">
        <v>674.29077099999995</v>
      </c>
      <c r="L100" s="730"/>
      <c r="M100" s="730"/>
      <c r="N100" s="730"/>
    </row>
    <row r="101" spans="2:14">
      <c r="B101" s="1498"/>
      <c r="C101" s="732" t="s">
        <v>1494</v>
      </c>
      <c r="D101" s="733">
        <v>469.36602783203102</v>
      </c>
      <c r="E101" s="725">
        <v>392.44439699999998</v>
      </c>
      <c r="F101" s="734">
        <v>430.71792599999998</v>
      </c>
      <c r="G101" s="735">
        <v>531.39410399999997</v>
      </c>
      <c r="H101" s="734">
        <v>675.59582499999999</v>
      </c>
      <c r="I101" s="735">
        <v>803.88091999999995</v>
      </c>
      <c r="J101" s="734">
        <v>905.67785600000002</v>
      </c>
      <c r="K101" s="736">
        <v>996.58892800000001</v>
      </c>
      <c r="L101" s="730"/>
      <c r="M101" s="730"/>
      <c r="N101" s="730"/>
    </row>
    <row r="102" spans="2:14">
      <c r="B102" s="1499" t="s">
        <v>1534</v>
      </c>
      <c r="C102" s="710" t="s">
        <v>1495</v>
      </c>
      <c r="D102" s="711">
        <v>371.39065551757801</v>
      </c>
      <c r="E102" s="712">
        <v>401.58279399999998</v>
      </c>
      <c r="F102" s="729">
        <v>408.58367900000002</v>
      </c>
      <c r="G102" s="730">
        <v>423.03311200000002</v>
      </c>
      <c r="H102" s="729">
        <v>444.08392300000003</v>
      </c>
      <c r="I102" s="730">
        <v>487.12670900000001</v>
      </c>
      <c r="J102" s="729">
        <v>526.58593800000006</v>
      </c>
      <c r="K102" s="731">
        <v>558.13171399999999</v>
      </c>
      <c r="L102" s="730"/>
      <c r="M102" s="730"/>
      <c r="N102" s="730"/>
    </row>
    <row r="103" spans="2:14" ht="15" customHeight="1">
      <c r="B103" s="1500"/>
      <c r="C103" s="732" t="s">
        <v>1494</v>
      </c>
      <c r="D103" s="733">
        <v>667.53698730468795</v>
      </c>
      <c r="E103" s="725">
        <v>567.39312700000005</v>
      </c>
      <c r="F103" s="734">
        <v>825.16870100000006</v>
      </c>
      <c r="G103" s="735">
        <v>936.00408900000002</v>
      </c>
      <c r="H103" s="734">
        <v>1062.717529</v>
      </c>
      <c r="I103" s="735">
        <v>1249.034058</v>
      </c>
      <c r="J103" s="734">
        <v>1444.6400149999999</v>
      </c>
      <c r="K103" s="736">
        <v>1623.9754640000001</v>
      </c>
      <c r="L103" s="730"/>
      <c r="M103" s="730"/>
      <c r="N103" s="730"/>
    </row>
    <row r="104" spans="2:14">
      <c r="B104" s="1497" t="s">
        <v>1535</v>
      </c>
      <c r="C104" s="710" t="s">
        <v>1495</v>
      </c>
      <c r="D104" s="711">
        <v>160.496337890625</v>
      </c>
      <c r="E104" s="712">
        <v>61.187027</v>
      </c>
      <c r="F104" s="729">
        <v>73.115844999999993</v>
      </c>
      <c r="G104" s="730">
        <v>79.187531000000007</v>
      </c>
      <c r="H104" s="729">
        <v>85.736427000000006</v>
      </c>
      <c r="I104" s="730">
        <v>91.260650999999996</v>
      </c>
      <c r="J104" s="729">
        <v>94.491409000000004</v>
      </c>
      <c r="K104" s="731">
        <v>97.561477999999994</v>
      </c>
      <c r="L104" s="730"/>
      <c r="M104" s="730"/>
      <c r="N104" s="730"/>
    </row>
    <row r="105" spans="2:14">
      <c r="B105" s="1498"/>
      <c r="C105" s="732" t="s">
        <v>1494</v>
      </c>
      <c r="D105" s="733">
        <v>108.95285797119099</v>
      </c>
      <c r="E105" s="725">
        <v>96.543998999999999</v>
      </c>
      <c r="F105" s="734">
        <v>110.68879699999999</v>
      </c>
      <c r="G105" s="735">
        <v>132.197418</v>
      </c>
      <c r="H105" s="734">
        <v>153.738846</v>
      </c>
      <c r="I105" s="735">
        <v>176.666901</v>
      </c>
      <c r="J105" s="734">
        <v>195.765457</v>
      </c>
      <c r="K105" s="736">
        <v>214.34994499999999</v>
      </c>
      <c r="L105" s="730"/>
      <c r="M105" s="730"/>
      <c r="N105" s="730"/>
    </row>
    <row r="106" spans="2:14">
      <c r="B106" s="1497" t="s">
        <v>1536</v>
      </c>
      <c r="C106" s="710" t="s">
        <v>1495</v>
      </c>
      <c r="D106" s="711">
        <v>378.90032958984398</v>
      </c>
      <c r="E106" s="712">
        <v>285.346069</v>
      </c>
      <c r="F106" s="729">
        <v>391.90893599999998</v>
      </c>
      <c r="G106" s="730">
        <v>398.69873000000001</v>
      </c>
      <c r="H106" s="729">
        <v>403.27648900000003</v>
      </c>
      <c r="I106" s="730">
        <v>399.87005599999998</v>
      </c>
      <c r="J106" s="729">
        <v>392.08367900000002</v>
      </c>
      <c r="K106" s="731">
        <v>392.99606299999999</v>
      </c>
      <c r="L106" s="730"/>
      <c r="M106" s="730"/>
      <c r="N106" s="730"/>
    </row>
    <row r="107" spans="2:14">
      <c r="B107" s="1498"/>
      <c r="C107" s="732" t="s">
        <v>1494</v>
      </c>
      <c r="D107" s="733">
        <v>101.849853515625</v>
      </c>
      <c r="E107" s="725">
        <v>73.266823000000002</v>
      </c>
      <c r="F107" s="734">
        <v>105.95459700000001</v>
      </c>
      <c r="G107" s="735">
        <v>107.04119900000001</v>
      </c>
      <c r="H107" s="734">
        <v>108.61082500000001</v>
      </c>
      <c r="I107" s="735">
        <v>107.075653</v>
      </c>
      <c r="J107" s="734">
        <v>104.598778</v>
      </c>
      <c r="K107" s="736">
        <v>105.14362300000001</v>
      </c>
      <c r="L107" s="730"/>
      <c r="M107" s="730"/>
      <c r="N107" s="730"/>
    </row>
    <row r="108" spans="2:14">
      <c r="B108" s="1501" t="s">
        <v>1537</v>
      </c>
      <c r="C108" s="710" t="s">
        <v>1495</v>
      </c>
      <c r="D108" s="711">
        <v>320.63796997070301</v>
      </c>
      <c r="E108" s="712">
        <v>296.86669899999998</v>
      </c>
      <c r="F108" s="729">
        <v>320.451843</v>
      </c>
      <c r="G108" s="730">
        <v>341.04870599999998</v>
      </c>
      <c r="H108" s="729">
        <v>354.58544899999998</v>
      </c>
      <c r="I108" s="730">
        <v>358.46575899999999</v>
      </c>
      <c r="J108" s="729">
        <v>356.03875699999998</v>
      </c>
      <c r="K108" s="731">
        <v>358.66693099999998</v>
      </c>
      <c r="L108" s="730"/>
      <c r="M108" s="730"/>
      <c r="N108" s="730"/>
    </row>
    <row r="109" spans="2:14" ht="15" thickBot="1">
      <c r="B109" s="1501"/>
      <c r="C109" s="710" t="s">
        <v>1494</v>
      </c>
      <c r="D109" s="711">
        <v>175.69024658203099</v>
      </c>
      <c r="E109" s="712">
        <v>160.146423</v>
      </c>
      <c r="F109" s="729">
        <v>183.818375</v>
      </c>
      <c r="G109" s="730">
        <v>215.62902800000001</v>
      </c>
      <c r="H109" s="729">
        <v>242.64425700000001</v>
      </c>
      <c r="I109" s="730">
        <v>263.75863600000002</v>
      </c>
      <c r="J109" s="729">
        <v>280.68469199999998</v>
      </c>
      <c r="K109" s="731">
        <v>300.08785999999998</v>
      </c>
      <c r="L109" s="730"/>
      <c r="M109" s="730"/>
      <c r="N109" s="730"/>
    </row>
    <row r="110" spans="2:14" ht="15" customHeight="1">
      <c r="B110" s="1502" t="s">
        <v>1538</v>
      </c>
      <c r="C110" s="737" t="s">
        <v>1495</v>
      </c>
      <c r="D110" s="738">
        <v>1732.84240722656</v>
      </c>
      <c r="E110" s="739">
        <v>1377.3460689999999</v>
      </c>
      <c r="F110" s="740">
        <v>1684.709717</v>
      </c>
      <c r="G110" s="741">
        <v>1766.26001</v>
      </c>
      <c r="H110" s="740">
        <v>1851.8945309999999</v>
      </c>
      <c r="I110" s="741">
        <v>1919.6525879999999</v>
      </c>
      <c r="J110" s="741">
        <v>2003.9228519999999</v>
      </c>
      <c r="K110" s="742">
        <v>2136.7849120000001</v>
      </c>
      <c r="L110" s="738">
        <v>2170.8343812647909</v>
      </c>
      <c r="M110" s="739">
        <v>2251.2027691506701</v>
      </c>
      <c r="N110" s="743">
        <v>2331.5711570365493</v>
      </c>
    </row>
    <row r="111" spans="2:14" ht="15" customHeight="1">
      <c r="B111" s="1503"/>
      <c r="C111" s="744" t="s">
        <v>1494</v>
      </c>
      <c r="D111" s="745">
        <v>941.87103271484398</v>
      </c>
      <c r="E111" s="746">
        <v>847.70404099999996</v>
      </c>
      <c r="F111" s="747">
        <v>941.370544</v>
      </c>
      <c r="G111" s="748">
        <v>1087.7867429999999</v>
      </c>
      <c r="H111" s="747">
        <v>1239.650879</v>
      </c>
      <c r="I111" s="748">
        <v>1383.77124</v>
      </c>
      <c r="J111" s="748">
        <v>1550.3709719999999</v>
      </c>
      <c r="K111" s="749">
        <v>1758.1232910000001</v>
      </c>
      <c r="L111" s="745">
        <v>1792.3757367855724</v>
      </c>
      <c r="M111" s="746">
        <v>1919.8301021069492</v>
      </c>
      <c r="N111" s="750">
        <v>2047.2844674283333</v>
      </c>
    </row>
    <row r="112" spans="2:14" ht="28.9">
      <c r="B112" s="1503"/>
      <c r="C112" s="744" t="s">
        <v>1496</v>
      </c>
      <c r="D112" s="745">
        <v>1.8397873456537084</v>
      </c>
      <c r="E112" s="746">
        <v>1.6247959221418882</v>
      </c>
      <c r="F112" s="747">
        <v>1.7896350000000001</v>
      </c>
      <c r="G112" s="748">
        <v>1.6237189999999999</v>
      </c>
      <c r="H112" s="747">
        <v>1.493884</v>
      </c>
      <c r="I112" s="748">
        <v>1.387262</v>
      </c>
      <c r="J112" s="748">
        <v>1.2925439999999999</v>
      </c>
      <c r="K112" s="749">
        <v>1.2153780000000001</v>
      </c>
      <c r="L112" s="745">
        <v>1.2111491673938537</v>
      </c>
      <c r="M112" s="746">
        <v>1.1726052043251383</v>
      </c>
      <c r="N112" s="750">
        <v>1.1388603753562976</v>
      </c>
    </row>
    <row r="113" spans="2:14" ht="15" customHeight="1">
      <c r="B113" s="1503"/>
      <c r="C113" s="744" t="s">
        <v>1512</v>
      </c>
      <c r="D113" s="745">
        <v>1828.1487396240207</v>
      </c>
      <c r="E113" s="746">
        <v>1453.1001027949999</v>
      </c>
      <c r="F113" s="751">
        <v>1777.3687055545693</v>
      </c>
      <c r="G113" s="746">
        <v>2053.8119953382893</v>
      </c>
      <c r="H113" s="751">
        <v>2340.5413438853188</v>
      </c>
      <c r="I113" s="746">
        <v>2612.6499424677568</v>
      </c>
      <c r="J113" s="746">
        <v>2927.2010529713566</v>
      </c>
      <c r="K113" s="750">
        <v>3319.4509195626688</v>
      </c>
      <c r="L113" s="745">
        <v>3632.0809831242191</v>
      </c>
      <c r="M113" s="746">
        <v>3890.3552762867362</v>
      </c>
      <c r="N113" s="750">
        <v>4148.6295694492683</v>
      </c>
    </row>
    <row r="114" spans="2:14" ht="15" customHeight="1">
      <c r="B114" s="1503"/>
      <c r="C114" s="744" t="s">
        <v>1539</v>
      </c>
      <c r="D114" s="752"/>
      <c r="E114" s="746">
        <v>135.79244101523079</v>
      </c>
      <c r="F114" s="751">
        <v>163.47471872068027</v>
      </c>
      <c r="G114" s="746">
        <v>188.90078192207585</v>
      </c>
      <c r="H114" s="751">
        <v>215.27291250826414</v>
      </c>
      <c r="I114" s="746">
        <v>240.30028948172284</v>
      </c>
      <c r="J114" s="746">
        <v>269.23134590921256</v>
      </c>
      <c r="K114" s="750">
        <v>305.30879928669378</v>
      </c>
      <c r="L114" s="745">
        <v>334.06316609006706</v>
      </c>
      <c r="M114" s="746">
        <v>357.81812323293587</v>
      </c>
      <c r="N114" s="750">
        <v>381.57308037580606</v>
      </c>
    </row>
    <row r="115" spans="2:14">
      <c r="B115" s="1503"/>
      <c r="C115" s="744" t="s">
        <v>1540</v>
      </c>
      <c r="D115" s="752"/>
      <c r="E115" s="746">
        <v>349.37885748038462</v>
      </c>
      <c r="F115" s="751">
        <v>420.60228114724299</v>
      </c>
      <c r="G115" s="746">
        <v>486.02071567211664</v>
      </c>
      <c r="H115" s="751">
        <v>553.87327642321554</v>
      </c>
      <c r="I115" s="746">
        <v>618.26593559735284</v>
      </c>
      <c r="J115" s="746">
        <v>692.70232811498317</v>
      </c>
      <c r="K115" s="750">
        <v>785.52560566702653</v>
      </c>
      <c r="L115" s="745">
        <v>859.50739542075553</v>
      </c>
      <c r="M115" s="746">
        <v>920.62625979951804</v>
      </c>
      <c r="N115" s="750">
        <v>981.74512417828419</v>
      </c>
    </row>
    <row r="116" spans="2:14">
      <c r="B116" s="1503"/>
      <c r="C116" s="744" t="s">
        <v>1541</v>
      </c>
      <c r="D116" s="752"/>
      <c r="E116" s="746">
        <v>48.39578418273554</v>
      </c>
      <c r="F116" s="751">
        <v>58.261617122355645</v>
      </c>
      <c r="G116" s="746">
        <v>67.323345876265563</v>
      </c>
      <c r="H116" s="751">
        <v>76.722248574722357</v>
      </c>
      <c r="I116" s="746">
        <v>85.641887441304192</v>
      </c>
      <c r="J116" s="746">
        <v>95.952779215363194</v>
      </c>
      <c r="K116" s="750">
        <v>108.81061308642123</v>
      </c>
      <c r="L116" s="745">
        <v>119.05853351353237</v>
      </c>
      <c r="M116" s="746">
        <v>127.52468796632303</v>
      </c>
      <c r="N116" s="750">
        <v>135.99084241911419</v>
      </c>
    </row>
    <row r="117" spans="2:14">
      <c r="B117" s="1503"/>
      <c r="C117" s="744" t="s">
        <v>1542</v>
      </c>
      <c r="D117" s="752"/>
      <c r="E117" s="746">
        <v>206.58023284303144</v>
      </c>
      <c r="F117" s="751">
        <v>248.69311726622107</v>
      </c>
      <c r="G117" s="746">
        <v>287.3736359840251</v>
      </c>
      <c r="H117" s="751">
        <v>327.49340138724477</v>
      </c>
      <c r="I117" s="746">
        <v>365.56740111781539</v>
      </c>
      <c r="J117" s="746">
        <v>409.58004518329295</v>
      </c>
      <c r="K117" s="750">
        <v>464.46446042307605</v>
      </c>
      <c r="L117" s="745">
        <v>508.20830761430909</v>
      </c>
      <c r="M117" s="746">
        <v>544.34658262476898</v>
      </c>
      <c r="N117" s="750">
        <v>580.48485763523104</v>
      </c>
    </row>
    <row r="118" spans="2:14">
      <c r="B118" s="1503"/>
      <c r="C118" s="744" t="s">
        <v>1543</v>
      </c>
      <c r="D118" s="752"/>
      <c r="E118" s="746">
        <v>257.2150009731929</v>
      </c>
      <c r="F118" s="751">
        <v>309.65015151407425</v>
      </c>
      <c r="G118" s="746">
        <v>357.81163106475037</v>
      </c>
      <c r="H118" s="751">
        <v>407.76513027042972</v>
      </c>
      <c r="I118" s="746">
        <v>455.17142729592183</v>
      </c>
      <c r="J118" s="746">
        <v>509.97198652821083</v>
      </c>
      <c r="K118" s="750">
        <v>578.30909083402651</v>
      </c>
      <c r="L118" s="745">
        <v>632.77496853692196</v>
      </c>
      <c r="M118" s="746">
        <v>677.77107641258658</v>
      </c>
      <c r="N118" s="750">
        <v>722.76718428825393</v>
      </c>
    </row>
    <row r="119" spans="2:14">
      <c r="B119" s="1503"/>
      <c r="C119" s="744" t="s">
        <v>1544</v>
      </c>
      <c r="D119" s="752"/>
      <c r="E119" s="746">
        <v>479.0325474948969</v>
      </c>
      <c r="F119" s="751">
        <v>576.68681978399502</v>
      </c>
      <c r="G119" s="746">
        <v>666.38188481905581</v>
      </c>
      <c r="H119" s="751">
        <v>759.4143747214423</v>
      </c>
      <c r="I119" s="746">
        <v>847.70300153363974</v>
      </c>
      <c r="J119" s="746">
        <v>949.76256802029388</v>
      </c>
      <c r="K119" s="750">
        <v>1077.0323502654248</v>
      </c>
      <c r="L119" s="745">
        <v>1178.4686119486332</v>
      </c>
      <c r="M119" s="746">
        <v>1262.2685462506035</v>
      </c>
      <c r="N119" s="750">
        <v>1346.0684805525789</v>
      </c>
    </row>
    <row r="120" spans="2:14">
      <c r="B120" s="1503"/>
      <c r="C120" s="744" t="s">
        <v>1497</v>
      </c>
      <c r="D120" s="752"/>
      <c r="E120" s="746"/>
      <c r="F120" s="751"/>
      <c r="G120" s="746"/>
      <c r="H120" s="751"/>
      <c r="I120" s="746"/>
      <c r="J120" s="746"/>
      <c r="K120" s="750"/>
      <c r="L120" s="745"/>
      <c r="M120" s="746"/>
      <c r="N120" s="750"/>
    </row>
    <row r="121" spans="2:14">
      <c r="B121" s="1503"/>
      <c r="C121" s="744" t="s">
        <v>1518</v>
      </c>
      <c r="D121" s="745"/>
      <c r="E121" s="746">
        <v>316.07055126497818</v>
      </c>
      <c r="F121" s="751">
        <v>290.87092586823616</v>
      </c>
      <c r="G121" s="746">
        <v>325.23128131131409</v>
      </c>
      <c r="H121" s="751">
        <v>357.89103757337864</v>
      </c>
      <c r="I121" s="746">
        <v>387.37980906640007</v>
      </c>
      <c r="J121" s="746">
        <v>410.65608208856651</v>
      </c>
      <c r="K121" s="750">
        <v>437.13746104479617</v>
      </c>
      <c r="L121" s="745">
        <v>466.86081674739745</v>
      </c>
      <c r="M121" s="746">
        <v>492.95267334317811</v>
      </c>
      <c r="N121" s="750">
        <v>519.04452993895939</v>
      </c>
    </row>
    <row r="122" spans="2:14">
      <c r="B122" s="1503"/>
      <c r="C122" s="753" t="s">
        <v>1545</v>
      </c>
      <c r="D122" s="745"/>
      <c r="E122" s="746">
        <v>295.36942628230452</v>
      </c>
      <c r="F122" s="751">
        <v>357.36295832593908</v>
      </c>
      <c r="G122" s="746">
        <v>416.07945754796106</v>
      </c>
      <c r="H122" s="751">
        <v>463.72928061734535</v>
      </c>
      <c r="I122" s="746">
        <v>513.76083192318322</v>
      </c>
      <c r="J122" s="746">
        <v>567.70278691153817</v>
      </c>
      <c r="K122" s="750">
        <v>633.84707153274121</v>
      </c>
      <c r="L122" s="745">
        <v>687.890022358544</v>
      </c>
      <c r="M122" s="746">
        <v>735.12531567565168</v>
      </c>
      <c r="N122" s="750">
        <v>782.36060899276151</v>
      </c>
    </row>
    <row r="123" spans="2:14">
      <c r="B123" s="1503"/>
      <c r="C123" s="753" t="s">
        <v>1546</v>
      </c>
      <c r="D123" s="745"/>
      <c r="E123" s="746">
        <v>335.44197320222935</v>
      </c>
      <c r="F123" s="751">
        <v>401.64588571737153</v>
      </c>
      <c r="G123" s="746">
        <v>460.71805117564014</v>
      </c>
      <c r="H123" s="751">
        <v>523.07099876814141</v>
      </c>
      <c r="I123" s="746">
        <v>570.52165926239945</v>
      </c>
      <c r="J123" s="746">
        <v>621.31507429271664</v>
      </c>
      <c r="K123" s="750">
        <v>682.11317164978834</v>
      </c>
      <c r="L123" s="745">
        <v>741.86666857095281</v>
      </c>
      <c r="M123" s="746">
        <v>786.64603051427116</v>
      </c>
      <c r="N123" s="750">
        <v>831.42539245759235</v>
      </c>
    </row>
    <row r="124" spans="2:14">
      <c r="B124" s="1503"/>
      <c r="C124" s="753" t="s">
        <v>909</v>
      </c>
      <c r="D124" s="745"/>
      <c r="E124" s="746">
        <v>2403.1495823748965</v>
      </c>
      <c r="F124" s="751">
        <v>2470.2125619606804</v>
      </c>
      <c r="G124" s="746">
        <v>2875.4102112264782</v>
      </c>
      <c r="H124" s="751">
        <v>3327.6169611738114</v>
      </c>
      <c r="I124" s="746">
        <v>3795.4108237780688</v>
      </c>
      <c r="J124" s="746">
        <v>4223.141632523193</v>
      </c>
      <c r="K124" s="750">
        <v>4640.1852973671021</v>
      </c>
      <c r="L124" s="745">
        <v>4969.807151875335</v>
      </c>
      <c r="M124" s="746">
        <v>5363.0522965174214</v>
      </c>
      <c r="N124" s="750">
        <v>5756.2974411595087</v>
      </c>
    </row>
    <row r="125" spans="2:14">
      <c r="B125" s="1503"/>
      <c r="C125" s="744" t="s">
        <v>1498</v>
      </c>
      <c r="D125" s="745"/>
      <c r="E125" s="746"/>
      <c r="F125" s="751"/>
      <c r="G125" s="746"/>
      <c r="H125" s="751"/>
      <c r="I125" s="746"/>
      <c r="J125" s="746"/>
      <c r="K125" s="750"/>
      <c r="L125" s="745"/>
      <c r="M125" s="746"/>
      <c r="N125" s="750"/>
    </row>
    <row r="126" spans="2:14">
      <c r="B126" s="1503"/>
      <c r="C126" s="744" t="s">
        <v>1540</v>
      </c>
      <c r="D126" s="745"/>
      <c r="E126" s="746">
        <v>304.64545799762743</v>
      </c>
      <c r="F126" s="751">
        <v>366.74965250907502</v>
      </c>
      <c r="G126" s="746">
        <v>423.79211091953232</v>
      </c>
      <c r="H126" s="751">
        <v>482.95703748493247</v>
      </c>
      <c r="I126" s="746">
        <v>539.10505768072107</v>
      </c>
      <c r="J126" s="746">
        <v>604.01084234600467</v>
      </c>
      <c r="K126" s="750">
        <v>684.94931156711596</v>
      </c>
      <c r="L126" s="745">
        <v>749.45869941487479</v>
      </c>
      <c r="M126" s="746">
        <v>802.75209147998657</v>
      </c>
      <c r="N126" s="750">
        <v>856.04548354510166</v>
      </c>
    </row>
    <row r="127" spans="2:14">
      <c r="B127" s="1503"/>
      <c r="C127" s="744" t="s">
        <v>1518</v>
      </c>
      <c r="D127" s="745"/>
      <c r="E127" s="746">
        <v>337.57139652730592</v>
      </c>
      <c r="F127" s="751">
        <v>310.65755497168567</v>
      </c>
      <c r="G127" s="746">
        <v>347.35528946695132</v>
      </c>
      <c r="H127" s="751">
        <v>382.23674073630332</v>
      </c>
      <c r="I127" s="746">
        <v>413.73149953282416</v>
      </c>
      <c r="J127" s="746">
        <v>438.59115178007295</v>
      </c>
      <c r="K127" s="750">
        <v>466.87393877318618</v>
      </c>
      <c r="L127" s="745">
        <v>498.61923947851244</v>
      </c>
      <c r="M127" s="746">
        <v>526.48600667266271</v>
      </c>
      <c r="N127" s="750">
        <v>554.35277386681355</v>
      </c>
    </row>
    <row r="128" spans="2:14">
      <c r="B128" s="1503"/>
      <c r="C128" s="753" t="s">
        <v>1545</v>
      </c>
      <c r="D128" s="745"/>
      <c r="E128" s="746">
        <v>290.54139996803349</v>
      </c>
      <c r="F128" s="751">
        <v>351.52160301621814</v>
      </c>
      <c r="G128" s="746">
        <v>409.27833870789135</v>
      </c>
      <c r="H128" s="751">
        <v>456.14929105072497</v>
      </c>
      <c r="I128" s="746">
        <v>505.36304056411353</v>
      </c>
      <c r="J128" s="746">
        <v>558.42327539136397</v>
      </c>
      <c r="K128" s="750">
        <v>623.48638397241518</v>
      </c>
      <c r="L128" s="745">
        <v>676.64596378730482</v>
      </c>
      <c r="M128" s="746">
        <v>723.10916216565158</v>
      </c>
      <c r="N128" s="750">
        <v>769.57236054400039</v>
      </c>
    </row>
    <row r="129" spans="2:17">
      <c r="B129" s="1503"/>
      <c r="C129" s="753" t="s">
        <v>1546</v>
      </c>
      <c r="D129" s="745"/>
      <c r="E129" s="746">
        <v>327.16652499855377</v>
      </c>
      <c r="F129" s="751">
        <v>391.73716829675919</v>
      </c>
      <c r="G129" s="746">
        <v>449.35200675190362</v>
      </c>
      <c r="H129" s="751">
        <v>510.16668951957581</v>
      </c>
      <c r="I129" s="746">
        <v>556.44672881994506</v>
      </c>
      <c r="J129" s="746">
        <v>605.98705595801516</v>
      </c>
      <c r="K129" s="750">
        <v>665.28524708463681</v>
      </c>
      <c r="L129" s="745">
        <v>723.5646083630877</v>
      </c>
      <c r="M129" s="746">
        <v>767.23925080211143</v>
      </c>
      <c r="N129" s="750">
        <v>810.91389324113788</v>
      </c>
    </row>
    <row r="130" spans="2:17">
      <c r="B130" s="1503"/>
      <c r="C130" s="753" t="s">
        <v>909</v>
      </c>
      <c r="D130" s="745"/>
      <c r="E130" s="746">
        <v>2253.9187697947796</v>
      </c>
      <c r="F130" s="751">
        <v>2316.8172716422532</v>
      </c>
      <c r="G130" s="746">
        <v>2696.8529522570061</v>
      </c>
      <c r="H130" s="751">
        <v>3120.9785618359715</v>
      </c>
      <c r="I130" s="746">
        <v>3559.7233553567153</v>
      </c>
      <c r="J130" s="746">
        <v>3960.8929310338985</v>
      </c>
      <c r="K130" s="750">
        <v>4352.0390132044304</v>
      </c>
      <c r="L130" s="745">
        <v>4661.192005702077</v>
      </c>
      <c r="M130" s="746">
        <v>5030.0174084735263</v>
      </c>
      <c r="N130" s="750">
        <v>5398.8428112449765</v>
      </c>
    </row>
    <row r="131" spans="2:17">
      <c r="B131" s="1503"/>
      <c r="C131" s="753"/>
      <c r="D131" s="745"/>
      <c r="E131" s="746"/>
      <c r="F131" s="751"/>
      <c r="G131" s="746"/>
      <c r="H131" s="751"/>
      <c r="I131" s="746"/>
      <c r="J131" s="746"/>
      <c r="K131" s="750"/>
      <c r="L131" s="745"/>
      <c r="M131" s="746"/>
      <c r="N131" s="750"/>
    </row>
    <row r="132" spans="2:17">
      <c r="B132" s="1503"/>
      <c r="C132" s="753" t="s">
        <v>1547</v>
      </c>
      <c r="D132" s="745"/>
      <c r="E132" s="746">
        <v>1453.1001027949999</v>
      </c>
      <c r="F132" s="751">
        <v>1777.3687514349999</v>
      </c>
      <c r="G132" s="746">
        <v>1863.4043105499998</v>
      </c>
      <c r="H132" s="751">
        <v>1953.7487302049999</v>
      </c>
      <c r="I132" s="746">
        <v>2025.2334803399997</v>
      </c>
      <c r="J132" s="746">
        <v>2114.1386088599997</v>
      </c>
      <c r="K132" s="750">
        <v>2254.3080821600001</v>
      </c>
      <c r="L132" s="745">
        <v>2290.2302722343543</v>
      </c>
      <c r="M132" s="746">
        <v>2375.0189214539569</v>
      </c>
      <c r="N132" s="750">
        <v>2459.8075706735594</v>
      </c>
    </row>
    <row r="133" spans="2:17">
      <c r="B133" s="1503"/>
      <c r="C133" s="753" t="s">
        <v>1500</v>
      </c>
      <c r="D133" s="754"/>
      <c r="E133" s="755">
        <v>1</v>
      </c>
      <c r="F133" s="756">
        <v>1.0000000258136821</v>
      </c>
      <c r="G133" s="757">
        <v>0.90729059659770517</v>
      </c>
      <c r="H133" s="758">
        <v>0.83474224256246643</v>
      </c>
      <c r="I133" s="757">
        <v>0.77516449770805584</v>
      </c>
      <c r="J133" s="757">
        <v>0.72223894792398025</v>
      </c>
      <c r="K133" s="759">
        <v>0.67912077532901161</v>
      </c>
      <c r="L133" s="760">
        <v>0.63055594929614134</v>
      </c>
      <c r="M133" s="757">
        <v>0.61048895352325339</v>
      </c>
      <c r="N133" s="759">
        <v>0.59292051254412181</v>
      </c>
    </row>
    <row r="134" spans="2:17">
      <c r="B134" s="1503"/>
      <c r="C134" s="744" t="s">
        <v>1518</v>
      </c>
      <c r="D134" s="754"/>
      <c r="E134" s="755">
        <v>0.99999993533961773</v>
      </c>
      <c r="F134" s="756">
        <v>0.99999997585715727</v>
      </c>
      <c r="G134" s="757">
        <v>0.92789204799268254</v>
      </c>
      <c r="H134" s="758">
        <v>0.86791211466426432</v>
      </c>
      <c r="I134" s="757">
        <v>0.83261153977935631</v>
      </c>
      <c r="J134" s="757">
        <v>0.76530771981383972</v>
      </c>
      <c r="K134" s="759">
        <v>0.71124905622401979</v>
      </c>
      <c r="L134" s="760">
        <v>0.69124819769223733</v>
      </c>
      <c r="M134" s="757">
        <v>0.6620196400183147</v>
      </c>
      <c r="N134" s="759">
        <v>0.63572966387773</v>
      </c>
    </row>
    <row r="135" spans="2:17">
      <c r="B135" s="1503"/>
      <c r="C135" s="753" t="s">
        <v>1545</v>
      </c>
      <c r="D135" s="754"/>
      <c r="E135" s="755">
        <v>0.99999996723959161</v>
      </c>
      <c r="F135" s="756">
        <v>1.0000000084785263</v>
      </c>
      <c r="G135" s="757">
        <v>0.93234767603250102</v>
      </c>
      <c r="H135" s="758">
        <v>0.87457588673718833</v>
      </c>
      <c r="I135" s="757">
        <v>0.81888646330858617</v>
      </c>
      <c r="J135" s="757">
        <v>0.76865471161112142</v>
      </c>
      <c r="K135" s="759">
        <v>0.72808069632487626</v>
      </c>
      <c r="L135" s="760">
        <v>0.68762703814082438</v>
      </c>
      <c r="M135" s="757">
        <v>0.66797601335861001</v>
      </c>
      <c r="N135" s="759">
        <v>0.65069786346017588</v>
      </c>
    </row>
    <row r="136" spans="2:17">
      <c r="B136" s="1503"/>
      <c r="C136" s="753" t="s">
        <v>1546</v>
      </c>
      <c r="D136" s="754"/>
      <c r="E136" s="755">
        <v>0.99999991102120322</v>
      </c>
      <c r="F136" s="756">
        <v>1.0000000275589986</v>
      </c>
      <c r="G136" s="757">
        <v>0.91126864640968397</v>
      </c>
      <c r="H136" s="758">
        <v>0.84049090524974968</v>
      </c>
      <c r="I136" s="757">
        <v>0.78393073808994185</v>
      </c>
      <c r="J136" s="757">
        <v>0.73331946633101619</v>
      </c>
      <c r="K136" s="759">
        <v>0.69552427738873079</v>
      </c>
      <c r="L136" s="760">
        <v>0.65686423376038283</v>
      </c>
      <c r="M136" s="757">
        <v>0.63760157358155822</v>
      </c>
      <c r="N136" s="759">
        <v>0.62041383110422033</v>
      </c>
    </row>
    <row r="137" spans="2:17" ht="15" thickBot="1">
      <c r="B137" s="1504"/>
      <c r="C137" s="761" t="s">
        <v>909</v>
      </c>
      <c r="D137" s="762"/>
      <c r="E137" s="763">
        <v>1</v>
      </c>
      <c r="F137" s="764">
        <v>1.0000000017083082</v>
      </c>
      <c r="G137" s="765">
        <v>0.91367821407897398</v>
      </c>
      <c r="H137" s="766">
        <v>0.84028045572852572</v>
      </c>
      <c r="I137" s="765">
        <v>0.76818049598065941</v>
      </c>
      <c r="J137" s="765">
        <v>0.70864954120649915</v>
      </c>
      <c r="K137" s="767">
        <v>0.66246912199617591</v>
      </c>
      <c r="L137" s="768">
        <v>0.66297892256095492</v>
      </c>
      <c r="M137" s="765">
        <v>0.64131462937100048</v>
      </c>
      <c r="N137" s="767">
        <v>0.62261035629680173</v>
      </c>
    </row>
    <row r="138" spans="2:17">
      <c r="B138" s="1505" t="s">
        <v>1548</v>
      </c>
      <c r="C138" s="769" t="s">
        <v>1549</v>
      </c>
      <c r="D138" s="770">
        <v>2136.8554776763908</v>
      </c>
      <c r="E138" s="771">
        <v>1697.6914694849997</v>
      </c>
      <c r="F138" s="772">
        <v>1708.0736632949997</v>
      </c>
      <c r="G138" s="771">
        <v>1923.9347467548557</v>
      </c>
      <c r="H138" s="772">
        <v>2041.8865813972434</v>
      </c>
      <c r="I138" s="771">
        <v>2164.1754448466127</v>
      </c>
      <c r="J138" s="771">
        <v>2262.8553782442123</v>
      </c>
      <c r="K138" s="773">
        <v>2393.8600806842574</v>
      </c>
      <c r="L138" s="772">
        <v>2368.5474415916055</v>
      </c>
      <c r="M138" s="771">
        <v>2441.2987385457554</v>
      </c>
      <c r="N138" s="773">
        <v>2514.0500354999017</v>
      </c>
    </row>
    <row r="139" spans="2:17">
      <c r="B139" s="1506"/>
      <c r="C139" s="774" t="s">
        <v>1500</v>
      </c>
      <c r="D139" s="770">
        <v>1</v>
      </c>
      <c r="E139" s="775">
        <v>1</v>
      </c>
      <c r="F139" s="776">
        <v>1</v>
      </c>
      <c r="G139" s="777">
        <v>0.95705432649458577</v>
      </c>
      <c r="H139" s="778">
        <v>0.93024364224491995</v>
      </c>
      <c r="I139" s="777">
        <v>0.91187319923587329</v>
      </c>
      <c r="J139" s="777">
        <v>0.90124371609085896</v>
      </c>
      <c r="K139" s="779">
        <v>0.89263575240964266</v>
      </c>
      <c r="L139" s="778">
        <v>0.87244156182755184</v>
      </c>
      <c r="M139" s="777">
        <v>0.8589392209780321</v>
      </c>
      <c r="N139" s="779">
        <v>0.84621833856796347</v>
      </c>
    </row>
    <row r="140" spans="2:17">
      <c r="B140" s="1506"/>
      <c r="C140" s="774" t="s">
        <v>1497</v>
      </c>
      <c r="D140" s="770">
        <v>2136.8554776763908</v>
      </c>
      <c r="E140" s="775">
        <v>1697.6914694849997</v>
      </c>
      <c r="F140" s="776">
        <v>1708.0736632949997</v>
      </c>
      <c r="G140" s="777">
        <v>1841.3100732749999</v>
      </c>
      <c r="H140" s="778">
        <v>1899.4520105299998</v>
      </c>
      <c r="I140" s="777">
        <v>1973.4535865999999</v>
      </c>
      <c r="J140" s="777">
        <v>2039.3841900650002</v>
      </c>
      <c r="K140" s="779">
        <v>2136.845094285</v>
      </c>
      <c r="L140" s="778">
        <v>2066.4192292048324</v>
      </c>
      <c r="M140" s="777">
        <v>2096.9272366611435</v>
      </c>
      <c r="N140" s="779">
        <v>2127.4352441174565</v>
      </c>
    </row>
    <row r="141" spans="2:17">
      <c r="B141" s="1507"/>
      <c r="C141" s="780" t="s">
        <v>1550</v>
      </c>
      <c r="D141" s="781"/>
      <c r="E141" s="782">
        <v>112.50411090047061</v>
      </c>
      <c r="F141" s="783">
        <v>113.19212724783715</v>
      </c>
      <c r="G141" s="782">
        <v>122.02155480508209</v>
      </c>
      <c r="H141" s="784">
        <v>125.87455582115541</v>
      </c>
      <c r="I141" s="782">
        <v>130.77855732592499</v>
      </c>
      <c r="J141" s="782">
        <v>135.14770452215345</v>
      </c>
      <c r="K141" s="785">
        <v>141.60632941007444</v>
      </c>
      <c r="L141" s="784">
        <v>136.93928626492377</v>
      </c>
      <c r="M141" s="782">
        <v>138.96101772550441</v>
      </c>
      <c r="N141" s="785">
        <v>140.98274918608516</v>
      </c>
    </row>
    <row r="142" spans="2:17">
      <c r="B142" s="1508" t="s">
        <v>1551</v>
      </c>
      <c r="C142" s="786" t="s">
        <v>1552</v>
      </c>
      <c r="D142" s="1394">
        <v>497.00076293945301</v>
      </c>
      <c r="E142" s="1395">
        <v>313.47549400000003</v>
      </c>
      <c r="F142" s="787">
        <v>469.96157799999997</v>
      </c>
      <c r="G142" s="1396">
        <v>492.39386000000002</v>
      </c>
      <c r="H142" s="787">
        <v>499.87377900000001</v>
      </c>
      <c r="I142" s="1396">
        <v>504.53359999999998</v>
      </c>
      <c r="J142" s="1396">
        <v>508.61346400000002</v>
      </c>
      <c r="K142" s="788">
        <v>513.149902</v>
      </c>
      <c r="L142" s="1397"/>
      <c r="M142" s="1398"/>
      <c r="N142" s="789"/>
    </row>
    <row r="143" spans="2:17">
      <c r="B143" s="1492"/>
      <c r="C143" s="774" t="s">
        <v>1553</v>
      </c>
      <c r="D143" s="790">
        <v>161.06710815429699</v>
      </c>
      <c r="E143" s="777">
        <v>187.85762</v>
      </c>
      <c r="F143" s="791">
        <v>114.28089900000001</v>
      </c>
      <c r="G143" s="792">
        <v>119.553787</v>
      </c>
      <c r="H143" s="791">
        <v>121.070335</v>
      </c>
      <c r="I143" s="792">
        <v>122.364723</v>
      </c>
      <c r="J143" s="792">
        <v>123.674988</v>
      </c>
      <c r="K143" s="793">
        <v>125.118179</v>
      </c>
      <c r="L143" s="794"/>
      <c r="M143" s="795"/>
      <c r="N143" s="796"/>
      <c r="P143" s="797"/>
    </row>
    <row r="144" spans="2:17">
      <c r="B144" s="1492"/>
      <c r="C144" s="774" t="s">
        <v>1495</v>
      </c>
      <c r="D144" s="790">
        <v>971.997314453125</v>
      </c>
      <c r="E144" s="777">
        <v>896.78539999999998</v>
      </c>
      <c r="F144" s="791">
        <v>882.880493</v>
      </c>
      <c r="G144" s="792">
        <v>926.56018100000006</v>
      </c>
      <c r="H144" s="791">
        <v>943.13317900000004</v>
      </c>
      <c r="I144" s="792">
        <v>955.24969499999997</v>
      </c>
      <c r="J144" s="792">
        <v>966.24517800000001</v>
      </c>
      <c r="K144" s="793">
        <v>978.884094</v>
      </c>
      <c r="L144" s="794"/>
      <c r="M144" s="795"/>
      <c r="N144" s="796"/>
      <c r="P144" s="797"/>
      <c r="Q144" s="533"/>
    </row>
    <row r="145" spans="2:17">
      <c r="B145" s="1492"/>
      <c r="C145" s="774" t="s">
        <v>1494</v>
      </c>
      <c r="D145" s="790">
        <v>262.45120239257801</v>
      </c>
      <c r="E145" s="777">
        <v>290.39965799999999</v>
      </c>
      <c r="F145" s="791">
        <v>297.33084100000002</v>
      </c>
      <c r="G145" s="792">
        <v>326.15817299999998</v>
      </c>
      <c r="H145" s="791">
        <v>344.23996</v>
      </c>
      <c r="I145" s="792">
        <v>361.66726699999998</v>
      </c>
      <c r="J145" s="792">
        <v>378.036316</v>
      </c>
      <c r="K145" s="793">
        <v>394.41314699999998</v>
      </c>
      <c r="L145" s="794"/>
      <c r="M145" s="795"/>
      <c r="N145" s="796"/>
      <c r="P145" s="797"/>
      <c r="Q145" s="533"/>
    </row>
    <row r="146" spans="2:17">
      <c r="B146" s="1492"/>
      <c r="C146" s="774" t="s">
        <v>1554</v>
      </c>
      <c r="D146" s="770">
        <v>313.929443359375</v>
      </c>
      <c r="E146" s="775">
        <v>395.45228599999996</v>
      </c>
      <c r="F146" s="776">
        <v>298.63801599999999</v>
      </c>
      <c r="G146" s="775">
        <v>314.6125340000001</v>
      </c>
      <c r="H146" s="776">
        <v>322.18906500000003</v>
      </c>
      <c r="I146" s="775">
        <v>328.35137199999997</v>
      </c>
      <c r="J146" s="775">
        <v>333.956726</v>
      </c>
      <c r="K146" s="779">
        <v>340.61601300000007</v>
      </c>
      <c r="L146" s="798">
        <v>329.6848669101563</v>
      </c>
      <c r="M146" s="799">
        <v>329.39968579687508</v>
      </c>
      <c r="N146" s="800">
        <v>329.11450468359385</v>
      </c>
      <c r="Q146" s="533"/>
    </row>
    <row r="147" spans="2:17" s="804" customFormat="1">
      <c r="B147" s="1492"/>
      <c r="C147" s="801" t="s">
        <v>1555</v>
      </c>
      <c r="D147" s="798">
        <v>1.1961440469599951</v>
      </c>
      <c r="E147" s="802">
        <v>1.361751899859331</v>
      </c>
      <c r="F147" s="803">
        <v>1.0043963653269321</v>
      </c>
      <c r="G147" s="802">
        <v>0.9646011047529387</v>
      </c>
      <c r="H147" s="803">
        <v>0.93594324435780218</v>
      </c>
      <c r="I147" s="802">
        <v>0.90788247087895846</v>
      </c>
      <c r="J147" s="802">
        <v>0.88339853042055361</v>
      </c>
      <c r="K147" s="800">
        <v>0.86360207713867121</v>
      </c>
      <c r="L147" s="798">
        <v>0.74483495783606557</v>
      </c>
      <c r="M147" s="799">
        <v>0.684861622363659</v>
      </c>
      <c r="N147" s="800">
        <v>0.62488828689124887</v>
      </c>
    </row>
    <row r="148" spans="2:17">
      <c r="B148" s="1492"/>
      <c r="C148" s="774" t="s">
        <v>1512</v>
      </c>
      <c r="D148" s="770">
        <v>331.1955627441406</v>
      </c>
      <c r="E148" s="775">
        <v>417.20216172999994</v>
      </c>
      <c r="F148" s="776">
        <v>315.06310687999996</v>
      </c>
      <c r="G148" s="775">
        <v>345.60964807443065</v>
      </c>
      <c r="H148" s="776">
        <v>364.76979967862434</v>
      </c>
      <c r="I148" s="775">
        <v>383.2364392963139</v>
      </c>
      <c r="J148" s="775">
        <v>400.5817083483426</v>
      </c>
      <c r="K148" s="805">
        <v>417.93522350457459</v>
      </c>
      <c r="L148" s="798">
        <v>412.00753702854718</v>
      </c>
      <c r="M148" s="799">
        <v>420.90938830554569</v>
      </c>
      <c r="N148" s="800">
        <v>429.8112395825442</v>
      </c>
    </row>
    <row r="149" spans="2:17">
      <c r="B149" s="1509"/>
      <c r="C149" s="780" t="s">
        <v>1556</v>
      </c>
      <c r="D149" s="781">
        <v>331.1955627441406</v>
      </c>
      <c r="E149" s="806">
        <v>417.20216172999994</v>
      </c>
      <c r="F149" s="783">
        <v>315.06310687999996</v>
      </c>
      <c r="G149" s="806">
        <v>331.91622337000007</v>
      </c>
      <c r="H149" s="783">
        <v>339.90946357500002</v>
      </c>
      <c r="I149" s="806">
        <v>346.41069745999994</v>
      </c>
      <c r="J149" s="806">
        <v>352.32434592999999</v>
      </c>
      <c r="K149" s="807">
        <v>359.34989371500006</v>
      </c>
      <c r="L149" s="808">
        <v>347.8175345902149</v>
      </c>
      <c r="M149" s="809">
        <v>347.5166685157032</v>
      </c>
      <c r="N149" s="810">
        <v>347.2158024411915</v>
      </c>
    </row>
    <row r="150" spans="2:17">
      <c r="B150" s="1492" t="s">
        <v>1275</v>
      </c>
      <c r="C150" s="774" t="s">
        <v>1552</v>
      </c>
      <c r="D150" s="790">
        <v>505.32849121093801</v>
      </c>
      <c r="E150" s="1395">
        <v>417.901794</v>
      </c>
      <c r="F150" s="791">
        <v>343.21075400000001</v>
      </c>
      <c r="G150" s="792">
        <v>366.44854700000002</v>
      </c>
      <c r="H150" s="791">
        <v>372.63699300000002</v>
      </c>
      <c r="I150" s="792">
        <v>382.23672499999998</v>
      </c>
      <c r="J150" s="792">
        <v>391.03567500000003</v>
      </c>
      <c r="K150" s="793">
        <v>407.33441199999999</v>
      </c>
      <c r="L150" s="794"/>
      <c r="M150" s="795"/>
      <c r="N150" s="796"/>
    </row>
    <row r="151" spans="2:17">
      <c r="B151" s="1492"/>
      <c r="C151" s="774" t="s">
        <v>1553</v>
      </c>
      <c r="D151" s="790">
        <v>157.65577697753901</v>
      </c>
      <c r="E151" s="777">
        <v>76.537361000000004</v>
      </c>
      <c r="F151" s="791">
        <v>109.936836</v>
      </c>
      <c r="G151" s="792">
        <v>121.18232</v>
      </c>
      <c r="H151" s="791">
        <v>125.921722</v>
      </c>
      <c r="I151" s="792">
        <v>130.97197</v>
      </c>
      <c r="J151" s="792">
        <v>134.41894500000001</v>
      </c>
      <c r="K151" s="793">
        <v>139.835037</v>
      </c>
      <c r="L151" s="794"/>
      <c r="M151" s="795"/>
      <c r="N151" s="796"/>
    </row>
    <row r="152" spans="2:17">
      <c r="B152" s="1492"/>
      <c r="C152" s="774" t="s">
        <v>1495</v>
      </c>
      <c r="D152" s="790">
        <v>2374.51025390625</v>
      </c>
      <c r="E152" s="777">
        <v>1708.173096</v>
      </c>
      <c r="F152" s="791">
        <v>1773.5367429999999</v>
      </c>
      <c r="G152" s="792">
        <v>1918.3359379999999</v>
      </c>
      <c r="H152" s="791">
        <v>1976.798096</v>
      </c>
      <c r="I152" s="792">
        <v>2055.429443</v>
      </c>
      <c r="J152" s="792">
        <v>2124.5634770000001</v>
      </c>
      <c r="K152" s="793">
        <v>2231.9990229999999</v>
      </c>
      <c r="L152" s="794"/>
      <c r="M152" s="795"/>
      <c r="N152" s="796"/>
    </row>
    <row r="153" spans="2:17">
      <c r="B153" s="1492"/>
      <c r="C153" s="774" t="s">
        <v>1494</v>
      </c>
      <c r="D153" s="790">
        <v>1043.81311035156</v>
      </c>
      <c r="E153" s="777">
        <v>889.56518600000004</v>
      </c>
      <c r="F153" s="791">
        <v>1169.1972659999999</v>
      </c>
      <c r="G153" s="792">
        <v>1324.7375489999999</v>
      </c>
      <c r="H153" s="791">
        <v>1407.6564940000001</v>
      </c>
      <c r="I153" s="792">
        <v>1494.7977289999999</v>
      </c>
      <c r="J153" s="792">
        <v>1563.064453</v>
      </c>
      <c r="K153" s="793">
        <v>1658.4554439999999</v>
      </c>
      <c r="L153" s="794"/>
      <c r="M153" s="795"/>
      <c r="N153" s="796"/>
    </row>
    <row r="154" spans="2:17">
      <c r="B154" s="1492"/>
      <c r="C154" s="774" t="s">
        <v>1554</v>
      </c>
      <c r="D154" s="770">
        <v>1711.525985717773</v>
      </c>
      <c r="E154" s="775">
        <v>1213.733941</v>
      </c>
      <c r="F154" s="776">
        <v>1320.3891529999999</v>
      </c>
      <c r="G154" s="775">
        <v>1430.7050709999999</v>
      </c>
      <c r="H154" s="776">
        <v>1478.2393809999999</v>
      </c>
      <c r="I154" s="775">
        <v>1542.220748</v>
      </c>
      <c r="J154" s="775">
        <v>1599.1088570000002</v>
      </c>
      <c r="K154" s="805">
        <v>1684.8295739999999</v>
      </c>
      <c r="L154" s="798">
        <v>1629.0063456062708</v>
      </c>
      <c r="M154" s="799">
        <v>1658.2090693321697</v>
      </c>
      <c r="N154" s="800">
        <v>1687.4117930580705</v>
      </c>
    </row>
    <row r="155" spans="2:17" s="804" customFormat="1">
      <c r="B155" s="1492"/>
      <c r="C155" s="801" t="s">
        <v>1555</v>
      </c>
      <c r="D155" s="798">
        <v>1.6396862318977052</v>
      </c>
      <c r="E155" s="802">
        <v>1.3644125917940317</v>
      </c>
      <c r="F155" s="803">
        <v>1.1293125560558743</v>
      </c>
      <c r="G155" s="802">
        <v>1.0799913326832105</v>
      </c>
      <c r="H155" s="803">
        <v>1.0501421243754088</v>
      </c>
      <c r="I155" s="802">
        <v>1.0317253753333739</v>
      </c>
      <c r="J155" s="802">
        <v>1.0230600881050169</v>
      </c>
      <c r="K155" s="800">
        <v>1.0159028269920769</v>
      </c>
      <c r="L155" s="798">
        <v>0.82414393894424265</v>
      </c>
      <c r="M155" s="799">
        <v>0.74800278295305489</v>
      </c>
      <c r="N155" s="800">
        <v>0.67186162696186713</v>
      </c>
    </row>
    <row r="156" spans="2:17">
      <c r="B156" s="1492"/>
      <c r="C156" s="774" t="s">
        <v>1512</v>
      </c>
      <c r="D156" s="770">
        <v>1805.6599149322503</v>
      </c>
      <c r="E156" s="775">
        <v>1280.4893077549998</v>
      </c>
      <c r="F156" s="776">
        <v>1393.0105564149997</v>
      </c>
      <c r="G156" s="775">
        <v>1578.3250986804251</v>
      </c>
      <c r="H156" s="776">
        <v>1677.116781718619</v>
      </c>
      <c r="I156" s="775">
        <v>1780.9390055502986</v>
      </c>
      <c r="J156" s="775">
        <v>1862.2736698958697</v>
      </c>
      <c r="K156" s="805">
        <v>1975.9248571796827</v>
      </c>
      <c r="L156" s="798">
        <v>1956.5399045630584</v>
      </c>
      <c r="M156" s="799">
        <v>2020.3893502402098</v>
      </c>
      <c r="N156" s="800">
        <v>2084.2387959173575</v>
      </c>
    </row>
    <row r="157" spans="2:17" ht="15" thickBot="1">
      <c r="B157" s="1493"/>
      <c r="C157" s="811" t="s">
        <v>1556</v>
      </c>
      <c r="D157" s="812">
        <v>1805.6599149322503</v>
      </c>
      <c r="E157" s="813">
        <v>1280.4893077549998</v>
      </c>
      <c r="F157" s="814">
        <v>1393.0105564149997</v>
      </c>
      <c r="G157" s="813">
        <v>1509.3938499049998</v>
      </c>
      <c r="H157" s="814">
        <v>1559.5425469549998</v>
      </c>
      <c r="I157" s="813">
        <v>1627.0428891399999</v>
      </c>
      <c r="J157" s="813">
        <v>1687.059844135</v>
      </c>
      <c r="K157" s="815">
        <v>1777.4952005699997</v>
      </c>
      <c r="L157" s="816">
        <v>1718.6016946146174</v>
      </c>
      <c r="M157" s="817">
        <v>1749.4105681454403</v>
      </c>
      <c r="N157" s="818">
        <v>1780.219441676265</v>
      </c>
    </row>
    <row r="165" spans="2:36">
      <c r="B165" s="366"/>
      <c r="C165" s="366"/>
    </row>
    <row r="166" spans="2:36">
      <c r="B166" s="366"/>
      <c r="C166" s="366"/>
    </row>
    <row r="167" spans="2:36">
      <c r="B167" s="366"/>
      <c r="C167" s="366"/>
    </row>
    <row r="168" spans="2:36">
      <c r="B168" s="366"/>
      <c r="C168" s="366"/>
    </row>
    <row r="169" spans="2:36">
      <c r="B169" s="366"/>
      <c r="C169" s="366"/>
    </row>
    <row r="170" spans="2:36">
      <c r="B170" s="366"/>
      <c r="C170" s="366"/>
    </row>
    <row r="171" spans="2:36">
      <c r="B171" s="366"/>
      <c r="C171" s="366"/>
    </row>
    <row r="172" spans="2:36">
      <c r="B172" s="366"/>
      <c r="C172" s="366"/>
      <c r="AJ172" s="819"/>
    </row>
    <row r="173" spans="2:36">
      <c r="B173" s="366"/>
      <c r="C173" s="366"/>
      <c r="AJ173" s="819"/>
    </row>
    <row r="174" spans="2:36">
      <c r="B174" s="366"/>
      <c r="C174" s="366"/>
      <c r="AJ174" s="819"/>
    </row>
    <row r="175" spans="2:36">
      <c r="B175" s="366"/>
      <c r="C175" s="366"/>
      <c r="AJ175" s="819"/>
    </row>
    <row r="176" spans="2:36">
      <c r="B176" s="366"/>
      <c r="C176" s="366"/>
      <c r="AJ176" s="819"/>
    </row>
    <row r="177" spans="2:36">
      <c r="B177" s="366"/>
      <c r="C177" s="366"/>
      <c r="AJ177" s="819"/>
    </row>
    <row r="178" spans="2:36">
      <c r="B178" s="366"/>
      <c r="C178" s="366"/>
      <c r="AJ178" s="819"/>
    </row>
    <row r="179" spans="2:36">
      <c r="B179" s="366"/>
      <c r="C179" s="366"/>
    </row>
    <row r="180" spans="2:36">
      <c r="B180" s="366"/>
      <c r="C180" s="366"/>
      <c r="AJ180" s="819"/>
    </row>
    <row r="181" spans="2:36">
      <c r="B181" s="366"/>
      <c r="C181" s="366"/>
      <c r="AJ181" s="819"/>
    </row>
    <row r="182" spans="2:36">
      <c r="B182" s="366"/>
      <c r="C182" s="366"/>
      <c r="AJ182" s="819"/>
    </row>
    <row r="183" spans="2:36">
      <c r="B183" s="366"/>
      <c r="C183" s="366"/>
    </row>
    <row r="184" spans="2:36">
      <c r="B184" s="366"/>
      <c r="C184" s="366"/>
      <c r="AJ184" s="819"/>
    </row>
    <row r="185" spans="2:36">
      <c r="B185" s="366"/>
      <c r="C185" s="366"/>
      <c r="AJ185" s="819"/>
    </row>
    <row r="186" spans="2:36">
      <c r="B186" s="366"/>
      <c r="C186" s="366"/>
      <c r="AJ186" s="819"/>
    </row>
    <row r="187" spans="2:36">
      <c r="B187" s="366"/>
      <c r="C187" s="366"/>
      <c r="AJ187" s="819"/>
    </row>
    <row r="188" spans="2:36">
      <c r="B188" s="366"/>
      <c r="C188" s="366"/>
      <c r="AJ188" s="819"/>
    </row>
    <row r="189" spans="2:36">
      <c r="B189" s="366"/>
      <c r="C189" s="366"/>
      <c r="AJ189" s="819"/>
    </row>
    <row r="190" spans="2:36">
      <c r="B190" s="366"/>
      <c r="C190" s="366"/>
      <c r="AJ190" s="819"/>
    </row>
    <row r="191" spans="2:36">
      <c r="B191" s="366"/>
      <c r="C191" s="366"/>
      <c r="AJ191" s="819"/>
    </row>
    <row r="192" spans="2:36">
      <c r="B192" s="366"/>
      <c r="C192" s="366"/>
      <c r="AJ192" s="819"/>
    </row>
    <row r="193" spans="2:36">
      <c r="B193" s="366"/>
      <c r="C193" s="366"/>
    </row>
    <row r="194" spans="2:36">
      <c r="B194" s="366"/>
      <c r="C194" s="366"/>
      <c r="AJ194" s="819"/>
    </row>
    <row r="195" spans="2:36">
      <c r="B195" s="366"/>
      <c r="C195" s="366"/>
      <c r="AJ195" s="819"/>
    </row>
    <row r="196" spans="2:36">
      <c r="B196" s="366"/>
      <c r="C196" s="366"/>
      <c r="AJ196" s="819"/>
    </row>
    <row r="197" spans="2:36">
      <c r="B197" s="366"/>
      <c r="C197" s="366"/>
      <c r="AJ197" s="819"/>
    </row>
    <row r="198" spans="2:36">
      <c r="B198" s="366"/>
      <c r="C198" s="366"/>
      <c r="AJ198" s="819"/>
    </row>
    <row r="199" spans="2:36">
      <c r="B199" s="366"/>
      <c r="C199" s="366"/>
      <c r="AJ199" s="819"/>
    </row>
    <row r="200" spans="2:36">
      <c r="B200" s="366"/>
      <c r="C200" s="366"/>
      <c r="AJ200" s="819"/>
    </row>
    <row r="201" spans="2:36">
      <c r="B201" s="366"/>
      <c r="C201" s="366"/>
      <c r="AJ201" s="819"/>
    </row>
    <row r="202" spans="2:36">
      <c r="B202" s="366"/>
      <c r="C202" s="366"/>
      <c r="AJ202" s="819"/>
    </row>
    <row r="203" spans="2:36">
      <c r="B203" s="366"/>
      <c r="C203" s="366"/>
      <c r="AJ203" s="819"/>
    </row>
    <row r="204" spans="2:36">
      <c r="B204" s="366"/>
      <c r="C204" s="366"/>
    </row>
    <row r="205" spans="2:36">
      <c r="B205" s="366"/>
      <c r="C205" s="366"/>
      <c r="AJ205" s="819"/>
    </row>
    <row r="206" spans="2:36">
      <c r="B206" s="366"/>
      <c r="C206" s="366"/>
    </row>
    <row r="207" spans="2:36">
      <c r="B207" s="366"/>
      <c r="C207" s="366"/>
      <c r="AJ207" s="819"/>
    </row>
    <row r="208" spans="2:36">
      <c r="B208" s="366"/>
      <c r="C208" s="366"/>
      <c r="AJ208" s="819"/>
    </row>
    <row r="209" spans="2:36">
      <c r="B209" s="366"/>
      <c r="C209" s="366"/>
      <c r="AJ209" s="819"/>
    </row>
    <row r="210" spans="2:36">
      <c r="B210" s="366"/>
      <c r="C210" s="366"/>
    </row>
    <row r="211" spans="2:36">
      <c r="B211" s="366"/>
      <c r="C211" s="366"/>
    </row>
    <row r="212" spans="2:36">
      <c r="B212" s="366"/>
      <c r="C212" s="366"/>
      <c r="AJ212" s="819"/>
    </row>
    <row r="213" spans="2:36">
      <c r="B213" s="366"/>
      <c r="C213" s="366"/>
      <c r="AJ213" s="819"/>
    </row>
    <row r="214" spans="2:36">
      <c r="B214" s="366"/>
      <c r="C214" s="366"/>
      <c r="AJ214" s="819"/>
    </row>
    <row r="215" spans="2:36">
      <c r="B215" s="366"/>
      <c r="C215" s="366"/>
    </row>
    <row r="216" spans="2:36">
      <c r="B216" s="366"/>
      <c r="C216" s="366"/>
    </row>
    <row r="217" spans="2:36">
      <c r="B217" s="366"/>
      <c r="C217" s="366"/>
      <c r="AJ217" s="819"/>
    </row>
    <row r="218" spans="2:36">
      <c r="B218" s="366"/>
      <c r="C218" s="366"/>
      <c r="AJ218" s="819"/>
    </row>
    <row r="219" spans="2:36">
      <c r="B219" s="366"/>
      <c r="C219" s="366"/>
      <c r="AJ219" s="819"/>
    </row>
    <row r="220" spans="2:36">
      <c r="B220" s="366"/>
      <c r="C220" s="366"/>
    </row>
    <row r="221" spans="2:36">
      <c r="B221" s="366"/>
      <c r="C221" s="366"/>
    </row>
    <row r="222" spans="2:36">
      <c r="B222" s="366"/>
      <c r="C222" s="366"/>
    </row>
    <row r="223" spans="2:36">
      <c r="B223" s="366"/>
      <c r="C223" s="366"/>
      <c r="AJ223" s="819"/>
    </row>
    <row r="224" spans="2:36">
      <c r="B224" s="366"/>
      <c r="C224" s="366"/>
      <c r="AJ224" s="819"/>
    </row>
    <row r="225" spans="2:36">
      <c r="B225" s="366"/>
      <c r="C225" s="366"/>
      <c r="AJ225" s="819"/>
    </row>
    <row r="226" spans="2:36">
      <c r="B226" s="366"/>
      <c r="C226" s="366"/>
      <c r="AJ226" s="819"/>
    </row>
    <row r="227" spans="2:36">
      <c r="B227" s="366"/>
      <c r="C227" s="366"/>
      <c r="AJ227" s="819"/>
    </row>
    <row r="228" spans="2:36">
      <c r="B228" s="366"/>
      <c r="C228" s="366"/>
    </row>
    <row r="229" spans="2:36">
      <c r="B229" s="366"/>
      <c r="C229" s="366"/>
      <c r="AJ229" s="819"/>
    </row>
    <row r="230" spans="2:36">
      <c r="B230" s="366"/>
      <c r="C230" s="366"/>
      <c r="AJ230" s="819"/>
    </row>
    <row r="231" spans="2:36">
      <c r="B231" s="366"/>
      <c r="C231" s="366"/>
      <c r="AJ231" s="819"/>
    </row>
    <row r="232" spans="2:36">
      <c r="B232" s="366"/>
      <c r="C232" s="366"/>
      <c r="AJ232" s="819"/>
    </row>
    <row r="233" spans="2:36">
      <c r="B233" s="366"/>
      <c r="C233" s="366"/>
      <c r="AJ233" s="819"/>
    </row>
    <row r="234" spans="2:36">
      <c r="B234" s="366"/>
      <c r="C234" s="366"/>
    </row>
    <row r="235" spans="2:36">
      <c r="B235" s="366"/>
      <c r="C235" s="366"/>
      <c r="AJ235" s="819"/>
    </row>
    <row r="236" spans="2:36">
      <c r="B236" s="366"/>
      <c r="C236" s="366"/>
      <c r="AJ236" s="819"/>
    </row>
  </sheetData>
  <mergeCells count="24">
    <mergeCell ref="B79:B89"/>
    <mergeCell ref="B3:N3"/>
    <mergeCell ref="D7:K7"/>
    <mergeCell ref="L7:N7"/>
    <mergeCell ref="B9:B15"/>
    <mergeCell ref="B16:B30"/>
    <mergeCell ref="B31:B42"/>
    <mergeCell ref="B43:B46"/>
    <mergeCell ref="B47:B50"/>
    <mergeCell ref="B51:B56"/>
    <mergeCell ref="B57:B66"/>
    <mergeCell ref="B67:B78"/>
    <mergeCell ref="B150:B157"/>
    <mergeCell ref="B90:B95"/>
    <mergeCell ref="B96:B97"/>
    <mergeCell ref="B98:B99"/>
    <mergeCell ref="B100:B101"/>
    <mergeCell ref="B102:B103"/>
    <mergeCell ref="B104:B105"/>
    <mergeCell ref="B106:B107"/>
    <mergeCell ref="B108:B109"/>
    <mergeCell ref="B110:B137"/>
    <mergeCell ref="B138:B141"/>
    <mergeCell ref="B142:B149"/>
  </mergeCells>
  <hyperlinks>
    <hyperlink ref="B4" r:id="rId1" xr:uid="{3EDF9E30-2BE1-4037-90F0-B78DA010B93E}"/>
  </hyperlinks>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29f62856-1543-49d4-a736-4569d363f533" ContentTypeId="0x0101" PreviousValue="false"/>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2025-03-25T17:13:31+00:00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3204D0-EF28-4892-B0EC-4F3E339AEDD3}"/>
</file>

<file path=customXml/itemProps2.xml><?xml version="1.0" encoding="utf-8"?>
<ds:datastoreItem xmlns:ds="http://schemas.openxmlformats.org/officeDocument/2006/customXml" ds:itemID="{E7C533B7-6982-4D96-8863-CF4B1F9727F5}"/>
</file>

<file path=customXml/itemProps3.xml><?xml version="1.0" encoding="utf-8"?>
<ds:datastoreItem xmlns:ds="http://schemas.openxmlformats.org/officeDocument/2006/customXml" ds:itemID="{643E2245-992D-4E68-A0A6-49AF0A479F33}"/>
</file>

<file path=customXml/itemProps4.xml><?xml version="1.0" encoding="utf-8"?>
<ds:datastoreItem xmlns:ds="http://schemas.openxmlformats.org/officeDocument/2006/customXml" ds:itemID="{302AB679-50CD-476E-8FB8-E1B8705C1F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Marie Pied</dc:creator>
  <cp:keywords/>
  <dc:description/>
  <cp:lastModifiedBy>Carroll, Zane</cp:lastModifiedBy>
  <cp:revision/>
  <dcterms:created xsi:type="dcterms:W3CDTF">2015-06-05T18:19:34Z</dcterms:created>
  <dcterms:modified xsi:type="dcterms:W3CDTF">2025-04-03T13:07:07Z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0x010100D961017AFA5F1746B691F13D8A7002D3</vt:lpwstr>
  </property>
  <property fmtid="{D5CDD505-2E9C-101B-9397-08002B2CF9AE}" pid="3" name="MediaServiceImageTags">
    <vt:lpwstr/>
  </property>
  <property fmtid="{D5CDD505-2E9C-101B-9397-08002B2CF9AE}" pid="4" name="MSIP_Label_df57cbc1-fa76-4f4e-a9ae-7ff80d234248_Enabled">
    <vt:lpwstr>true</vt:lpwstr>
  </property>
  <property fmtid="{D5CDD505-2E9C-101B-9397-08002B2CF9AE}" pid="5" name="MSIP_Label_df57cbc1-fa76-4f4e-a9ae-7ff80d234248_SetDate">
    <vt:lpwstr>2024-10-25T15:41:10Z</vt:lpwstr>
  </property>
  <property fmtid="{D5CDD505-2E9C-101B-9397-08002B2CF9AE}" pid="6" name="MSIP_Label_df57cbc1-fa76-4f4e-a9ae-7ff80d234248_Method">
    <vt:lpwstr>Standard</vt:lpwstr>
  </property>
  <property fmtid="{D5CDD505-2E9C-101B-9397-08002B2CF9AE}" pid="7" name="MSIP_Label_df57cbc1-fa76-4f4e-a9ae-7ff80d234248_Name">
    <vt:lpwstr>Sensitive-All</vt:lpwstr>
  </property>
  <property fmtid="{D5CDD505-2E9C-101B-9397-08002B2CF9AE}" pid="8" name="MSIP_Label_df57cbc1-fa76-4f4e-a9ae-7ff80d234248_SiteId">
    <vt:lpwstr>69fa79ee-e93a-4ddf-b8d1-fbf15f49f820</vt:lpwstr>
  </property>
  <property fmtid="{D5CDD505-2E9C-101B-9397-08002B2CF9AE}" pid="9" name="MSIP_Label_df57cbc1-fa76-4f4e-a9ae-7ff80d234248_ActionId">
    <vt:lpwstr>dcad82ee-f048-4e8e-a40f-a0643dd51764</vt:lpwstr>
  </property>
  <property fmtid="{D5CDD505-2E9C-101B-9397-08002B2CF9AE}" pid="10" name="MSIP_Label_df57cbc1-fa76-4f4e-a9ae-7ff80d234248_ContentBits">
    <vt:lpwstr>0</vt:lpwstr>
  </property>
  <property fmtid="{D5CDD505-2E9C-101B-9397-08002B2CF9AE}" pid="11" name="TaxKeyword">
    <vt:lpwstr/>
  </property>
  <property fmtid="{D5CDD505-2E9C-101B-9397-08002B2CF9AE}" pid="12" name="Document_x0020_Type">
    <vt:lpwstr/>
  </property>
  <property fmtid="{D5CDD505-2E9C-101B-9397-08002B2CF9AE}" pid="13" name="e3f09c3df709400db2417a7161762d62">
    <vt:lpwstr/>
  </property>
  <property fmtid="{D5CDD505-2E9C-101B-9397-08002B2CF9AE}" pid="14" name="EPA_x0020_Subject">
    <vt:lpwstr/>
  </property>
  <property fmtid="{D5CDD505-2E9C-101B-9397-08002B2CF9AE}" pid="15" name="Document Type">
    <vt:lpwstr/>
  </property>
  <property fmtid="{D5CDD505-2E9C-101B-9397-08002B2CF9AE}" pid="16" name="EPA Subject">
    <vt:lpwstr/>
  </property>
</Properties>
</file>