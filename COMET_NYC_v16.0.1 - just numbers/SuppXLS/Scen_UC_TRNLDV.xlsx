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drawings/drawing2.xml" ContentType="application/vnd.openxmlformats-officedocument.drawing+xml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drawings/drawing4.xml" ContentType="application/vnd.openxmlformats-officedocument.drawing+xml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drawings/drawing5.xml" ContentType="application/vnd.openxmlformats-officedocument.drawing+xml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drawings/drawing6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drawings/drawing7.xml" ContentType="application/vnd.openxmlformats-officedocument.drawing+xml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drawings/drawing8.xml" ContentType="application/vnd.openxmlformats-officedocument.drawing+xml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drawings/drawing9.xml" ContentType="application/vnd.openxmlformats-officedocument.drawing+xml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drawings/drawing10.xml" ContentType="application/vnd.openxmlformats-officedocument.drawing+xml"/>
  <Override PartName="/xl/activeX/activeX51.xml" ContentType="application/vnd.ms-office.activeX+xml"/>
  <Override PartName="/xl/activeX/activeX51.bin" ContentType="application/vnd.ms-office.activeX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drawings/drawing11.xml" ContentType="application/vnd.openxmlformats-officedocument.drawing+xml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drawings/drawing12.xml" ContentType="application/vnd.openxmlformats-officedocument.drawing+xml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sepa-my.sharepoint.com/personal/carroll_zane_epa_gov/Documents/ORD/COMET/COMET_NYC_v16.0.1/COMET_NYC_v16.0.1/SuppXLS/"/>
    </mc:Choice>
  </mc:AlternateContent>
  <xr:revisionPtr revIDLastSave="42" documentId="13_ncr:1_{0AC8511C-078E-433C-997B-6ED2F1C66C74}" xr6:coauthVersionLast="47" xr6:coauthVersionMax="47" xr10:uidLastSave="{35D1077D-8954-4DD1-9867-7B32769B51AE}"/>
  <bookViews>
    <workbookView xWindow="53880" yWindow="-120" windowWidth="29040" windowHeight="15720" tabRatio="890" firstSheet="2" activeTab="4" xr2:uid="{00000000-000D-0000-FFFF-FFFF00000000}"/>
  </bookViews>
  <sheets>
    <sheet name="ANSv6.0-Commodities" sheetId="10" state="veryHidden" r:id="rId1"/>
    <sheet name="ANSv6.1-Commodities" sheetId="1" state="veryHidden" r:id="rId2"/>
    <sheet name="UC_TRNLDVa" sheetId="80" r:id="rId3"/>
    <sheet name="UC_TRNLDVb" sheetId="81" r:id="rId4"/>
    <sheet name="ON-Road Historical share" sheetId="82" r:id="rId5"/>
    <sheet name="ANSv6.0-Technologies" sheetId="13" state="veryHidden" r:id="rId6"/>
    <sheet name="ANSv6.1-Technologies" sheetId="2" state="veryHidden" r:id="rId7"/>
    <sheet name="ANSv6.0-Constraints" sheetId="15" state="veryHidden" r:id="rId8"/>
    <sheet name="ANSv6.1-Constraints" sheetId="7" state="veryHidden" r:id="rId9"/>
    <sheet name="ANSv6.0-TechData" sheetId="20" state="veryHidden" r:id="rId10"/>
    <sheet name="ANSv6.0-CommData" sheetId="19" state="veryHidden" r:id="rId11"/>
    <sheet name="ANSv6.1-CommData" sheetId="4" state="veryHidden" r:id="rId12"/>
    <sheet name="ANSv6.1-TechData" sheetId="3" state="veryHidden" r:id="rId13"/>
    <sheet name="ANSv6.1-ConstrData" sheetId="8" state="veryHidden" r:id="rId14"/>
    <sheet name="ANSv6.0-ConstrData" sheetId="26" state="veryHidden" r:id="rId15"/>
  </sheets>
  <externalReferences>
    <externalReference r:id="rId16"/>
    <externalReference r:id="rId17"/>
  </externalReferences>
  <definedNames>
    <definedName name="__HDV50">#REF!</definedName>
    <definedName name="__LDV50">#REF!</definedName>
    <definedName name="_1995_Implicit_GDP_Deflator">#REF!</definedName>
    <definedName name="_2001_Implicit_GDP_Deflator">#REF!</definedName>
    <definedName name="_xlnm._FilterDatabase" localSheetId="4" hidden="1">'ON-Road Historical share'!$A$12:$AZ$12</definedName>
    <definedName name="Age_of_car">#REF!</definedName>
    <definedName name="avg_water_heater_PJ">'[1]AEO HW'!$B$33</definedName>
    <definedName name="Aviation_Detail_Table">'[2]Marine and Aviation'!$I$27:$Z$31</definedName>
    <definedName name="Aviation_Detail_Table_Years">'[2]Marine and Aviation'!$I$27:$Z$27</definedName>
    <definedName name="btu_per_watthr">#REF!</definedName>
    <definedName name="CH4GWP_20YR">'[2]RELA TABLE'!$D$8</definedName>
    <definedName name="ConEd_Steam_Table">'[2]ConEd Steam'!$I$11:$Z$15</definedName>
    <definedName name="ConEd_Steam_Years">'[2]ConEd Steam'!$I$11:$Z$11</definedName>
    <definedName name="conv">#REF!</definedName>
    <definedName name="Convert_MMbtu_to_GJ">'[2]Unit conversions'!$F$25</definedName>
    <definedName name="days_per_year">#REF!</definedName>
    <definedName name="Diesel_Car_CO">#REF!</definedName>
    <definedName name="Diesel_Car_Nox">#REF!</definedName>
    <definedName name="Diesel_Car_PM">#REF!</definedName>
    <definedName name="Diesel_Car_VOCs">#REF!</definedName>
    <definedName name="Diesel_HDT_CO">#REF!</definedName>
    <definedName name="Diesel_HDT_NOx">#REF!</definedName>
    <definedName name="Diesel_HDT_PM">#REF!</definedName>
    <definedName name="Diesel_HDT_SO2">#REF!</definedName>
    <definedName name="Diesel_HDT_VOCs">#REF!</definedName>
    <definedName name="Diesel_LDT_CO">#REF!</definedName>
    <definedName name="Diesel_LDT_Nox">#REF!</definedName>
    <definedName name="Diesel_LDT_PM">#REF!</definedName>
    <definedName name="Diesel_LDT_VOCs">#REF!</definedName>
    <definedName name="Diesel_Rail_Table">[2]Transit!$I$26:$Z$29</definedName>
    <definedName name="Diesel_Rail_Table_Years">[2]Transit!$I$26:$Z$26</definedName>
    <definedName name="dollar____per__m">#REF!</definedName>
    <definedName name="EF_table_electricity_and_steam">'[2]EF EL and Steam'!$D$5:$Z$81</definedName>
    <definedName name="EF_table_road_trans">'[2]EF road transport'!$J$25:$AA$2225</definedName>
    <definedName name="Elec_Vehicle_Assump">'[2]EF road transport'!$B$16:$C$23</definedName>
    <definedName name="Electric_Traction_Summary_Table">[2]Transit!$I$12:$Z$22</definedName>
    <definedName name="Electric_Traction_Summary_Table_Years">[2]Transit!$I$12:$Z$12</definedName>
    <definedName name="Electricity_Table">'[2]Electricity '!$I$30:$Z$35</definedName>
    <definedName name="Electricity_table_Years">'[2]Electricity '!$I$30:$Z$30</definedName>
    <definedName name="Fuel_Oil_Table">'[2]Fuel Oils'!$I$11:$Z$30</definedName>
    <definedName name="Fuel_Oil_Table_Years">'[2]Fuel Oils'!$I$10:$Z$10</definedName>
    <definedName name="Fugitive_Table">[2]Fugitive!$I$10:$Z$13</definedName>
    <definedName name="Fugitive_Table_Years">[2]Fugitive!$I$10:$Z$10</definedName>
    <definedName name="Full_OnRoad_Transpo">'ON-Road Historical share'!$Z$12:$AZ$48</definedName>
    <definedName name="Gas_Car_CO">#REF!</definedName>
    <definedName name="Gas_Car_Nox">#REF!</definedName>
    <definedName name="Gas_Car_PM">#REF!</definedName>
    <definedName name="Gas_Car_VOC">#REF!</definedName>
    <definedName name="Gas_HDT_CO">#REF!</definedName>
    <definedName name="Gas_HDT_NOx">#REF!</definedName>
    <definedName name="Gas_HDT_PM">#REF!</definedName>
    <definedName name="Gas_HDT_SO2">#REF!</definedName>
    <definedName name="Gas_HDT_VOCs">#REF!</definedName>
    <definedName name="Gas_LDT_CO">#REF!</definedName>
    <definedName name="Gas_LDT_NOx">#REF!</definedName>
    <definedName name="Gas_LDT_PM">#REF!</definedName>
    <definedName name="Gas_LDT_VOCs">#REF!</definedName>
    <definedName name="GWP_CH4">'[2]RELA TABLE'!$E$8</definedName>
    <definedName name="GWP_N2O">'[2]RELA TABLE'!$E$9</definedName>
    <definedName name="hours_per_day">#REF!</definedName>
    <definedName name="j_per_btu">#REF!</definedName>
    <definedName name="j_per_pj">#REF!</definedName>
    <definedName name="joules_per_btu">[1]Conversions!$D$5</definedName>
    <definedName name="kwhr_per_j">#REF!</definedName>
    <definedName name="Marine_Detail_Table">'[2]Marine and Aviation'!$I$11:$Z$23</definedName>
    <definedName name="Marine_Detail_Table_Years">'[2]Marine and Aviation'!$I$11:$Z$11</definedName>
    <definedName name="Methane_Emissions_Table">[2]WWTP!$I$12:$Z$27</definedName>
    <definedName name="Methane_Emissions_Table_Years">[2]WWTP!$I$12:$Z$12</definedName>
    <definedName name="N2OGWP_20YR">'[2]RELA TABLE'!$D$9</definedName>
    <definedName name="Natural_Gas_Table">'[2]Natural Gas'!$I$31:$Z$36</definedName>
    <definedName name="Natural_Gas_Years">'[2]Natural Gas'!$I$31:$Z$31</definedName>
    <definedName name="Nitrous_Oxide_Emissions_Table">[2]WWTP!$I$31:$Z$46</definedName>
    <definedName name="Nitrous_Oxide_Emissions_Table_Years">[2]WWTP!$I$31:$Z$31</definedName>
    <definedName name="On_Road_Transportation_Table">'ON-Road Historical share'!$AI$12:$AZ$49</definedName>
    <definedName name="On_Road_Transportation_Table_Years">'ON-Road Historical share'!$AI$12:$AZ$12</definedName>
    <definedName name="Onroad_tag">'ON-Road Historical share'!$Z$12:$Z$48</definedName>
    <definedName name="Process_Discharge_Nitrogen_Oxide_Emissions_Table">[2]WWTP!$I$53:$Z$69</definedName>
    <definedName name="Process_Discharge_Nitrogen_Oxide_Emissions_Table_Years">[2]WWTP!$I$53:$Z$53</definedName>
    <definedName name="Solid_Waste_Summary_Table">'[2]Solid Waste'!$I$10:$Z$12</definedName>
    <definedName name="Solid_Waste_Summary_Table_Years">'[2]Solid Waste'!$I$10:$Z$10</definedName>
    <definedName name="Street_Lighting_and_traffic_signals_table">'[2]Electricity '!$I$40:$Z$44</definedName>
    <definedName name="Street_Lighting_and_Traffic_Signals_Years">'[2]Electricity '!$I$40:$Z$40</definedName>
    <definedName name="Transit_Outputs_Table">[2]Transit!$I$49:$Z$55</definedName>
    <definedName name="Transit_Outputs_Table_Years">[2]Transit!$I$49:$Z$49</definedName>
    <definedName name="Unit_conversion_table">'[2]Unit conversions'!$B$5:$G$53</definedName>
    <definedName name="unit_per_million_unit">#REF!</definedName>
  </definedNames>
  <calcPr calcId="191028" calcMode="autoNoTable"/>
  <pivotCaches>
    <pivotCache cacheId="3" r:id="rId1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49" i="81" l="1"/>
  <c r="F47" i="81"/>
  <c r="F45" i="81"/>
  <c r="F43" i="81"/>
  <c r="F41" i="81"/>
  <c r="F39" i="81"/>
  <c r="F37" i="81"/>
  <c r="F35" i="81"/>
  <c r="F33" i="81"/>
  <c r="F31" i="81"/>
  <c r="F29" i="81"/>
  <c r="F27" i="81"/>
  <c r="F25" i="81"/>
  <c r="F23" i="81"/>
  <c r="F21" i="81"/>
  <c r="F19" i="81"/>
  <c r="F17" i="81"/>
  <c r="F15" i="81"/>
  <c r="F13" i="81"/>
  <c r="F11" i="81"/>
  <c r="F9" i="81"/>
  <c r="W39" i="82"/>
  <c r="O42" i="81" s="1"/>
  <c r="O41" i="81" s="1"/>
  <c r="X40" i="82"/>
  <c r="O50" i="81" s="1"/>
  <c r="O49" i="81" s="1"/>
  <c r="O48" i="81"/>
  <c r="O47" i="81" s="1"/>
  <c r="O46" i="81"/>
  <c r="O45" i="81" s="1"/>
  <c r="O44" i="81"/>
  <c r="O43" i="81" s="1"/>
  <c r="O40" i="81"/>
  <c r="O39" i="81" s="1"/>
  <c r="O38" i="81"/>
  <c r="O37" i="81" s="1"/>
  <c r="O36" i="81"/>
  <c r="O35" i="81" s="1"/>
  <c r="O34" i="81"/>
  <c r="O33" i="81" s="1"/>
  <c r="O32" i="81"/>
  <c r="O31" i="81" s="1"/>
  <c r="O30" i="81"/>
  <c r="O29" i="81" s="1"/>
  <c r="O28" i="81"/>
  <c r="O27" i="81" s="1"/>
  <c r="O26" i="81"/>
  <c r="O25" i="81" s="1"/>
  <c r="O24" i="81"/>
  <c r="O23" i="81" s="1"/>
  <c r="O22" i="81"/>
  <c r="O21" i="81" s="1"/>
  <c r="O20" i="81"/>
  <c r="O19" i="81" s="1"/>
  <c r="O18" i="81"/>
  <c r="O17" i="81" s="1"/>
  <c r="O16" i="81"/>
  <c r="O15" i="81" s="1"/>
  <c r="O14" i="81"/>
  <c r="O13" i="81" s="1"/>
  <c r="O12" i="81"/>
  <c r="O11" i="81" s="1"/>
  <c r="O10" i="81"/>
  <c r="O9" i="81" l="1"/>
  <c r="K11" i="81" l="1"/>
  <c r="K12" i="81" s="1"/>
  <c r="K13" i="81"/>
  <c r="K14" i="81" s="1"/>
  <c r="K9" i="81"/>
  <c r="K10" i="81" s="1"/>
  <c r="C45" i="81"/>
  <c r="C47" i="81" s="1"/>
  <c r="C49" i="81" s="1"/>
  <c r="B45" i="81"/>
  <c r="G46" i="81" s="1"/>
  <c r="C39" i="81"/>
  <c r="C41" i="81" s="1"/>
  <c r="C43" i="81" s="1"/>
  <c r="D39" i="81"/>
  <c r="G40" i="81" s="1"/>
  <c r="B39" i="81"/>
  <c r="C33" i="81"/>
  <c r="C35" i="81" s="1"/>
  <c r="C37" i="81" s="1"/>
  <c r="B33" i="81"/>
  <c r="G34" i="81" s="1"/>
  <c r="C27" i="81"/>
  <c r="C29" i="81" s="1"/>
  <c r="C31" i="81" s="1"/>
  <c r="B27" i="81"/>
  <c r="C21" i="81"/>
  <c r="C23" i="81" s="1"/>
  <c r="C25" i="81" s="1"/>
  <c r="B21" i="81"/>
  <c r="D15" i="81"/>
  <c r="C15" i="81"/>
  <c r="C17" i="81" s="1"/>
  <c r="C19" i="81" s="1"/>
  <c r="B15" i="81"/>
  <c r="A17" i="81"/>
  <c r="K17" i="81" s="1"/>
  <c r="K18" i="81" s="1"/>
  <c r="A19" i="81"/>
  <c r="A15" i="81"/>
  <c r="K15" i="81" s="1"/>
  <c r="K16" i="81" s="1"/>
  <c r="C9" i="81"/>
  <c r="C11" i="81" s="1"/>
  <c r="C13" i="81" s="1"/>
  <c r="B9" i="81"/>
  <c r="G10" i="81" s="1"/>
  <c r="G28" i="81" l="1"/>
  <c r="A25" i="81"/>
  <c r="K19" i="81"/>
  <c r="K20" i="81" s="1"/>
  <c r="G16" i="81"/>
  <c r="G22" i="81"/>
  <c r="G15" i="81"/>
  <c r="B47" i="81"/>
  <c r="B41" i="81"/>
  <c r="B35" i="81"/>
  <c r="B29" i="81"/>
  <c r="G30" i="81" s="1"/>
  <c r="B17" i="81"/>
  <c r="B19" i="81" s="1"/>
  <c r="J9" i="81"/>
  <c r="G39" i="81"/>
  <c r="D17" i="81"/>
  <c r="G21" i="81"/>
  <c r="A21" i="81"/>
  <c r="K21" i="81" s="1"/>
  <c r="K22" i="81" s="1"/>
  <c r="G9" i="81"/>
  <c r="B11" i="81"/>
  <c r="G12" i="81" s="1"/>
  <c r="G33" i="81"/>
  <c r="G45" i="81"/>
  <c r="G27" i="81"/>
  <c r="D41" i="81"/>
  <c r="J39" i="81"/>
  <c r="J21" i="81"/>
  <c r="A23" i="81"/>
  <c r="K23" i="81" s="1"/>
  <c r="K24" i="81" s="1"/>
  <c r="J33" i="81"/>
  <c r="J15" i="81"/>
  <c r="J45" i="81"/>
  <c r="J27" i="81"/>
  <c r="B23" i="81"/>
  <c r="G24" i="81" s="1"/>
  <c r="A31" i="81" l="1"/>
  <c r="K25" i="81"/>
  <c r="K26" i="81" s="1"/>
  <c r="G18" i="81"/>
  <c r="G42" i="81"/>
  <c r="G35" i="81"/>
  <c r="G36" i="81"/>
  <c r="B49" i="81"/>
  <c r="G50" i="81" s="1"/>
  <c r="G48" i="81"/>
  <c r="J10" i="81"/>
  <c r="G47" i="81"/>
  <c r="J47" i="81"/>
  <c r="J48" i="81" s="1"/>
  <c r="J29" i="81"/>
  <c r="J30" i="81" s="1"/>
  <c r="G41" i="81"/>
  <c r="J41" i="81"/>
  <c r="J42" i="81" s="1"/>
  <c r="G29" i="81"/>
  <c r="J46" i="81"/>
  <c r="B43" i="81"/>
  <c r="J40" i="81"/>
  <c r="J35" i="81"/>
  <c r="J36" i="81" s="1"/>
  <c r="B37" i="81"/>
  <c r="G38" i="81" s="1"/>
  <c r="J34" i="81"/>
  <c r="B31" i="81"/>
  <c r="J28" i="81"/>
  <c r="J22" i="81"/>
  <c r="J17" i="81"/>
  <c r="J18" i="81" s="1"/>
  <c r="J16" i="81"/>
  <c r="A27" i="81"/>
  <c r="D19" i="81"/>
  <c r="G20" i="81" s="1"/>
  <c r="G17" i="81"/>
  <c r="J11" i="81"/>
  <c r="J12" i="81" s="1"/>
  <c r="G11" i="81"/>
  <c r="B13" i="81"/>
  <c r="G14" i="81" s="1"/>
  <c r="G23" i="81"/>
  <c r="D43" i="81"/>
  <c r="G44" i="81" s="1"/>
  <c r="A29" i="81"/>
  <c r="K29" i="81" s="1"/>
  <c r="K30" i="81" s="1"/>
  <c r="J23" i="81"/>
  <c r="J24" i="81" s="1"/>
  <c r="J19" i="81"/>
  <c r="J20" i="81" s="1"/>
  <c r="B25" i="81"/>
  <c r="G26" i="81" s="1"/>
  <c r="G32" i="81" l="1"/>
  <c r="G31" i="81"/>
  <c r="J49" i="81"/>
  <c r="J50" i="81" s="1"/>
  <c r="G49" i="81"/>
  <c r="A33" i="81"/>
  <c r="K27" i="81"/>
  <c r="K28" i="81" s="1"/>
  <c r="K31" i="81"/>
  <c r="K32" i="81" s="1"/>
  <c r="A37" i="81"/>
  <c r="G19" i="81"/>
  <c r="G43" i="81"/>
  <c r="J43" i="81"/>
  <c r="J44" i="81" s="1"/>
  <c r="G37" i="81"/>
  <c r="J37" i="81"/>
  <c r="J38" i="81" s="1"/>
  <c r="J31" i="81"/>
  <c r="J32" i="81" s="1"/>
  <c r="G13" i="81"/>
  <c r="G25" i="81"/>
  <c r="J13" i="81"/>
  <c r="J14" i="81" s="1"/>
  <c r="J25" i="81"/>
  <c r="J26" i="81" s="1"/>
  <c r="A35" i="81"/>
  <c r="K35" i="81" s="1"/>
  <c r="K36" i="81" s="1"/>
  <c r="K37" i="81" l="1"/>
  <c r="K38" i="81" s="1"/>
  <c r="A43" i="81"/>
  <c r="A39" i="81"/>
  <c r="K33" i="81"/>
  <c r="K34" i="81" s="1"/>
  <c r="A41" i="81"/>
  <c r="K41" i="81" s="1"/>
  <c r="K42" i="81" s="1"/>
  <c r="A45" i="81" l="1"/>
  <c r="K45" i="81" s="1"/>
  <c r="K46" i="81" s="1"/>
  <c r="K39" i="81"/>
  <c r="K40" i="81" s="1"/>
  <c r="K43" i="81"/>
  <c r="K44" i="81" s="1"/>
  <c r="A49" i="81"/>
  <c r="K49" i="81" s="1"/>
  <c r="K50" i="81" s="1"/>
  <c r="A47" i="81"/>
  <c r="K47" i="81" s="1"/>
  <c r="K48" i="81" s="1"/>
  <c r="U22" i="82" l="1"/>
  <c r="V22" i="82"/>
  <c r="U23" i="82"/>
  <c r="V23" i="82"/>
  <c r="U24" i="82"/>
  <c r="V24" i="82"/>
  <c r="U25" i="82"/>
  <c r="V25" i="82"/>
  <c r="U26" i="82"/>
  <c r="V26" i="82"/>
  <c r="U27" i="82"/>
  <c r="V27" i="82"/>
  <c r="U28" i="82"/>
  <c r="V28" i="82"/>
  <c r="U29" i="82"/>
  <c r="V29" i="82"/>
  <c r="U30" i="82"/>
  <c r="V30" i="82"/>
  <c r="U31" i="82"/>
  <c r="V31" i="82"/>
  <c r="U32" i="82"/>
  <c r="V32" i="82"/>
  <c r="U33" i="82"/>
  <c r="V33" i="82"/>
  <c r="U34" i="82"/>
  <c r="V34" i="82"/>
  <c r="U35" i="82"/>
  <c r="V35" i="82"/>
  <c r="U36" i="82"/>
  <c r="V36" i="82"/>
  <c r="U37" i="82"/>
  <c r="V37" i="82"/>
  <c r="U38" i="82"/>
  <c r="V38" i="82"/>
  <c r="U39" i="82"/>
  <c r="V39" i="82"/>
  <c r="U40" i="82"/>
  <c r="V40" i="82"/>
  <c r="X21" i="82"/>
  <c r="U21" i="82"/>
  <c r="V21" i="82"/>
  <c r="W21" i="82"/>
  <c r="Q22" i="82" l="1"/>
  <c r="Q34" i="82"/>
  <c r="Q23" i="82"/>
  <c r="Q35" i="82"/>
  <c r="Q25" i="82"/>
  <c r="Q40" i="82"/>
  <c r="Q24" i="82"/>
  <c r="Q36" i="82"/>
  <c r="Q37" i="82"/>
  <c r="Q27" i="82"/>
  <c r="Q26" i="82"/>
  <c r="Q38" i="82"/>
  <c r="Q28" i="82"/>
  <c r="Q29" i="82"/>
  <c r="Q39" i="82"/>
  <c r="Q30" i="82"/>
  <c r="Q32" i="82"/>
  <c r="Q31" i="82"/>
  <c r="Q33" i="82"/>
  <c r="Q21" i="82"/>
  <c r="P22" i="82"/>
  <c r="P34" i="82"/>
  <c r="P35" i="82"/>
  <c r="P24" i="82"/>
  <c r="P36" i="82"/>
  <c r="P23" i="82"/>
  <c r="P25" i="82"/>
  <c r="P37" i="82"/>
  <c r="P38" i="82"/>
  <c r="P32" i="82"/>
  <c r="P26" i="82"/>
  <c r="P27" i="82"/>
  <c r="P39" i="82"/>
  <c r="P40" i="82"/>
  <c r="P31" i="82"/>
  <c r="P28" i="82"/>
  <c r="P29" i="82"/>
  <c r="P33" i="82"/>
  <c r="P30" i="82"/>
  <c r="P21" i="82"/>
  <c r="R35" i="82"/>
  <c r="S39" i="82"/>
  <c r="S35" i="82"/>
  <c r="R40" i="82"/>
  <c r="S40" i="82"/>
  <c r="R36" i="82"/>
  <c r="S36" i="82"/>
  <c r="S38" i="82"/>
  <c r="R37" i="82"/>
  <c r="S37" i="82"/>
  <c r="R39" i="82"/>
  <c r="R38" i="82"/>
  <c r="S34" i="82"/>
  <c r="R24" i="82"/>
  <c r="S23" i="82"/>
  <c r="S32" i="82"/>
  <c r="R29" i="82"/>
  <c r="S24" i="82"/>
  <c r="R32" i="82"/>
  <c r="S31" i="82"/>
  <c r="R25" i="82"/>
  <c r="S27" i="82"/>
  <c r="S22" i="82"/>
  <c r="S26" i="82"/>
  <c r="S25" i="82"/>
  <c r="R23" i="82"/>
  <c r="R31" i="82"/>
  <c r="R22" i="82"/>
  <c r="S33" i="82"/>
  <c r="R26" i="82"/>
  <c r="R27" i="82"/>
  <c r="R28" i="82"/>
  <c r="R34" i="82"/>
  <c r="S30" i="82"/>
  <c r="S29" i="82"/>
  <c r="R30" i="82"/>
  <c r="S28" i="82"/>
  <c r="R33" i="82"/>
  <c r="S21" i="82"/>
  <c r="R21" i="82"/>
  <c r="W33" i="82" l="1"/>
  <c r="W30" i="82"/>
  <c r="W34" i="82"/>
  <c r="W28" i="82"/>
  <c r="W27" i="82"/>
  <c r="W26" i="82"/>
  <c r="W22" i="82"/>
  <c r="W31" i="82"/>
  <c r="W23" i="82"/>
  <c r="W25" i="82"/>
  <c r="W32" i="82"/>
  <c r="W29" i="82"/>
  <c r="W24" i="82"/>
  <c r="W38" i="82"/>
  <c r="W37" i="82"/>
  <c r="W36" i="82"/>
  <c r="W40" i="82"/>
  <c r="W35" i="82"/>
  <c r="T38" i="82"/>
  <c r="T39" i="82"/>
  <c r="T37" i="82"/>
  <c r="T36" i="82"/>
  <c r="T40" i="82"/>
  <c r="T35" i="82"/>
  <c r="T21" i="82"/>
  <c r="T26" i="82"/>
  <c r="T25" i="82"/>
  <c r="T24" i="82"/>
  <c r="X24" i="82" s="1"/>
  <c r="T23" i="82"/>
  <c r="T29" i="82"/>
  <c r="T27" i="82"/>
  <c r="T28" i="82"/>
  <c r="T22" i="82"/>
  <c r="X22" i="82" s="1"/>
  <c r="T34" i="82"/>
  <c r="T33" i="82"/>
  <c r="T30" i="82"/>
  <c r="T32" i="82"/>
  <c r="T31" i="82"/>
  <c r="X35" i="82" l="1"/>
  <c r="X39" i="82"/>
  <c r="X27" i="82"/>
  <c r="X28" i="82"/>
  <c r="X25" i="82"/>
  <c r="X30" i="82"/>
  <c r="X32" i="82"/>
  <c r="X33" i="82"/>
  <c r="X34" i="82"/>
  <c r="X36" i="82"/>
  <c r="X37" i="82"/>
  <c r="X38" i="82"/>
  <c r="X29" i="82"/>
  <c r="X23" i="82"/>
  <c r="X31" i="82"/>
  <c r="X26" i="82"/>
  <c r="AI57" i="82" l="1"/>
  <c r="AJ52" i="82"/>
  <c r="A115" i="80" l="1"/>
  <c r="N18" i="80" l="1"/>
  <c r="M17" i="80"/>
  <c r="M117" i="80" l="1"/>
  <c r="M115" i="80"/>
  <c r="M113" i="80"/>
  <c r="M111" i="80"/>
  <c r="M109" i="80"/>
  <c r="M107" i="80"/>
  <c r="M105" i="80"/>
  <c r="M103" i="80"/>
  <c r="M101" i="80"/>
  <c r="M99" i="80"/>
  <c r="M97" i="80"/>
  <c r="M95" i="80"/>
  <c r="M93" i="80"/>
  <c r="M91" i="80"/>
  <c r="M89" i="80"/>
  <c r="M87" i="80"/>
  <c r="M85" i="80"/>
  <c r="M83" i="80"/>
  <c r="M75" i="80"/>
  <c r="M73" i="80"/>
  <c r="M71" i="80"/>
  <c r="M69" i="80"/>
  <c r="M67" i="80"/>
  <c r="M65" i="80"/>
  <c r="M63" i="80"/>
  <c r="M61" i="80"/>
  <c r="M59" i="80"/>
  <c r="M57" i="80"/>
  <c r="M55" i="80"/>
  <c r="M53" i="80"/>
  <c r="M51" i="80"/>
  <c r="M49" i="80"/>
  <c r="M47" i="80"/>
  <c r="M45" i="80"/>
  <c r="M43" i="80"/>
  <c r="M41" i="80"/>
  <c r="M39" i="80"/>
  <c r="M37" i="80"/>
  <c r="M35" i="80"/>
  <c r="M33" i="80"/>
  <c r="M31" i="80"/>
  <c r="M29" i="80"/>
  <c r="M27" i="80"/>
  <c r="M25" i="80"/>
  <c r="M23" i="80"/>
  <c r="M21" i="80"/>
  <c r="M19" i="80"/>
  <c r="M15" i="80"/>
  <c r="M13" i="80"/>
  <c r="M11" i="80"/>
  <c r="M9" i="80"/>
  <c r="M7" i="80"/>
  <c r="N118" i="80" l="1"/>
  <c r="N116" i="80"/>
  <c r="A99" i="80"/>
  <c r="N114" i="80"/>
  <c r="N112" i="80"/>
  <c r="N110" i="80"/>
  <c r="N108" i="80"/>
  <c r="N106" i="80"/>
  <c r="N104" i="80"/>
  <c r="N102" i="80"/>
  <c r="N100" i="80"/>
  <c r="A83" i="80"/>
  <c r="N94" i="80"/>
  <c r="N90" i="80"/>
  <c r="N86" i="80"/>
  <c r="N98" i="80"/>
  <c r="N96" i="80"/>
  <c r="N92" i="80"/>
  <c r="N88" i="80"/>
  <c r="N84" i="80"/>
  <c r="A67" i="80"/>
  <c r="A57" i="80"/>
  <c r="A37" i="80"/>
  <c r="A27" i="80"/>
  <c r="A47" i="80"/>
  <c r="A17" i="80"/>
  <c r="N76" i="80"/>
  <c r="N74" i="80"/>
  <c r="N72" i="80"/>
  <c r="N70" i="80"/>
  <c r="N68" i="80"/>
  <c r="N66" i="80"/>
  <c r="N64" i="80"/>
  <c r="N62" i="80"/>
  <c r="N60" i="80"/>
  <c r="N58" i="80"/>
  <c r="N46" i="80"/>
  <c r="N44" i="80"/>
  <c r="N42" i="80"/>
  <c r="N40" i="80"/>
  <c r="N38" i="80"/>
  <c r="N36" i="80"/>
  <c r="N34" i="80"/>
  <c r="N32" i="80"/>
  <c r="N30" i="80"/>
  <c r="N28" i="80"/>
  <c r="A7" i="80"/>
  <c r="N56" i="80"/>
  <c r="N54" i="80"/>
  <c r="N52" i="80"/>
  <c r="N50" i="80"/>
  <c r="N48" i="80"/>
  <c r="N26" i="80"/>
  <c r="N24" i="80"/>
  <c r="N22" i="80"/>
  <c r="N20" i="80"/>
  <c r="N16" i="80"/>
  <c r="N14" i="80"/>
  <c r="N12" i="80"/>
  <c r="N10" i="80"/>
  <c r="O116" i="80" l="1"/>
  <c r="N115" i="80"/>
  <c r="O100" i="80"/>
  <c r="N99" i="80"/>
  <c r="O118" i="80"/>
  <c r="N117" i="80"/>
  <c r="O102" i="80"/>
  <c r="N101" i="80"/>
  <c r="O104" i="80"/>
  <c r="N103" i="80"/>
  <c r="O84" i="80"/>
  <c r="N83" i="80"/>
  <c r="O88" i="80"/>
  <c r="N87" i="80"/>
  <c r="O92" i="80"/>
  <c r="N91" i="80"/>
  <c r="O94" i="80"/>
  <c r="N93" i="80"/>
  <c r="O106" i="80"/>
  <c r="N105" i="80"/>
  <c r="O110" i="80"/>
  <c r="N109" i="80"/>
  <c r="O96" i="80"/>
  <c r="N95" i="80"/>
  <c r="O112" i="80"/>
  <c r="N111" i="80"/>
  <c r="O108" i="80"/>
  <c r="N107" i="80"/>
  <c r="O98" i="80"/>
  <c r="N97" i="80"/>
  <c r="O114" i="80"/>
  <c r="N113" i="80"/>
  <c r="O90" i="80"/>
  <c r="N89" i="80"/>
  <c r="O86" i="80"/>
  <c r="N85" i="80"/>
  <c r="O36" i="80"/>
  <c r="N35" i="80"/>
  <c r="O40" i="80"/>
  <c r="N39" i="80"/>
  <c r="O16" i="80"/>
  <c r="N15" i="80"/>
  <c r="O18" i="80"/>
  <c r="N17" i="80"/>
  <c r="O22" i="80"/>
  <c r="N21" i="80"/>
  <c r="O60" i="80"/>
  <c r="N59" i="80"/>
  <c r="O64" i="80"/>
  <c r="N63" i="80"/>
  <c r="O52" i="80"/>
  <c r="N51" i="80"/>
  <c r="O70" i="80"/>
  <c r="N69" i="80"/>
  <c r="O10" i="80"/>
  <c r="N9" i="80"/>
  <c r="O20" i="80"/>
  <c r="N19" i="80"/>
  <c r="O54" i="80"/>
  <c r="N53" i="80"/>
  <c r="O72" i="80"/>
  <c r="N71" i="80"/>
  <c r="O56" i="80"/>
  <c r="N55" i="80"/>
  <c r="O74" i="80"/>
  <c r="N73" i="80"/>
  <c r="O34" i="80"/>
  <c r="N33" i="80"/>
  <c r="O28" i="80"/>
  <c r="N27" i="80"/>
  <c r="O38" i="80"/>
  <c r="N37" i="80"/>
  <c r="O76" i="80"/>
  <c r="N75" i="80"/>
  <c r="O30" i="80"/>
  <c r="N29" i="80"/>
  <c r="O32" i="80"/>
  <c r="N31" i="80"/>
  <c r="O12" i="80"/>
  <c r="N11" i="80"/>
  <c r="O42" i="80"/>
  <c r="N41" i="80"/>
  <c r="O46" i="80"/>
  <c r="N45" i="80"/>
  <c r="O24" i="80"/>
  <c r="N23" i="80"/>
  <c r="O62" i="80"/>
  <c r="N61" i="80"/>
  <c r="O58" i="80"/>
  <c r="N57" i="80"/>
  <c r="O48" i="80"/>
  <c r="N47" i="80"/>
  <c r="O66" i="80"/>
  <c r="N65" i="80"/>
  <c r="O14" i="80"/>
  <c r="N13" i="80"/>
  <c r="O44" i="80"/>
  <c r="N43" i="80"/>
  <c r="O26" i="80"/>
  <c r="N25" i="80"/>
  <c r="O50" i="80"/>
  <c r="N49" i="80"/>
  <c r="O68" i="80"/>
  <c r="N67" i="80"/>
  <c r="N8" i="80"/>
  <c r="P98" i="80" l="1"/>
  <c r="O97" i="80"/>
  <c r="P96" i="80"/>
  <c r="O95" i="80"/>
  <c r="P94" i="80"/>
  <c r="O93" i="80"/>
  <c r="P88" i="80"/>
  <c r="O87" i="80"/>
  <c r="P112" i="80"/>
  <c r="O111" i="80"/>
  <c r="P108" i="80"/>
  <c r="O107" i="80"/>
  <c r="P110" i="80"/>
  <c r="O109" i="80"/>
  <c r="P84" i="80"/>
  <c r="O83" i="80"/>
  <c r="P100" i="80"/>
  <c r="O99" i="80"/>
  <c r="P90" i="80"/>
  <c r="O89" i="80"/>
  <c r="P106" i="80"/>
  <c r="O105" i="80"/>
  <c r="P104" i="80"/>
  <c r="O103" i="80"/>
  <c r="P116" i="80"/>
  <c r="O115" i="80"/>
  <c r="P86" i="80"/>
  <c r="O85" i="80"/>
  <c r="P114" i="80"/>
  <c r="O113" i="80"/>
  <c r="P92" i="80"/>
  <c r="O91" i="80"/>
  <c r="P102" i="80"/>
  <c r="O101" i="80"/>
  <c r="P118" i="80"/>
  <c r="O117" i="80"/>
  <c r="P14" i="80"/>
  <c r="O13" i="80"/>
  <c r="P30" i="80"/>
  <c r="O29" i="80"/>
  <c r="P66" i="80"/>
  <c r="O65" i="80"/>
  <c r="P52" i="80"/>
  <c r="O51" i="80"/>
  <c r="P76" i="80"/>
  <c r="O75" i="80"/>
  <c r="P38" i="80"/>
  <c r="O37" i="80"/>
  <c r="P58" i="80"/>
  <c r="O57" i="80"/>
  <c r="P34" i="80"/>
  <c r="O33" i="80"/>
  <c r="P74" i="80"/>
  <c r="O73" i="80"/>
  <c r="P46" i="80"/>
  <c r="O45" i="80"/>
  <c r="P42" i="80"/>
  <c r="O41" i="80"/>
  <c r="P70" i="80"/>
  <c r="O69" i="80"/>
  <c r="P48" i="80"/>
  <c r="O47" i="80"/>
  <c r="P28" i="80"/>
  <c r="O27" i="80"/>
  <c r="O8" i="80"/>
  <c r="N7" i="80"/>
  <c r="P24" i="80"/>
  <c r="O23" i="80"/>
  <c r="P18" i="80"/>
  <c r="O17" i="80"/>
  <c r="P50" i="80"/>
  <c r="O49" i="80"/>
  <c r="P16" i="80"/>
  <c r="O15" i="80"/>
  <c r="P54" i="80"/>
  <c r="O53" i="80"/>
  <c r="P10" i="80"/>
  <c r="O9" i="80"/>
  <c r="P64" i="80"/>
  <c r="O63" i="80"/>
  <c r="P62" i="80"/>
  <c r="O61" i="80"/>
  <c r="P60" i="80"/>
  <c r="O59" i="80"/>
  <c r="P22" i="80"/>
  <c r="O21" i="80"/>
  <c r="P68" i="80"/>
  <c r="O67" i="80"/>
  <c r="P56" i="80"/>
  <c r="O55" i="80"/>
  <c r="P72" i="80"/>
  <c r="O71" i="80"/>
  <c r="P26" i="80"/>
  <c r="O25" i="80"/>
  <c r="P12" i="80"/>
  <c r="O11" i="80"/>
  <c r="P40" i="80"/>
  <c r="O39" i="80"/>
  <c r="P44" i="80"/>
  <c r="O43" i="80"/>
  <c r="P32" i="80"/>
  <c r="O31" i="80"/>
  <c r="P20" i="80"/>
  <c r="O19" i="80"/>
  <c r="P36" i="80"/>
  <c r="O35" i="80"/>
  <c r="Q86" i="80" l="1"/>
  <c r="Q85" i="80" s="1"/>
  <c r="P85" i="80"/>
  <c r="Q84" i="80"/>
  <c r="Q83" i="80" s="1"/>
  <c r="P83" i="80"/>
  <c r="Q94" i="80"/>
  <c r="Q93" i="80" s="1"/>
  <c r="P93" i="80"/>
  <c r="Q114" i="80"/>
  <c r="Q113" i="80" s="1"/>
  <c r="P113" i="80"/>
  <c r="Q96" i="80"/>
  <c r="Q95" i="80" s="1"/>
  <c r="P95" i="80"/>
  <c r="Q118" i="80"/>
  <c r="Q117" i="80" s="1"/>
  <c r="P117" i="80"/>
  <c r="Q106" i="80"/>
  <c r="Q105" i="80" s="1"/>
  <c r="P105" i="80"/>
  <c r="Q90" i="80"/>
  <c r="Q89" i="80" s="1"/>
  <c r="P89" i="80"/>
  <c r="Q116" i="80"/>
  <c r="Q115" i="80" s="1"/>
  <c r="P115" i="80"/>
  <c r="Q102" i="80"/>
  <c r="Q101" i="80" s="1"/>
  <c r="P101" i="80"/>
  <c r="Q112" i="80"/>
  <c r="Q111" i="80" s="1"/>
  <c r="P111" i="80"/>
  <c r="Q98" i="80"/>
  <c r="Q97" i="80" s="1"/>
  <c r="P97" i="80"/>
  <c r="Q108" i="80"/>
  <c r="Q107" i="80" s="1"/>
  <c r="P107" i="80"/>
  <c r="Q92" i="80"/>
  <c r="Q91" i="80" s="1"/>
  <c r="P91" i="80"/>
  <c r="Q104" i="80"/>
  <c r="Q103" i="80" s="1"/>
  <c r="P103" i="80"/>
  <c r="Q100" i="80"/>
  <c r="Q99" i="80" s="1"/>
  <c r="P99" i="80"/>
  <c r="Q110" i="80"/>
  <c r="Q109" i="80" s="1"/>
  <c r="P109" i="80"/>
  <c r="Q88" i="80"/>
  <c r="Q87" i="80" s="1"/>
  <c r="P87" i="80"/>
  <c r="Q46" i="80"/>
  <c r="Q45" i="80" s="1"/>
  <c r="P45" i="80"/>
  <c r="Q16" i="80"/>
  <c r="Q15" i="80" s="1"/>
  <c r="P15" i="80"/>
  <c r="Q34" i="80"/>
  <c r="Q33" i="80" s="1"/>
  <c r="P33" i="80"/>
  <c r="Q54" i="80"/>
  <c r="Q53" i="80" s="1"/>
  <c r="P53" i="80"/>
  <c r="Q26" i="80"/>
  <c r="Q25" i="80" s="1"/>
  <c r="P25" i="80"/>
  <c r="Q72" i="80"/>
  <c r="Q71" i="80" s="1"/>
  <c r="P71" i="80"/>
  <c r="Q58" i="80"/>
  <c r="Q57" i="80" s="1"/>
  <c r="P57" i="80"/>
  <c r="Q68" i="80"/>
  <c r="Q67" i="80" s="1"/>
  <c r="P67" i="80"/>
  <c r="Q38" i="80"/>
  <c r="Q37" i="80" s="1"/>
  <c r="P37" i="80"/>
  <c r="Q36" i="80"/>
  <c r="Q35" i="80" s="1"/>
  <c r="P35" i="80"/>
  <c r="Q76" i="80"/>
  <c r="Q75" i="80" s="1"/>
  <c r="P75" i="80"/>
  <c r="Q60" i="80"/>
  <c r="Q59" i="80" s="1"/>
  <c r="P59" i="80"/>
  <c r="Q48" i="80"/>
  <c r="Q47" i="80" s="1"/>
  <c r="P47" i="80"/>
  <c r="Q66" i="80"/>
  <c r="Q65" i="80" s="1"/>
  <c r="P65" i="80"/>
  <c r="Q56" i="80"/>
  <c r="Q55" i="80" s="1"/>
  <c r="P55" i="80"/>
  <c r="P8" i="80"/>
  <c r="O7" i="80"/>
  <c r="Q52" i="80"/>
  <c r="Q51" i="80" s="1"/>
  <c r="P51" i="80"/>
  <c r="Q62" i="80"/>
  <c r="Q61" i="80" s="1"/>
  <c r="P61" i="80"/>
  <c r="Q44" i="80"/>
  <c r="Q43" i="80" s="1"/>
  <c r="P43" i="80"/>
  <c r="Q70" i="80"/>
  <c r="Q69" i="80" s="1"/>
  <c r="P69" i="80"/>
  <c r="Q12" i="80"/>
  <c r="Q11" i="80" s="1"/>
  <c r="P11" i="80"/>
  <c r="Q74" i="80"/>
  <c r="Q73" i="80" s="1"/>
  <c r="P73" i="80"/>
  <c r="Q50" i="80"/>
  <c r="Q49" i="80" s="1"/>
  <c r="P49" i="80"/>
  <c r="Q18" i="80"/>
  <c r="Q17" i="80" s="1"/>
  <c r="P17" i="80"/>
  <c r="Q24" i="80"/>
  <c r="Q23" i="80" s="1"/>
  <c r="P23" i="80"/>
  <c r="Q22" i="80"/>
  <c r="Q21" i="80" s="1"/>
  <c r="P21" i="80"/>
  <c r="Q20" i="80"/>
  <c r="Q19" i="80" s="1"/>
  <c r="P19" i="80"/>
  <c r="Q28" i="80"/>
  <c r="Q27" i="80" s="1"/>
  <c r="P27" i="80"/>
  <c r="Q32" i="80"/>
  <c r="Q31" i="80" s="1"/>
  <c r="P31" i="80"/>
  <c r="Q64" i="80"/>
  <c r="Q63" i="80" s="1"/>
  <c r="P63" i="80"/>
  <c r="Q30" i="80"/>
  <c r="Q29" i="80" s="1"/>
  <c r="P29" i="80"/>
  <c r="Q40" i="80"/>
  <c r="Q39" i="80" s="1"/>
  <c r="P39" i="80"/>
  <c r="Q10" i="80"/>
  <c r="Q9" i="80" s="1"/>
  <c r="P9" i="80"/>
  <c r="Q42" i="80"/>
  <c r="Q41" i="80" s="1"/>
  <c r="P41" i="80"/>
  <c r="Q14" i="80"/>
  <c r="Q13" i="80" s="1"/>
  <c r="P13" i="80"/>
  <c r="Q8" i="80" l="1"/>
  <c r="Q7" i="80" s="1"/>
  <c r="P7" i="80"/>
</calcChain>
</file>

<file path=xl/sharedStrings.xml><?xml version="1.0" encoding="utf-8"?>
<sst xmlns="http://schemas.openxmlformats.org/spreadsheetml/2006/main" count="918" uniqueCount="191">
  <si>
    <t>ANSWER-Commodities</t>
  </si>
  <si>
    <t>CommName</t>
  </si>
  <si>
    <t>CommDesc</t>
  </si>
  <si>
    <t>CommUnit</t>
  </si>
  <si>
    <t>Set Memberships</t>
  </si>
  <si>
    <t>Comment</t>
  </si>
  <si>
    <t>ELC</t>
  </si>
  <si>
    <t>Electricity</t>
  </si>
  <si>
    <t>TRNH2</t>
  </si>
  <si>
    <t>TL</t>
  </si>
  <si>
    <t>ANSWER-Technologies</t>
  </si>
  <si>
    <t>TechName</t>
  </si>
  <si>
    <t>TechDesc</t>
  </si>
  <si>
    <t>TACTUnit</t>
  </si>
  <si>
    <t>TCAPUnit</t>
  </si>
  <si>
    <t>R2</t>
  </si>
  <si>
    <t>R3</t>
  </si>
  <si>
    <t>R4</t>
  </si>
  <si>
    <t>R5</t>
  </si>
  <si>
    <t>R6</t>
  </si>
  <si>
    <t>Units</t>
  </si>
  <si>
    <t>CommIN</t>
  </si>
  <si>
    <t>CommOUT</t>
  </si>
  <si>
    <t>Gasoline</t>
  </si>
  <si>
    <t>CNG</t>
  </si>
  <si>
    <t>Diesel</t>
  </si>
  <si>
    <t>R1</t>
  </si>
  <si>
    <t>ConstrName</t>
  </si>
  <si>
    <t>ConstrDesc</t>
  </si>
  <si>
    <t>LO</t>
  </si>
  <si>
    <t>UP</t>
  </si>
  <si>
    <t>FX</t>
  </si>
  <si>
    <t>GSL</t>
  </si>
  <si>
    <t>DSL</t>
  </si>
  <si>
    <t>Gasoline Hybrid</t>
  </si>
  <si>
    <t>Diesel Hybrid</t>
  </si>
  <si>
    <t>Fuel Cell</t>
  </si>
  <si>
    <t>Row Labels</t>
  </si>
  <si>
    <t>Grand Total</t>
  </si>
  <si>
    <t>ANSWER-Constraints</t>
  </si>
  <si>
    <t>ANSWER-TechData</t>
  </si>
  <si>
    <t>ANSWER-CommData</t>
  </si>
  <si>
    <t>ANSWER-ConstrData</t>
  </si>
  <si>
    <t>TB</t>
  </si>
  <si>
    <t>THS</t>
  </si>
  <si>
    <t>Passenger cars</t>
  </si>
  <si>
    <t>VMT</t>
  </si>
  <si>
    <t>Medium duty trucks</t>
  </si>
  <si>
    <t>Heavy duty trucks</t>
  </si>
  <si>
    <t>Buses</t>
  </si>
  <si>
    <t>Transportation</t>
  </si>
  <si>
    <t>Year</t>
  </si>
  <si>
    <t>LimType</t>
  </si>
  <si>
    <t>~UC_Sets: R_E: AllRegions</t>
  </si>
  <si>
    <t>UC_N</t>
  </si>
  <si>
    <t>Pset_CO</t>
  </si>
  <si>
    <t>Pset_CI</t>
  </si>
  <si>
    <t>Cset_CN</t>
  </si>
  <si>
    <t>UC_RHSRT</t>
  </si>
  <si>
    <t>UC_RHSRT~0</t>
  </si>
  <si>
    <t>R0</t>
  </si>
  <si>
    <t>~UC_T: UC_NCAP</t>
  </si>
  <si>
    <t>Pset_PN</t>
  </si>
  <si>
    <t>Pset_PD</t>
  </si>
  <si>
    <t>TL*</t>
  </si>
  <si>
    <t>TLC*,TLEC*</t>
  </si>
  <si>
    <t>TLF*,TLEF*</t>
  </si>
  <si>
    <t>TLLS*,TLELS*</t>
  </si>
  <si>
    <t>*.M.*,*minivan*</t>
  </si>
  <si>
    <t>TLSS*,TLESS*</t>
  </si>
  <si>
    <t>TLP*,TLEP*</t>
  </si>
  <si>
    <t>*100 mi range*</t>
  </si>
  <si>
    <t>*200 mi range*</t>
  </si>
  <si>
    <t>TL*,-TLC*,-TLEC*</t>
  </si>
  <si>
    <t>TL*,-TLLS*,-TLELS*</t>
  </si>
  <si>
    <t>-*.M.*,-*minivan*</t>
  </si>
  <si>
    <t>TL*,-TLF*,-TLEF*</t>
  </si>
  <si>
    <t>TL*,-TLP*,-TLEP*</t>
  </si>
  <si>
    <t>TL*,-TLSS*,-TLESS*</t>
  </si>
  <si>
    <t>*.MC.*,*minicar*</t>
  </si>
  <si>
    <t>-*.MC.*,-*minicar*</t>
  </si>
  <si>
    <t>-*100 mi range*</t>
  </si>
  <si>
    <t>-*200 mi range*</t>
  </si>
  <si>
    <t>-TRNH2</t>
  </si>
  <si>
    <t>On-road transportation</t>
  </si>
  <si>
    <t>Header key</t>
  </si>
  <si>
    <t>NOTE</t>
  </si>
  <si>
    <t>Feeds</t>
  </si>
  <si>
    <t>Community tab via INDEX</t>
  </si>
  <si>
    <t>Table 3 of this tab should be populated by values from "On Road Transportation Summary 20XX" workbook.  Use the VMT values in "table 3" of the "20XX Summary" tab</t>
  </si>
  <si>
    <t>Historical tab via 'aggregate tag'</t>
  </si>
  <si>
    <t>Both Community and Historical tab</t>
  </si>
  <si>
    <t xml:space="preserve">This step is required to correct the the fact that, to avoid problems when dividing by zero. the model set some cells to values fractionally higher than zero. </t>
  </si>
  <si>
    <t>Lower bound for percentage of VMT to utilize - anything with a percentage below this will be set to 0 VMT</t>
  </si>
  <si>
    <t>Table 1</t>
  </si>
  <si>
    <t>Aggregate tag</t>
  </si>
  <si>
    <t>Data source</t>
  </si>
  <si>
    <t>GPC Sector</t>
  </si>
  <si>
    <t>GPC Sub-sector</t>
  </si>
  <si>
    <t>GPC Sub-sector class</t>
  </si>
  <si>
    <t>Address/service</t>
  </si>
  <si>
    <t>Fuel type</t>
  </si>
  <si>
    <t>Reported units</t>
  </si>
  <si>
    <t>CY2022</t>
  </si>
  <si>
    <t>CY2021</t>
  </si>
  <si>
    <t>CY2020</t>
  </si>
  <si>
    <t>CY2019</t>
  </si>
  <si>
    <t>CY2018</t>
  </si>
  <si>
    <t>CY2017</t>
  </si>
  <si>
    <t>CY2016</t>
  </si>
  <si>
    <t>CY2015</t>
  </si>
  <si>
    <t>CY2014</t>
  </si>
  <si>
    <t>CY2013</t>
  </si>
  <si>
    <t>CY2012</t>
  </si>
  <si>
    <t>CY2011</t>
  </si>
  <si>
    <t>CY2010</t>
  </si>
  <si>
    <t>CY2009</t>
  </si>
  <si>
    <t>CY2008</t>
  </si>
  <si>
    <t>CY2007</t>
  </si>
  <si>
    <t>CY2006</t>
  </si>
  <si>
    <t>CY2005</t>
  </si>
  <si>
    <t>Heavy duty trucks(private)CNG</t>
  </si>
  <si>
    <t>NYMTC BPM</t>
  </si>
  <si>
    <t>On-road</t>
  </si>
  <si>
    <t>(private)</t>
  </si>
  <si>
    <t>Heavy duty trucks(private)Diesel</t>
  </si>
  <si>
    <t>Heavy duty trucks(private)Electricity</t>
  </si>
  <si>
    <t>Heavy duty trucks(private)Gasoline</t>
  </si>
  <si>
    <t>Heavy duty trucks(public)Diesel</t>
  </si>
  <si>
    <t>(public)</t>
  </si>
  <si>
    <t>Heavy duty trucks(public)Diesel Hybrid</t>
  </si>
  <si>
    <t>Heavy duty trucks(public)Gasoline</t>
  </si>
  <si>
    <t>Medium duty trucks(private)CNG</t>
  </si>
  <si>
    <t>Medium duty trucks(private)Diesel</t>
  </si>
  <si>
    <t>Medium duty trucks(private)Electricity</t>
  </si>
  <si>
    <t>Medium duty trucks(private)Gasoline</t>
  </si>
  <si>
    <t>Medium duty trucks(public)CNG</t>
  </si>
  <si>
    <t>Medium duty trucks(public)Diesel</t>
  </si>
  <si>
    <t>Medium duty trucks(public)Electricity</t>
  </si>
  <si>
    <t>Medium duty trucks(public)Gasoline</t>
  </si>
  <si>
    <t>Medium duty trucks(public)Gasoline Hybrid</t>
  </si>
  <si>
    <t>Passenger cars(private)CNG</t>
  </si>
  <si>
    <t>Passenger cars(private)Diesel</t>
  </si>
  <si>
    <t>Passenger cars(private)Diesel Hybrid</t>
  </si>
  <si>
    <t>Passenger cars(private)Electricity</t>
  </si>
  <si>
    <t>Passenger cars(private)Fuel Cell</t>
  </si>
  <si>
    <t>Passenger cars(private)Gasoline</t>
  </si>
  <si>
    <t>Passenger cars(private)Gasoline Hybrid</t>
  </si>
  <si>
    <t>Passenger cars(public)Diesel</t>
  </si>
  <si>
    <t>Passenger cars(public)Electricity</t>
  </si>
  <si>
    <t>Passenger cars(public)Gasoline</t>
  </si>
  <si>
    <t>Passenger cars(public)Gasoline Hybrid</t>
  </si>
  <si>
    <t>School Bus(private)Diesel</t>
  </si>
  <si>
    <t>School Bus</t>
  </si>
  <si>
    <t>School Bus(private)Electricity</t>
  </si>
  <si>
    <t>School Bus(private)Gasoline</t>
  </si>
  <si>
    <t>SWCV(private)CNG</t>
  </si>
  <si>
    <t>SWCV</t>
  </si>
  <si>
    <t>SWCV(private)Diesel</t>
  </si>
  <si>
    <t>SWCV(private)Gasoline</t>
  </si>
  <si>
    <t>SWCV(public)CNG</t>
  </si>
  <si>
    <t>SWCV(public)Diesel</t>
  </si>
  <si>
    <t>SWCV(public)Diesel Hybrid</t>
  </si>
  <si>
    <t>10 buses</t>
  </si>
  <si>
    <t>50 buses</t>
  </si>
  <si>
    <t>100 buses</t>
  </si>
  <si>
    <t>180 buses</t>
  </si>
  <si>
    <t>Sum of CY2019</t>
  </si>
  <si>
    <t>Sum of CY2021</t>
  </si>
  <si>
    <t>Sum of CY2022</t>
  </si>
  <si>
    <t>DSLH</t>
  </si>
  <si>
    <t>GSLH</t>
  </si>
  <si>
    <t>Billion VMT</t>
  </si>
  <si>
    <t>TM</t>
  </si>
  <si>
    <t>GPC Sub-sector class agg</t>
  </si>
  <si>
    <t>GSLAH</t>
  </si>
  <si>
    <t>DSLAH</t>
  </si>
  <si>
    <t>G*HEV</t>
  </si>
  <si>
    <t>DHEV</t>
  </si>
  <si>
    <t>FCH</t>
  </si>
  <si>
    <t>Share 2020</t>
  </si>
  <si>
    <t>Share 2025</t>
  </si>
  <si>
    <t>Sum of CY2010</t>
  </si>
  <si>
    <t>Sum of CY2015</t>
  </si>
  <si>
    <t>Share 2010</t>
  </si>
  <si>
    <t>Share 2015</t>
  </si>
  <si>
    <t>~UC_T: UC_FLO</t>
  </si>
  <si>
    <t>Light duty vehicle historical boundary calibration</t>
  </si>
  <si>
    <t>~UC_Sets: R_S: AllRegions</t>
  </si>
  <si>
    <t>AllRegions</t>
  </si>
  <si>
    <t>TL*ELC*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</si>
</sst>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9" formatCode="0.0%"/>
    <numFmt numFmtId="180" formatCode="_(* #,##0_);_(* \(#,##0\);_(* &quot;-&quot;??_);_(@_)"/>
    <numFmt numFmtId="182" formatCode="_-* #,##0.00_-;\-* #,##0.00_-;_-* &quot;-&quot;??_-;_-@_-"/>
    <numFmt numFmtId="183" formatCode="_-* #,##0_-;\-* #,##0_-;_-* &quot;-&quot;??_-;_-@_-"/>
    <numFmt numFmtId="184" formatCode="_(* #,##0.000000_);_(* \(#,##0.000000\);_(* &quot;-&quot;??_);_(@_)"/>
  </numFmts>
  <fonts count="5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2"/>
      <name val="Helv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0000FF"/>
      <name val="Arial"/>
      <family val="2"/>
    </font>
    <font>
      <b/>
      <sz val="9"/>
      <color rgb="FF0000FF"/>
      <name val="Arial"/>
      <family val="2"/>
    </font>
    <font>
      <b/>
      <sz val="10"/>
      <color rgb="FF0033CC"/>
      <name val="Arial"/>
      <family val="2"/>
    </font>
    <font>
      <b/>
      <u/>
      <sz val="18"/>
      <color rgb="FFC00000"/>
      <name val="Calibri"/>
      <family val="2"/>
      <scheme val="minor"/>
    </font>
    <font>
      <b/>
      <sz val="16"/>
      <color rgb="FFC0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4"/>
      <color rgb="FFC00000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color theme="4" tint="-0.249977111117893"/>
      <name val="Calibri"/>
      <family val="2"/>
      <scheme val="minor"/>
    </font>
    <font>
      <b/>
      <sz val="10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Arial"/>
      <family val="2"/>
    </font>
  </fonts>
  <fills count="4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06">
    <xf numFmtId="0" fontId="0" fillId="0" borderId="0"/>
    <xf numFmtId="43" fontId="5" fillId="0" borderId="0" applyFont="0" applyFill="0" applyBorder="0" applyAlignment="0" applyProtection="0"/>
    <xf numFmtId="0" fontId="18" fillId="3" borderId="0" applyNumberFormat="0" applyBorder="0" applyAlignment="0" applyProtection="0"/>
    <xf numFmtId="0" fontId="17" fillId="0" borderId="0"/>
    <xf numFmtId="9" fontId="5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4" applyNumberFormat="0" applyFill="0" applyAlignment="0" applyProtection="0"/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3" fillId="4" borderId="0" applyNumberFormat="0" applyBorder="0" applyAlignment="0" applyProtection="0"/>
    <xf numFmtId="0" fontId="24" fillId="5" borderId="0" applyNumberFormat="0" applyBorder="0" applyAlignment="0" applyProtection="0"/>
    <xf numFmtId="0" fontId="25" fillId="6" borderId="7" applyNumberFormat="0" applyAlignment="0" applyProtection="0"/>
    <xf numFmtId="0" fontId="26" fillId="7" borderId="8" applyNumberFormat="0" applyAlignment="0" applyProtection="0"/>
    <xf numFmtId="0" fontId="27" fillId="7" borderId="7" applyNumberFormat="0" applyAlignment="0" applyProtection="0"/>
    <xf numFmtId="0" fontId="28" fillId="0" borderId="9" applyNumberFormat="0" applyFill="0" applyAlignment="0" applyProtection="0"/>
    <xf numFmtId="0" fontId="29" fillId="8" borderId="10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2" applyNumberFormat="0" applyFill="0" applyAlignment="0" applyProtection="0"/>
    <xf numFmtId="0" fontId="33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33" fillId="17" borderId="0" applyNumberFormat="0" applyBorder="0" applyAlignment="0" applyProtection="0"/>
    <xf numFmtId="0" fontId="33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33" fillId="21" borderId="0" applyNumberFormat="0" applyBorder="0" applyAlignment="0" applyProtection="0"/>
    <xf numFmtId="0" fontId="33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33" fillId="25" borderId="0" applyNumberFormat="0" applyBorder="0" applyAlignment="0" applyProtection="0"/>
    <xf numFmtId="0" fontId="33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33" fillId="29" borderId="0" applyNumberFormat="0" applyBorder="0" applyAlignment="0" applyProtection="0"/>
    <xf numFmtId="0" fontId="33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33" fillId="33" borderId="0" applyNumberFormat="0" applyBorder="0" applyAlignment="0" applyProtection="0"/>
    <xf numFmtId="169" fontId="5" fillId="0" borderId="0" applyFont="0" applyFill="0" applyBorder="0" applyAlignment="0" applyProtection="0"/>
    <xf numFmtId="0" fontId="4" fillId="9" borderId="11" applyNumberFormat="0" applyFont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0" fontId="4" fillId="9" borderId="11" applyNumberFormat="0" applyFont="0" applyAlignment="0" applyProtection="0"/>
    <xf numFmtId="169" fontId="16" fillId="0" borderId="0" applyFont="0" applyFill="0" applyBorder="0" applyAlignment="0" applyProtection="0"/>
    <xf numFmtId="0" fontId="4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169" fontId="16" fillId="0" borderId="0" applyFont="0" applyFill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34" fillId="0" borderId="0" applyNumberForma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169" fontId="16" fillId="0" borderId="0" applyFont="0" applyFill="0" applyBorder="0" applyAlignment="0" applyProtection="0"/>
    <xf numFmtId="0" fontId="5" fillId="0" borderId="0"/>
    <xf numFmtId="0" fontId="3" fillId="0" borderId="0"/>
    <xf numFmtId="182" fontId="5" fillId="0" borderId="0" applyFont="0" applyFill="0" applyBorder="0" applyAlignment="0" applyProtection="0"/>
    <xf numFmtId="0" fontId="2" fillId="0" borderId="0"/>
    <xf numFmtId="0" fontId="5" fillId="0" borderId="0"/>
    <xf numFmtId="9" fontId="5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38" fillId="0" borderId="0" applyNumberFormat="0" applyProtection="0">
      <alignment horizontal="left"/>
    </xf>
    <xf numFmtId="0" fontId="39" fillId="0" borderId="4" applyNumberFormat="0" applyProtection="0">
      <alignment wrapText="1"/>
    </xf>
    <xf numFmtId="0" fontId="39" fillId="0" borderId="17" applyNumberFormat="0" applyProtection="0">
      <alignment wrapText="1"/>
    </xf>
    <xf numFmtId="0" fontId="40" fillId="0" borderId="18" applyNumberFormat="0" applyFont="0" applyProtection="0">
      <alignment wrapText="1"/>
    </xf>
    <xf numFmtId="0" fontId="2" fillId="0" borderId="0"/>
    <xf numFmtId="0" fontId="1" fillId="0" borderId="0"/>
    <xf numFmtId="43" fontId="1" fillId="0" borderId="0" applyFont="0" applyFill="0" applyBorder="0" applyAlignment="0" applyProtection="0"/>
    <xf numFmtId="0" fontId="5" fillId="0" borderId="0"/>
    <xf numFmtId="0" fontId="52" fillId="38" borderId="13">
      <alignment horizontal="left" vertical="center"/>
    </xf>
    <xf numFmtId="43" fontId="1" fillId="0" borderId="0" applyFont="0" applyFill="0" applyBorder="0" applyAlignment="0" applyProtection="0"/>
  </cellStyleXfs>
  <cellXfs count="113">
    <xf numFmtId="0" fontId="0" fillId="0" borderId="0" xfId="0"/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2" borderId="0" xfId="0" applyFill="1"/>
    <xf numFmtId="0" fontId="9" fillId="0" borderId="0" xfId="0" applyFont="1"/>
    <xf numFmtId="49" fontId="7" fillId="0" borderId="0" xfId="0" applyNumberFormat="1" applyFont="1"/>
    <xf numFmtId="11" fontId="7" fillId="0" borderId="0" xfId="0" applyNumberFormat="1" applyFont="1"/>
    <xf numFmtId="0" fontId="10" fillId="0" borderId="0" xfId="0" applyFont="1"/>
    <xf numFmtId="0" fontId="11" fillId="0" borderId="0" xfId="0" applyFont="1"/>
    <xf numFmtId="49" fontId="10" fillId="0" borderId="0" xfId="0" applyNumberFormat="1" applyFont="1"/>
    <xf numFmtId="0" fontId="12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  <xf numFmtId="0" fontId="0" fillId="37" borderId="0" xfId="0" applyFill="1"/>
    <xf numFmtId="0" fontId="41" fillId="0" borderId="0" xfId="0" applyFont="1"/>
    <xf numFmtId="0" fontId="36" fillId="0" borderId="0" xfId="0" applyFont="1"/>
    <xf numFmtId="183" fontId="36" fillId="0" borderId="0" xfId="1" applyNumberFormat="1" applyFont="1"/>
    <xf numFmtId="0" fontId="6" fillId="40" borderId="19" xfId="0" applyFont="1" applyFill="1" applyBorder="1"/>
    <xf numFmtId="0" fontId="6" fillId="40" borderId="19" xfId="0" applyFont="1" applyFill="1" applyBorder="1" applyAlignment="1">
      <alignment horizontal="left"/>
    </xf>
    <xf numFmtId="0" fontId="6" fillId="40" borderId="19" xfId="0" applyFont="1" applyFill="1" applyBorder="1" applyAlignment="1">
      <alignment wrapText="1"/>
    </xf>
    <xf numFmtId="0" fontId="5" fillId="36" borderId="19" xfId="11" applyFont="1" applyFill="1" applyBorder="1" applyAlignment="1">
      <alignment horizontal="center"/>
    </xf>
    <xf numFmtId="0" fontId="36" fillId="39" borderId="0" xfId="91" applyFont="1" applyFill="1"/>
    <xf numFmtId="0" fontId="5" fillId="39" borderId="0" xfId="0" applyFont="1" applyFill="1"/>
    <xf numFmtId="0" fontId="5" fillId="39" borderId="3" xfId="0" applyFont="1" applyFill="1" applyBorder="1"/>
    <xf numFmtId="0" fontId="5" fillId="39" borderId="0" xfId="0" applyFont="1" applyFill="1" applyAlignment="1">
      <alignment horizontal="center"/>
    </xf>
    <xf numFmtId="169" fontId="5" fillId="35" borderId="0" xfId="52" applyFont="1" applyFill="1"/>
    <xf numFmtId="0" fontId="6" fillId="39" borderId="0" xfId="0" applyFont="1" applyFill="1"/>
    <xf numFmtId="169" fontId="5" fillId="39" borderId="0" xfId="93" applyNumberFormat="1" applyFont="1" applyFill="1"/>
    <xf numFmtId="0" fontId="6" fillId="39" borderId="2" xfId="0" applyFont="1" applyFill="1" applyBorder="1"/>
    <xf numFmtId="0" fontId="5" fillId="39" borderId="2" xfId="0" applyFont="1" applyFill="1" applyBorder="1"/>
    <xf numFmtId="0" fontId="5" fillId="39" borderId="2" xfId="0" applyFont="1" applyFill="1" applyBorder="1" applyAlignment="1">
      <alignment horizontal="center"/>
    </xf>
    <xf numFmtId="169" fontId="5" fillId="39" borderId="2" xfId="93" applyNumberFormat="1" applyFont="1" applyFill="1" applyBorder="1"/>
    <xf numFmtId="0" fontId="36" fillId="39" borderId="2" xfId="91" applyFont="1" applyFill="1" applyBorder="1"/>
    <xf numFmtId="0" fontId="42" fillId="0" borderId="0" xfId="0" applyFont="1"/>
    <xf numFmtId="0" fontId="43" fillId="0" borderId="0" xfId="0" applyFont="1"/>
    <xf numFmtId="0" fontId="6" fillId="38" borderId="19" xfId="0" applyFont="1" applyFill="1" applyBorder="1"/>
    <xf numFmtId="0" fontId="13" fillId="39" borderId="0" xfId="0" applyFont="1" applyFill="1"/>
    <xf numFmtId="0" fontId="2" fillId="39" borderId="0" xfId="100" applyFill="1" applyAlignment="1">
      <alignment horizontal="left"/>
    </xf>
    <xf numFmtId="169" fontId="5" fillId="35" borderId="0" xfId="93" applyNumberFormat="1" applyFont="1" applyFill="1" applyBorder="1"/>
    <xf numFmtId="0" fontId="5" fillId="39" borderId="0" xfId="0" quotePrefix="1" applyFont="1" applyFill="1"/>
    <xf numFmtId="0" fontId="5" fillId="39" borderId="2" xfId="0" quotePrefix="1" applyFont="1" applyFill="1" applyBorder="1"/>
    <xf numFmtId="0" fontId="1" fillId="0" borderId="0" xfId="101"/>
    <xf numFmtId="0" fontId="44" fillId="0" borderId="0" xfId="101" applyFont="1"/>
    <xf numFmtId="0" fontId="45" fillId="0" borderId="0" xfId="101" applyFont="1"/>
    <xf numFmtId="14" fontId="36" fillId="0" borderId="0" xfId="102" applyNumberFormat="1" applyFont="1" applyFill="1" applyAlignment="1">
      <alignment horizontal="left" vertical="top"/>
    </xf>
    <xf numFmtId="180" fontId="36" fillId="0" borderId="0" xfId="102" applyNumberFormat="1" applyFont="1" applyFill="1" applyAlignment="1">
      <alignment horizontal="left" vertical="top"/>
    </xf>
    <xf numFmtId="0" fontId="46" fillId="0" borderId="0" xfId="101" applyFont="1" applyAlignment="1">
      <alignment horizontal="left"/>
    </xf>
    <xf numFmtId="0" fontId="47" fillId="0" borderId="0" xfId="101" applyFont="1"/>
    <xf numFmtId="0" fontId="30" fillId="0" borderId="0" xfId="101" applyFont="1"/>
    <xf numFmtId="0" fontId="48" fillId="0" borderId="0" xfId="103" applyFont="1" applyAlignment="1">
      <alignment horizontal="left" vertical="center"/>
    </xf>
    <xf numFmtId="0" fontId="49" fillId="41" borderId="13" xfId="101" applyFont="1" applyFill="1" applyBorder="1" applyAlignment="1">
      <alignment horizontal="left" vertical="center"/>
    </xf>
    <xf numFmtId="0" fontId="37" fillId="0" borderId="0" xfId="101" applyFont="1"/>
    <xf numFmtId="0" fontId="50" fillId="42" borderId="13" xfId="101" applyFont="1" applyFill="1" applyBorder="1" applyAlignment="1">
      <alignment horizontal="left" vertical="center"/>
    </xf>
    <xf numFmtId="0" fontId="51" fillId="0" borderId="0" xfId="101" applyFont="1"/>
    <xf numFmtId="0" fontId="50" fillId="43" borderId="15" xfId="101" applyFont="1" applyFill="1" applyBorder="1" applyAlignment="1">
      <alignment horizontal="left" vertical="center"/>
    </xf>
    <xf numFmtId="0" fontId="18" fillId="0" borderId="0" xfId="2" applyFill="1" applyBorder="1" applyAlignment="1">
      <alignment vertical="center"/>
    </xf>
    <xf numFmtId="180" fontId="0" fillId="44" borderId="0" xfId="102" applyNumberFormat="1" applyFont="1" applyFill="1"/>
    <xf numFmtId="0" fontId="1" fillId="45" borderId="0" xfId="101" applyFill="1"/>
    <xf numFmtId="180" fontId="0" fillId="45" borderId="0" xfId="102" applyNumberFormat="1" applyFont="1" applyFill="1"/>
    <xf numFmtId="180" fontId="0" fillId="0" borderId="0" xfId="102" applyNumberFormat="1" applyFont="1" applyFill="1"/>
    <xf numFmtId="0" fontId="53" fillId="46" borderId="13" xfId="104" applyFont="1" applyFill="1">
      <alignment horizontal="left" vertical="center"/>
    </xf>
    <xf numFmtId="180" fontId="54" fillId="0" borderId="0" xfId="102" applyNumberFormat="1" applyFont="1" applyFill="1"/>
    <xf numFmtId="0" fontId="54" fillId="0" borderId="0" xfId="101" applyFont="1"/>
    <xf numFmtId="0" fontId="32" fillId="34" borderId="13" xfId="101" applyFont="1" applyFill="1" applyBorder="1" applyAlignment="1">
      <alignment horizontal="left" vertical="center"/>
    </xf>
    <xf numFmtId="0" fontId="50" fillId="43" borderId="20" xfId="101" applyFont="1" applyFill="1" applyBorder="1" applyAlignment="1">
      <alignment horizontal="left" vertical="center"/>
    </xf>
    <xf numFmtId="0" fontId="50" fillId="43" borderId="16" xfId="101" applyFont="1" applyFill="1" applyBorder="1" applyAlignment="1">
      <alignment horizontal="left" vertical="center"/>
    </xf>
    <xf numFmtId="0" fontId="50" fillId="43" borderId="16" xfId="101" applyFont="1" applyFill="1" applyBorder="1" applyAlignment="1">
      <alignment horizontal="center" vertical="center"/>
    </xf>
    <xf numFmtId="0" fontId="50" fillId="43" borderId="21" xfId="101" applyFont="1" applyFill="1" applyBorder="1" applyAlignment="1">
      <alignment horizontal="center" vertical="center"/>
    </xf>
    <xf numFmtId="0" fontId="1" fillId="0" borderId="22" xfId="101" applyBorder="1"/>
    <xf numFmtId="0" fontId="1" fillId="0" borderId="23" xfId="101" applyBorder="1"/>
    <xf numFmtId="0" fontId="1" fillId="0" borderId="1" xfId="101" applyBorder="1"/>
    <xf numFmtId="0" fontId="37" fillId="0" borderId="1" xfId="101" applyFont="1" applyBorder="1"/>
    <xf numFmtId="0" fontId="37" fillId="0" borderId="24" xfId="101" applyFont="1" applyBorder="1"/>
    <xf numFmtId="180" fontId="0" fillId="0" borderId="0" xfId="102" applyNumberFormat="1" applyFont="1"/>
    <xf numFmtId="180" fontId="0" fillId="0" borderId="23" xfId="102" applyNumberFormat="1" applyFont="1" applyBorder="1"/>
    <xf numFmtId="0" fontId="37" fillId="0" borderId="25" xfId="101" applyFont="1" applyBorder="1"/>
    <xf numFmtId="180" fontId="0" fillId="0" borderId="22" xfId="102" applyNumberFormat="1" applyFont="1" applyBorder="1"/>
    <xf numFmtId="0" fontId="1" fillId="42" borderId="22" xfId="101" applyFill="1" applyBorder="1"/>
    <xf numFmtId="0" fontId="1" fillId="42" borderId="0" xfId="101" applyFill="1"/>
    <xf numFmtId="0" fontId="37" fillId="42" borderId="0" xfId="101" applyFont="1" applyFill="1"/>
    <xf numFmtId="0" fontId="37" fillId="42" borderId="25" xfId="101" applyFont="1" applyFill="1" applyBorder="1"/>
    <xf numFmtId="180" fontId="0" fillId="42" borderId="0" xfId="102" applyNumberFormat="1" applyFont="1" applyFill="1"/>
    <xf numFmtId="180" fontId="0" fillId="42" borderId="22" xfId="102" applyNumberFormat="1" applyFont="1" applyFill="1" applyBorder="1"/>
    <xf numFmtId="0" fontId="1" fillId="47" borderId="22" xfId="101" applyFill="1" applyBorder="1"/>
    <xf numFmtId="0" fontId="1" fillId="47" borderId="0" xfId="101" applyFill="1"/>
    <xf numFmtId="0" fontId="37" fillId="47" borderId="0" xfId="101" applyFont="1" applyFill="1"/>
    <xf numFmtId="0" fontId="37" fillId="47" borderId="25" xfId="101" applyFont="1" applyFill="1" applyBorder="1"/>
    <xf numFmtId="180" fontId="0" fillId="47" borderId="0" xfId="102" applyNumberFormat="1" applyFont="1" applyFill="1"/>
    <xf numFmtId="180" fontId="0" fillId="47" borderId="22" xfId="102" applyNumberFormat="1" applyFont="1" applyFill="1" applyBorder="1"/>
    <xf numFmtId="184" fontId="37" fillId="0" borderId="0" xfId="105" applyNumberFormat="1" applyFont="1" applyFill="1" applyBorder="1"/>
    <xf numFmtId="180" fontId="0" fillId="0" borderId="0" xfId="102" applyNumberFormat="1" applyFont="1" applyBorder="1"/>
    <xf numFmtId="180" fontId="0" fillId="48" borderId="0" xfId="102" applyNumberFormat="1" applyFont="1" applyFill="1" applyBorder="1"/>
    <xf numFmtId="180" fontId="0" fillId="42" borderId="0" xfId="102" applyNumberFormat="1" applyFont="1" applyFill="1" applyBorder="1"/>
    <xf numFmtId="0" fontId="1" fillId="42" borderId="14" xfId="101" applyFill="1" applyBorder="1"/>
    <xf numFmtId="0" fontId="1" fillId="42" borderId="15" xfId="101" applyFill="1" applyBorder="1"/>
    <xf numFmtId="0" fontId="1" fillId="42" borderId="2" xfId="101" applyFill="1" applyBorder="1"/>
    <xf numFmtId="0" fontId="37" fillId="42" borderId="2" xfId="101" applyFont="1" applyFill="1" applyBorder="1"/>
    <xf numFmtId="0" fontId="37" fillId="42" borderId="26" xfId="101" applyFont="1" applyFill="1" applyBorder="1"/>
    <xf numFmtId="180" fontId="0" fillId="42" borderId="2" xfId="102" applyNumberFormat="1" applyFont="1" applyFill="1" applyBorder="1"/>
    <xf numFmtId="180" fontId="0" fillId="42" borderId="27" xfId="102" applyNumberFormat="1" applyFont="1" applyFill="1" applyBorder="1"/>
    <xf numFmtId="180" fontId="55" fillId="0" borderId="0" xfId="102" applyNumberFormat="1" applyFont="1"/>
    <xf numFmtId="180" fontId="0" fillId="0" borderId="0" xfId="102" applyNumberFormat="1" applyFont="1" applyFill="1" applyBorder="1"/>
    <xf numFmtId="10" fontId="1" fillId="0" borderId="0" xfId="101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164" fontId="5" fillId="0" borderId="0" xfId="0" applyNumberFormat="1" applyFont="1"/>
    <xf numFmtId="9" fontId="5" fillId="0" borderId="0" xfId="4" applyFont="1"/>
    <xf numFmtId="0" fontId="2" fillId="39" borderId="0" xfId="100" applyFill="1" applyAlignment="1">
      <alignment wrapText="1"/>
    </xf>
    <xf numFmtId="0" fontId="56" fillId="37" borderId="0" xfId="0" applyFont="1" applyFill="1"/>
    <xf numFmtId="10" fontId="5" fillId="0" borderId="0" xfId="4" applyNumberFormat="1" applyFont="1"/>
  </cellXfs>
  <cellStyles count="106">
    <cellStyle name="20% - Accent1" xfId="21" builtinId="30" customBuiltin="1"/>
    <cellStyle name="20% - Accent1 2" xfId="53" xr:uid="{00000000-0005-0000-0000-000001000000}"/>
    <cellStyle name="20% - Accent2" xfId="25" builtinId="34" customBuiltin="1"/>
    <cellStyle name="20% - Accent2 2" xfId="55" xr:uid="{00000000-0005-0000-0000-000003000000}"/>
    <cellStyle name="20% - Accent3" xfId="29" builtinId="38" customBuiltin="1"/>
    <cellStyle name="20% - Accent3 2" xfId="57" xr:uid="{00000000-0005-0000-0000-000005000000}"/>
    <cellStyle name="20% - Accent4" xfId="33" builtinId="42" customBuiltin="1"/>
    <cellStyle name="20% - Accent4 2" xfId="59" xr:uid="{00000000-0005-0000-0000-000007000000}"/>
    <cellStyle name="20% - Accent5" xfId="37" builtinId="46" customBuiltin="1"/>
    <cellStyle name="20% - Accent5 2" xfId="62" xr:uid="{00000000-0005-0000-0000-000009000000}"/>
    <cellStyle name="20% - Accent6" xfId="41" builtinId="50" customBuiltin="1"/>
    <cellStyle name="20% - Accent6 2" xfId="64" xr:uid="{00000000-0005-0000-0000-00000B000000}"/>
    <cellStyle name="40% - Accent1" xfId="22" builtinId="31" customBuiltin="1"/>
    <cellStyle name="40% - Accent1 2" xfId="54" xr:uid="{00000000-0005-0000-0000-00000D000000}"/>
    <cellStyle name="40% - Accent2" xfId="26" builtinId="35" customBuiltin="1"/>
    <cellStyle name="40% - Accent2 2" xfId="56" xr:uid="{00000000-0005-0000-0000-00000F000000}"/>
    <cellStyle name="40% - Accent3" xfId="30" builtinId="39" customBuiltin="1"/>
    <cellStyle name="40% - Accent3 2" xfId="58" xr:uid="{00000000-0005-0000-0000-000011000000}"/>
    <cellStyle name="40% - Accent4" xfId="34" builtinId="43" customBuiltin="1"/>
    <cellStyle name="40% - Accent4 2" xfId="60" xr:uid="{00000000-0005-0000-0000-000013000000}"/>
    <cellStyle name="40% - Accent5" xfId="38" builtinId="47" customBuiltin="1"/>
    <cellStyle name="40% - Accent5 2" xfId="63" xr:uid="{00000000-0005-0000-0000-000015000000}"/>
    <cellStyle name="40% - Accent6" xfId="42" builtinId="51" customBuiltin="1"/>
    <cellStyle name="40% - Accent6 2" xfId="65" xr:uid="{00000000-0005-0000-0000-000017000000}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10" builtinId="27" customBuiltin="1"/>
    <cellStyle name="Body: normal cell" xfId="99" xr:uid="{B860B3D4-B3E9-4298-A0BF-FFBDF69E778A}"/>
    <cellStyle name="Calculation" xfId="14" builtinId="22" customBuiltin="1"/>
    <cellStyle name="Check Cell" xfId="16" builtinId="23" customBuiltin="1"/>
    <cellStyle name="Comma" xfId="1" builtinId="3"/>
    <cellStyle name="Comma 2" xfId="102" xr:uid="{977728E0-D646-4C13-9D3D-60B95279D06E}"/>
    <cellStyle name="Comma 2 4 2" xfId="105" xr:uid="{62C65ED1-B6B9-45E2-A65B-9FB72094D071}"/>
    <cellStyle name="Comma 3" xfId="90" xr:uid="{A97C2BC3-6029-4709-92E9-A5F686914673}"/>
    <cellStyle name="Explanatory Text" xfId="18" builtinId="53" customBuiltin="1"/>
    <cellStyle name="Good" xfId="2" builtinId="26" customBuiltin="1"/>
    <cellStyle name="Header: bottom row" xfId="97" xr:uid="{D9FA449A-1289-45D3-9CF2-3D0366F6659A}"/>
    <cellStyle name="Heading 1" xfId="6" builtinId="16" customBuiltin="1"/>
    <cellStyle name="Heading 2" xfId="7" builtinId="17" customBuiltin="1"/>
    <cellStyle name="Heading 3" xfId="8" builtinId="18" customBuiltin="1"/>
    <cellStyle name="Heading 4" xfId="9" builtinId="19" customBuiltin="1"/>
    <cellStyle name="Hyperlink 2" xfId="66" xr:uid="{00000000-0005-0000-0000-000032000000}"/>
    <cellStyle name="Hyperlink 3" xfId="94" xr:uid="{2FE6B160-9438-4212-8A01-9EF3EAADC504}"/>
    <cellStyle name="Input" xfId="12" builtinId="20" customBuiltin="1"/>
    <cellStyle name="Linked Cell" xfId="15" builtinId="24" customBuiltin="1"/>
    <cellStyle name="Mapping" xfId="104" xr:uid="{AEE12547-0204-4E60-A716-7ECB68239761}"/>
    <cellStyle name="Neutral" xfId="11" builtinId="28" customBuiltin="1"/>
    <cellStyle name="Normal" xfId="0" builtinId="0" customBuiltin="1"/>
    <cellStyle name="Normal 10" xfId="89" xr:uid="{A203BCCF-C533-4F9C-94E8-553682920BF1}"/>
    <cellStyle name="Normal 10 2" xfId="100" xr:uid="{8D94B32C-F538-4D76-9C1C-97F301AC9313}"/>
    <cellStyle name="Normal 2" xfId="3" xr:uid="{00000000-0005-0000-0000-000037000000}"/>
    <cellStyle name="Normal 2 2" xfId="88" xr:uid="{00000000-0005-0000-0000-000038000000}"/>
    <cellStyle name="Normal 3" xfId="91" xr:uid="{88F99EBB-AE70-41BE-BFA8-A23B6A464728}"/>
    <cellStyle name="Normal 3 2" xfId="103" xr:uid="{56A91AF7-4822-492C-A8D3-1B3629D63660}"/>
    <cellStyle name="Normal 4" xfId="95" xr:uid="{21341980-086A-4977-B67E-F5E4AA508BAC}"/>
    <cellStyle name="Normal 5" xfId="101" xr:uid="{BBB2493C-B5B7-40BA-871D-AC56B8061030}"/>
    <cellStyle name="Normal 7" xfId="92" xr:uid="{A105A4F1-4091-4182-9185-68EDDF494290}"/>
    <cellStyle name="Note 2" xfId="51" xr:uid="{00000000-0005-0000-0000-00003F000000}"/>
    <cellStyle name="Note 3" xfId="45" xr:uid="{00000000-0005-0000-0000-000040000000}"/>
    <cellStyle name="Output" xfId="13" builtinId="21" customBuiltin="1"/>
    <cellStyle name="Parent row" xfId="98" xr:uid="{8BA2D50C-B3E5-4059-AF5E-C9A532ED9201}"/>
    <cellStyle name="Percent" xfId="4" builtinId="5"/>
    <cellStyle name="Percent 10" xfId="68" xr:uid="{00000000-0005-0000-0000-000043000000}"/>
    <cellStyle name="Percent 11" xfId="69" xr:uid="{00000000-0005-0000-0000-000044000000}"/>
    <cellStyle name="Percent 12" xfId="70" xr:uid="{00000000-0005-0000-0000-000045000000}"/>
    <cellStyle name="Percent 13" xfId="71" xr:uid="{00000000-0005-0000-0000-000046000000}"/>
    <cellStyle name="Percent 14" xfId="72" xr:uid="{00000000-0005-0000-0000-000047000000}"/>
    <cellStyle name="Percent 15" xfId="73" xr:uid="{00000000-0005-0000-0000-000048000000}"/>
    <cellStyle name="Percent 16" xfId="74" xr:uid="{00000000-0005-0000-0000-000049000000}"/>
    <cellStyle name="Percent 17" xfId="75" xr:uid="{00000000-0005-0000-0000-00004A000000}"/>
    <cellStyle name="Percent 18" xfId="76" xr:uid="{00000000-0005-0000-0000-00004B000000}"/>
    <cellStyle name="Percent 19" xfId="77" xr:uid="{00000000-0005-0000-0000-00004C000000}"/>
    <cellStyle name="Percent 2" xfId="46" xr:uid="{00000000-0005-0000-0000-00004D000000}"/>
    <cellStyle name="Percent 2 2" xfId="93" xr:uid="{F0934FB3-2109-4B86-87ED-EED99AD0B155}"/>
    <cellStyle name="Percent 20" xfId="78" xr:uid="{00000000-0005-0000-0000-00004E000000}"/>
    <cellStyle name="Percent 21" xfId="79" xr:uid="{00000000-0005-0000-0000-00004F000000}"/>
    <cellStyle name="Percent 22" xfId="80" xr:uid="{00000000-0005-0000-0000-000050000000}"/>
    <cellStyle name="Percent 23" xfId="81" xr:uid="{00000000-0005-0000-0000-000051000000}"/>
    <cellStyle name="Percent 24" xfId="82" xr:uid="{00000000-0005-0000-0000-000052000000}"/>
    <cellStyle name="Percent 25" xfId="83" xr:uid="{00000000-0005-0000-0000-000053000000}"/>
    <cellStyle name="Percent 26" xfId="84" xr:uid="{00000000-0005-0000-0000-000054000000}"/>
    <cellStyle name="Percent 27" xfId="85" xr:uid="{00000000-0005-0000-0000-000055000000}"/>
    <cellStyle name="Percent 28" xfId="86" xr:uid="{00000000-0005-0000-0000-000056000000}"/>
    <cellStyle name="Percent 29" xfId="87" xr:uid="{00000000-0005-0000-0000-000057000000}"/>
    <cellStyle name="Percent 3" xfId="52" xr:uid="{00000000-0005-0000-0000-000058000000}"/>
    <cellStyle name="Percent 30" xfId="44" xr:uid="{00000000-0005-0000-0000-000059000000}"/>
    <cellStyle name="Percent 4" xfId="61" xr:uid="{00000000-0005-0000-0000-00005A000000}"/>
    <cellStyle name="Percent 5" xfId="49" xr:uid="{00000000-0005-0000-0000-00005B000000}"/>
    <cellStyle name="Percent 6" xfId="47" xr:uid="{00000000-0005-0000-0000-00005C000000}"/>
    <cellStyle name="Percent 7" xfId="50" xr:uid="{00000000-0005-0000-0000-00005D000000}"/>
    <cellStyle name="Percent 8" xfId="48" xr:uid="{00000000-0005-0000-0000-00005E000000}"/>
    <cellStyle name="Percent 9" xfId="67" xr:uid="{00000000-0005-0000-0000-00005F000000}"/>
    <cellStyle name="Table title" xfId="96" xr:uid="{9F162A4D-2FFB-4EEA-85FB-7C44D602B083}"/>
    <cellStyle name="Title" xfId="5" builtinId="15" customBuiltin="1"/>
    <cellStyle name="Total" xfId="19" builtinId="25" customBuiltin="1"/>
    <cellStyle name="Warning Text" xfId="17" builtinId="11" customBuiltin="1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FFCC"/>
      <color rgb="FFFFFF99"/>
      <color rgb="FFFFCCFF"/>
      <color rgb="FFFF99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7" Type="http://schemas.openxmlformats.org/officeDocument/2006/relationships/image" Target="../media/image1.emf"/><Relationship Id="rId2" Type="http://schemas.openxmlformats.org/officeDocument/2006/relationships/image" Target="../media/image6.emf"/><Relationship Id="rId1" Type="http://schemas.openxmlformats.org/officeDocument/2006/relationships/image" Target="../media/image7.emf"/><Relationship Id="rId6" Type="http://schemas.openxmlformats.org/officeDocument/2006/relationships/image" Target="../media/image2.emf"/><Relationship Id="rId5" Type="http://schemas.openxmlformats.org/officeDocument/2006/relationships/image" Target="../media/image3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13.emf"/><Relationship Id="rId7" Type="http://schemas.openxmlformats.org/officeDocument/2006/relationships/image" Target="../media/image9.emf"/><Relationship Id="rId2" Type="http://schemas.openxmlformats.org/officeDocument/2006/relationships/image" Target="../media/image14.emf"/><Relationship Id="rId1" Type="http://schemas.openxmlformats.org/officeDocument/2006/relationships/image" Target="../media/image15.emf"/><Relationship Id="rId6" Type="http://schemas.openxmlformats.org/officeDocument/2006/relationships/image" Target="../media/image10.emf"/><Relationship Id="rId5" Type="http://schemas.openxmlformats.org/officeDocument/2006/relationships/image" Target="../media/image11.emf"/><Relationship Id="rId4" Type="http://schemas.openxmlformats.org/officeDocument/2006/relationships/image" Target="../media/image12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8.emf"/><Relationship Id="rId2" Type="http://schemas.openxmlformats.org/officeDocument/2006/relationships/image" Target="../media/image19.emf"/><Relationship Id="rId1" Type="http://schemas.openxmlformats.org/officeDocument/2006/relationships/image" Target="../media/image20.emf"/><Relationship Id="rId5" Type="http://schemas.openxmlformats.org/officeDocument/2006/relationships/image" Target="../media/image16.emf"/><Relationship Id="rId4" Type="http://schemas.openxmlformats.org/officeDocument/2006/relationships/image" Target="../media/image17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3.emf"/><Relationship Id="rId2" Type="http://schemas.openxmlformats.org/officeDocument/2006/relationships/image" Target="../media/image24.emf"/><Relationship Id="rId1" Type="http://schemas.openxmlformats.org/officeDocument/2006/relationships/image" Target="../media/image25.emf"/><Relationship Id="rId5" Type="http://schemas.openxmlformats.org/officeDocument/2006/relationships/image" Target="../media/image21.emf"/><Relationship Id="rId4" Type="http://schemas.openxmlformats.org/officeDocument/2006/relationships/image" Target="../media/image22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7.emf"/><Relationship Id="rId2" Type="http://schemas.openxmlformats.org/officeDocument/2006/relationships/image" Target="../media/image28.emf"/><Relationship Id="rId1" Type="http://schemas.openxmlformats.org/officeDocument/2006/relationships/image" Target="../media/image29.emf"/><Relationship Id="rId4" Type="http://schemas.openxmlformats.org/officeDocument/2006/relationships/image" Target="../media/image26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31.emf"/><Relationship Id="rId2" Type="http://schemas.openxmlformats.org/officeDocument/2006/relationships/image" Target="../media/image32.emf"/><Relationship Id="rId1" Type="http://schemas.openxmlformats.org/officeDocument/2006/relationships/image" Target="../media/image33.emf"/><Relationship Id="rId4" Type="http://schemas.openxmlformats.org/officeDocument/2006/relationships/image" Target="../media/image30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8.emf"/><Relationship Id="rId7" Type="http://schemas.openxmlformats.org/officeDocument/2006/relationships/image" Target="../media/image34.emf"/><Relationship Id="rId2" Type="http://schemas.openxmlformats.org/officeDocument/2006/relationships/image" Target="../media/image39.emf"/><Relationship Id="rId1" Type="http://schemas.openxmlformats.org/officeDocument/2006/relationships/image" Target="../media/image40.emf"/><Relationship Id="rId6" Type="http://schemas.openxmlformats.org/officeDocument/2006/relationships/image" Target="../media/image35.emf"/><Relationship Id="rId5" Type="http://schemas.openxmlformats.org/officeDocument/2006/relationships/image" Target="../media/image36.emf"/><Relationship Id="rId4" Type="http://schemas.openxmlformats.org/officeDocument/2006/relationships/image" Target="../media/image37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43.emf"/><Relationship Id="rId2" Type="http://schemas.openxmlformats.org/officeDocument/2006/relationships/image" Target="../media/image44.emf"/><Relationship Id="rId1" Type="http://schemas.openxmlformats.org/officeDocument/2006/relationships/image" Target="../media/image45.emf"/><Relationship Id="rId5" Type="http://schemas.openxmlformats.org/officeDocument/2006/relationships/image" Target="../media/image41.emf"/><Relationship Id="rId4" Type="http://schemas.openxmlformats.org/officeDocument/2006/relationships/image" Target="../media/image42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48.emf"/><Relationship Id="rId2" Type="http://schemas.openxmlformats.org/officeDocument/2006/relationships/image" Target="../media/image49.emf"/><Relationship Id="rId1" Type="http://schemas.openxmlformats.org/officeDocument/2006/relationships/image" Target="../media/image50.emf"/><Relationship Id="rId5" Type="http://schemas.openxmlformats.org/officeDocument/2006/relationships/image" Target="../media/image46.emf"/><Relationship Id="rId4" Type="http://schemas.openxmlformats.org/officeDocument/2006/relationships/image" Target="../media/image47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55.emf"/><Relationship Id="rId7" Type="http://schemas.openxmlformats.org/officeDocument/2006/relationships/image" Target="../media/image51.emf"/><Relationship Id="rId2" Type="http://schemas.openxmlformats.org/officeDocument/2006/relationships/image" Target="../media/image56.emf"/><Relationship Id="rId1" Type="http://schemas.openxmlformats.org/officeDocument/2006/relationships/image" Target="../media/image57.emf"/><Relationship Id="rId6" Type="http://schemas.openxmlformats.org/officeDocument/2006/relationships/image" Target="../media/image52.emf"/><Relationship Id="rId5" Type="http://schemas.openxmlformats.org/officeDocument/2006/relationships/image" Target="../media/image53.emf"/><Relationship Id="rId4" Type="http://schemas.openxmlformats.org/officeDocument/2006/relationships/image" Target="../media/image54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61.emf"/><Relationship Id="rId2" Type="http://schemas.openxmlformats.org/officeDocument/2006/relationships/image" Target="../media/image62.emf"/><Relationship Id="rId1" Type="http://schemas.openxmlformats.org/officeDocument/2006/relationships/image" Target="../media/image63.emf"/><Relationship Id="rId6" Type="http://schemas.openxmlformats.org/officeDocument/2006/relationships/image" Target="../media/image58.emf"/><Relationship Id="rId5" Type="http://schemas.openxmlformats.org/officeDocument/2006/relationships/image" Target="../media/image59.emf"/><Relationship Id="rId4" Type="http://schemas.openxmlformats.org/officeDocument/2006/relationships/image" Target="../media/image60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7.emf"/><Relationship Id="rId2" Type="http://schemas.openxmlformats.org/officeDocument/2006/relationships/image" Target="../media/image68.emf"/><Relationship Id="rId1" Type="http://schemas.openxmlformats.org/officeDocument/2006/relationships/image" Target="../media/image69.emf"/><Relationship Id="rId6" Type="http://schemas.openxmlformats.org/officeDocument/2006/relationships/image" Target="../media/image64.emf"/><Relationship Id="rId5" Type="http://schemas.openxmlformats.org/officeDocument/2006/relationships/image" Target="../media/image65.emf"/><Relationship Id="rId4" Type="http://schemas.openxmlformats.org/officeDocument/2006/relationships/image" Target="../media/image6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95250</xdr:rowOff>
        </xdr:from>
        <xdr:to>
          <xdr:col>4</xdr:col>
          <xdr:colOff>666750</xdr:colOff>
          <xdr:row>4</xdr:row>
          <xdr:rowOff>38100</xdr:rowOff>
        </xdr:to>
        <xdr:sp macro="" textlink="">
          <xdr:nvSpPr>
            <xdr:cNvPr id="55297" name="cmdEnergySets" hidden="1">
              <a:extLst>
                <a:ext uri="{63B3BB69-23CF-44E3-9099-C40C66FF867C}">
                  <a14:compatExt spid="_x0000_s55297"/>
                </a:ext>
                <a:ext uri="{FF2B5EF4-FFF2-40B4-BE49-F238E27FC236}">
                  <a16:creationId xmlns:a16="http://schemas.microsoft.com/office/drawing/2014/main" id="{00000000-0008-0000-0000-000001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171450</xdr:rowOff>
        </xdr:from>
        <xdr:to>
          <xdr:col>4</xdr:col>
          <xdr:colOff>666750</xdr:colOff>
          <xdr:row>5</xdr:row>
          <xdr:rowOff>114300</xdr:rowOff>
        </xdr:to>
        <xdr:sp macro="" textlink="">
          <xdr:nvSpPr>
            <xdr:cNvPr id="55298" name="cmdDemandSets" hidden="1">
              <a:extLst>
                <a:ext uri="{63B3BB69-23CF-44E3-9099-C40C66FF867C}">
                  <a14:compatExt spid="_x0000_s55298"/>
                </a:ext>
                <a:ext uri="{FF2B5EF4-FFF2-40B4-BE49-F238E27FC236}">
                  <a16:creationId xmlns:a16="http://schemas.microsoft.com/office/drawing/2014/main" id="{00000000-0008-0000-0000-000002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171450</xdr:rowOff>
        </xdr:from>
        <xdr:to>
          <xdr:col>4</xdr:col>
          <xdr:colOff>1657350</xdr:colOff>
          <xdr:row>5</xdr:row>
          <xdr:rowOff>114300</xdr:rowOff>
        </xdr:to>
        <xdr:sp macro="" textlink="">
          <xdr:nvSpPr>
            <xdr:cNvPr id="55299" name="cmdEmissionSets" hidden="1">
              <a:extLst>
                <a:ext uri="{63B3BB69-23CF-44E3-9099-C40C66FF867C}">
                  <a14:compatExt spid="_x0000_s55299"/>
                </a:ext>
                <a:ext uri="{FF2B5EF4-FFF2-40B4-BE49-F238E27FC236}">
                  <a16:creationId xmlns:a16="http://schemas.microsoft.com/office/drawing/2014/main" id="{00000000-0008-0000-0000-000003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95250</xdr:rowOff>
        </xdr:from>
        <xdr:to>
          <xdr:col>4</xdr:col>
          <xdr:colOff>1657350</xdr:colOff>
          <xdr:row>4</xdr:row>
          <xdr:rowOff>38100</xdr:rowOff>
        </xdr:to>
        <xdr:sp macro="" textlink="">
          <xdr:nvSpPr>
            <xdr:cNvPr id="55300" name="cmdMaterialSets" hidden="1">
              <a:extLst>
                <a:ext uri="{63B3BB69-23CF-44E3-9099-C40C66FF867C}">
                  <a14:compatExt spid="_x0000_s55300"/>
                </a:ext>
                <a:ext uri="{FF2B5EF4-FFF2-40B4-BE49-F238E27FC236}">
                  <a16:creationId xmlns:a16="http://schemas.microsoft.com/office/drawing/2014/main" id="{00000000-0008-0000-0000-000004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55301" name="cmdCheckCommoditiesSheet" hidden="1">
              <a:extLst>
                <a:ext uri="{63B3BB69-23CF-44E3-9099-C40C66FF867C}">
                  <a14:compatExt spid="_x0000_s55301"/>
                </a:ext>
                <a:ext uri="{FF2B5EF4-FFF2-40B4-BE49-F238E27FC236}">
                  <a16:creationId xmlns:a16="http://schemas.microsoft.com/office/drawing/2014/main" id="{00000000-0008-0000-0000-000005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171450</xdr:rowOff>
        </xdr:from>
        <xdr:to>
          <xdr:col>3</xdr:col>
          <xdr:colOff>457200</xdr:colOff>
          <xdr:row>5</xdr:row>
          <xdr:rowOff>114300</xdr:rowOff>
        </xdr:to>
        <xdr:sp macro="" textlink="">
          <xdr:nvSpPr>
            <xdr:cNvPr id="55302" name="cmdCommUnit" hidden="1">
              <a:extLst>
                <a:ext uri="{63B3BB69-23CF-44E3-9099-C40C66FF867C}">
                  <a14:compatExt spid="_x0000_s55302"/>
                </a:ext>
                <a:ext uri="{FF2B5EF4-FFF2-40B4-BE49-F238E27FC236}">
                  <a16:creationId xmlns:a16="http://schemas.microsoft.com/office/drawing/2014/main" id="{00000000-0008-0000-0000-000006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438150</xdr:colOff>
          <xdr:row>3</xdr:row>
          <xdr:rowOff>200025</xdr:rowOff>
        </xdr:to>
        <xdr:sp macro="" textlink="">
          <xdr:nvSpPr>
            <xdr:cNvPr id="55303" name="cmdRefreshUnits" hidden="1">
              <a:extLst>
                <a:ext uri="{63B3BB69-23CF-44E3-9099-C40C66FF867C}">
                  <a14:compatExt spid="_x0000_s55303"/>
                </a:ext>
                <a:ext uri="{FF2B5EF4-FFF2-40B4-BE49-F238E27FC236}">
                  <a16:creationId xmlns:a16="http://schemas.microsoft.com/office/drawing/2014/main" id="{00000000-0008-0000-0000-000007D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3</xdr:row>
          <xdr:rowOff>95250</xdr:rowOff>
        </xdr:from>
        <xdr:to>
          <xdr:col>4</xdr:col>
          <xdr:colOff>666750</xdr:colOff>
          <xdr:row>4</xdr:row>
          <xdr:rowOff>38100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171450</xdr:rowOff>
        </xdr:from>
        <xdr:to>
          <xdr:col>4</xdr:col>
          <xdr:colOff>666750</xdr:colOff>
          <xdr:row>5</xdr:row>
          <xdr:rowOff>114300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4</xdr:row>
          <xdr:rowOff>171450</xdr:rowOff>
        </xdr:from>
        <xdr:to>
          <xdr:col>4</xdr:col>
          <xdr:colOff>1657350</xdr:colOff>
          <xdr:row>5</xdr:row>
          <xdr:rowOff>114300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1000125</xdr:colOff>
          <xdr:row>3</xdr:row>
          <xdr:rowOff>95250</xdr:rowOff>
        </xdr:from>
        <xdr:to>
          <xdr:col>4</xdr:col>
          <xdr:colOff>1657350</xdr:colOff>
          <xdr:row>4</xdr:row>
          <xdr:rowOff>38100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142875</xdr:rowOff>
        </xdr:from>
        <xdr:to>
          <xdr:col>0</xdr:col>
          <xdr:colOff>828675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171450</xdr:rowOff>
        </xdr:from>
        <xdr:to>
          <xdr:col>3</xdr:col>
          <xdr:colOff>457200</xdr:colOff>
          <xdr:row>5</xdr:row>
          <xdr:rowOff>114300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66675</xdr:colOff>
          <xdr:row>2</xdr:row>
          <xdr:rowOff>114300</xdr:rowOff>
        </xdr:from>
        <xdr:to>
          <xdr:col>3</xdr:col>
          <xdr:colOff>438150</xdr:colOff>
          <xdr:row>3</xdr:row>
          <xdr:rowOff>200025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542925</xdr:colOff>
          <xdr:row>2</xdr:row>
          <xdr:rowOff>0</xdr:rowOff>
        </xdr:from>
        <xdr:to>
          <xdr:col>4</xdr:col>
          <xdr:colOff>1200150</xdr:colOff>
          <xdr:row>3</xdr:row>
          <xdr:rowOff>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1238250</xdr:colOff>
          <xdr:row>5</xdr:row>
          <xdr:rowOff>19050</xdr:rowOff>
        </xdr:to>
        <xdr:sp macro="" textlink="">
          <xdr:nvSpPr>
            <xdr:cNvPr id="57345" name="cmdTechnologySets" hidden="1">
              <a:extLst>
                <a:ext uri="{63B3BB69-23CF-44E3-9099-C40C66FF867C}">
                  <a14:compatExt spid="_x0000_s57345"/>
                </a:ext>
                <a:ext uri="{FF2B5EF4-FFF2-40B4-BE49-F238E27FC236}">
                  <a16:creationId xmlns:a16="http://schemas.microsoft.com/office/drawing/2014/main" id="{00000000-0008-0000-0900-000001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57346" name="cmdCheckTechnologiesSheet" hidden="1">
              <a:extLst>
                <a:ext uri="{63B3BB69-23CF-44E3-9099-C40C66FF867C}">
                  <a14:compatExt spid="_x0000_s57346"/>
                </a:ext>
                <a:ext uri="{FF2B5EF4-FFF2-40B4-BE49-F238E27FC236}">
                  <a16:creationId xmlns:a16="http://schemas.microsoft.com/office/drawing/2014/main" id="{00000000-0008-0000-0900-000002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19050</xdr:rowOff>
        </xdr:from>
        <xdr:to>
          <xdr:col>3</xdr:col>
          <xdr:colOff>438150</xdr:colOff>
          <xdr:row>5</xdr:row>
          <xdr:rowOff>19050</xdr:rowOff>
        </xdr:to>
        <xdr:sp macro="" textlink="">
          <xdr:nvSpPr>
            <xdr:cNvPr id="57347" name="cmdTACTUnit" hidden="1">
              <a:extLst>
                <a:ext uri="{63B3BB69-23CF-44E3-9099-C40C66FF867C}">
                  <a14:compatExt spid="_x0000_s57347"/>
                </a:ext>
                <a:ext uri="{FF2B5EF4-FFF2-40B4-BE49-F238E27FC236}">
                  <a16:creationId xmlns:a16="http://schemas.microsoft.com/office/drawing/2014/main" id="{00000000-0008-0000-0900-000003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19050</xdr:rowOff>
        </xdr:from>
        <xdr:to>
          <xdr:col>4</xdr:col>
          <xdr:colOff>438150</xdr:colOff>
          <xdr:row>5</xdr:row>
          <xdr:rowOff>19050</xdr:rowOff>
        </xdr:to>
        <xdr:sp macro="" textlink="">
          <xdr:nvSpPr>
            <xdr:cNvPr id="57348" name="cmdTCAPUnit" hidden="1">
              <a:extLst>
                <a:ext uri="{63B3BB69-23CF-44E3-9099-C40C66FF867C}">
                  <a14:compatExt spid="_x0000_s57348"/>
                </a:ext>
                <a:ext uri="{FF2B5EF4-FFF2-40B4-BE49-F238E27FC236}">
                  <a16:creationId xmlns:a16="http://schemas.microsoft.com/office/drawing/2014/main" id="{00000000-0008-0000-0900-000004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104775</xdr:colOff>
          <xdr:row>3</xdr:row>
          <xdr:rowOff>76200</xdr:rowOff>
        </xdr:to>
        <xdr:sp macro="" textlink="">
          <xdr:nvSpPr>
            <xdr:cNvPr id="57349" name="cmdRefreshUnits" hidden="1">
              <a:extLst>
                <a:ext uri="{63B3BB69-23CF-44E3-9099-C40C66FF867C}">
                  <a14:compatExt spid="_x0000_s57349"/>
                </a:ext>
                <a:ext uri="{FF2B5EF4-FFF2-40B4-BE49-F238E27FC236}">
                  <a16:creationId xmlns:a16="http://schemas.microsoft.com/office/drawing/2014/main" id="{00000000-0008-0000-0900-000005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19050</xdr:colOff>
          <xdr:row>4</xdr:row>
          <xdr:rowOff>19050</xdr:rowOff>
        </xdr:from>
        <xdr:to>
          <xdr:col>5</xdr:col>
          <xdr:colOff>1238250</xdr:colOff>
          <xdr:row>5</xdr:row>
          <xdr:rowOff>19050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A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A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4</xdr:row>
          <xdr:rowOff>19050</xdr:rowOff>
        </xdr:from>
        <xdr:to>
          <xdr:col>3</xdr:col>
          <xdr:colOff>438150</xdr:colOff>
          <xdr:row>5</xdr:row>
          <xdr:rowOff>19050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A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4</xdr:row>
          <xdr:rowOff>19050</xdr:rowOff>
        </xdr:from>
        <xdr:to>
          <xdr:col>4</xdr:col>
          <xdr:colOff>438150</xdr:colOff>
          <xdr:row>5</xdr:row>
          <xdr:rowOff>19050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A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104775</xdr:colOff>
          <xdr:row>3</xdr:row>
          <xdr:rowOff>76200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A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676275</xdr:colOff>
          <xdr:row>4</xdr:row>
          <xdr:rowOff>180975</xdr:rowOff>
        </xdr:to>
        <xdr:sp macro="" textlink="">
          <xdr:nvSpPr>
            <xdr:cNvPr id="59393" name="cmdConstraintSets" hidden="1">
              <a:extLst>
                <a:ext uri="{63B3BB69-23CF-44E3-9099-C40C66FF867C}">
                  <a14:compatExt spid="_x0000_s59393"/>
                </a:ext>
                <a:ext uri="{FF2B5EF4-FFF2-40B4-BE49-F238E27FC236}">
                  <a16:creationId xmlns:a16="http://schemas.microsoft.com/office/drawing/2014/main" id="{00000000-0008-0000-1800-000001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542925</xdr:colOff>
          <xdr:row>3</xdr:row>
          <xdr:rowOff>161925</xdr:rowOff>
        </xdr:to>
        <xdr:sp macro="" textlink="">
          <xdr:nvSpPr>
            <xdr:cNvPr id="59394" name="cmdCheckConstraintsSheet" hidden="1">
              <a:extLst>
                <a:ext uri="{63B3BB69-23CF-44E3-9099-C40C66FF867C}">
                  <a14:compatExt spid="_x0000_s59394"/>
                </a:ext>
                <a:ext uri="{FF2B5EF4-FFF2-40B4-BE49-F238E27FC236}">
                  <a16:creationId xmlns:a16="http://schemas.microsoft.com/office/drawing/2014/main" id="{00000000-0008-0000-1800-000002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9525</xdr:rowOff>
        </xdr:from>
        <xdr:to>
          <xdr:col>3</xdr:col>
          <xdr:colOff>390525</xdr:colOff>
          <xdr:row>4</xdr:row>
          <xdr:rowOff>171450</xdr:rowOff>
        </xdr:to>
        <xdr:sp macro="" textlink="">
          <xdr:nvSpPr>
            <xdr:cNvPr id="59395" name="cmdConstraintUnit" hidden="1">
              <a:extLst>
                <a:ext uri="{63B3BB69-23CF-44E3-9099-C40C66FF867C}">
                  <a14:compatExt spid="_x0000_s59395"/>
                </a:ext>
                <a:ext uri="{FF2B5EF4-FFF2-40B4-BE49-F238E27FC236}">
                  <a16:creationId xmlns:a16="http://schemas.microsoft.com/office/drawing/2014/main" id="{00000000-0008-0000-1800-000003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47625</xdr:rowOff>
        </xdr:from>
        <xdr:to>
          <xdr:col>3</xdr:col>
          <xdr:colOff>390525</xdr:colOff>
          <xdr:row>3</xdr:row>
          <xdr:rowOff>133350</xdr:rowOff>
        </xdr:to>
        <xdr:sp macro="" textlink="">
          <xdr:nvSpPr>
            <xdr:cNvPr id="59396" name="cmdRefreshUnits" hidden="1">
              <a:extLst>
                <a:ext uri="{63B3BB69-23CF-44E3-9099-C40C66FF867C}">
                  <a14:compatExt spid="_x0000_s59396"/>
                </a:ext>
                <a:ext uri="{FF2B5EF4-FFF2-40B4-BE49-F238E27FC236}">
                  <a16:creationId xmlns:a16="http://schemas.microsoft.com/office/drawing/2014/main" id="{00000000-0008-0000-1800-000004E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19050</xdr:colOff>
          <xdr:row>4</xdr:row>
          <xdr:rowOff>19050</xdr:rowOff>
        </xdr:from>
        <xdr:to>
          <xdr:col>4</xdr:col>
          <xdr:colOff>676275</xdr:colOff>
          <xdr:row>4</xdr:row>
          <xdr:rowOff>180975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19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0</xdr:rowOff>
        </xdr:from>
        <xdr:to>
          <xdr:col>0</xdr:col>
          <xdr:colOff>542925</xdr:colOff>
          <xdr:row>3</xdr:row>
          <xdr:rowOff>161925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19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4</xdr:row>
          <xdr:rowOff>9525</xdr:rowOff>
        </xdr:from>
        <xdr:to>
          <xdr:col>3</xdr:col>
          <xdr:colOff>390525</xdr:colOff>
          <xdr:row>4</xdr:row>
          <xdr:rowOff>171450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19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2</xdr:row>
          <xdr:rowOff>47625</xdr:rowOff>
        </xdr:from>
        <xdr:to>
          <xdr:col>3</xdr:col>
          <xdr:colOff>390525</xdr:colOff>
          <xdr:row>3</xdr:row>
          <xdr:rowOff>133350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19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857250</xdr:colOff>
          <xdr:row>3</xdr:row>
          <xdr:rowOff>152400</xdr:rowOff>
        </xdr:to>
        <xdr:sp macro="" textlink="">
          <xdr:nvSpPr>
            <xdr:cNvPr id="62465" name="cmdTechNameAndDesc" hidden="1">
              <a:extLst>
                <a:ext uri="{63B3BB69-23CF-44E3-9099-C40C66FF867C}">
                  <a14:compatExt spid="_x0000_s62465"/>
                </a:ext>
                <a:ext uri="{FF2B5EF4-FFF2-40B4-BE49-F238E27FC236}">
                  <a16:creationId xmlns:a16="http://schemas.microsoft.com/office/drawing/2014/main" id="{00000000-0008-0000-1A00-000001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409575</xdr:colOff>
          <xdr:row>3</xdr:row>
          <xdr:rowOff>142875</xdr:rowOff>
        </xdr:to>
        <xdr:sp macro="" textlink="">
          <xdr:nvSpPr>
            <xdr:cNvPr id="62466" name="cmdCommIN" hidden="1">
              <a:extLst>
                <a:ext uri="{63B3BB69-23CF-44E3-9099-C40C66FF867C}">
                  <a14:compatExt spid="_x0000_s62466"/>
                </a:ext>
                <a:ext uri="{FF2B5EF4-FFF2-40B4-BE49-F238E27FC236}">
                  <a16:creationId xmlns:a16="http://schemas.microsoft.com/office/drawing/2014/main" id="{00000000-0008-0000-1A00-000002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5</xdr:col>
          <xdr:colOff>476250</xdr:colOff>
          <xdr:row>3</xdr:row>
          <xdr:rowOff>142875</xdr:rowOff>
        </xdr:to>
        <xdr:sp macro="" textlink="">
          <xdr:nvSpPr>
            <xdr:cNvPr id="62467" name="cmdCommOUT" hidden="1">
              <a:extLst>
                <a:ext uri="{63B3BB69-23CF-44E3-9099-C40C66FF867C}">
                  <a14:compatExt spid="_x0000_s62467"/>
                </a:ext>
                <a:ext uri="{FF2B5EF4-FFF2-40B4-BE49-F238E27FC236}">
                  <a16:creationId xmlns:a16="http://schemas.microsoft.com/office/drawing/2014/main" id="{00000000-0008-0000-1A00-000003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0</xdr:col>
          <xdr:colOff>476250</xdr:colOff>
          <xdr:row>4</xdr:row>
          <xdr:rowOff>142875</xdr:rowOff>
        </xdr:to>
        <xdr:sp macro="" textlink="">
          <xdr:nvSpPr>
            <xdr:cNvPr id="62468" name="cmdAddParameter" hidden="1">
              <a:extLst>
                <a:ext uri="{63B3BB69-23CF-44E3-9099-C40C66FF867C}">
                  <a14:compatExt spid="_x0000_s62468"/>
                </a:ext>
                <a:ext uri="{FF2B5EF4-FFF2-40B4-BE49-F238E27FC236}">
                  <a16:creationId xmlns:a16="http://schemas.microsoft.com/office/drawing/2014/main" id="{00000000-0008-0000-1A00-000004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62469" name="cmdAddParamQualifier" hidden="1">
              <a:extLst>
                <a:ext uri="{63B3BB69-23CF-44E3-9099-C40C66FF867C}">
                  <a14:compatExt spid="_x0000_s62469"/>
                </a:ext>
                <a:ext uri="{FF2B5EF4-FFF2-40B4-BE49-F238E27FC236}">
                  <a16:creationId xmlns:a16="http://schemas.microsoft.com/office/drawing/2014/main" id="{00000000-0008-0000-1A00-000005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62470" name="cmdCheckTechDataSheet" hidden="1">
              <a:extLst>
                <a:ext uri="{63B3BB69-23CF-44E3-9099-C40C66FF867C}">
                  <a14:compatExt spid="_x0000_s62470"/>
                </a:ext>
                <a:ext uri="{FF2B5EF4-FFF2-40B4-BE49-F238E27FC236}">
                  <a16:creationId xmlns:a16="http://schemas.microsoft.com/office/drawing/2014/main" id="{00000000-0008-0000-1A00-000006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3</xdr:col>
          <xdr:colOff>371475</xdr:colOff>
          <xdr:row>3</xdr:row>
          <xdr:rowOff>104775</xdr:rowOff>
        </xdr:to>
        <xdr:sp macro="" textlink="">
          <xdr:nvSpPr>
            <xdr:cNvPr id="62471" name="cmdRefreshUnits" hidden="1">
              <a:extLst>
                <a:ext uri="{63B3BB69-23CF-44E3-9099-C40C66FF867C}">
                  <a14:compatExt spid="_x0000_s62471"/>
                </a:ext>
                <a:ext uri="{FF2B5EF4-FFF2-40B4-BE49-F238E27FC236}">
                  <a16:creationId xmlns:a16="http://schemas.microsoft.com/office/drawing/2014/main" id="{00000000-0008-0000-1A00-000007F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476250</xdr:colOff>
          <xdr:row>4</xdr:row>
          <xdr:rowOff>171450</xdr:rowOff>
        </xdr:to>
        <xdr:sp macro="" textlink="">
          <xdr:nvSpPr>
            <xdr:cNvPr id="61441" name="cmdAddParameter" hidden="1">
              <a:extLst>
                <a:ext uri="{63B3BB69-23CF-44E3-9099-C40C66FF867C}">
                  <a14:compatExt spid="_x0000_s61441"/>
                </a:ext>
                <a:ext uri="{FF2B5EF4-FFF2-40B4-BE49-F238E27FC236}">
                  <a16:creationId xmlns:a16="http://schemas.microsoft.com/office/drawing/2014/main" id="{00000000-0008-0000-1B00-000001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61442" name="cmdCommNameAndDesc" hidden="1">
              <a:extLst>
                <a:ext uri="{63B3BB69-23CF-44E3-9099-C40C66FF867C}">
                  <a14:compatExt spid="_x0000_s61442"/>
                </a:ext>
                <a:ext uri="{FF2B5EF4-FFF2-40B4-BE49-F238E27FC236}">
                  <a16:creationId xmlns:a16="http://schemas.microsoft.com/office/drawing/2014/main" id="{00000000-0008-0000-1B00-000002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476250</xdr:colOff>
          <xdr:row>5</xdr:row>
          <xdr:rowOff>161925</xdr:rowOff>
        </xdr:to>
        <xdr:sp macro="" textlink="">
          <xdr:nvSpPr>
            <xdr:cNvPr id="61443" name="cmdAddParamQualifier" hidden="1">
              <a:extLst>
                <a:ext uri="{63B3BB69-23CF-44E3-9099-C40C66FF867C}">
                  <a14:compatExt spid="_x0000_s61443"/>
                </a:ext>
                <a:ext uri="{FF2B5EF4-FFF2-40B4-BE49-F238E27FC236}">
                  <a16:creationId xmlns:a16="http://schemas.microsoft.com/office/drawing/2014/main" id="{00000000-0008-0000-1B00-000003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19050</xdr:rowOff>
        </xdr:from>
        <xdr:to>
          <xdr:col>0</xdr:col>
          <xdr:colOff>476250</xdr:colOff>
          <xdr:row>3</xdr:row>
          <xdr:rowOff>180975</xdr:rowOff>
        </xdr:to>
        <xdr:sp macro="" textlink="">
          <xdr:nvSpPr>
            <xdr:cNvPr id="61444" name="cmdCheckCommDataSheet" hidden="1">
              <a:extLst>
                <a:ext uri="{63B3BB69-23CF-44E3-9099-C40C66FF867C}">
                  <a14:compatExt spid="_x0000_s61444"/>
                </a:ext>
                <a:ext uri="{FF2B5EF4-FFF2-40B4-BE49-F238E27FC236}">
                  <a16:creationId xmlns:a16="http://schemas.microsoft.com/office/drawing/2014/main" id="{00000000-0008-0000-1B00-000004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180975</xdr:colOff>
          <xdr:row>3</xdr:row>
          <xdr:rowOff>133350</xdr:rowOff>
        </xdr:to>
        <xdr:sp macro="" textlink="">
          <xdr:nvSpPr>
            <xdr:cNvPr id="61445" name="cmdRefreshUnits" hidden="1">
              <a:extLst>
                <a:ext uri="{63B3BB69-23CF-44E3-9099-C40C66FF867C}">
                  <a14:compatExt spid="_x0000_s61445"/>
                </a:ext>
                <a:ext uri="{FF2B5EF4-FFF2-40B4-BE49-F238E27FC236}">
                  <a16:creationId xmlns:a16="http://schemas.microsoft.com/office/drawing/2014/main" id="{00000000-0008-0000-1B00-000005F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9525</xdr:rowOff>
        </xdr:from>
        <xdr:to>
          <xdr:col>0</xdr:col>
          <xdr:colOff>476250</xdr:colOff>
          <xdr:row>4</xdr:row>
          <xdr:rowOff>171450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1C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19050</xdr:rowOff>
        </xdr:from>
        <xdr:to>
          <xdr:col>2</xdr:col>
          <xdr:colOff>1390650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1C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476250</xdr:colOff>
          <xdr:row>5</xdr:row>
          <xdr:rowOff>161925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1C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19050</xdr:rowOff>
        </xdr:from>
        <xdr:to>
          <xdr:col>0</xdr:col>
          <xdr:colOff>476250</xdr:colOff>
          <xdr:row>3</xdr:row>
          <xdr:rowOff>180975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1C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180975</xdr:colOff>
          <xdr:row>3</xdr:row>
          <xdr:rowOff>133350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1C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857250</xdr:colOff>
          <xdr:row>3</xdr:row>
          <xdr:rowOff>152400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1D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</xdr:colOff>
          <xdr:row>2</xdr:row>
          <xdr:rowOff>142875</xdr:rowOff>
        </xdr:from>
        <xdr:to>
          <xdr:col>4</xdr:col>
          <xdr:colOff>409575</xdr:colOff>
          <xdr:row>3</xdr:row>
          <xdr:rowOff>142875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1D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</xdr:colOff>
          <xdr:row>2</xdr:row>
          <xdr:rowOff>142875</xdr:rowOff>
        </xdr:from>
        <xdr:to>
          <xdr:col>5</xdr:col>
          <xdr:colOff>476250</xdr:colOff>
          <xdr:row>3</xdr:row>
          <xdr:rowOff>142875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1D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3</xdr:row>
          <xdr:rowOff>200025</xdr:rowOff>
        </xdr:from>
        <xdr:to>
          <xdr:col>0</xdr:col>
          <xdr:colOff>476250</xdr:colOff>
          <xdr:row>4</xdr:row>
          <xdr:rowOff>142875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1D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9525</xdr:rowOff>
        </xdr:from>
        <xdr:to>
          <xdr:col>1</xdr:col>
          <xdr:colOff>9525</xdr:colOff>
          <xdr:row>6</xdr:row>
          <xdr:rowOff>28575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1D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9525</xdr:colOff>
          <xdr:row>4</xdr:row>
          <xdr:rowOff>9525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1D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19050</xdr:rowOff>
        </xdr:from>
        <xdr:to>
          <xdr:col>3</xdr:col>
          <xdr:colOff>371475</xdr:colOff>
          <xdr:row>3</xdr:row>
          <xdr:rowOff>104775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1D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1000125</xdr:colOff>
          <xdr:row>4</xdr:row>
          <xdr:rowOff>19050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1E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447675</xdr:colOff>
          <xdr:row>3</xdr:row>
          <xdr:rowOff>161925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1E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0</xdr:col>
          <xdr:colOff>476250</xdr:colOff>
          <xdr:row>4</xdr:row>
          <xdr:rowOff>161925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1E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1E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476250</xdr:colOff>
          <xdr:row>5</xdr:row>
          <xdr:rowOff>161925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1E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3</xdr:col>
          <xdr:colOff>209550</xdr:colOff>
          <xdr:row>3</xdr:row>
          <xdr:rowOff>114300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1E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3</xdr:row>
          <xdr:rowOff>0</xdr:rowOff>
        </xdr:from>
        <xdr:to>
          <xdr:col>2</xdr:col>
          <xdr:colOff>1000125</xdr:colOff>
          <xdr:row>4</xdr:row>
          <xdr:rowOff>19050</xdr:rowOff>
        </xdr:to>
        <xdr:sp macro="" textlink="">
          <xdr:nvSpPr>
            <xdr:cNvPr id="68609" name="cmdConstrNameAndDesc" hidden="1">
              <a:extLst>
                <a:ext uri="{63B3BB69-23CF-44E3-9099-C40C66FF867C}">
                  <a14:compatExt spid="_x0000_s68609"/>
                </a:ext>
                <a:ext uri="{FF2B5EF4-FFF2-40B4-BE49-F238E27FC236}">
                  <a16:creationId xmlns:a16="http://schemas.microsoft.com/office/drawing/2014/main" id="{00000000-0008-0000-3800-00000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447675</xdr:colOff>
          <xdr:row>3</xdr:row>
          <xdr:rowOff>161925</xdr:rowOff>
        </xdr:to>
        <xdr:sp macro="" textlink="">
          <xdr:nvSpPr>
            <xdr:cNvPr id="68610" name="cmdTechName" hidden="1">
              <a:extLst>
                <a:ext uri="{63B3BB69-23CF-44E3-9099-C40C66FF867C}">
                  <a14:compatExt spid="_x0000_s68610"/>
                </a:ext>
                <a:ext uri="{FF2B5EF4-FFF2-40B4-BE49-F238E27FC236}">
                  <a16:creationId xmlns:a16="http://schemas.microsoft.com/office/drawing/2014/main" id="{00000000-0008-0000-3800-00000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4</xdr:row>
          <xdr:rowOff>0</xdr:rowOff>
        </xdr:from>
        <xdr:to>
          <xdr:col>0</xdr:col>
          <xdr:colOff>476250</xdr:colOff>
          <xdr:row>4</xdr:row>
          <xdr:rowOff>161925</xdr:rowOff>
        </xdr:to>
        <xdr:sp macro="" textlink="">
          <xdr:nvSpPr>
            <xdr:cNvPr id="68611" name="cmdAddParameter" hidden="1">
              <a:extLst>
                <a:ext uri="{63B3BB69-23CF-44E3-9099-C40C66FF867C}">
                  <a14:compatExt spid="_x0000_s68611"/>
                </a:ext>
                <a:ext uri="{FF2B5EF4-FFF2-40B4-BE49-F238E27FC236}">
                  <a16:creationId xmlns:a16="http://schemas.microsoft.com/office/drawing/2014/main" id="{00000000-0008-0000-3800-000003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2</xdr:row>
          <xdr:rowOff>152400</xdr:rowOff>
        </xdr:from>
        <xdr:to>
          <xdr:col>1</xdr:col>
          <xdr:colOff>0</xdr:colOff>
          <xdr:row>4</xdr:row>
          <xdr:rowOff>9525</xdr:rowOff>
        </xdr:to>
        <xdr:sp macro="" textlink="">
          <xdr:nvSpPr>
            <xdr:cNvPr id="68612" name="cmdCheckConstrDataSheet" hidden="1">
              <a:extLst>
                <a:ext uri="{63B3BB69-23CF-44E3-9099-C40C66FF867C}">
                  <a14:compatExt spid="_x0000_s68612"/>
                </a:ext>
                <a:ext uri="{FF2B5EF4-FFF2-40B4-BE49-F238E27FC236}">
                  <a16:creationId xmlns:a16="http://schemas.microsoft.com/office/drawing/2014/main" id="{00000000-0008-0000-3800-000004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9525</xdr:colOff>
          <xdr:row>5</xdr:row>
          <xdr:rowOff>0</xdr:rowOff>
        </xdr:from>
        <xdr:to>
          <xdr:col>0</xdr:col>
          <xdr:colOff>476250</xdr:colOff>
          <xdr:row>5</xdr:row>
          <xdr:rowOff>161925</xdr:rowOff>
        </xdr:to>
        <xdr:sp macro="" textlink="">
          <xdr:nvSpPr>
            <xdr:cNvPr id="68613" name="cmdAddParamQualifier" hidden="1">
              <a:extLst>
                <a:ext uri="{63B3BB69-23CF-44E3-9099-C40C66FF867C}">
                  <a14:compatExt spid="_x0000_s68613"/>
                </a:ext>
                <a:ext uri="{FF2B5EF4-FFF2-40B4-BE49-F238E27FC236}">
                  <a16:creationId xmlns:a16="http://schemas.microsoft.com/office/drawing/2014/main" id="{00000000-0008-0000-3800-000005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1009650</xdr:colOff>
          <xdr:row>2</xdr:row>
          <xdr:rowOff>28575</xdr:rowOff>
        </xdr:from>
        <xdr:to>
          <xdr:col>3</xdr:col>
          <xdr:colOff>209550</xdr:colOff>
          <xdr:row>3</xdr:row>
          <xdr:rowOff>114300</xdr:rowOff>
        </xdr:to>
        <xdr:sp macro="" textlink="">
          <xdr:nvSpPr>
            <xdr:cNvPr id="68614" name="cmdRefreshUnits" hidden="1">
              <a:extLst>
                <a:ext uri="{63B3BB69-23CF-44E3-9099-C40C66FF867C}">
                  <a14:compatExt spid="_x0000_s68614"/>
                </a:ext>
                <a:ext uri="{FF2B5EF4-FFF2-40B4-BE49-F238E27FC236}">
                  <a16:creationId xmlns:a16="http://schemas.microsoft.com/office/drawing/2014/main" id="{00000000-0008-0000-3800-000006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MARKAL%202005%20USEPA%20NM\MARKAL_14_Residential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microsoft.com/office/2019/04/relationships/externalLinkLongPath" Target="https://nycmomb.sharepoint.com/sites/grp_ESR/Shared%20Documents/Resource%20Library/Climate%20Science%20&amp;%20SBTs/GHG%20Inventory/Complete%20NYC%20GHG%20Inventory/NYC%20GHG%20inventory/2022%20Inventory/Community%20Calculation%20Workbook%20CY2022%20CLCPA%20Method%20V7%20SB.xlsx?FA755DCD" TargetMode="External"/><Relationship Id="rId1" Type="http://schemas.openxmlformats.org/officeDocument/2006/relationships/externalLinkPath" Target="file:///\\FA755DCD\Community%20Calculation%20Workbook%20CY2022%20CLCPA%20Method%20V7%20S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-ITEMS"/>
      <sheetName val="M-TID"/>
      <sheetName val="M-TS"/>
      <sheetName val="ITEMS-C"/>
      <sheetName val="TS-C"/>
      <sheetName val="Sheet3"/>
      <sheetName val="MARKAL data"/>
      <sheetName val="RESID calcs"/>
      <sheetName val="RESID data"/>
      <sheetName val="Input-Output"/>
      <sheetName val="IBOND"/>
      <sheetName val="GROWTH"/>
      <sheetName val="AEO HW"/>
      <sheetName val="Conversions"/>
      <sheetName val="RTEKTY05"/>
      <sheetName val="RTEKTY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3">
          <cell r="B33">
            <v>9.9441618796908582</v>
          </cell>
        </row>
      </sheetData>
      <sheetData sheetId="13">
        <row r="5">
          <cell r="D5">
            <v>1055.056</v>
          </cell>
        </row>
      </sheetData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mmunity Analysis"/>
      <sheetName val="CLCPA Update Check"/>
      <sheetName val="Summary to Publish"/>
      <sheetName val="Historical Emissions"/>
      <sheetName val="Community Emissions"/>
      <sheetName val="SB 3"/>
      <sheetName val="SB 2"/>
      <sheetName val="SB 1"/>
      <sheetName val="Weather"/>
      <sheetName val="GCP"/>
      <sheetName val="Cumulative Reduction"/>
      <sheetName val="Population"/>
      <sheetName val="EF EL and Steam"/>
      <sheetName val="EF road transport"/>
      <sheetName val="RELA TABLE"/>
      <sheetName val="On Road Transportation"/>
      <sheetName val="Transit"/>
      <sheetName val="Fuel Oils"/>
      <sheetName val="Electricity "/>
      <sheetName val="Natural Gas"/>
      <sheetName val="ConEd Steam"/>
      <sheetName val="Fugitive"/>
      <sheetName val="Marine and Aviation"/>
      <sheetName val="Solid Waste"/>
      <sheetName val="WWTP"/>
      <sheetName val="Unit conversions"/>
      <sheetName val="SB"/>
      <sheetName val="SB2"/>
      <sheetName val="SB3"/>
      <sheetName val="SB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mia" refreshedDate="45323.50212222222" createdVersion="8" refreshedVersion="8" minRefreshableVersion="3" recordCount="36" xr:uid="{CEA65E1C-2A2D-47CF-A873-359B9CE2E593}">
  <cacheSource type="worksheet">
    <worksheetSource name="Full_OnRoad_Transpo"/>
  </cacheSource>
  <cacheFields count="27">
    <cacheField name="Aggregate tag" numFmtId="0">
      <sharedItems/>
    </cacheField>
    <cacheField name="Data source" numFmtId="0">
      <sharedItems/>
    </cacheField>
    <cacheField name="GPC Sector" numFmtId="0">
      <sharedItems count="1">
        <s v="Transportation"/>
      </sharedItems>
    </cacheField>
    <cacheField name="GPC Sub-sector" numFmtId="0">
      <sharedItems count="1">
        <s v="On-road"/>
      </sharedItems>
    </cacheField>
    <cacheField name="GPC Sub-sector class" numFmtId="0">
      <sharedItems count="5">
        <s v="Heavy duty trucks"/>
        <s v="Medium duty trucks"/>
        <s v="Passenger cars"/>
        <s v="School Bus"/>
        <s v="SWCV"/>
      </sharedItems>
    </cacheField>
    <cacheField name="GPC Sub-sector class agg" numFmtId="0">
      <sharedItems count="4">
        <s v="Heavy duty trucks"/>
        <s v="Medium duty trucks"/>
        <s v="Passenger cars"/>
        <s v="Buses"/>
      </sharedItems>
    </cacheField>
    <cacheField name="Address/service" numFmtId="0">
      <sharedItems/>
    </cacheField>
    <cacheField name="Fuel type" numFmtId="0">
      <sharedItems count="7">
        <s v="CNG"/>
        <s v="Diesel"/>
        <s v="Electricity"/>
        <s v="Gasoline"/>
        <s v="Diesel Hybrid"/>
        <s v="Gasoline Hybrid"/>
        <s v="Fuel Cell"/>
      </sharedItems>
    </cacheField>
    <cacheField name="Reported units" numFmtId="0">
      <sharedItems/>
    </cacheField>
    <cacheField name="CY2022" numFmtId="180">
      <sharedItems containsSemiMixedTypes="0" containsString="0" containsNumber="1" minValue="0" maxValue="19416549926.585327"/>
    </cacheField>
    <cacheField name="CY2021" numFmtId="180">
      <sharedItems containsSemiMixedTypes="0" containsString="0" containsNumber="1" minValue="0" maxValue="18575339163.754768"/>
    </cacheField>
    <cacheField name="CY2020" numFmtId="180">
      <sharedItems containsSemiMixedTypes="0" containsString="0" containsNumber="1" minValue="0" maxValue="15425812292.703026"/>
    </cacheField>
    <cacheField name="CY2019" numFmtId="180">
      <sharedItems containsSemiMixedTypes="0" containsString="0" containsNumber="1" minValue="0" maxValue="20215103866.158669"/>
    </cacheField>
    <cacheField name="CY2018" numFmtId="180">
      <sharedItems containsSemiMixedTypes="0" containsString="0" containsNumber="1" minValue="0" maxValue="20000031418.792645"/>
    </cacheField>
    <cacheField name="CY2017" numFmtId="180">
      <sharedItems containsSemiMixedTypes="0" containsString="0" containsNumber="1" minValue="0" maxValue="19586528602.364891"/>
    </cacheField>
    <cacheField name="CY2016" numFmtId="180">
      <sharedItems containsSemiMixedTypes="0" containsString="0" containsNumber="1" minValue="0" maxValue="19592915980.390472"/>
    </cacheField>
    <cacheField name="CY2015" numFmtId="180">
      <sharedItems containsSemiMixedTypes="0" containsString="0" containsNumber="1" minValue="0" maxValue="19234200482.675129"/>
    </cacheField>
    <cacheField name="CY2014" numFmtId="180">
      <sharedItems containsSemiMixedTypes="0" containsString="0" containsNumber="1" minValue="0" maxValue="18617847739.964611"/>
    </cacheField>
    <cacheField name="CY2013" numFmtId="180">
      <sharedItems containsSemiMixedTypes="0" containsString="0" containsNumber="1" minValue="0" maxValue="18632352658.980202"/>
    </cacheField>
    <cacheField name="CY2012" numFmtId="180">
      <sharedItems containsSemiMixedTypes="0" containsString="0" containsNumber="1" minValue="0" maxValue="18575945525.737743"/>
    </cacheField>
    <cacheField name="CY2011" numFmtId="180">
      <sharedItems containsSemiMixedTypes="0" containsString="0" containsNumber="1" minValue="0" maxValue="18811295822.828991"/>
    </cacheField>
    <cacheField name="CY2010" numFmtId="180">
      <sharedItems containsSemiMixedTypes="0" containsString="0" containsNumber="1" minValue="0" maxValue="19330346471.372349"/>
    </cacheField>
    <cacheField name="CY2009" numFmtId="180">
      <sharedItems containsSemiMixedTypes="0" containsString="0" containsNumber="1" minValue="0" maxValue="18393859855.70919"/>
    </cacheField>
    <cacheField name="CY2008" numFmtId="180">
      <sharedItems containsSemiMixedTypes="0" containsString="0" containsNumber="1" minValue="0" maxValue="18596344347.752155"/>
    </cacheField>
    <cacheField name="CY2007" numFmtId="180">
      <sharedItems containsSemiMixedTypes="0" containsString="0" containsNumber="1" minValue="0" maxValue="19227860011.250507"/>
    </cacheField>
    <cacheField name="CY2006" numFmtId="180">
      <sharedItems containsSemiMixedTypes="0" containsString="0" containsNumber="1" minValue="0" maxValue="19165762678.406345"/>
    </cacheField>
    <cacheField name="CY2005" numFmtId="180">
      <sharedItems containsSemiMixedTypes="0" containsString="0" containsNumber="1" minValue="0" maxValue="19090939606.35887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s v="Heavy duty trucks(private)CNG"/>
    <s v="NYMTC BPM"/>
    <x v="0"/>
    <x v="0"/>
    <x v="0"/>
    <x v="0"/>
    <s v="(private)"/>
    <x v="0"/>
    <s v="VMT"/>
    <n v="6398791.5082985815"/>
    <n v="5317833.7706844471"/>
    <n v="4068498.6942784912"/>
    <n v="3481673.6742869718"/>
    <n v="2552442.8854823965"/>
    <n v="1633232.7674664152"/>
    <n v="805661.85476631252"/>
    <n v="0"/>
    <n v="0"/>
    <n v="0"/>
    <n v="0"/>
    <n v="0"/>
    <n v="0"/>
    <n v="0"/>
    <n v="0"/>
    <n v="0"/>
    <n v="0"/>
    <n v="0"/>
  </r>
  <r>
    <s v="Heavy duty trucks(private)Diesel"/>
    <s v="NYMTC BPM"/>
    <x v="0"/>
    <x v="0"/>
    <x v="0"/>
    <x v="0"/>
    <s v="(private)"/>
    <x v="1"/>
    <s v="VMT"/>
    <n v="550157467.73155105"/>
    <n v="535970547.29218686"/>
    <n v="494403715.31603754"/>
    <n v="531367979.76104367"/>
    <n v="521844282.5381366"/>
    <n v="503211266.42482841"/>
    <n v="498757032.40200406"/>
    <n v="491885550.3203702"/>
    <n v="480193962.2196762"/>
    <n v="493952732.95324385"/>
    <n v="492043155.70142436"/>
    <n v="500937964.87540305"/>
    <n v="502436220.30535114"/>
    <n v="450585081.3971684"/>
    <n v="492226733.11696744"/>
    <n v="514591976.82215136"/>
    <n v="504520445.04982251"/>
    <n v="493402660.93015885"/>
  </r>
  <r>
    <s v="Heavy duty trucks(private)Electricity"/>
    <s v="NYMTC BPM"/>
    <x v="0"/>
    <x v="0"/>
    <x v="0"/>
    <x v="0"/>
    <s v="(private)"/>
    <x v="2"/>
    <s v="VMT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Heavy duty trucks(private)Gasoline"/>
    <s v="NYMTC BPM"/>
    <x v="0"/>
    <x v="0"/>
    <x v="0"/>
    <x v="0"/>
    <s v="(private)"/>
    <x v="3"/>
    <s v="VMT"/>
    <n v="11503964.516724583"/>
    <n v="9560569.4310341086"/>
    <n v="7314461.9133830667"/>
    <n v="6259434.0111422874"/>
    <n v="4588820.1221223949"/>
    <n v="2936223.3282055035"/>
    <n v="1448377.6008272388"/>
    <n v="0"/>
    <n v="0"/>
    <n v="0"/>
    <n v="0"/>
    <n v="0"/>
    <n v="0"/>
    <n v="0"/>
    <n v="0"/>
    <n v="0"/>
    <n v="0"/>
    <n v="0"/>
  </r>
  <r>
    <s v="Heavy duty trucks(public)Diesel"/>
    <s v="NYMTC BPM"/>
    <x v="0"/>
    <x v="0"/>
    <x v="0"/>
    <x v="0"/>
    <s v="(public)"/>
    <x v="1"/>
    <s v="VMT"/>
    <n v="101490737.48891042"/>
    <n v="98705424.914493799"/>
    <n v="90896734.958219707"/>
    <n v="97529071.384398967"/>
    <n v="95621909.786303684"/>
    <n v="92055591.396256"/>
    <n v="91091462.391398102"/>
    <n v="89690606.712007299"/>
    <n v="87558751.130154893"/>
    <n v="90067523.704193354"/>
    <n v="89719323.754654601"/>
    <n v="91341199.364705473"/>
    <n v="91614384.696067631"/>
    <n v="91587215.911270365"/>
    <n v="100051409.74077001"/>
    <n v="104597424.89086135"/>
    <n v="102550248.85487439"/>
    <n v="100290408.94801094"/>
  </r>
  <r>
    <s v="Heavy duty trucks(public)Diesel Hybrid"/>
    <s v="NYMTC BPM"/>
    <x v="0"/>
    <x v="0"/>
    <x v="0"/>
    <x v="0"/>
    <s v="(public)"/>
    <x v="4"/>
    <s v="VMT"/>
    <n v="1348977.7461387624"/>
    <n v="1121090.5118065106"/>
    <n v="857706.75748764165"/>
    <n v="733991.12989199604"/>
    <n v="538090.85281931912"/>
    <n v="344303.40547524387"/>
    <n v="169834.92659067427"/>
    <n v="0"/>
    <n v="0"/>
    <n v="0"/>
    <n v="0"/>
    <n v="0"/>
    <n v="0"/>
    <n v="0"/>
    <n v="0"/>
    <n v="0"/>
    <n v="0"/>
    <n v="0"/>
  </r>
  <r>
    <s v="Heavy duty trucks(public)Gasoline"/>
    <s v="NYMTC BPM"/>
    <x v="0"/>
    <x v="0"/>
    <x v="0"/>
    <x v="0"/>
    <s v="(public)"/>
    <x v="3"/>
    <s v="VMT"/>
    <n v="793516.32125809556"/>
    <n v="659465.00694500632"/>
    <n v="504533.38675743632"/>
    <n v="431759.48817176238"/>
    <n v="316524.03107018769"/>
    <n v="202531.41498543756"/>
    <n v="99902.897994514278"/>
    <n v="0"/>
    <n v="0"/>
    <n v="0"/>
    <n v="0"/>
    <n v="0"/>
    <n v="0"/>
    <n v="0"/>
    <n v="0"/>
    <n v="0"/>
    <n v="0"/>
    <n v="0"/>
  </r>
  <r>
    <s v="Medium duty trucks(private)CNG"/>
    <s v="NYMTC BPM"/>
    <x v="0"/>
    <x v="0"/>
    <x v="1"/>
    <x v="1"/>
    <s v="(private)"/>
    <x v="0"/>
    <s v="VMT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Medium duty trucks(private)Diesel"/>
    <s v="NYMTC BPM"/>
    <x v="0"/>
    <x v="0"/>
    <x v="1"/>
    <x v="1"/>
    <s v="(private)"/>
    <x v="1"/>
    <s v="VMT"/>
    <n v="11279306.501100672"/>
    <n v="27518399.32316548"/>
    <n v="40144152.850659974"/>
    <n v="65719095.652302049"/>
    <n v="82839476.72831358"/>
    <n v="97508881.781650409"/>
    <n v="112357749.48273887"/>
    <n v="127588894.34823449"/>
    <n v="120487925.67305024"/>
    <n v="114115858.28635602"/>
    <n v="108109077.55182287"/>
    <n v="106050268.11699355"/>
    <n v="105452598.6251785"/>
    <n v="101805141.437767"/>
    <n v="104638981.67139532"/>
    <n v="103180427.25800413"/>
    <n v="98103288.9197907"/>
    <n v="92375248.395058021"/>
  </r>
  <r>
    <s v="Medium duty trucks(private)Electricity"/>
    <s v="NYMTC BPM"/>
    <x v="0"/>
    <x v="0"/>
    <x v="1"/>
    <x v="1"/>
    <s v="(private)"/>
    <x v="2"/>
    <s v="VMT"/>
    <n v="6205269.6451339955"/>
    <n v="4937836.332506327"/>
    <n v="3706644.4324507955"/>
    <n v="3511328.1529879486"/>
    <n v="2600150.8543641581"/>
    <n v="1676984.2428304008"/>
    <n v="820134.06643057277"/>
    <n v="0"/>
    <n v="0"/>
    <n v="0"/>
    <n v="0"/>
    <n v="0"/>
    <n v="0"/>
    <n v="0"/>
    <n v="0"/>
    <n v="0"/>
    <n v="0"/>
    <n v="0"/>
  </r>
  <r>
    <s v="Medium duty trucks(private)Gasoline"/>
    <s v="NYMTC BPM"/>
    <x v="0"/>
    <x v="0"/>
    <x v="1"/>
    <x v="1"/>
    <s v="(private)"/>
    <x v="3"/>
    <s v="VMT"/>
    <n v="505504205.15258175"/>
    <n v="453106356.57721841"/>
    <n v="393571008.41517633"/>
    <n v="448770021.86549371"/>
    <n v="426035064.1798259"/>
    <n v="395661634.8440975"/>
    <n v="370852167.68571413"/>
    <n v="349903529.65055144"/>
    <n v="339392818.51568449"/>
    <n v="330277354.78087687"/>
    <n v="321607356.38231379"/>
    <n v="324393176.27147388"/>
    <n v="331807888.89695334"/>
    <n v="329648214.98453367"/>
    <n v="348832991.12083042"/>
    <n v="354295608.42519772"/>
    <n v="347142982.33415836"/>
    <n v="337023462.61716706"/>
  </r>
  <r>
    <s v="Medium duty trucks(public)CNG"/>
    <s v="NYMTC BPM"/>
    <x v="0"/>
    <x v="0"/>
    <x v="1"/>
    <x v="1"/>
    <s v="(public)"/>
    <x v="0"/>
    <s v="VMT"/>
    <n v="203240.43319435013"/>
    <n v="479415.07273665356"/>
    <n v="693742.48314754153"/>
    <n v="1131591.099927373"/>
    <n v="1423438.4031479838"/>
    <n v="1673274.9870592062"/>
    <n v="1926293.0628704189"/>
    <n v="2185919.7593063484"/>
    <n v="1892491.381971922"/>
    <n v="1625562.0649770314"/>
    <n v="1375390.8468369064"/>
    <n v="1180900.8921370679"/>
    <n v="999669.21232221345"/>
    <n v="804110.86536835332"/>
    <n v="633860.61531633826"/>
    <n v="426304.95756827615"/>
    <n v="207454.23509131093"/>
    <n v="0"/>
  </r>
  <r>
    <s v="Medium duty trucks(public)Diesel"/>
    <s v="NYMTC BPM"/>
    <x v="0"/>
    <x v="0"/>
    <x v="1"/>
    <x v="1"/>
    <s v="(public)"/>
    <x v="1"/>
    <s v="VMT"/>
    <n v="29125917.464698024"/>
    <n v="27669746.166062884"/>
    <n v="25492231.664958369"/>
    <n v="30858137.962952547"/>
    <n v="31130768.967980113"/>
    <n v="30758549.333157994"/>
    <n v="30711877.55253011"/>
    <n v="30914243.107631937"/>
    <n v="29858652.543390006"/>
    <n v="28932713.889126267"/>
    <n v="28054155.764045727"/>
    <n v="28178738.974876728"/>
    <n v="28703354.380625769"/>
    <n v="28939167.308614086"/>
    <n v="30498827.111598898"/>
    <n v="30851646.424120888"/>
    <n v="30108173.724063024"/>
    <n v="29114934.563511766"/>
  </r>
  <r>
    <s v="Medium duty trucks(public)Electricity"/>
    <s v="NYMTC BPM"/>
    <x v="0"/>
    <x v="0"/>
    <x v="1"/>
    <x v="1"/>
    <s v="(public)"/>
    <x v="2"/>
    <s v="VMT"/>
    <n v="109437.15633541931"/>
    <n v="87084.344162985275"/>
    <n v="65370.721219108913"/>
    <n v="0"/>
    <n v="0"/>
    <n v="0"/>
    <n v="0"/>
    <n v="0"/>
    <n v="0"/>
    <n v="0"/>
    <n v="0"/>
    <n v="0"/>
    <n v="0"/>
    <n v="0"/>
    <n v="0"/>
    <n v="0"/>
    <n v="0"/>
    <n v="0"/>
  </r>
  <r>
    <s v="Medium duty trucks(public)Gasoline"/>
    <s v="NYMTC BPM"/>
    <x v="0"/>
    <x v="0"/>
    <x v="1"/>
    <x v="1"/>
    <s v="(public)"/>
    <x v="3"/>
    <s v="VMT"/>
    <n v="38365540.235302716"/>
    <n v="34953813.291112214"/>
    <n v="30888268.680852097"/>
    <n v="35867767.520685479"/>
    <n v="34714445.182165928"/>
    <n v="32907374.543723743"/>
    <n v="31524379.490892936"/>
    <n v="30444016.182664875"/>
    <n v="29449261.149572559"/>
    <n v="28581065.725305144"/>
    <n v="27756625.650464114"/>
    <n v="27923281.715309963"/>
    <n v="28487101.891400401"/>
    <n v="28765218.792339262"/>
    <n v="30361707.81834222"/>
    <n v="30759426.410633527"/>
    <n v="30063296.38445323"/>
    <n v="29114934.563511766"/>
  </r>
  <r>
    <s v="Medium duty trucks(public)Gasoline Hybrid"/>
    <s v="NYMTC BPM"/>
    <x v="0"/>
    <x v="0"/>
    <x v="1"/>
    <x v="1"/>
    <s v="(public)"/>
    <x v="5"/>
    <s v="VMT"/>
    <n v="1829163.8987491515"/>
    <n v="1455552.6095813254"/>
    <n v="1092624.9118051063"/>
    <n v="1035046.8809435047"/>
    <n v="766451.24476420844"/>
    <n v="494321.77608025161"/>
    <n v="241740.78580654139"/>
    <n v="0"/>
    <n v="0"/>
    <n v="0"/>
    <n v="0"/>
    <n v="0"/>
    <n v="0"/>
    <n v="0"/>
    <n v="0"/>
    <n v="0"/>
    <n v="0"/>
    <n v="0"/>
  </r>
  <r>
    <s v="Passenger cars(private)CNG"/>
    <s v="NYMTC BPM"/>
    <x v="0"/>
    <x v="0"/>
    <x v="2"/>
    <x v="2"/>
    <s v="(private)"/>
    <x v="0"/>
    <s v="VMT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enger cars(private)Diesel"/>
    <s v="NYMTC BPM"/>
    <x v="0"/>
    <x v="0"/>
    <x v="2"/>
    <x v="2"/>
    <s v="(private)"/>
    <x v="1"/>
    <s v="VMT"/>
    <n v="135695002.44297975"/>
    <n v="144370440.59139225"/>
    <n v="131730310.94514021"/>
    <n v="187827739.21854678"/>
    <n v="200564013.76268339"/>
    <n v="210559937.1522114"/>
    <n v="224496864.81549126"/>
    <n v="233735207.27606833"/>
    <n v="213389125.75360289"/>
    <n v="200718655.41790351"/>
    <n v="187342379.14000723"/>
    <n v="176815038.94447309"/>
    <n v="168467152.73383325"/>
    <n v="147748296.79095906"/>
    <n v="136708161.32987881"/>
    <n v="128283661.98485114"/>
    <n v="114874122.3101624"/>
    <n v="101510478.71653253"/>
  </r>
  <r>
    <s v="Passenger cars(private)Diesel Hybrid"/>
    <s v="NYMTC BPM"/>
    <x v="0"/>
    <x v="0"/>
    <x v="2"/>
    <x v="2"/>
    <s v="(private)"/>
    <x v="4"/>
    <s v="VMT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enger cars(private)Electricity"/>
    <s v="NYMTC BPM"/>
    <x v="0"/>
    <x v="0"/>
    <x v="2"/>
    <x v="2"/>
    <s v="(private)"/>
    <x v="2"/>
    <s v="VMT"/>
    <n v="516052206.26042241"/>
    <n v="421249905.07271683"/>
    <n v="290898837.02035594"/>
    <n v="305562616.46085668"/>
    <n v="228969762.41710162"/>
    <n v="153840592.39229095"/>
    <n v="84861122.108948901"/>
    <n v="0"/>
    <n v="0"/>
    <n v="0"/>
    <n v="0"/>
    <n v="0"/>
    <n v="0"/>
    <n v="0"/>
    <n v="0"/>
    <n v="0"/>
    <n v="0"/>
    <n v="0"/>
  </r>
  <r>
    <s v="Passenger cars(private)Fuel Cell"/>
    <s v="NYMTC BPM"/>
    <x v="0"/>
    <x v="0"/>
    <x v="2"/>
    <x v="2"/>
    <s v="(private)"/>
    <x v="6"/>
    <s v="VMT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Passenger cars(private)Gasoline"/>
    <s v="NYMTC BPM"/>
    <x v="0"/>
    <x v="0"/>
    <x v="2"/>
    <x v="2"/>
    <s v="(private)"/>
    <x v="3"/>
    <s v="VMT"/>
    <n v="19416549926.585327"/>
    <n v="18575339163.754768"/>
    <n v="15425812292.703026"/>
    <n v="20215103866.158669"/>
    <n v="20000031418.792645"/>
    <n v="19586528602.364891"/>
    <n v="19592915980.390472"/>
    <n v="19234200482.675129"/>
    <n v="18617847739.964611"/>
    <n v="18632352658.980202"/>
    <n v="18575945525.737743"/>
    <n v="18811295822.828991"/>
    <n v="19330346471.372349"/>
    <n v="18393859855.70919"/>
    <n v="18596344347.752155"/>
    <n v="19227860011.250507"/>
    <n v="19165762678.406345"/>
    <n v="19090939606.358875"/>
  </r>
  <r>
    <s v="Passenger cars(private)Gasoline Hybrid"/>
    <s v="NYMTC BPM"/>
    <x v="0"/>
    <x v="0"/>
    <x v="2"/>
    <x v="2"/>
    <s v="(private)"/>
    <x v="5"/>
    <s v="VMT"/>
    <n v="1123424407.8517919"/>
    <n v="922399512.96754491"/>
    <n v="642078914.22929823"/>
    <n v="682327752.37371874"/>
    <n v="520828154.63053977"/>
    <n v="362016830.98571759"/>
    <n v="216963547.52024707"/>
    <n v="73260465.670201734"/>
    <n v="63748539.12213771"/>
    <n v="56644696.437776148"/>
    <n v="49357649.739185631"/>
    <n v="42793719.29804574"/>
    <n v="36603697.327306986"/>
    <n v="27832625.591237482"/>
    <n v="21080314.990358599"/>
    <n v="0"/>
    <n v="0"/>
    <n v="0"/>
  </r>
  <r>
    <s v="Passenger cars(public)Diesel"/>
    <s v="NYMTC BPM"/>
    <x v="0"/>
    <x v="0"/>
    <x v="2"/>
    <x v="2"/>
    <s v="(public)"/>
    <x v="1"/>
    <s v="VMT"/>
    <n v="703039.3942449739"/>
    <n v="570519.24484220229"/>
    <n v="390768.71723817301"/>
    <n v="405511.25347308465"/>
    <n v="297871.46664370387"/>
    <n v="192538.86079942097"/>
    <n v="0"/>
    <n v="0"/>
    <n v="0"/>
    <n v="0"/>
    <n v="0"/>
    <n v="0"/>
    <n v="0"/>
    <n v="0"/>
    <n v="0"/>
    <n v="0"/>
    <n v="0"/>
    <n v="0"/>
  </r>
  <r>
    <s v="Passenger cars(public)Electricity"/>
    <s v="NYMTC BPM"/>
    <x v="0"/>
    <x v="0"/>
    <x v="2"/>
    <x v="2"/>
    <s v="(public)"/>
    <x v="2"/>
    <s v="VMT"/>
    <n v="25510286.591174766"/>
    <n v="20967447.535472274"/>
    <n v="14616172.422838418"/>
    <n v="15564261.966334576"/>
    <n v="11918472.839543432"/>
    <n v="8331685.9886581441"/>
    <n v="5058829.8514060853"/>
    <n v="1813394.6144447946"/>
    <n v="1583208.2842541197"/>
    <n v="1406782.3457929706"/>
    <n v="1225806.5017187092"/>
    <n v="1062789.3808192408"/>
    <n v="909058.31131246558"/>
    <n v="726947.07883634267"/>
    <n v="550585.47246928851"/>
    <n v="379090.94009809394"/>
    <n v="188719.01816915098"/>
    <n v="0"/>
  </r>
  <r>
    <s v="Passenger cars(public)Gasoline"/>
    <s v="NYMTC BPM"/>
    <x v="0"/>
    <x v="0"/>
    <x v="2"/>
    <x v="2"/>
    <s v="(public)"/>
    <x v="3"/>
    <s v="VMT"/>
    <n v="60193563.373926811"/>
    <n v="64760163.816391975"/>
    <n v="59615495.376085073"/>
    <n v="85616592.172367245"/>
    <n v="91969012.485852376"/>
    <n v="97039031.147618726"/>
    <n v="103906928.68373246"/>
    <n v="108584609.06091581"/>
    <n v="106258470.39643957"/>
    <n v="107487098.89925833"/>
    <n v="108301460.76278643"/>
    <n v="110825172.6158096"/>
    <n v="115063766.78373487"/>
    <n v="116326245.60188769"/>
    <n v="118795882.40658739"/>
    <n v="124056761.79214382"/>
    <n v="124876053.50806956"/>
    <n v="125600960.79437032"/>
  </r>
  <r>
    <s v="Passenger cars(public)Gasoline Hybrid"/>
    <s v="NYMTC BPM"/>
    <x v="0"/>
    <x v="0"/>
    <x v="2"/>
    <x v="2"/>
    <s v="(public)"/>
    <x v="5"/>
    <s v="VMT"/>
    <n v="45463214.161174975"/>
    <n v="38548713.93109908"/>
    <n v="27990496.748721235"/>
    <n v="31516998.885981433"/>
    <n v="26175605.485484347"/>
    <n v="20829477.420449659"/>
    <n v="16124533.916025104"/>
    <n v="11294162.430904491"/>
    <n v="9827839.4913739283"/>
    <n v="8732667.2246825304"/>
    <n v="7609251.2060405547"/>
    <n v="6597314.8016648917"/>
    <n v="5643021.9957365645"/>
    <n v="4512558.0004734201"/>
    <n v="3417785.0782657475"/>
    <n v="2353224.7455825685"/>
    <n v="1171482.1340831229"/>
    <n v="0"/>
  </r>
  <r>
    <s v="School Bus(private)Diesel"/>
    <s v="NYMTC BPM"/>
    <x v="0"/>
    <x v="0"/>
    <x v="3"/>
    <x v="3"/>
    <s v="(private)"/>
    <x v="1"/>
    <s v="VMT"/>
    <n v="27085732.650959998"/>
    <n v="33218125.504947431"/>
    <n v="39431287.077003576"/>
    <n v="45357984.857832432"/>
    <n v="51012826.676171504"/>
    <n v="56388433.686208285"/>
    <n v="61478026.493680283"/>
    <n v="66295313.75"/>
    <n v="64796684.875"/>
    <n v="63298056"/>
    <n v="61799427.125"/>
    <n v="60300798.25"/>
    <n v="58802169.375"/>
    <n v="57303540.5"/>
    <n v="55804911.625"/>
    <n v="54306282.75"/>
    <n v="52807653.875"/>
    <n v="51309025"/>
  </r>
  <r>
    <s v="School Bus(private)Electricity"/>
    <s v="NYMTC BPM"/>
    <x v="0"/>
    <x v="0"/>
    <x v="3"/>
    <x v="3"/>
    <s v="(private)"/>
    <x v="2"/>
    <s v="VMT"/>
    <n v="23359.4355"/>
    <n v="0"/>
    <n v="0"/>
    <n v="0"/>
    <n v="0"/>
    <n v="0"/>
    <n v="0"/>
    <n v="0"/>
    <n v="0"/>
    <n v="0"/>
    <n v="0"/>
    <n v="0"/>
    <n v="0"/>
    <n v="0"/>
    <n v="0"/>
    <n v="0"/>
    <n v="0"/>
    <n v="0"/>
  </r>
  <r>
    <s v="School Bus(private)Gasoline"/>
    <s v="NYMTC BPM"/>
    <x v="0"/>
    <x v="0"/>
    <x v="3"/>
    <x v="3"/>
    <s v="(private)"/>
    <x v="3"/>
    <s v="VMT"/>
    <n v="50758729.640155002"/>
    <n v="42067176.115560852"/>
    <n v="34358172.462785266"/>
    <n v="26928291.863415856"/>
    <n v="19777534.317452624"/>
    <n v="12905899.82489557"/>
    <n v="6313388.3857446965"/>
    <n v="0"/>
    <n v="0"/>
    <n v="0"/>
    <n v="0"/>
    <n v="0"/>
    <n v="0"/>
    <n v="0"/>
    <n v="0"/>
    <n v="0"/>
    <n v="0"/>
    <n v="0"/>
  </r>
  <r>
    <s v="SWCV(private)CNG"/>
    <s v="NYMTC BPM"/>
    <x v="0"/>
    <x v="0"/>
    <x v="4"/>
    <x v="1"/>
    <s v="(private)"/>
    <x v="0"/>
    <s v="VMT"/>
    <n v="74582.603264240301"/>
    <n v="63730.38147249836"/>
    <n v="52944.523205146004"/>
    <n v="42224.72192614575"/>
    <n v="31570.672360292403"/>
    <n v="0"/>
    <n v="0"/>
    <n v="0"/>
    <n v="0"/>
    <n v="0"/>
    <n v="0"/>
    <n v="0"/>
    <n v="0"/>
    <n v="0"/>
    <n v="0"/>
    <n v="0"/>
    <n v="0"/>
    <n v="0"/>
  </r>
  <r>
    <s v="SWCV(private)Diesel"/>
    <s v="NYMTC BPM"/>
    <x v="0"/>
    <x v="0"/>
    <x v="4"/>
    <x v="1"/>
    <s v="(private)"/>
    <x v="1"/>
    <s v="VMT"/>
    <n v="21989437.529073495"/>
    <n v="22212693.37572702"/>
    <n v="22434359.299460519"/>
    <n v="22654442.995083969"/>
    <n v="22872952.125031825"/>
    <n v="23089894.319489632"/>
    <n v="23305277.17652018"/>
    <n v="23519108.262189183"/>
    <n v="23433919.231933162"/>
    <n v="23351480.631094594"/>
    <n v="23267666.815547302"/>
    <n v="23183853"/>
    <n v="23100000"/>
    <n v="23016328.948381927"/>
    <n v="22932960.963641729"/>
    <n v="22849894.948033761"/>
    <n v="22767129.807788547"/>
    <n v="22684664.453098383"/>
  </r>
  <r>
    <s v="SWCV(private)Gasoline"/>
    <s v="NYMTC BPM"/>
    <x v="0"/>
    <x v="0"/>
    <x v="4"/>
    <x v="1"/>
    <s v="(private)"/>
    <x v="3"/>
    <s v="VMT"/>
    <n v="1967116.1610943358"/>
    <n v="1680888.8113371427"/>
    <n v="1396411.7995357246"/>
    <n v="1113677.040802093"/>
    <n v="832676.4835027114"/>
    <n v="553402.10913017066"/>
    <n v="275845.93217534176"/>
    <n v="0"/>
    <n v="0"/>
    <n v="0"/>
    <n v="0"/>
    <n v="0"/>
    <n v="0"/>
    <n v="0"/>
    <n v="0"/>
    <n v="0"/>
    <n v="0"/>
    <n v="0"/>
  </r>
  <r>
    <s v="SWCV(public)CNG"/>
    <s v="NYMTC BPM"/>
    <x v="0"/>
    <x v="0"/>
    <x v="4"/>
    <x v="1"/>
    <s v="(public)"/>
    <x v="0"/>
    <s v="VMT"/>
    <n v="241321.16965254617"/>
    <n v="206207.47367664197"/>
    <n v="171308.50503160365"/>
    <n v="136623.2718824473"/>
    <n v="102150.78647376678"/>
    <n v="67890.06511399115"/>
    <n v="33840.1281597005"/>
    <n v="0"/>
    <n v="0"/>
    <n v="0"/>
    <n v="0"/>
    <n v="0"/>
    <n v="0"/>
    <n v="0"/>
    <n v="0"/>
    <n v="0"/>
    <n v="0"/>
    <n v="0"/>
  </r>
  <r>
    <s v="SWCV(public)Diesel"/>
    <s v="NYMTC BPM"/>
    <x v="0"/>
    <x v="0"/>
    <x v="4"/>
    <x v="1"/>
    <s v="(public)"/>
    <x v="1"/>
    <s v="VMT"/>
    <n v="16534156.502557784"/>
    <n v="16529924.35452354"/>
    <n v="16525560.452048697"/>
    <n v="16521065.64990624"/>
    <n v="16516440.798844293"/>
    <n v="16511686.745602818"/>
    <n v="16506804.332930272"/>
    <n v="16501794.399600195"/>
    <n v="16442022.92158688"/>
    <n v="16384181.237010097"/>
    <n v="16325374.655715052"/>
    <n v="16266568.074419999"/>
    <n v="16207734"/>
    <n v="16149027.586661212"/>
    <n v="16090533.815198649"/>
    <n v="16032251.915397184"/>
    <n v="15974181.119831508"/>
    <n v="15916320.663856016"/>
  </r>
  <r>
    <s v="SWCV(public)Diesel Hybrid"/>
    <s v="NYMTC BPM"/>
    <x v="0"/>
    <x v="0"/>
    <x v="4"/>
    <x v="1"/>
    <s v="(public)"/>
    <x v="4"/>
    <s v="VMT"/>
    <n v="87753.152600925881"/>
    <n v="74984.535882415264"/>
    <n v="62294.00182967406"/>
    <n v="49681.189775435392"/>
    <n v="37145.740535915204"/>
    <n v="24687.296405087694"/>
    <n v="0"/>
    <n v="0"/>
    <n v="0"/>
    <n v="0"/>
    <n v="0"/>
    <n v="0"/>
    <n v="0"/>
    <n v="0"/>
    <n v="0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26063A-EB25-4986-9524-E2DDF41D246A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14:G42" firstHeaderRow="0" firstDataRow="1" firstDataCol="1"/>
  <pivotFields count="27">
    <pivotField showAll="0"/>
    <pivotField showAll="0"/>
    <pivotField axis="axisRow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axis="axisRow" showAll="0">
      <items count="8">
        <item x="0"/>
        <item x="1"/>
        <item x="4"/>
        <item x="2"/>
        <item x="6"/>
        <item x="3"/>
        <item x="5"/>
        <item t="default"/>
      </items>
    </pivotField>
    <pivotField showAll="0"/>
    <pivotField dataField="1" numFmtId="180" showAll="0"/>
    <pivotField dataField="1" numFmtId="180" showAll="0"/>
    <pivotField numFmtId="180" showAll="0"/>
    <pivotField dataField="1" numFmtId="180" showAll="0"/>
    <pivotField numFmtId="180" showAll="0"/>
    <pivotField numFmtId="180" showAll="0"/>
    <pivotField numFmtId="180" showAll="0"/>
    <pivotField dataField="1" numFmtId="180" showAll="0"/>
    <pivotField numFmtId="180" showAll="0"/>
    <pivotField numFmtId="180" showAll="0"/>
    <pivotField numFmtId="180" showAll="0"/>
    <pivotField numFmtId="180" showAll="0"/>
    <pivotField dataField="1" numFmtId="180" showAll="0"/>
    <pivotField numFmtId="180" showAll="0"/>
    <pivotField numFmtId="180" showAll="0"/>
    <pivotField numFmtId="180" showAll="0"/>
    <pivotField numFmtId="180" showAll="0"/>
    <pivotField numFmtId="180" showAll="0"/>
  </pivotFields>
  <rowFields count="4">
    <field x="2"/>
    <field x="3"/>
    <field x="5"/>
    <field x="7"/>
  </rowFields>
  <rowItems count="28">
    <i>
      <x/>
    </i>
    <i r="1">
      <x/>
    </i>
    <i r="2">
      <x/>
    </i>
    <i r="3">
      <x v="1"/>
    </i>
    <i r="3">
      <x v="3"/>
    </i>
    <i r="3">
      <x v="5"/>
    </i>
    <i r="2">
      <x v="1"/>
    </i>
    <i r="3">
      <x/>
    </i>
    <i r="3">
      <x v="1"/>
    </i>
    <i r="3">
      <x v="2"/>
    </i>
    <i r="3">
      <x v="3"/>
    </i>
    <i r="3">
      <x v="5"/>
    </i>
    <i r="2">
      <x v="2"/>
    </i>
    <i r="3">
      <x/>
    </i>
    <i r="3">
      <x v="1"/>
    </i>
    <i r="3">
      <x v="2"/>
    </i>
    <i r="3">
      <x v="3"/>
    </i>
    <i r="3">
      <x v="5"/>
    </i>
    <i r="3">
      <x v="6"/>
    </i>
    <i r="2">
      <x v="3"/>
    </i>
    <i r="3">
      <x/>
    </i>
    <i r="3">
      <x v="1"/>
    </i>
    <i r="3">
      <x v="2"/>
    </i>
    <i r="3">
      <x v="3"/>
    </i>
    <i r="3">
      <x v="4"/>
    </i>
    <i r="3">
      <x v="5"/>
    </i>
    <i r="3"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CY2010" fld="21" baseField="0" baseItem="0"/>
    <dataField name="Sum of CY2015" fld="16" baseField="0" baseItem="0"/>
    <dataField name="Sum of CY2019" fld="12" baseField="0" baseItem="0"/>
    <dataField name="Sum of CY2021" fld="10" baseField="0" baseItem="0"/>
    <dataField name="Sum of CY2022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0.xml"/><Relationship Id="rId13" Type="http://schemas.openxmlformats.org/officeDocument/2006/relationships/image" Target="../media/image12.emf"/><Relationship Id="rId18" Type="http://schemas.openxmlformats.org/officeDocument/2006/relationships/control" Target="../activeX/activeX15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9.emf"/><Relationship Id="rId12" Type="http://schemas.openxmlformats.org/officeDocument/2006/relationships/control" Target="../activeX/activeX12.xml"/><Relationship Id="rId17" Type="http://schemas.openxmlformats.org/officeDocument/2006/relationships/image" Target="../media/image14.emf"/><Relationship Id="rId2" Type="http://schemas.openxmlformats.org/officeDocument/2006/relationships/drawing" Target="../drawings/drawing2.xml"/><Relationship Id="rId16" Type="http://schemas.openxmlformats.org/officeDocument/2006/relationships/control" Target="../activeX/activeX14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9.xml"/><Relationship Id="rId11" Type="http://schemas.openxmlformats.org/officeDocument/2006/relationships/image" Target="../media/image11.emf"/><Relationship Id="rId5" Type="http://schemas.openxmlformats.org/officeDocument/2006/relationships/image" Target="../media/image8.emf"/><Relationship Id="rId15" Type="http://schemas.openxmlformats.org/officeDocument/2006/relationships/image" Target="../media/image13.emf"/><Relationship Id="rId10" Type="http://schemas.openxmlformats.org/officeDocument/2006/relationships/control" Target="../activeX/activeX11.xml"/><Relationship Id="rId19" Type="http://schemas.openxmlformats.org/officeDocument/2006/relationships/image" Target="../media/image15.emf"/><Relationship Id="rId4" Type="http://schemas.openxmlformats.org/officeDocument/2006/relationships/control" Target="../activeX/activeX8.xml"/><Relationship Id="rId9" Type="http://schemas.openxmlformats.org/officeDocument/2006/relationships/image" Target="../media/image10.emf"/><Relationship Id="rId14" Type="http://schemas.openxmlformats.org/officeDocument/2006/relationships/control" Target="../activeX/activeX1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8.xml"/><Relationship Id="rId13" Type="http://schemas.openxmlformats.org/officeDocument/2006/relationships/image" Target="../media/image20.emf"/><Relationship Id="rId3" Type="http://schemas.openxmlformats.org/officeDocument/2006/relationships/vmlDrawing" Target="../drawings/vmlDrawing3.vml"/><Relationship Id="rId7" Type="http://schemas.openxmlformats.org/officeDocument/2006/relationships/image" Target="../media/image17.emf"/><Relationship Id="rId12" Type="http://schemas.openxmlformats.org/officeDocument/2006/relationships/control" Target="../activeX/activeX2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17.xml"/><Relationship Id="rId11" Type="http://schemas.openxmlformats.org/officeDocument/2006/relationships/image" Target="../media/image19.emf"/><Relationship Id="rId5" Type="http://schemas.openxmlformats.org/officeDocument/2006/relationships/image" Target="../media/image16.emf"/><Relationship Id="rId10" Type="http://schemas.openxmlformats.org/officeDocument/2006/relationships/control" Target="../activeX/activeX19.xml"/><Relationship Id="rId4" Type="http://schemas.openxmlformats.org/officeDocument/2006/relationships/control" Target="../activeX/activeX16.xml"/><Relationship Id="rId9" Type="http://schemas.openxmlformats.org/officeDocument/2006/relationships/image" Target="../media/image18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3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22.emf"/><Relationship Id="rId12" Type="http://schemas.openxmlformats.org/officeDocument/2006/relationships/control" Target="../activeX/activeX2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22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0" Type="http://schemas.openxmlformats.org/officeDocument/2006/relationships/control" Target="../activeX/activeX24.xml"/><Relationship Id="rId4" Type="http://schemas.openxmlformats.org/officeDocument/2006/relationships/control" Target="../activeX/activeX21.xml"/><Relationship Id="rId9" Type="http://schemas.openxmlformats.org/officeDocument/2006/relationships/image" Target="../media/image23.emf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8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27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27.xml"/><Relationship Id="rId11" Type="http://schemas.openxmlformats.org/officeDocument/2006/relationships/image" Target="../media/image29.emf"/><Relationship Id="rId5" Type="http://schemas.openxmlformats.org/officeDocument/2006/relationships/image" Target="../media/image26.emf"/><Relationship Id="rId10" Type="http://schemas.openxmlformats.org/officeDocument/2006/relationships/control" Target="../activeX/activeX29.xml"/><Relationship Id="rId4" Type="http://schemas.openxmlformats.org/officeDocument/2006/relationships/control" Target="../activeX/activeX26.xml"/><Relationship Id="rId9" Type="http://schemas.openxmlformats.org/officeDocument/2006/relationships/image" Target="../media/image28.emf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31.emf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6.xml"/><Relationship Id="rId13" Type="http://schemas.openxmlformats.org/officeDocument/2006/relationships/image" Target="../media/image38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35.emf"/><Relationship Id="rId12" Type="http://schemas.openxmlformats.org/officeDocument/2006/relationships/control" Target="../activeX/activeX38.xml"/><Relationship Id="rId17" Type="http://schemas.openxmlformats.org/officeDocument/2006/relationships/image" Target="../media/image40.emf"/><Relationship Id="rId2" Type="http://schemas.openxmlformats.org/officeDocument/2006/relationships/drawing" Target="../drawings/drawing7.xml"/><Relationship Id="rId16" Type="http://schemas.openxmlformats.org/officeDocument/2006/relationships/control" Target="../activeX/activeX40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35.xml"/><Relationship Id="rId11" Type="http://schemas.openxmlformats.org/officeDocument/2006/relationships/image" Target="../media/image37.emf"/><Relationship Id="rId5" Type="http://schemas.openxmlformats.org/officeDocument/2006/relationships/image" Target="../media/image34.emf"/><Relationship Id="rId15" Type="http://schemas.openxmlformats.org/officeDocument/2006/relationships/image" Target="../media/image39.emf"/><Relationship Id="rId10" Type="http://schemas.openxmlformats.org/officeDocument/2006/relationships/control" Target="../activeX/activeX37.xml"/><Relationship Id="rId4" Type="http://schemas.openxmlformats.org/officeDocument/2006/relationships/control" Target="../activeX/activeX34.xml"/><Relationship Id="rId9" Type="http://schemas.openxmlformats.org/officeDocument/2006/relationships/image" Target="../media/image36.emf"/><Relationship Id="rId14" Type="http://schemas.openxmlformats.org/officeDocument/2006/relationships/control" Target="../activeX/activeX39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3.xml"/><Relationship Id="rId13" Type="http://schemas.openxmlformats.org/officeDocument/2006/relationships/image" Target="../media/image45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42.emf"/><Relationship Id="rId12" Type="http://schemas.openxmlformats.org/officeDocument/2006/relationships/control" Target="../activeX/activeX4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42.xml"/><Relationship Id="rId11" Type="http://schemas.openxmlformats.org/officeDocument/2006/relationships/image" Target="../media/image44.emf"/><Relationship Id="rId5" Type="http://schemas.openxmlformats.org/officeDocument/2006/relationships/image" Target="../media/image41.emf"/><Relationship Id="rId10" Type="http://schemas.openxmlformats.org/officeDocument/2006/relationships/control" Target="../activeX/activeX44.xml"/><Relationship Id="rId4" Type="http://schemas.openxmlformats.org/officeDocument/2006/relationships/control" Target="../activeX/activeX41.xml"/><Relationship Id="rId9" Type="http://schemas.openxmlformats.org/officeDocument/2006/relationships/image" Target="../media/image43.emf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8.xml"/><Relationship Id="rId13" Type="http://schemas.openxmlformats.org/officeDocument/2006/relationships/image" Target="../media/image50.emf"/><Relationship Id="rId3" Type="http://schemas.openxmlformats.org/officeDocument/2006/relationships/vmlDrawing" Target="../drawings/vmlDrawing9.vml"/><Relationship Id="rId7" Type="http://schemas.openxmlformats.org/officeDocument/2006/relationships/image" Target="../media/image47.emf"/><Relationship Id="rId12" Type="http://schemas.openxmlformats.org/officeDocument/2006/relationships/control" Target="../activeX/activeX50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47.xml"/><Relationship Id="rId11" Type="http://schemas.openxmlformats.org/officeDocument/2006/relationships/image" Target="../media/image49.emf"/><Relationship Id="rId5" Type="http://schemas.openxmlformats.org/officeDocument/2006/relationships/image" Target="../media/image46.emf"/><Relationship Id="rId10" Type="http://schemas.openxmlformats.org/officeDocument/2006/relationships/control" Target="../activeX/activeX49.xml"/><Relationship Id="rId4" Type="http://schemas.openxmlformats.org/officeDocument/2006/relationships/control" Target="../activeX/activeX46.xml"/><Relationship Id="rId9" Type="http://schemas.openxmlformats.org/officeDocument/2006/relationships/image" Target="../media/image48.emf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3.xml"/><Relationship Id="rId13" Type="http://schemas.openxmlformats.org/officeDocument/2006/relationships/image" Target="../media/image55.emf"/><Relationship Id="rId3" Type="http://schemas.openxmlformats.org/officeDocument/2006/relationships/vmlDrawing" Target="../drawings/vmlDrawing10.vml"/><Relationship Id="rId7" Type="http://schemas.openxmlformats.org/officeDocument/2006/relationships/image" Target="../media/image52.emf"/><Relationship Id="rId12" Type="http://schemas.openxmlformats.org/officeDocument/2006/relationships/control" Target="../activeX/activeX55.xml"/><Relationship Id="rId17" Type="http://schemas.openxmlformats.org/officeDocument/2006/relationships/image" Target="../media/image57.emf"/><Relationship Id="rId2" Type="http://schemas.openxmlformats.org/officeDocument/2006/relationships/drawing" Target="../drawings/drawing10.xml"/><Relationship Id="rId16" Type="http://schemas.openxmlformats.org/officeDocument/2006/relationships/control" Target="../activeX/activeX57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52.xml"/><Relationship Id="rId11" Type="http://schemas.openxmlformats.org/officeDocument/2006/relationships/image" Target="../media/image54.emf"/><Relationship Id="rId5" Type="http://schemas.openxmlformats.org/officeDocument/2006/relationships/image" Target="../media/image51.emf"/><Relationship Id="rId15" Type="http://schemas.openxmlformats.org/officeDocument/2006/relationships/image" Target="../media/image56.emf"/><Relationship Id="rId10" Type="http://schemas.openxmlformats.org/officeDocument/2006/relationships/control" Target="../activeX/activeX54.xml"/><Relationship Id="rId4" Type="http://schemas.openxmlformats.org/officeDocument/2006/relationships/control" Target="../activeX/activeX51.xml"/><Relationship Id="rId9" Type="http://schemas.openxmlformats.org/officeDocument/2006/relationships/image" Target="../media/image53.emf"/><Relationship Id="rId14" Type="http://schemas.openxmlformats.org/officeDocument/2006/relationships/control" Target="../activeX/activeX56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0.xml"/><Relationship Id="rId13" Type="http://schemas.openxmlformats.org/officeDocument/2006/relationships/image" Target="../media/image62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59.emf"/><Relationship Id="rId12" Type="http://schemas.openxmlformats.org/officeDocument/2006/relationships/control" Target="../activeX/activeX62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59.xml"/><Relationship Id="rId11" Type="http://schemas.openxmlformats.org/officeDocument/2006/relationships/image" Target="../media/image61.emf"/><Relationship Id="rId5" Type="http://schemas.openxmlformats.org/officeDocument/2006/relationships/image" Target="../media/image58.emf"/><Relationship Id="rId15" Type="http://schemas.openxmlformats.org/officeDocument/2006/relationships/image" Target="../media/image63.emf"/><Relationship Id="rId10" Type="http://schemas.openxmlformats.org/officeDocument/2006/relationships/control" Target="../activeX/activeX61.xml"/><Relationship Id="rId4" Type="http://schemas.openxmlformats.org/officeDocument/2006/relationships/control" Target="../activeX/activeX58.xml"/><Relationship Id="rId9" Type="http://schemas.openxmlformats.org/officeDocument/2006/relationships/image" Target="../media/image60.emf"/><Relationship Id="rId14" Type="http://schemas.openxmlformats.org/officeDocument/2006/relationships/control" Target="../activeX/activeX63.xml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6.xml"/><Relationship Id="rId13" Type="http://schemas.openxmlformats.org/officeDocument/2006/relationships/image" Target="../media/image68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65.emf"/><Relationship Id="rId12" Type="http://schemas.openxmlformats.org/officeDocument/2006/relationships/control" Target="../activeX/activeX68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65.xml"/><Relationship Id="rId11" Type="http://schemas.openxmlformats.org/officeDocument/2006/relationships/image" Target="../media/image67.emf"/><Relationship Id="rId5" Type="http://schemas.openxmlformats.org/officeDocument/2006/relationships/image" Target="../media/image64.emf"/><Relationship Id="rId15" Type="http://schemas.openxmlformats.org/officeDocument/2006/relationships/image" Target="../media/image69.emf"/><Relationship Id="rId10" Type="http://schemas.openxmlformats.org/officeDocument/2006/relationships/control" Target="../activeX/activeX67.xml"/><Relationship Id="rId4" Type="http://schemas.openxmlformats.org/officeDocument/2006/relationships/control" Target="../activeX/activeX64.xml"/><Relationship Id="rId9" Type="http://schemas.openxmlformats.org/officeDocument/2006/relationships/image" Target="../media/image66.emf"/><Relationship Id="rId14" Type="http://schemas.openxmlformats.org/officeDocument/2006/relationships/control" Target="../activeX/activeX6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7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0</v>
      </c>
      <c r="B1" s="12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5303" r:id="rId4" name="cmdRefreshUnits">
          <controlPr defaultSize="0" autoLine="0" r:id="rId5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55303" r:id="rId4" name="cmdRefreshUnits"/>
      </mc:Fallback>
    </mc:AlternateContent>
    <mc:AlternateContent xmlns:mc="http://schemas.openxmlformats.org/markup-compatibility/2006">
      <mc:Choice Requires="x14">
        <control shapeId="55302" r:id="rId6" name="cmdCommUnit">
          <controlPr defaultSize="0" autoLine="0" r:id="rId7">
            <anchor moveWithCells="1">
              <from>
                <xdr:col>3</xdr:col>
                <xdr:colOff>9525</xdr:colOff>
                <xdr:row>4</xdr:row>
                <xdr:rowOff>171450</xdr:rowOff>
              </from>
              <to>
                <xdr:col>3</xdr:col>
                <xdr:colOff>676275</xdr:colOff>
                <xdr:row>5</xdr:row>
                <xdr:rowOff>190500</xdr:rowOff>
              </to>
            </anchor>
          </controlPr>
        </control>
      </mc:Choice>
      <mc:Fallback>
        <control shapeId="55302" r:id="rId6" name="cmdCommUnit"/>
      </mc:Fallback>
    </mc:AlternateContent>
    <mc:AlternateContent xmlns:mc="http://schemas.openxmlformats.org/markup-compatibility/2006">
      <mc:Choice Requires="x14">
        <control shapeId="55301" r:id="rId8" name="cmdCheckCommoditiesSheet">
          <controlPr defaultSize="0" autoLine="0" autoPict="0" r:id="rId9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55301" r:id="rId8" name="cmdCheckCommoditiesSheet"/>
      </mc:Fallback>
    </mc:AlternateContent>
    <mc:AlternateContent xmlns:mc="http://schemas.openxmlformats.org/markup-compatibility/2006">
      <mc:Choice Requires="x14">
        <control shapeId="55300" r:id="rId10" name="cmdMaterialSets">
          <controlPr defaultSize="0" autoLine="0" r:id="rId11">
            <anchor moveWithCells="1">
              <from>
                <xdr:col>4</xdr:col>
                <xdr:colOff>1000125</xdr:colOff>
                <xdr:row>3</xdr:row>
                <xdr:rowOff>95250</xdr:rowOff>
              </from>
              <to>
                <xdr:col>4</xdr:col>
                <xdr:colOff>1971675</xdr:colOff>
                <xdr:row>4</xdr:row>
                <xdr:rowOff>114300</xdr:rowOff>
              </to>
            </anchor>
          </controlPr>
        </control>
      </mc:Choice>
      <mc:Fallback>
        <control shapeId="55300" r:id="rId10" name="cmdMaterialSets"/>
      </mc:Fallback>
    </mc:AlternateContent>
    <mc:AlternateContent xmlns:mc="http://schemas.openxmlformats.org/markup-compatibility/2006">
      <mc:Choice Requires="x14">
        <control shapeId="55299" r:id="rId12" name="cmdEmissionSets">
          <controlPr defaultSize="0" autoLine="0" r:id="rId13">
            <anchor moveWithCells="1">
              <from>
                <xdr:col>4</xdr:col>
                <xdr:colOff>1000125</xdr:colOff>
                <xdr:row>4</xdr:row>
                <xdr:rowOff>171450</xdr:rowOff>
              </from>
              <to>
                <xdr:col>4</xdr:col>
                <xdr:colOff>1971675</xdr:colOff>
                <xdr:row>5</xdr:row>
                <xdr:rowOff>190500</xdr:rowOff>
              </to>
            </anchor>
          </controlPr>
        </control>
      </mc:Choice>
      <mc:Fallback>
        <control shapeId="55299" r:id="rId12" name="cmdEmissionSets"/>
      </mc:Fallback>
    </mc:AlternateContent>
    <mc:AlternateContent xmlns:mc="http://schemas.openxmlformats.org/markup-compatibility/2006">
      <mc:Choice Requires="x14">
        <control shapeId="55298" r:id="rId14" name="cmdDemandSets">
          <controlPr defaultSize="0" autoLine="0" r:id="rId15">
            <anchor moveWithCells="1">
              <from>
                <xdr:col>4</xdr:col>
                <xdr:colOff>9525</xdr:colOff>
                <xdr:row>4</xdr:row>
                <xdr:rowOff>171450</xdr:rowOff>
              </from>
              <to>
                <xdr:col>4</xdr:col>
                <xdr:colOff>981075</xdr:colOff>
                <xdr:row>5</xdr:row>
                <xdr:rowOff>190500</xdr:rowOff>
              </to>
            </anchor>
          </controlPr>
        </control>
      </mc:Choice>
      <mc:Fallback>
        <control shapeId="55298" r:id="rId14" name="cmdDemandSets"/>
      </mc:Fallback>
    </mc:AlternateContent>
    <mc:AlternateContent xmlns:mc="http://schemas.openxmlformats.org/markup-compatibility/2006">
      <mc:Choice Requires="x14">
        <control shapeId="55297" r:id="rId16" name="cmdEnergySets">
          <controlPr defaultSize="0" autoLine="0" r:id="rId17">
            <anchor moveWithCells="1">
              <from>
                <xdr:col>4</xdr:col>
                <xdr:colOff>9525</xdr:colOff>
                <xdr:row>3</xdr:row>
                <xdr:rowOff>95250</xdr:rowOff>
              </from>
              <to>
                <xdr:col>4</xdr:col>
                <xdr:colOff>981075</xdr:colOff>
                <xdr:row>4</xdr:row>
                <xdr:rowOff>114300</xdr:rowOff>
              </to>
            </anchor>
          </controlPr>
        </control>
      </mc:Choice>
      <mc:Fallback>
        <control shapeId="55297" r:id="rId16" name="cmdEnergySe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2.75" x14ac:dyDescent="0.2"/>
  <cols>
    <col min="1" max="1" width="12.5703125" customWidth="1"/>
    <col min="2" max="2" width="12.28515625" customWidth="1"/>
    <col min="3" max="3" width="29.7109375" customWidth="1"/>
    <col min="4" max="4" width="10.28515625" customWidth="1"/>
    <col min="5" max="5" width="29.7109375" customWidth="1"/>
    <col min="6" max="6" width="10.28515625" customWidth="1"/>
  </cols>
  <sheetData>
    <row r="1" spans="1:6" x14ac:dyDescent="0.2">
      <c r="A1" s="1" t="s">
        <v>0</v>
      </c>
      <c r="B1" s="12"/>
    </row>
    <row r="4" spans="1:6" ht="17.2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9" spans="1:6" x14ac:dyDescent="0.2">
      <c r="D9" s="2"/>
      <c r="E9" s="2"/>
    </row>
    <row r="11" spans="1:6" x14ac:dyDescent="0.2">
      <c r="B11" s="2"/>
      <c r="C11" s="2"/>
      <c r="D11" s="11"/>
      <c r="E11" s="11"/>
    </row>
    <row r="12" spans="1:6" x14ac:dyDescent="0.2">
      <c r="B12" s="2"/>
      <c r="C12" s="2"/>
      <c r="E12" s="2"/>
    </row>
    <row r="13" spans="1:6" x14ac:dyDescent="0.2">
      <c r="B13" s="2"/>
      <c r="C13" s="2"/>
    </row>
    <row r="14" spans="1:6" x14ac:dyDescent="0.2">
      <c r="B14" s="2"/>
      <c r="C14" s="2"/>
      <c r="D14" s="5"/>
    </row>
    <row r="15" spans="1:6" x14ac:dyDescent="0.2">
      <c r="B15" s="2"/>
      <c r="C15" s="2"/>
      <c r="E15" s="2"/>
    </row>
    <row r="16" spans="1:6" x14ac:dyDescent="0.2">
      <c r="B16" s="2"/>
      <c r="C16" s="2"/>
      <c r="E16" s="2"/>
    </row>
    <row r="17" spans="2:5" x14ac:dyDescent="0.2">
      <c r="B17" s="2"/>
      <c r="C17" s="2"/>
      <c r="E17" s="2"/>
    </row>
    <row r="18" spans="2:5" x14ac:dyDescent="0.2">
      <c r="B18" s="2"/>
      <c r="C18" s="2"/>
      <c r="E18" s="2"/>
    </row>
    <row r="19" spans="2:5" x14ac:dyDescent="0.2">
      <c r="B19" s="2"/>
      <c r="C19" s="2"/>
      <c r="E19" s="2"/>
    </row>
    <row r="20" spans="2:5" x14ac:dyDescent="0.2">
      <c r="D20" s="5"/>
    </row>
    <row r="21" spans="2:5" x14ac:dyDescent="0.2">
      <c r="E21" s="2"/>
    </row>
    <row r="23" spans="2:5" x14ac:dyDescent="0.2">
      <c r="B23" s="2"/>
      <c r="C23" s="2"/>
      <c r="D23" s="2"/>
      <c r="E23" s="2"/>
    </row>
    <row r="24" spans="2:5" x14ac:dyDescent="0.2">
      <c r="B24" s="2"/>
      <c r="C24" s="2"/>
    </row>
    <row r="25" spans="2:5" x14ac:dyDescent="0.2">
      <c r="B25" s="2"/>
      <c r="C25" s="2"/>
      <c r="D25" s="5"/>
      <c r="E25" s="2"/>
    </row>
    <row r="26" spans="2:5" x14ac:dyDescent="0.2">
      <c r="B26" s="3"/>
      <c r="C26" s="2"/>
      <c r="E26" s="2"/>
    </row>
    <row r="27" spans="2:5" x14ac:dyDescent="0.2">
      <c r="E27" s="2"/>
    </row>
    <row r="29" spans="2:5" x14ac:dyDescent="0.2">
      <c r="B29" s="2"/>
      <c r="C29" s="2"/>
      <c r="D29" s="2"/>
      <c r="E29" s="2"/>
    </row>
    <row r="30" spans="2:5" x14ac:dyDescent="0.2">
      <c r="B30" s="2"/>
      <c r="C30" s="2"/>
    </row>
    <row r="31" spans="2:5" x14ac:dyDescent="0.2">
      <c r="B31" s="2"/>
      <c r="C31" s="2"/>
      <c r="E31" s="2"/>
    </row>
    <row r="32" spans="2:5" x14ac:dyDescent="0.2">
      <c r="B32" s="2"/>
      <c r="C32" s="2"/>
      <c r="E32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74" r:id="rId4" name="cmdTaxSubSets">
          <controlPr defaultSize="0" autoLine="0" r:id="rId5">
            <anchor moveWithCells="1">
              <from>
                <xdr:col>4</xdr:col>
                <xdr:colOff>542925</xdr:colOff>
                <xdr:row>2</xdr:row>
                <xdr:rowOff>0</xdr:rowOff>
              </from>
              <to>
                <xdr:col>4</xdr:col>
                <xdr:colOff>1514475</xdr:colOff>
                <xdr:row>3</xdr:row>
                <xdr:rowOff>76200</xdr:rowOff>
              </to>
            </anchor>
          </controlPr>
        </control>
      </mc:Choice>
      <mc:Fallback>
        <control shapeId="2074" r:id="rId4" name="cmdTaxSubSets"/>
      </mc:Fallback>
    </mc:AlternateContent>
    <mc:AlternateContent xmlns:mc="http://schemas.openxmlformats.org/markup-compatibility/2006">
      <mc:Choice Requires="x14">
        <control shapeId="2073" r:id="rId6" name="cmdRefreshUnits">
          <controlPr defaultSize="0" autoLine="0" r:id="rId7">
            <anchor moveWithCells="1">
              <from>
                <xdr:col>3</xdr:col>
                <xdr:colOff>66675</xdr:colOff>
                <xdr:row>2</xdr:row>
                <xdr:rowOff>114300</xdr:rowOff>
              </from>
              <to>
                <xdr:col>3</xdr:col>
                <xdr:colOff>619125</xdr:colOff>
                <xdr:row>4</xdr:row>
                <xdr:rowOff>104775</xdr:rowOff>
              </to>
            </anchor>
          </controlPr>
        </control>
      </mc:Choice>
      <mc:Fallback>
        <control shapeId="2073" r:id="rId6" name="cmdRefreshUnits"/>
      </mc:Fallback>
    </mc:AlternateContent>
    <mc:AlternateContent xmlns:mc="http://schemas.openxmlformats.org/markup-compatibility/2006">
      <mc:Choice Requires="x14">
        <control shapeId="2063" r:id="rId8" name="cmdCommUnit">
          <controlPr defaultSize="0" autoLine="0" r:id="rId9">
            <anchor moveWithCells="1">
              <from>
                <xdr:col>3</xdr:col>
                <xdr:colOff>9525</xdr:colOff>
                <xdr:row>4</xdr:row>
                <xdr:rowOff>171450</xdr:rowOff>
              </from>
              <to>
                <xdr:col>3</xdr:col>
                <xdr:colOff>676275</xdr:colOff>
                <xdr:row>5</xdr:row>
                <xdr:rowOff>190500</xdr:rowOff>
              </to>
            </anchor>
          </controlPr>
        </control>
      </mc:Choice>
      <mc:Fallback>
        <control shapeId="2063" r:id="rId8" name="cmdCommUnit"/>
      </mc:Fallback>
    </mc:AlternateContent>
    <mc:AlternateContent xmlns:mc="http://schemas.openxmlformats.org/markup-compatibility/2006">
      <mc:Choice Requires="x14">
        <control shapeId="2061" r:id="rId10" name="cmdCheckCommodities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142875</xdr:rowOff>
              </from>
              <to>
                <xdr:col>0</xdr:col>
                <xdr:colOff>828675</xdr:colOff>
                <xdr:row>4</xdr:row>
                <xdr:rowOff>0</xdr:rowOff>
              </to>
            </anchor>
          </controlPr>
        </control>
      </mc:Choice>
      <mc:Fallback>
        <control shapeId="2061" r:id="rId10" name="cmdCheckCommoditiesSheet"/>
      </mc:Fallback>
    </mc:AlternateContent>
    <mc:AlternateContent xmlns:mc="http://schemas.openxmlformats.org/markup-compatibility/2006">
      <mc:Choice Requires="x14">
        <control shapeId="2053" r:id="rId12" name="cmdMaterialSets">
          <controlPr defaultSize="0" autoLine="0" r:id="rId13">
            <anchor moveWithCells="1">
              <from>
                <xdr:col>4</xdr:col>
                <xdr:colOff>1000125</xdr:colOff>
                <xdr:row>3</xdr:row>
                <xdr:rowOff>95250</xdr:rowOff>
              </from>
              <to>
                <xdr:col>4</xdr:col>
                <xdr:colOff>1971675</xdr:colOff>
                <xdr:row>4</xdr:row>
                <xdr:rowOff>114300</xdr:rowOff>
              </to>
            </anchor>
          </controlPr>
        </control>
      </mc:Choice>
      <mc:Fallback>
        <control shapeId="2053" r:id="rId12" name="cmdMaterialSets"/>
      </mc:Fallback>
    </mc:AlternateContent>
    <mc:AlternateContent xmlns:mc="http://schemas.openxmlformats.org/markup-compatibility/2006">
      <mc:Choice Requires="x14">
        <control shapeId="2052" r:id="rId14" name="cmdEmissionSets">
          <controlPr defaultSize="0" autoLine="0" r:id="rId15">
            <anchor moveWithCells="1">
              <from>
                <xdr:col>4</xdr:col>
                <xdr:colOff>1000125</xdr:colOff>
                <xdr:row>4</xdr:row>
                <xdr:rowOff>171450</xdr:rowOff>
              </from>
              <to>
                <xdr:col>4</xdr:col>
                <xdr:colOff>1971675</xdr:colOff>
                <xdr:row>5</xdr:row>
                <xdr:rowOff>190500</xdr:rowOff>
              </to>
            </anchor>
          </controlPr>
        </control>
      </mc:Choice>
      <mc:Fallback>
        <control shapeId="2052" r:id="rId14" name="cmdEmissionSets"/>
      </mc:Fallback>
    </mc:AlternateContent>
    <mc:AlternateContent xmlns:mc="http://schemas.openxmlformats.org/markup-compatibility/2006">
      <mc:Choice Requires="x14">
        <control shapeId="2051" r:id="rId16" name="cmdDemandSets">
          <controlPr defaultSize="0" autoLine="0" r:id="rId17">
            <anchor moveWithCells="1">
              <from>
                <xdr:col>4</xdr:col>
                <xdr:colOff>9525</xdr:colOff>
                <xdr:row>4</xdr:row>
                <xdr:rowOff>171450</xdr:rowOff>
              </from>
              <to>
                <xdr:col>4</xdr:col>
                <xdr:colOff>981075</xdr:colOff>
                <xdr:row>5</xdr:row>
                <xdr:rowOff>190500</xdr:rowOff>
              </to>
            </anchor>
          </controlPr>
        </control>
      </mc:Choice>
      <mc:Fallback>
        <control shapeId="2051" r:id="rId16" name="cmdDemandSets"/>
      </mc:Fallback>
    </mc:AlternateContent>
    <mc:AlternateContent xmlns:mc="http://schemas.openxmlformats.org/markup-compatibility/2006">
      <mc:Choice Requires="x14">
        <control shapeId="2049" r:id="rId18" name="cmdEnergySets">
          <controlPr defaultSize="0" autoLine="0" r:id="rId19">
            <anchor moveWithCells="1">
              <from>
                <xdr:col>4</xdr:col>
                <xdr:colOff>9525</xdr:colOff>
                <xdr:row>3</xdr:row>
                <xdr:rowOff>95250</xdr:rowOff>
              </from>
              <to>
                <xdr:col>4</xdr:col>
                <xdr:colOff>981075</xdr:colOff>
                <xdr:row>4</xdr:row>
                <xdr:rowOff>114300</xdr:rowOff>
              </to>
            </anchor>
          </controlPr>
        </control>
      </mc:Choice>
      <mc:Fallback>
        <control shapeId="2049" r:id="rId18" name="cmdEnergySe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0CB93-39ED-433F-AE66-78A2C3B9710A}">
  <sheetPr>
    <tabColor theme="8"/>
  </sheetPr>
  <dimension ref="A4:Q118"/>
  <sheetViews>
    <sheetView topLeftCell="A106" zoomScaleNormal="100" workbookViewId="0">
      <selection activeCell="J116" sqref="J116"/>
    </sheetView>
  </sheetViews>
  <sheetFormatPr defaultRowHeight="12.75" x14ac:dyDescent="0.2"/>
  <cols>
    <col min="1" max="1" width="25.5703125" bestFit="1" customWidth="1"/>
    <col min="2" max="2" width="52.5703125" bestFit="1" customWidth="1"/>
    <col min="3" max="3" width="42.85546875" bestFit="1" customWidth="1"/>
    <col min="6" max="6" width="16.85546875" bestFit="1" customWidth="1"/>
  </cols>
  <sheetData>
    <row r="4" spans="1:17" x14ac:dyDescent="0.2">
      <c r="A4" s="17" t="s">
        <v>53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9"/>
      <c r="O4" s="19"/>
    </row>
    <row r="5" spans="1:17" x14ac:dyDescent="0.2">
      <c r="A5" s="18"/>
      <c r="B5" s="18"/>
      <c r="C5" s="18"/>
      <c r="D5" s="18"/>
      <c r="E5" s="12"/>
      <c r="F5" s="17" t="s">
        <v>61</v>
      </c>
      <c r="G5" s="18"/>
      <c r="H5" s="18"/>
      <c r="I5" s="18"/>
      <c r="J5" s="18"/>
      <c r="K5" s="18"/>
      <c r="L5" s="18"/>
      <c r="M5" s="18"/>
      <c r="N5" s="18"/>
      <c r="O5" s="18"/>
    </row>
    <row r="6" spans="1:17" ht="26.25" thickBot="1" x14ac:dyDescent="0.25">
      <c r="A6" s="20" t="s">
        <v>54</v>
      </c>
      <c r="B6" s="20" t="s">
        <v>62</v>
      </c>
      <c r="C6" s="20" t="s">
        <v>63</v>
      </c>
      <c r="D6" s="21" t="s">
        <v>55</v>
      </c>
      <c r="E6" s="21" t="s">
        <v>56</v>
      </c>
      <c r="F6" s="21" t="s">
        <v>57</v>
      </c>
      <c r="G6" s="20" t="s">
        <v>51</v>
      </c>
      <c r="H6" s="21" t="s">
        <v>52</v>
      </c>
      <c r="I6" s="22" t="s">
        <v>58</v>
      </c>
      <c r="J6" s="22" t="s">
        <v>59</v>
      </c>
      <c r="K6" s="23" t="s">
        <v>60</v>
      </c>
      <c r="L6" s="23" t="s">
        <v>26</v>
      </c>
      <c r="M6" s="23" t="s">
        <v>15</v>
      </c>
      <c r="N6" s="23" t="s">
        <v>16</v>
      </c>
      <c r="O6" s="23" t="s">
        <v>17</v>
      </c>
      <c r="P6" s="23" t="s">
        <v>18</v>
      </c>
      <c r="Q6" s="23" t="s">
        <v>19</v>
      </c>
    </row>
    <row r="7" spans="1:17" x14ac:dyDescent="0.2">
      <c r="A7" s="24" t="str">
        <f>"UC_"&amp;"NCAP"&amp;D7&amp;"MC"</f>
        <v>UC_NCAPTLMC</v>
      </c>
      <c r="B7" s="24" t="s">
        <v>64</v>
      </c>
      <c r="C7" s="24" t="s">
        <v>79</v>
      </c>
      <c r="D7" s="25" t="s">
        <v>9</v>
      </c>
      <c r="E7" s="25"/>
      <c r="F7" s="25"/>
      <c r="G7" s="25">
        <v>2020</v>
      </c>
      <c r="H7" s="27" t="s">
        <v>29</v>
      </c>
      <c r="I7" s="25">
        <v>0</v>
      </c>
      <c r="J7" s="25">
        <v>5</v>
      </c>
      <c r="K7" s="28"/>
      <c r="L7" s="28"/>
      <c r="M7" s="28">
        <f>1+M8</f>
        <v>0.99274707240856719</v>
      </c>
      <c r="N7" s="28">
        <f t="shared" ref="N7:Q7" si="0">1+N8</f>
        <v>0.99274707240856719</v>
      </c>
      <c r="O7" s="28">
        <f t="shared" si="0"/>
        <v>0.99274707240856719</v>
      </c>
      <c r="P7" s="28">
        <f t="shared" si="0"/>
        <v>0.99274707240856719</v>
      </c>
      <c r="Q7" s="28">
        <f t="shared" si="0"/>
        <v>0.99274707240856719</v>
      </c>
    </row>
    <row r="8" spans="1:17" x14ac:dyDescent="0.2">
      <c r="A8" s="29"/>
      <c r="B8" s="24" t="s">
        <v>64</v>
      </c>
      <c r="C8" s="42" t="s">
        <v>80</v>
      </c>
      <c r="D8" s="25" t="s">
        <v>9</v>
      </c>
      <c r="E8" s="25"/>
      <c r="F8" s="25"/>
      <c r="G8" s="25">
        <v>2020</v>
      </c>
      <c r="H8" s="27"/>
      <c r="I8" s="25"/>
      <c r="J8" s="25"/>
      <c r="K8" s="30"/>
      <c r="L8" s="30"/>
      <c r="M8" s="30">
        <v>-7.2529275914327901E-3</v>
      </c>
      <c r="N8" s="30">
        <f t="shared" ref="N8:N28" si="1">M8</f>
        <v>-7.2529275914327901E-3</v>
      </c>
      <c r="O8" s="30">
        <f t="shared" ref="O8:Q8" si="2">N8</f>
        <v>-7.2529275914327901E-3</v>
      </c>
      <c r="P8" s="30">
        <f t="shared" si="2"/>
        <v>-7.2529275914327901E-3</v>
      </c>
      <c r="Q8" s="30">
        <f t="shared" si="2"/>
        <v>-7.2529275914327901E-3</v>
      </c>
    </row>
    <row r="9" spans="1:17" x14ac:dyDescent="0.2">
      <c r="A9" s="29"/>
      <c r="B9" s="24" t="s">
        <v>64</v>
      </c>
      <c r="C9" s="24" t="s">
        <v>79</v>
      </c>
      <c r="D9" s="25" t="s">
        <v>9</v>
      </c>
      <c r="E9" s="25"/>
      <c r="F9" s="25"/>
      <c r="G9" s="25">
        <v>2030</v>
      </c>
      <c r="H9" s="27"/>
      <c r="I9" s="25"/>
      <c r="J9" s="25"/>
      <c r="K9" s="28"/>
      <c r="L9" s="28"/>
      <c r="M9" s="28">
        <f>1+M10</f>
        <v>0.99220817841950992</v>
      </c>
      <c r="N9" s="28">
        <f t="shared" ref="N9" si="3">1+N10</f>
        <v>0.99220817841950992</v>
      </c>
      <c r="O9" s="28">
        <f t="shared" ref="O9" si="4">1+O10</f>
        <v>0.99220817841950992</v>
      </c>
      <c r="P9" s="28">
        <f t="shared" ref="P9" si="5">1+P10</f>
        <v>0.99220817841950992</v>
      </c>
      <c r="Q9" s="28">
        <f t="shared" ref="Q9" si="6">1+Q10</f>
        <v>0.99220817841950992</v>
      </c>
    </row>
    <row r="10" spans="1:17" x14ac:dyDescent="0.2">
      <c r="A10" s="29"/>
      <c r="B10" s="24" t="s">
        <v>64</v>
      </c>
      <c r="C10" s="25" t="s">
        <v>80</v>
      </c>
      <c r="D10" s="25" t="s">
        <v>9</v>
      </c>
      <c r="E10" s="25"/>
      <c r="F10" s="25"/>
      <c r="G10" s="25">
        <v>2030</v>
      </c>
      <c r="H10" s="27"/>
      <c r="I10" s="25"/>
      <c r="J10" s="25"/>
      <c r="K10" s="30"/>
      <c r="L10" s="30"/>
      <c r="M10" s="30">
        <v>-7.7918215804900623E-3</v>
      </c>
      <c r="N10" s="30">
        <f t="shared" si="1"/>
        <v>-7.7918215804900623E-3</v>
      </c>
      <c r="O10" s="30">
        <f t="shared" ref="O10:Q10" si="7">N10</f>
        <v>-7.7918215804900623E-3</v>
      </c>
      <c r="P10" s="30">
        <f t="shared" si="7"/>
        <v>-7.7918215804900623E-3</v>
      </c>
      <c r="Q10" s="30">
        <f t="shared" si="7"/>
        <v>-7.7918215804900623E-3</v>
      </c>
    </row>
    <row r="11" spans="1:17" x14ac:dyDescent="0.2">
      <c r="A11" s="29"/>
      <c r="B11" s="24" t="s">
        <v>64</v>
      </c>
      <c r="C11" s="24" t="s">
        <v>79</v>
      </c>
      <c r="D11" s="25" t="s">
        <v>9</v>
      </c>
      <c r="E11" s="25"/>
      <c r="F11" s="25"/>
      <c r="G11" s="25">
        <v>2040</v>
      </c>
      <c r="H11" s="27"/>
      <c r="I11" s="25"/>
      <c r="J11" s="25"/>
      <c r="K11" s="28"/>
      <c r="L11" s="28"/>
      <c r="M11" s="28">
        <f>1+M12</f>
        <v>0.99167792470113092</v>
      </c>
      <c r="N11" s="28">
        <f t="shared" ref="N11" si="8">1+N12</f>
        <v>0.99167792470113092</v>
      </c>
      <c r="O11" s="28">
        <f t="shared" ref="O11" si="9">1+O12</f>
        <v>0.99167792470113092</v>
      </c>
      <c r="P11" s="28">
        <f t="shared" ref="P11" si="10">1+P12</f>
        <v>0.99167792470113092</v>
      </c>
      <c r="Q11" s="28">
        <f t="shared" ref="Q11" si="11">1+Q12</f>
        <v>0.99167792470113092</v>
      </c>
    </row>
    <row r="12" spans="1:17" x14ac:dyDescent="0.2">
      <c r="A12" s="29"/>
      <c r="B12" s="24" t="s">
        <v>64</v>
      </c>
      <c r="C12" s="25" t="s">
        <v>80</v>
      </c>
      <c r="D12" s="25" t="s">
        <v>9</v>
      </c>
      <c r="E12" s="25"/>
      <c r="F12" s="25"/>
      <c r="G12" s="25">
        <v>2040</v>
      </c>
      <c r="H12" s="27"/>
      <c r="I12" s="25"/>
      <c r="J12" s="25"/>
      <c r="K12" s="30"/>
      <c r="L12" s="30"/>
      <c r="M12" s="30">
        <v>-8.3220752988691169E-3</v>
      </c>
      <c r="N12" s="30">
        <f t="shared" si="1"/>
        <v>-8.3220752988691169E-3</v>
      </c>
      <c r="O12" s="30">
        <f t="shared" ref="O12:Q12" si="12">N12</f>
        <v>-8.3220752988691169E-3</v>
      </c>
      <c r="P12" s="30">
        <f t="shared" si="12"/>
        <v>-8.3220752988691169E-3</v>
      </c>
      <c r="Q12" s="30">
        <f t="shared" si="12"/>
        <v>-8.3220752988691169E-3</v>
      </c>
    </row>
    <row r="13" spans="1:17" x14ac:dyDescent="0.2">
      <c r="A13" s="29"/>
      <c r="B13" s="24" t="s">
        <v>64</v>
      </c>
      <c r="C13" s="24" t="s">
        <v>79</v>
      </c>
      <c r="D13" s="25" t="s">
        <v>9</v>
      </c>
      <c r="E13" s="25"/>
      <c r="F13" s="25"/>
      <c r="G13" s="25">
        <v>2050</v>
      </c>
      <c r="H13" s="27"/>
      <c r="I13" s="25"/>
      <c r="J13" s="25"/>
      <c r="K13" s="28"/>
      <c r="L13" s="28"/>
      <c r="M13" s="28">
        <f>1+M14</f>
        <v>0.99167792470113092</v>
      </c>
      <c r="N13" s="28">
        <f t="shared" ref="N13" si="13">1+N14</f>
        <v>0.99167792470113092</v>
      </c>
      <c r="O13" s="28">
        <f t="shared" ref="O13" si="14">1+O14</f>
        <v>0.99167792470113092</v>
      </c>
      <c r="P13" s="28">
        <f t="shared" ref="P13" si="15">1+P14</f>
        <v>0.99167792470113092</v>
      </c>
      <c r="Q13" s="28">
        <f t="shared" ref="Q13" si="16">1+Q14</f>
        <v>0.99167792470113092</v>
      </c>
    </row>
    <row r="14" spans="1:17" x14ac:dyDescent="0.2">
      <c r="A14" s="29"/>
      <c r="B14" s="24" t="s">
        <v>64</v>
      </c>
      <c r="C14" s="25" t="s">
        <v>80</v>
      </c>
      <c r="D14" s="25" t="s">
        <v>9</v>
      </c>
      <c r="E14" s="25"/>
      <c r="F14" s="25"/>
      <c r="G14" s="25">
        <v>2050</v>
      </c>
      <c r="H14" s="27"/>
      <c r="I14" s="25"/>
      <c r="J14" s="25"/>
      <c r="K14" s="30"/>
      <c r="L14" s="30"/>
      <c r="M14" s="30">
        <v>-8.3220752988691169E-3</v>
      </c>
      <c r="N14" s="30">
        <f t="shared" si="1"/>
        <v>-8.3220752988691169E-3</v>
      </c>
      <c r="O14" s="30">
        <f t="shared" ref="O14:Q14" si="17">N14</f>
        <v>-8.3220752988691169E-3</v>
      </c>
      <c r="P14" s="30">
        <f t="shared" si="17"/>
        <v>-8.3220752988691169E-3</v>
      </c>
      <c r="Q14" s="30">
        <f t="shared" si="17"/>
        <v>-8.3220752988691169E-3</v>
      </c>
    </row>
    <row r="15" spans="1:17" x14ac:dyDescent="0.2">
      <c r="A15" s="29"/>
      <c r="B15" s="24" t="s">
        <v>64</v>
      </c>
      <c r="C15" s="25" t="s">
        <v>79</v>
      </c>
      <c r="D15" s="25" t="s">
        <v>9</v>
      </c>
      <c r="E15" s="25"/>
      <c r="F15" s="25"/>
      <c r="G15" s="25">
        <v>2055</v>
      </c>
      <c r="H15" s="27"/>
      <c r="I15" s="25"/>
      <c r="J15" s="25"/>
      <c r="K15" s="28"/>
      <c r="L15" s="28"/>
      <c r="M15" s="28">
        <f>1+M16</f>
        <v>0.99167792470113092</v>
      </c>
      <c r="N15" s="28">
        <f t="shared" ref="N15" si="18">1+N16</f>
        <v>0.99167792470113092</v>
      </c>
      <c r="O15" s="28">
        <f t="shared" ref="O15" si="19">1+O16</f>
        <v>0.99167792470113092</v>
      </c>
      <c r="P15" s="28">
        <f t="shared" ref="P15" si="20">1+P16</f>
        <v>0.99167792470113092</v>
      </c>
      <c r="Q15" s="28">
        <f t="shared" ref="Q15" si="21">1+Q16</f>
        <v>0.99167792470113092</v>
      </c>
    </row>
    <row r="16" spans="1:17" x14ac:dyDescent="0.2">
      <c r="A16" s="31"/>
      <c r="B16" s="32" t="s">
        <v>64</v>
      </c>
      <c r="C16" s="32" t="s">
        <v>80</v>
      </c>
      <c r="D16" s="32" t="s">
        <v>9</v>
      </c>
      <c r="E16" s="32"/>
      <c r="F16" s="32"/>
      <c r="G16" s="32">
        <v>2055</v>
      </c>
      <c r="H16" s="33"/>
      <c r="I16" s="32"/>
      <c r="J16" s="32"/>
      <c r="K16" s="34"/>
      <c r="L16" s="34"/>
      <c r="M16" s="34">
        <v>-8.3220752988691169E-3</v>
      </c>
      <c r="N16" s="34">
        <f t="shared" si="1"/>
        <v>-8.3220752988691169E-3</v>
      </c>
      <c r="O16" s="34">
        <f t="shared" ref="O16:Q16" si="22">N16</f>
        <v>-8.3220752988691169E-3</v>
      </c>
      <c r="P16" s="34">
        <f t="shared" si="22"/>
        <v>-8.3220752988691169E-3</v>
      </c>
      <c r="Q16" s="34">
        <f t="shared" si="22"/>
        <v>-8.3220752988691169E-3</v>
      </c>
    </row>
    <row r="17" spans="1:17" x14ac:dyDescent="0.2">
      <c r="A17" s="24" t="str">
        <f>"UC_"&amp;"NCAP"&amp;D17&amp;"C"</f>
        <v>UC_NCAPTLC</v>
      </c>
      <c r="B17" s="24" t="s">
        <v>65</v>
      </c>
      <c r="C17" s="24"/>
      <c r="D17" s="25" t="s">
        <v>9</v>
      </c>
      <c r="E17" s="25"/>
      <c r="F17" s="25"/>
      <c r="G17" s="25">
        <v>2020</v>
      </c>
      <c r="H17" s="27" t="s">
        <v>29</v>
      </c>
      <c r="I17" s="25">
        <v>0</v>
      </c>
      <c r="J17" s="25">
        <v>5</v>
      </c>
      <c r="K17" s="28"/>
      <c r="L17" s="28"/>
      <c r="M17" s="28">
        <f>1+M18</f>
        <v>0.76256802852354799</v>
      </c>
      <c r="N17" s="28">
        <f t="shared" ref="N17" si="23">1+N18</f>
        <v>0.76256802852354799</v>
      </c>
      <c r="O17" s="28">
        <f t="shared" ref="O17" si="24">1+O18</f>
        <v>0.76256802852354799</v>
      </c>
      <c r="P17" s="28">
        <f t="shared" ref="P17" si="25">1+P18</f>
        <v>0.76256802852354799</v>
      </c>
      <c r="Q17" s="28">
        <f t="shared" ref="Q17" si="26">1+Q18</f>
        <v>0.76256802852354799</v>
      </c>
    </row>
    <row r="18" spans="1:17" x14ac:dyDescent="0.2">
      <c r="A18" s="29"/>
      <c r="B18" s="24" t="s">
        <v>73</v>
      </c>
      <c r="C18" s="29"/>
      <c r="D18" s="25" t="s">
        <v>9</v>
      </c>
      <c r="E18" s="25"/>
      <c r="F18" s="25"/>
      <c r="G18" s="25">
        <v>2020</v>
      </c>
      <c r="H18" s="27"/>
      <c r="I18" s="25"/>
      <c r="J18" s="25"/>
      <c r="K18" s="30"/>
      <c r="L18" s="30"/>
      <c r="M18" s="30">
        <v>-0.23743197147645201</v>
      </c>
      <c r="N18" s="30">
        <f>M18</f>
        <v>-0.23743197147645201</v>
      </c>
      <c r="O18" s="30">
        <f t="shared" ref="O18:Q18" si="27">N18</f>
        <v>-0.23743197147645201</v>
      </c>
      <c r="P18" s="30">
        <f t="shared" si="27"/>
        <v>-0.23743197147645201</v>
      </c>
      <c r="Q18" s="30">
        <f t="shared" si="27"/>
        <v>-0.23743197147645201</v>
      </c>
    </row>
    <row r="19" spans="1:17" x14ac:dyDescent="0.2">
      <c r="A19" s="29"/>
      <c r="B19" s="24" t="s">
        <v>65</v>
      </c>
      <c r="C19" s="24"/>
      <c r="D19" s="25" t="s">
        <v>9</v>
      </c>
      <c r="E19" s="25"/>
      <c r="F19" s="25"/>
      <c r="G19" s="25">
        <v>2030</v>
      </c>
      <c r="H19" s="27"/>
      <c r="I19" s="25"/>
      <c r="J19" s="25"/>
      <c r="K19" s="28"/>
      <c r="L19" s="28"/>
      <c r="M19" s="28">
        <f>1+M20</f>
        <v>0.7467258871069602</v>
      </c>
      <c r="N19" s="28">
        <f t="shared" ref="N19" si="28">1+N20</f>
        <v>0.7467258871069602</v>
      </c>
      <c r="O19" s="28">
        <f t="shared" ref="O19" si="29">1+O20</f>
        <v>0.7467258871069602</v>
      </c>
      <c r="P19" s="28">
        <f t="shared" ref="P19" si="30">1+P20</f>
        <v>0.7467258871069602</v>
      </c>
      <c r="Q19" s="28">
        <f t="shared" ref="Q19" si="31">1+Q20</f>
        <v>0.7467258871069602</v>
      </c>
    </row>
    <row r="20" spans="1:17" x14ac:dyDescent="0.2">
      <c r="A20" s="29"/>
      <c r="B20" s="24" t="s">
        <v>73</v>
      </c>
      <c r="C20" s="29"/>
      <c r="D20" s="25" t="s">
        <v>9</v>
      </c>
      <c r="E20" s="25"/>
      <c r="F20" s="25"/>
      <c r="G20" s="25">
        <v>2030</v>
      </c>
      <c r="H20" s="27"/>
      <c r="I20" s="25"/>
      <c r="J20" s="25"/>
      <c r="K20" s="30"/>
      <c r="L20" s="30"/>
      <c r="M20" s="30">
        <v>-0.25327411289303986</v>
      </c>
      <c r="N20" s="30">
        <f t="shared" si="1"/>
        <v>-0.25327411289303986</v>
      </c>
      <c r="O20" s="30">
        <f t="shared" ref="O20:Q20" si="32">N20</f>
        <v>-0.25327411289303986</v>
      </c>
      <c r="P20" s="30">
        <f t="shared" si="32"/>
        <v>-0.25327411289303986</v>
      </c>
      <c r="Q20" s="30">
        <f t="shared" si="32"/>
        <v>-0.25327411289303986</v>
      </c>
    </row>
    <row r="21" spans="1:17" x14ac:dyDescent="0.2">
      <c r="A21" s="29"/>
      <c r="B21" s="24" t="s">
        <v>65</v>
      </c>
      <c r="C21" s="24"/>
      <c r="D21" s="25" t="s">
        <v>9</v>
      </c>
      <c r="E21" s="25"/>
      <c r="F21" s="25"/>
      <c r="G21" s="25">
        <v>2040</v>
      </c>
      <c r="H21" s="27"/>
      <c r="I21" s="25"/>
      <c r="J21" s="25"/>
      <c r="K21" s="28"/>
      <c r="L21" s="28"/>
      <c r="M21" s="28">
        <f>1+M22</f>
        <v>0.7291526726048827</v>
      </c>
      <c r="N21" s="28">
        <f t="shared" ref="N21" si="33">1+N22</f>
        <v>0.7291526726048827</v>
      </c>
      <c r="O21" s="28">
        <f t="shared" ref="O21" si="34">1+O22</f>
        <v>0.7291526726048827</v>
      </c>
      <c r="P21" s="28">
        <f t="shared" ref="P21" si="35">1+P22</f>
        <v>0.7291526726048827</v>
      </c>
      <c r="Q21" s="28">
        <f t="shared" ref="Q21" si="36">1+Q22</f>
        <v>0.7291526726048827</v>
      </c>
    </row>
    <row r="22" spans="1:17" x14ac:dyDescent="0.2">
      <c r="A22" s="29"/>
      <c r="B22" s="24" t="s">
        <v>73</v>
      </c>
      <c r="C22" s="29"/>
      <c r="D22" s="25" t="s">
        <v>9</v>
      </c>
      <c r="E22" s="25"/>
      <c r="F22" s="25"/>
      <c r="G22" s="25">
        <v>2040</v>
      </c>
      <c r="H22" s="27"/>
      <c r="I22" s="25"/>
      <c r="J22" s="25"/>
      <c r="K22" s="30"/>
      <c r="L22" s="30"/>
      <c r="M22" s="30">
        <v>-0.27084732739511735</v>
      </c>
      <c r="N22" s="30">
        <f t="shared" si="1"/>
        <v>-0.27084732739511735</v>
      </c>
      <c r="O22" s="30">
        <f t="shared" ref="O22:Q22" si="37">N22</f>
        <v>-0.27084732739511735</v>
      </c>
      <c r="P22" s="30">
        <f t="shared" si="37"/>
        <v>-0.27084732739511735</v>
      </c>
      <c r="Q22" s="30">
        <f t="shared" si="37"/>
        <v>-0.27084732739511735</v>
      </c>
    </row>
    <row r="23" spans="1:17" x14ac:dyDescent="0.2">
      <c r="A23" s="29"/>
      <c r="B23" s="24" t="s">
        <v>65</v>
      </c>
      <c r="C23" s="24"/>
      <c r="D23" s="25" t="s">
        <v>9</v>
      </c>
      <c r="E23" s="25"/>
      <c r="F23" s="25"/>
      <c r="G23" s="25">
        <v>2050</v>
      </c>
      <c r="H23" s="27"/>
      <c r="I23" s="25"/>
      <c r="J23" s="25"/>
      <c r="K23" s="28"/>
      <c r="L23" s="28"/>
      <c r="M23" s="28">
        <f>1+M24</f>
        <v>0.71035956695630498</v>
      </c>
      <c r="N23" s="28">
        <f t="shared" ref="N23" si="38">1+N24</f>
        <v>0.71035956695630498</v>
      </c>
      <c r="O23" s="28">
        <f t="shared" ref="O23" si="39">1+O24</f>
        <v>0.71035956695630498</v>
      </c>
      <c r="P23" s="28">
        <f t="shared" ref="P23" si="40">1+P24</f>
        <v>0.71035956695630498</v>
      </c>
      <c r="Q23" s="28">
        <f t="shared" ref="Q23" si="41">1+Q24</f>
        <v>0.71035956695630498</v>
      </c>
    </row>
    <row r="24" spans="1:17" x14ac:dyDescent="0.2">
      <c r="A24" s="29"/>
      <c r="B24" s="24" t="s">
        <v>73</v>
      </c>
      <c r="C24" s="29"/>
      <c r="D24" s="25" t="s">
        <v>9</v>
      </c>
      <c r="E24" s="25"/>
      <c r="F24" s="25"/>
      <c r="G24" s="25">
        <v>2050</v>
      </c>
      <c r="H24" s="27"/>
      <c r="I24" s="25"/>
      <c r="J24" s="25"/>
      <c r="K24" s="30"/>
      <c r="L24" s="30"/>
      <c r="M24" s="30">
        <v>-0.28964043304369502</v>
      </c>
      <c r="N24" s="30">
        <f t="shared" si="1"/>
        <v>-0.28964043304369502</v>
      </c>
      <c r="O24" s="30">
        <f t="shared" ref="O24:Q24" si="42">N24</f>
        <v>-0.28964043304369502</v>
      </c>
      <c r="P24" s="30">
        <f t="shared" si="42"/>
        <v>-0.28964043304369502</v>
      </c>
      <c r="Q24" s="30">
        <f t="shared" si="42"/>
        <v>-0.28964043304369502</v>
      </c>
    </row>
    <row r="25" spans="1:17" x14ac:dyDescent="0.2">
      <c r="A25" s="29"/>
      <c r="B25" s="24" t="s">
        <v>65</v>
      </c>
      <c r="C25" s="25"/>
      <c r="D25" s="25" t="s">
        <v>9</v>
      </c>
      <c r="E25" s="25"/>
      <c r="F25" s="25"/>
      <c r="G25" s="25">
        <v>2055</v>
      </c>
      <c r="H25" s="27"/>
      <c r="I25" s="25"/>
      <c r="J25" s="25"/>
      <c r="K25" s="28"/>
      <c r="L25" s="28"/>
      <c r="M25" s="28">
        <f>1+M26</f>
        <v>0.71035956695630498</v>
      </c>
      <c r="N25" s="28">
        <f t="shared" ref="N25" si="43">1+N26</f>
        <v>0.71035956695630498</v>
      </c>
      <c r="O25" s="28">
        <f t="shared" ref="O25" si="44">1+O26</f>
        <v>0.71035956695630498</v>
      </c>
      <c r="P25" s="28">
        <f t="shared" ref="P25" si="45">1+P26</f>
        <v>0.71035956695630498</v>
      </c>
      <c r="Q25" s="28">
        <f t="shared" ref="Q25" si="46">1+Q26</f>
        <v>0.71035956695630498</v>
      </c>
    </row>
    <row r="26" spans="1:17" x14ac:dyDescent="0.2">
      <c r="A26" s="31"/>
      <c r="B26" s="32" t="s">
        <v>73</v>
      </c>
      <c r="C26" s="32"/>
      <c r="D26" s="32" t="s">
        <v>9</v>
      </c>
      <c r="E26" s="32"/>
      <c r="F26" s="32"/>
      <c r="G26" s="32">
        <v>2055</v>
      </c>
      <c r="H26" s="33"/>
      <c r="I26" s="32"/>
      <c r="J26" s="32"/>
      <c r="K26" s="34"/>
      <c r="L26" s="34"/>
      <c r="M26" s="34">
        <v>-0.28964043304369502</v>
      </c>
      <c r="N26" s="34">
        <f t="shared" si="1"/>
        <v>-0.28964043304369502</v>
      </c>
      <c r="O26" s="34">
        <f t="shared" ref="O26:Q26" si="47">N26</f>
        <v>-0.28964043304369502</v>
      </c>
      <c r="P26" s="34">
        <f t="shared" si="47"/>
        <v>-0.28964043304369502</v>
      </c>
      <c r="Q26" s="34">
        <f t="shared" si="47"/>
        <v>-0.28964043304369502</v>
      </c>
    </row>
    <row r="27" spans="1:17" x14ac:dyDescent="0.2">
      <c r="A27" s="24" t="str">
        <f>"UC_"&amp;"NCAP"&amp;D27&amp;"LS"</f>
        <v>UC_NCAPTLLS</v>
      </c>
      <c r="B27" s="24" t="s">
        <v>67</v>
      </c>
      <c r="C27" s="24"/>
      <c r="D27" s="25" t="s">
        <v>9</v>
      </c>
      <c r="E27" s="25"/>
      <c r="F27" s="25"/>
      <c r="G27" s="25">
        <v>2020</v>
      </c>
      <c r="H27" s="27" t="s">
        <v>29</v>
      </c>
      <c r="I27" s="25">
        <v>0</v>
      </c>
      <c r="J27" s="25">
        <v>5</v>
      </c>
      <c r="K27" s="28"/>
      <c r="L27" s="28"/>
      <c r="M27" s="28">
        <f>1+M28</f>
        <v>0.87979922564720903</v>
      </c>
      <c r="N27" s="28">
        <f t="shared" ref="N27" si="48">1+N28</f>
        <v>0.87979922564720903</v>
      </c>
      <c r="O27" s="28">
        <f t="shared" ref="O27" si="49">1+O28</f>
        <v>0.87979922564720903</v>
      </c>
      <c r="P27" s="28">
        <f t="shared" ref="P27" si="50">1+P28</f>
        <v>0.87979922564720903</v>
      </c>
      <c r="Q27" s="28">
        <f t="shared" ref="Q27" si="51">1+Q28</f>
        <v>0.87979922564720903</v>
      </c>
    </row>
    <row r="28" spans="1:17" x14ac:dyDescent="0.2">
      <c r="A28" s="29"/>
      <c r="B28" s="24" t="s">
        <v>74</v>
      </c>
      <c r="C28" s="29"/>
      <c r="D28" s="25" t="s">
        <v>9</v>
      </c>
      <c r="E28" s="25"/>
      <c r="F28" s="25"/>
      <c r="G28" s="25">
        <v>2020</v>
      </c>
      <c r="H28" s="27"/>
      <c r="I28" s="25"/>
      <c r="J28" s="25"/>
      <c r="K28" s="30"/>
      <c r="L28" s="30"/>
      <c r="M28" s="30">
        <v>-0.120200774352791</v>
      </c>
      <c r="N28" s="30">
        <f t="shared" si="1"/>
        <v>-0.120200774352791</v>
      </c>
      <c r="O28" s="30">
        <f t="shared" ref="O28:Q28" si="52">N28</f>
        <v>-0.120200774352791</v>
      </c>
      <c r="P28" s="30">
        <f t="shared" si="52"/>
        <v>-0.120200774352791</v>
      </c>
      <c r="Q28" s="30">
        <f t="shared" si="52"/>
        <v>-0.120200774352791</v>
      </c>
    </row>
    <row r="29" spans="1:17" x14ac:dyDescent="0.2">
      <c r="A29" s="29"/>
      <c r="B29" s="24" t="s">
        <v>67</v>
      </c>
      <c r="C29" s="24"/>
      <c r="D29" s="25" t="s">
        <v>9</v>
      </c>
      <c r="E29" s="25"/>
      <c r="F29" s="25"/>
      <c r="G29" s="25">
        <v>2030</v>
      </c>
      <c r="H29" s="27"/>
      <c r="I29" s="25"/>
      <c r="J29" s="25"/>
      <c r="K29" s="28"/>
      <c r="L29" s="28"/>
      <c r="M29" s="28">
        <f>1+M30</f>
        <v>0.89061676033088177</v>
      </c>
      <c r="N29" s="28">
        <f t="shared" ref="N29" si="53">1+N30</f>
        <v>0.89061676033088177</v>
      </c>
      <c r="O29" s="28">
        <f t="shared" ref="O29" si="54">1+O30</f>
        <v>0.89061676033088177</v>
      </c>
      <c r="P29" s="28">
        <f t="shared" ref="P29" si="55">1+P30</f>
        <v>0.89061676033088177</v>
      </c>
      <c r="Q29" s="28">
        <f t="shared" ref="Q29" si="56">1+Q30</f>
        <v>0.89061676033088177</v>
      </c>
    </row>
    <row r="30" spans="1:17" x14ac:dyDescent="0.2">
      <c r="A30" s="29"/>
      <c r="B30" s="24" t="s">
        <v>74</v>
      </c>
      <c r="C30" s="29"/>
      <c r="D30" s="25" t="s">
        <v>9</v>
      </c>
      <c r="E30" s="25"/>
      <c r="F30" s="25"/>
      <c r="G30" s="25">
        <v>2030</v>
      </c>
      <c r="H30" s="27"/>
      <c r="I30" s="25"/>
      <c r="J30" s="25"/>
      <c r="K30" s="30"/>
      <c r="L30" s="30"/>
      <c r="M30" s="30">
        <v>-0.10938323966911825</v>
      </c>
      <c r="N30" s="30">
        <f t="shared" ref="N30:N70" si="57">M30</f>
        <v>-0.10938323966911825</v>
      </c>
      <c r="O30" s="30">
        <f t="shared" ref="O30:Q30" si="58">N30</f>
        <v>-0.10938323966911825</v>
      </c>
      <c r="P30" s="30">
        <f t="shared" si="58"/>
        <v>-0.10938323966911825</v>
      </c>
      <c r="Q30" s="30">
        <f t="shared" si="58"/>
        <v>-0.10938323966911825</v>
      </c>
    </row>
    <row r="31" spans="1:17" x14ac:dyDescent="0.2">
      <c r="A31" s="29"/>
      <c r="B31" s="24" t="s">
        <v>67</v>
      </c>
      <c r="C31" s="24"/>
      <c r="D31" s="25" t="s">
        <v>9</v>
      </c>
      <c r="E31" s="25"/>
      <c r="F31" s="25"/>
      <c r="G31" s="25">
        <v>2040</v>
      </c>
      <c r="H31" s="27"/>
      <c r="I31" s="25"/>
      <c r="J31" s="25"/>
      <c r="K31" s="28"/>
      <c r="L31" s="28"/>
      <c r="M31" s="28">
        <f>1+M32</f>
        <v>0.8983309716528558</v>
      </c>
      <c r="N31" s="28">
        <f t="shared" ref="N31" si="59">1+N32</f>
        <v>0.8983309716528558</v>
      </c>
      <c r="O31" s="28">
        <f t="shared" ref="O31" si="60">1+O32</f>
        <v>0.8983309716528558</v>
      </c>
      <c r="P31" s="28">
        <f t="shared" ref="P31" si="61">1+P32</f>
        <v>0.8983309716528558</v>
      </c>
      <c r="Q31" s="28">
        <f t="shared" ref="Q31" si="62">1+Q32</f>
        <v>0.8983309716528558</v>
      </c>
    </row>
    <row r="32" spans="1:17" x14ac:dyDescent="0.2">
      <c r="A32" s="29"/>
      <c r="B32" s="24" t="s">
        <v>74</v>
      </c>
      <c r="C32" s="29"/>
      <c r="D32" s="25" t="s">
        <v>9</v>
      </c>
      <c r="E32" s="25"/>
      <c r="F32" s="25"/>
      <c r="G32" s="25">
        <v>2040</v>
      </c>
      <c r="H32" s="27"/>
      <c r="I32" s="25"/>
      <c r="J32" s="25"/>
      <c r="K32" s="30"/>
      <c r="L32" s="30"/>
      <c r="M32" s="30">
        <v>-0.10166902834714414</v>
      </c>
      <c r="N32" s="30">
        <f t="shared" si="57"/>
        <v>-0.10166902834714414</v>
      </c>
      <c r="O32" s="30">
        <f t="shared" ref="O32:Q32" si="63">N32</f>
        <v>-0.10166902834714414</v>
      </c>
      <c r="P32" s="30">
        <f t="shared" si="63"/>
        <v>-0.10166902834714414</v>
      </c>
      <c r="Q32" s="30">
        <f t="shared" si="63"/>
        <v>-0.10166902834714414</v>
      </c>
    </row>
    <row r="33" spans="1:17" x14ac:dyDescent="0.2">
      <c r="A33" s="29"/>
      <c r="B33" s="24" t="s">
        <v>67</v>
      </c>
      <c r="C33" s="24"/>
      <c r="D33" s="25" t="s">
        <v>9</v>
      </c>
      <c r="E33" s="25"/>
      <c r="F33" s="25"/>
      <c r="G33" s="25">
        <v>2050</v>
      </c>
      <c r="H33" s="27"/>
      <c r="I33" s="25"/>
      <c r="J33" s="25"/>
      <c r="K33" s="28"/>
      <c r="L33" s="28"/>
      <c r="M33" s="28">
        <f>1+M34</f>
        <v>0.90550114115909941</v>
      </c>
      <c r="N33" s="28">
        <f t="shared" ref="N33" si="64">1+N34</f>
        <v>0.90550114115909941</v>
      </c>
      <c r="O33" s="28">
        <f t="shared" ref="O33" si="65">1+O34</f>
        <v>0.90550114115909941</v>
      </c>
      <c r="P33" s="28">
        <f t="shared" ref="P33" si="66">1+P34</f>
        <v>0.90550114115909941</v>
      </c>
      <c r="Q33" s="28">
        <f t="shared" ref="Q33" si="67">1+Q34</f>
        <v>0.90550114115909941</v>
      </c>
    </row>
    <row r="34" spans="1:17" x14ac:dyDescent="0.2">
      <c r="A34" s="29"/>
      <c r="B34" s="24" t="s">
        <v>74</v>
      </c>
      <c r="C34" s="29"/>
      <c r="D34" s="25" t="s">
        <v>9</v>
      </c>
      <c r="E34" s="25"/>
      <c r="F34" s="25"/>
      <c r="G34" s="25">
        <v>2050</v>
      </c>
      <c r="H34" s="27"/>
      <c r="I34" s="25"/>
      <c r="J34" s="25"/>
      <c r="K34" s="30"/>
      <c r="L34" s="30"/>
      <c r="M34" s="30">
        <v>-9.4498858840900549E-2</v>
      </c>
      <c r="N34" s="30">
        <f t="shared" si="57"/>
        <v>-9.4498858840900549E-2</v>
      </c>
      <c r="O34" s="30">
        <f t="shared" ref="O34:Q34" si="68">N34</f>
        <v>-9.4498858840900549E-2</v>
      </c>
      <c r="P34" s="30">
        <f t="shared" si="68"/>
        <v>-9.4498858840900549E-2</v>
      </c>
      <c r="Q34" s="30">
        <f t="shared" si="68"/>
        <v>-9.4498858840900549E-2</v>
      </c>
    </row>
    <row r="35" spans="1:17" x14ac:dyDescent="0.2">
      <c r="A35" s="29"/>
      <c r="B35" s="24" t="s">
        <v>67</v>
      </c>
      <c r="C35" s="25"/>
      <c r="D35" s="25" t="s">
        <v>9</v>
      </c>
      <c r="E35" s="25"/>
      <c r="F35" s="25"/>
      <c r="G35" s="25">
        <v>2055</v>
      </c>
      <c r="H35" s="27"/>
      <c r="I35" s="25"/>
      <c r="J35" s="25"/>
      <c r="K35" s="28"/>
      <c r="L35" s="28"/>
      <c r="M35" s="28">
        <f>1+M36</f>
        <v>0.90550114115909941</v>
      </c>
      <c r="N35" s="28">
        <f t="shared" ref="N35" si="69">1+N36</f>
        <v>0.90550114115909941</v>
      </c>
      <c r="O35" s="28">
        <f t="shared" ref="O35" si="70">1+O36</f>
        <v>0.90550114115909941</v>
      </c>
      <c r="P35" s="28">
        <f t="shared" ref="P35" si="71">1+P36</f>
        <v>0.90550114115909941</v>
      </c>
      <c r="Q35" s="28">
        <f t="shared" ref="Q35" si="72">1+Q36</f>
        <v>0.90550114115909941</v>
      </c>
    </row>
    <row r="36" spans="1:17" x14ac:dyDescent="0.2">
      <c r="A36" s="31"/>
      <c r="B36" s="32" t="s">
        <v>74</v>
      </c>
      <c r="C36" s="32"/>
      <c r="D36" s="32" t="s">
        <v>9</v>
      </c>
      <c r="E36" s="32"/>
      <c r="F36" s="32"/>
      <c r="G36" s="32">
        <v>2055</v>
      </c>
      <c r="H36" s="33"/>
      <c r="I36" s="32"/>
      <c r="J36" s="32"/>
      <c r="K36" s="34"/>
      <c r="L36" s="34"/>
      <c r="M36" s="34">
        <v>-9.4498858840900549E-2</v>
      </c>
      <c r="N36" s="34">
        <f t="shared" si="57"/>
        <v>-9.4498858840900549E-2</v>
      </c>
      <c r="O36" s="34">
        <f t="shared" ref="O36:Q36" si="73">N36</f>
        <v>-9.4498858840900549E-2</v>
      </c>
      <c r="P36" s="34">
        <f t="shared" si="73"/>
        <v>-9.4498858840900549E-2</v>
      </c>
      <c r="Q36" s="34">
        <f t="shared" si="73"/>
        <v>-9.4498858840900549E-2</v>
      </c>
    </row>
    <row r="37" spans="1:17" x14ac:dyDescent="0.2">
      <c r="A37" s="24" t="str">
        <f>"UC_"&amp;"NCAP"&amp;D37&amp;"M"</f>
        <v>UC_NCAPTLM</v>
      </c>
      <c r="B37" s="24" t="s">
        <v>64</v>
      </c>
      <c r="C37" s="24" t="s">
        <v>68</v>
      </c>
      <c r="D37" s="25" t="s">
        <v>9</v>
      </c>
      <c r="E37" s="25"/>
      <c r="F37" s="25"/>
      <c r="G37" s="25">
        <v>2020</v>
      </c>
      <c r="H37" s="27" t="s">
        <v>29</v>
      </c>
      <c r="I37" s="25">
        <v>0</v>
      </c>
      <c r="J37" s="25">
        <v>5</v>
      </c>
      <c r="K37" s="28"/>
      <c r="L37" s="28"/>
      <c r="M37" s="28">
        <f>1+M38</f>
        <v>0.95043513774827248</v>
      </c>
      <c r="N37" s="28">
        <f t="shared" ref="N37" si="74">1+N38</f>
        <v>0.95043513774827248</v>
      </c>
      <c r="O37" s="28">
        <f t="shared" ref="O37" si="75">1+O38</f>
        <v>0.95043513774827248</v>
      </c>
      <c r="P37" s="28">
        <f t="shared" ref="P37" si="76">1+P38</f>
        <v>0.95043513774827248</v>
      </c>
      <c r="Q37" s="28">
        <f t="shared" ref="Q37" si="77">1+Q38</f>
        <v>0.95043513774827248</v>
      </c>
    </row>
    <row r="38" spans="1:17" x14ac:dyDescent="0.2">
      <c r="A38" s="29"/>
      <c r="B38" s="24" t="s">
        <v>64</v>
      </c>
      <c r="C38" s="42" t="s">
        <v>75</v>
      </c>
      <c r="D38" s="25" t="s">
        <v>9</v>
      </c>
      <c r="E38" s="25"/>
      <c r="F38" s="25"/>
      <c r="G38" s="25">
        <v>2020</v>
      </c>
      <c r="H38" s="27"/>
      <c r="I38" s="25"/>
      <c r="J38" s="25"/>
      <c r="K38" s="30"/>
      <c r="L38" s="30"/>
      <c r="M38" s="30">
        <v>-4.956486225172746E-2</v>
      </c>
      <c r="N38" s="30">
        <f t="shared" si="57"/>
        <v>-4.956486225172746E-2</v>
      </c>
      <c r="O38" s="30">
        <f t="shared" ref="O38:Q38" si="78">N38</f>
        <v>-4.956486225172746E-2</v>
      </c>
      <c r="P38" s="30">
        <f t="shared" si="78"/>
        <v>-4.956486225172746E-2</v>
      </c>
      <c r="Q38" s="30">
        <f t="shared" si="78"/>
        <v>-4.956486225172746E-2</v>
      </c>
    </row>
    <row r="39" spans="1:17" x14ac:dyDescent="0.2">
      <c r="A39" s="29"/>
      <c r="B39" s="24" t="s">
        <v>64</v>
      </c>
      <c r="C39" s="24" t="s">
        <v>68</v>
      </c>
      <c r="D39" s="25" t="s">
        <v>9</v>
      </c>
      <c r="E39" s="25"/>
      <c r="F39" s="25"/>
      <c r="G39" s="25">
        <v>2030</v>
      </c>
      <c r="H39" s="27"/>
      <c r="I39" s="25"/>
      <c r="J39" s="25"/>
      <c r="K39" s="28"/>
      <c r="L39" s="28"/>
      <c r="M39" s="28">
        <f>1+M40</f>
        <v>0.95443253567338637</v>
      </c>
      <c r="N39" s="28">
        <f t="shared" ref="N39" si="79">1+N40</f>
        <v>0.95443253567338637</v>
      </c>
      <c r="O39" s="28">
        <f t="shared" ref="O39" si="80">1+O40</f>
        <v>0.95443253567338637</v>
      </c>
      <c r="P39" s="28">
        <f t="shared" ref="P39" si="81">1+P40</f>
        <v>0.95443253567338637</v>
      </c>
      <c r="Q39" s="28">
        <f t="shared" ref="Q39" si="82">1+Q40</f>
        <v>0.95443253567338637</v>
      </c>
    </row>
    <row r="40" spans="1:17" x14ac:dyDescent="0.2">
      <c r="A40" s="29"/>
      <c r="B40" s="24" t="s">
        <v>64</v>
      </c>
      <c r="C40" s="42" t="s">
        <v>75</v>
      </c>
      <c r="D40" s="25" t="s">
        <v>9</v>
      </c>
      <c r="E40" s="25"/>
      <c r="F40" s="25"/>
      <c r="G40" s="25">
        <v>2030</v>
      </c>
      <c r="H40" s="27"/>
      <c r="I40" s="25"/>
      <c r="J40" s="25"/>
      <c r="K40" s="30"/>
      <c r="L40" s="30"/>
      <c r="M40" s="30">
        <v>-4.5567464326613627E-2</v>
      </c>
      <c r="N40" s="30">
        <f t="shared" si="57"/>
        <v>-4.5567464326613627E-2</v>
      </c>
      <c r="O40" s="30">
        <f t="shared" ref="O40:Q40" si="83">N40</f>
        <v>-4.5567464326613627E-2</v>
      </c>
      <c r="P40" s="30">
        <f t="shared" si="83"/>
        <v>-4.5567464326613627E-2</v>
      </c>
      <c r="Q40" s="30">
        <f t="shared" si="83"/>
        <v>-4.5567464326613627E-2</v>
      </c>
    </row>
    <row r="41" spans="1:17" x14ac:dyDescent="0.2">
      <c r="A41" s="29"/>
      <c r="B41" s="24" t="s">
        <v>64</v>
      </c>
      <c r="C41" s="24" t="s">
        <v>68</v>
      </c>
      <c r="D41" s="25" t="s">
        <v>9</v>
      </c>
      <c r="E41" s="25"/>
      <c r="F41" s="25"/>
      <c r="G41" s="25">
        <v>2040</v>
      </c>
      <c r="H41" s="27"/>
      <c r="I41" s="25"/>
      <c r="J41" s="25"/>
      <c r="K41" s="28"/>
      <c r="L41" s="28"/>
      <c r="M41" s="28">
        <f>1+M42</f>
        <v>0.95762207801387755</v>
      </c>
      <c r="N41" s="28">
        <f t="shared" ref="N41" si="84">1+N42</f>
        <v>0.95762207801387755</v>
      </c>
      <c r="O41" s="28">
        <f t="shared" ref="O41" si="85">1+O42</f>
        <v>0.95762207801387755</v>
      </c>
      <c r="P41" s="28">
        <f t="shared" ref="P41" si="86">1+P42</f>
        <v>0.95762207801387755</v>
      </c>
      <c r="Q41" s="28">
        <f t="shared" ref="Q41" si="87">1+Q42</f>
        <v>0.95762207801387755</v>
      </c>
    </row>
    <row r="42" spans="1:17" x14ac:dyDescent="0.2">
      <c r="A42" s="29"/>
      <c r="B42" s="24" t="s">
        <v>64</v>
      </c>
      <c r="C42" s="42" t="s">
        <v>75</v>
      </c>
      <c r="D42" s="25" t="s">
        <v>9</v>
      </c>
      <c r="E42" s="25"/>
      <c r="F42" s="25"/>
      <c r="G42" s="25">
        <v>2040</v>
      </c>
      <c r="H42" s="27"/>
      <c r="I42" s="25"/>
      <c r="J42" s="25"/>
      <c r="K42" s="30"/>
      <c r="L42" s="30"/>
      <c r="M42" s="30">
        <v>-4.2377921986122474E-2</v>
      </c>
      <c r="N42" s="30">
        <f t="shared" si="57"/>
        <v>-4.2377921986122474E-2</v>
      </c>
      <c r="O42" s="30">
        <f t="shared" ref="O42:Q42" si="88">N42</f>
        <v>-4.2377921986122474E-2</v>
      </c>
      <c r="P42" s="30">
        <f t="shared" si="88"/>
        <v>-4.2377921986122474E-2</v>
      </c>
      <c r="Q42" s="30">
        <f t="shared" si="88"/>
        <v>-4.2377921986122474E-2</v>
      </c>
    </row>
    <row r="43" spans="1:17" x14ac:dyDescent="0.2">
      <c r="A43" s="29"/>
      <c r="B43" s="24" t="s">
        <v>64</v>
      </c>
      <c r="C43" s="24" t="s">
        <v>68</v>
      </c>
      <c r="D43" s="25" t="s">
        <v>9</v>
      </c>
      <c r="E43" s="25"/>
      <c r="F43" s="25"/>
      <c r="G43" s="25">
        <v>2050</v>
      </c>
      <c r="H43" s="27"/>
      <c r="I43" s="25"/>
      <c r="J43" s="25"/>
      <c r="K43" s="28"/>
      <c r="L43" s="28"/>
      <c r="M43" s="28">
        <f>1+M44</f>
        <v>0.96058799068533707</v>
      </c>
      <c r="N43" s="28">
        <f t="shared" ref="N43" si="89">1+N44</f>
        <v>0.96058799068533707</v>
      </c>
      <c r="O43" s="28">
        <f t="shared" ref="O43" si="90">1+O44</f>
        <v>0.96058799068533707</v>
      </c>
      <c r="P43" s="28">
        <f t="shared" ref="P43" si="91">1+P44</f>
        <v>0.96058799068533707</v>
      </c>
      <c r="Q43" s="28">
        <f t="shared" ref="Q43" si="92">1+Q44</f>
        <v>0.96058799068533707</v>
      </c>
    </row>
    <row r="44" spans="1:17" x14ac:dyDescent="0.2">
      <c r="A44" s="29"/>
      <c r="B44" s="24" t="s">
        <v>64</v>
      </c>
      <c r="C44" s="42" t="s">
        <v>75</v>
      </c>
      <c r="D44" s="25" t="s">
        <v>9</v>
      </c>
      <c r="E44" s="25"/>
      <c r="F44" s="25"/>
      <c r="G44" s="25">
        <v>2050</v>
      </c>
      <c r="H44" s="27"/>
      <c r="I44" s="25"/>
      <c r="J44" s="25"/>
      <c r="K44" s="30"/>
      <c r="L44" s="30"/>
      <c r="M44" s="30">
        <v>-3.9412009314662926E-2</v>
      </c>
      <c r="N44" s="30">
        <f t="shared" si="57"/>
        <v>-3.9412009314662926E-2</v>
      </c>
      <c r="O44" s="30">
        <f t="shared" ref="O44:Q44" si="93">N44</f>
        <v>-3.9412009314662926E-2</v>
      </c>
      <c r="P44" s="30">
        <f t="shared" si="93"/>
        <v>-3.9412009314662926E-2</v>
      </c>
      <c r="Q44" s="30">
        <f t="shared" si="93"/>
        <v>-3.9412009314662926E-2</v>
      </c>
    </row>
    <row r="45" spans="1:17" x14ac:dyDescent="0.2">
      <c r="A45" s="29"/>
      <c r="B45" s="24" t="s">
        <v>64</v>
      </c>
      <c r="C45" s="24" t="s">
        <v>68</v>
      </c>
      <c r="D45" s="25" t="s">
        <v>9</v>
      </c>
      <c r="E45" s="25"/>
      <c r="F45" s="25"/>
      <c r="G45" s="25">
        <v>2055</v>
      </c>
      <c r="H45" s="27"/>
      <c r="I45" s="25"/>
      <c r="J45" s="25"/>
      <c r="K45" s="28"/>
      <c r="L45" s="28"/>
      <c r="M45" s="28">
        <f>1+M46</f>
        <v>0.96058799068533707</v>
      </c>
      <c r="N45" s="28">
        <f t="shared" ref="N45" si="94">1+N46</f>
        <v>0.96058799068533707</v>
      </c>
      <c r="O45" s="28">
        <f t="shared" ref="O45" si="95">1+O46</f>
        <v>0.96058799068533707</v>
      </c>
      <c r="P45" s="28">
        <f t="shared" ref="P45" si="96">1+P46</f>
        <v>0.96058799068533707</v>
      </c>
      <c r="Q45" s="28">
        <f t="shared" ref="Q45" si="97">1+Q46</f>
        <v>0.96058799068533707</v>
      </c>
    </row>
    <row r="46" spans="1:17" x14ac:dyDescent="0.2">
      <c r="A46" s="31"/>
      <c r="B46" s="32" t="s">
        <v>64</v>
      </c>
      <c r="C46" s="32" t="s">
        <v>75</v>
      </c>
      <c r="D46" s="32" t="s">
        <v>9</v>
      </c>
      <c r="E46" s="32"/>
      <c r="F46" s="32"/>
      <c r="G46" s="32">
        <v>2055</v>
      </c>
      <c r="H46" s="33"/>
      <c r="I46" s="32"/>
      <c r="J46" s="32"/>
      <c r="K46" s="34"/>
      <c r="L46" s="34"/>
      <c r="M46" s="34">
        <v>-3.9412009314662926E-2</v>
      </c>
      <c r="N46" s="34">
        <f t="shared" si="57"/>
        <v>-3.9412009314662926E-2</v>
      </c>
      <c r="O46" s="34">
        <f t="shared" ref="O46:Q46" si="98">N46</f>
        <v>-3.9412009314662926E-2</v>
      </c>
      <c r="P46" s="34">
        <f t="shared" si="98"/>
        <v>-3.9412009314662926E-2</v>
      </c>
      <c r="Q46" s="34">
        <f t="shared" si="98"/>
        <v>-3.9412009314662926E-2</v>
      </c>
    </row>
    <row r="47" spans="1:17" x14ac:dyDescent="0.2">
      <c r="A47" s="24" t="str">
        <f>"UC_"&amp;"NCAP"&amp;D47&amp;"F"</f>
        <v>UC_NCAPTLF</v>
      </c>
      <c r="B47" s="24" t="s">
        <v>66</v>
      </c>
      <c r="C47" s="24"/>
      <c r="D47" s="25" t="s">
        <v>9</v>
      </c>
      <c r="E47" s="25"/>
      <c r="F47" s="25"/>
      <c r="G47" s="25">
        <v>2020</v>
      </c>
      <c r="H47" s="27" t="s">
        <v>29</v>
      </c>
      <c r="I47" s="25">
        <v>0</v>
      </c>
      <c r="J47" s="25">
        <v>5</v>
      </c>
      <c r="K47" s="28"/>
      <c r="L47" s="28"/>
      <c r="M47" s="28">
        <f>1+M48</f>
        <v>0.76268586817986461</v>
      </c>
      <c r="N47" s="28">
        <f t="shared" ref="N47" si="99">1+N48</f>
        <v>0.76268586817986461</v>
      </c>
      <c r="O47" s="28">
        <f t="shared" ref="O47" si="100">1+O48</f>
        <v>0.76268586817986461</v>
      </c>
      <c r="P47" s="28">
        <f t="shared" ref="P47" si="101">1+P48</f>
        <v>0.76268586817986461</v>
      </c>
      <c r="Q47" s="28">
        <f t="shared" ref="Q47" si="102">1+Q48</f>
        <v>0.76268586817986461</v>
      </c>
    </row>
    <row r="48" spans="1:17" x14ac:dyDescent="0.2">
      <c r="A48" s="29"/>
      <c r="B48" s="24" t="s">
        <v>76</v>
      </c>
      <c r="C48" s="29"/>
      <c r="D48" s="25" t="s">
        <v>9</v>
      </c>
      <c r="E48" s="25"/>
      <c r="F48" s="25"/>
      <c r="G48" s="25">
        <v>2020</v>
      </c>
      <c r="H48" s="27"/>
      <c r="I48" s="25"/>
      <c r="J48" s="25"/>
      <c r="K48" s="30"/>
      <c r="L48" s="30"/>
      <c r="M48" s="30">
        <v>-0.23731413182013542</v>
      </c>
      <c r="N48" s="30">
        <f t="shared" ref="N48:N56" si="103">M48</f>
        <v>-0.23731413182013542</v>
      </c>
      <c r="O48" s="30">
        <f t="shared" ref="O48:Q48" si="104">N48</f>
        <v>-0.23731413182013542</v>
      </c>
      <c r="P48" s="30">
        <f t="shared" si="104"/>
        <v>-0.23731413182013542</v>
      </c>
      <c r="Q48" s="30">
        <f t="shared" si="104"/>
        <v>-0.23731413182013542</v>
      </c>
    </row>
    <row r="49" spans="1:17" x14ac:dyDescent="0.2">
      <c r="A49" s="29"/>
      <c r="B49" s="24" t="s">
        <v>66</v>
      </c>
      <c r="C49" s="24"/>
      <c r="D49" s="25" t="s">
        <v>9</v>
      </c>
      <c r="E49" s="25"/>
      <c r="F49" s="25"/>
      <c r="G49" s="25">
        <v>2030</v>
      </c>
      <c r="H49" s="27"/>
      <c r="I49" s="25"/>
      <c r="J49" s="25"/>
      <c r="K49" s="28"/>
      <c r="L49" s="28"/>
      <c r="M49" s="28">
        <f>1+M50</f>
        <v>0.73541735946944331</v>
      </c>
      <c r="N49" s="28">
        <f t="shared" ref="N49" si="105">1+N50</f>
        <v>0.73541735946944331</v>
      </c>
      <c r="O49" s="28">
        <f t="shared" ref="O49" si="106">1+O50</f>
        <v>0.73541735946944331</v>
      </c>
      <c r="P49" s="28">
        <f t="shared" ref="P49" si="107">1+P50</f>
        <v>0.73541735946944331</v>
      </c>
      <c r="Q49" s="28">
        <f t="shared" ref="Q49" si="108">1+Q50</f>
        <v>0.73541735946944331</v>
      </c>
    </row>
    <row r="50" spans="1:17" x14ac:dyDescent="0.2">
      <c r="A50" s="29"/>
      <c r="B50" s="24" t="s">
        <v>76</v>
      </c>
      <c r="C50" s="29"/>
      <c r="D50" s="25" t="s">
        <v>9</v>
      </c>
      <c r="E50" s="25"/>
      <c r="F50" s="25"/>
      <c r="G50" s="25">
        <v>2030</v>
      </c>
      <c r="H50" s="27"/>
      <c r="I50" s="25"/>
      <c r="J50" s="25"/>
      <c r="K50" s="30"/>
      <c r="L50" s="30"/>
      <c r="M50" s="30">
        <v>-0.26458264053055669</v>
      </c>
      <c r="N50" s="30">
        <f t="shared" si="103"/>
        <v>-0.26458264053055669</v>
      </c>
      <c r="O50" s="30">
        <f t="shared" ref="O50:Q50" si="109">N50</f>
        <v>-0.26458264053055669</v>
      </c>
      <c r="P50" s="30">
        <f t="shared" si="109"/>
        <v>-0.26458264053055669</v>
      </c>
      <c r="Q50" s="30">
        <f t="shared" si="109"/>
        <v>-0.26458264053055669</v>
      </c>
    </row>
    <row r="51" spans="1:17" x14ac:dyDescent="0.2">
      <c r="A51" s="29"/>
      <c r="B51" s="24" t="s">
        <v>66</v>
      </c>
      <c r="C51" s="24"/>
      <c r="D51" s="25" t="s">
        <v>9</v>
      </c>
      <c r="E51" s="25"/>
      <c r="F51" s="25"/>
      <c r="G51" s="25">
        <v>2040</v>
      </c>
      <c r="H51" s="27"/>
      <c r="I51" s="25"/>
      <c r="J51" s="25"/>
      <c r="K51" s="28"/>
      <c r="L51" s="28"/>
      <c r="M51" s="28">
        <f>1+M52</f>
        <v>0.72042788725430329</v>
      </c>
      <c r="N51" s="28">
        <f t="shared" ref="N51" si="110">1+N52</f>
        <v>0.72042788725430329</v>
      </c>
      <c r="O51" s="28">
        <f t="shared" ref="O51" si="111">1+O52</f>
        <v>0.72042788725430329</v>
      </c>
      <c r="P51" s="28">
        <f t="shared" ref="P51" si="112">1+P52</f>
        <v>0.72042788725430329</v>
      </c>
      <c r="Q51" s="28">
        <f t="shared" ref="Q51" si="113">1+Q52</f>
        <v>0.72042788725430329</v>
      </c>
    </row>
    <row r="52" spans="1:17" x14ac:dyDescent="0.2">
      <c r="A52" s="29"/>
      <c r="B52" s="24" t="s">
        <v>76</v>
      </c>
      <c r="C52" s="29"/>
      <c r="D52" s="25" t="s">
        <v>9</v>
      </c>
      <c r="E52" s="25"/>
      <c r="F52" s="25"/>
      <c r="G52" s="25">
        <v>2040</v>
      </c>
      <c r="H52" s="27"/>
      <c r="I52" s="25"/>
      <c r="J52" s="25"/>
      <c r="K52" s="30"/>
      <c r="L52" s="30"/>
      <c r="M52" s="30">
        <v>-0.27957211274569671</v>
      </c>
      <c r="N52" s="30">
        <f t="shared" si="103"/>
        <v>-0.27957211274569671</v>
      </c>
      <c r="O52" s="30">
        <f t="shared" ref="O52:Q52" si="114">N52</f>
        <v>-0.27957211274569671</v>
      </c>
      <c r="P52" s="30">
        <f t="shared" si="114"/>
        <v>-0.27957211274569671</v>
      </c>
      <c r="Q52" s="30">
        <f t="shared" si="114"/>
        <v>-0.27957211274569671</v>
      </c>
    </row>
    <row r="53" spans="1:17" x14ac:dyDescent="0.2">
      <c r="A53" s="29"/>
      <c r="B53" s="24" t="s">
        <v>66</v>
      </c>
      <c r="C53" s="24"/>
      <c r="D53" s="25" t="s">
        <v>9</v>
      </c>
      <c r="E53" s="25"/>
      <c r="F53" s="25"/>
      <c r="G53" s="25">
        <v>2050</v>
      </c>
      <c r="H53" s="27"/>
      <c r="I53" s="25"/>
      <c r="J53" s="25"/>
      <c r="K53" s="28"/>
      <c r="L53" s="28"/>
      <c r="M53" s="28">
        <f>1+M54</f>
        <v>0.70458843725125053</v>
      </c>
      <c r="N53" s="28">
        <f t="shared" ref="N53" si="115">1+N54</f>
        <v>0.70458843725125053</v>
      </c>
      <c r="O53" s="28">
        <f t="shared" ref="O53" si="116">1+O54</f>
        <v>0.70458843725125053</v>
      </c>
      <c r="P53" s="28">
        <f t="shared" ref="P53" si="117">1+P54</f>
        <v>0.70458843725125053</v>
      </c>
      <c r="Q53" s="28">
        <f t="shared" ref="Q53" si="118">1+Q54</f>
        <v>0.70458843725125053</v>
      </c>
    </row>
    <row r="54" spans="1:17" x14ac:dyDescent="0.2">
      <c r="A54" s="29"/>
      <c r="B54" s="24" t="s">
        <v>76</v>
      </c>
      <c r="C54" s="29"/>
      <c r="D54" s="25" t="s">
        <v>9</v>
      </c>
      <c r="E54" s="25"/>
      <c r="F54" s="25"/>
      <c r="G54" s="25">
        <v>2050</v>
      </c>
      <c r="H54" s="27"/>
      <c r="I54" s="25"/>
      <c r="J54" s="25"/>
      <c r="K54" s="30"/>
      <c r="L54" s="30"/>
      <c r="M54" s="30">
        <v>-0.29541156274874947</v>
      </c>
      <c r="N54" s="30">
        <f t="shared" si="103"/>
        <v>-0.29541156274874947</v>
      </c>
      <c r="O54" s="30">
        <f t="shared" ref="O54:Q54" si="119">N54</f>
        <v>-0.29541156274874947</v>
      </c>
      <c r="P54" s="30">
        <f t="shared" si="119"/>
        <v>-0.29541156274874947</v>
      </c>
      <c r="Q54" s="30">
        <f t="shared" si="119"/>
        <v>-0.29541156274874947</v>
      </c>
    </row>
    <row r="55" spans="1:17" x14ac:dyDescent="0.2">
      <c r="A55" s="29"/>
      <c r="B55" s="24" t="s">
        <v>66</v>
      </c>
      <c r="C55" s="25"/>
      <c r="D55" s="25" t="s">
        <v>9</v>
      </c>
      <c r="E55" s="25"/>
      <c r="F55" s="25"/>
      <c r="G55" s="25">
        <v>2055</v>
      </c>
      <c r="H55" s="27"/>
      <c r="I55" s="25"/>
      <c r="J55" s="25"/>
      <c r="K55" s="28"/>
      <c r="L55" s="28"/>
      <c r="M55" s="28">
        <f>1+M56</f>
        <v>0.70458843725125053</v>
      </c>
      <c r="N55" s="28">
        <f t="shared" ref="N55" si="120">1+N56</f>
        <v>0.70458843725125053</v>
      </c>
      <c r="O55" s="28">
        <f t="shared" ref="O55" si="121">1+O56</f>
        <v>0.70458843725125053</v>
      </c>
      <c r="P55" s="28">
        <f t="shared" ref="P55" si="122">1+P56</f>
        <v>0.70458843725125053</v>
      </c>
      <c r="Q55" s="28">
        <f t="shared" ref="Q55" si="123">1+Q56</f>
        <v>0.70458843725125053</v>
      </c>
    </row>
    <row r="56" spans="1:17" x14ac:dyDescent="0.2">
      <c r="A56" s="31"/>
      <c r="B56" s="32" t="s">
        <v>76</v>
      </c>
      <c r="C56" s="32"/>
      <c r="D56" s="32" t="s">
        <v>9</v>
      </c>
      <c r="E56" s="32"/>
      <c r="F56" s="32"/>
      <c r="G56" s="32">
        <v>2055</v>
      </c>
      <c r="H56" s="33"/>
      <c r="I56" s="32"/>
      <c r="J56" s="32"/>
      <c r="K56" s="34"/>
      <c r="L56" s="34"/>
      <c r="M56" s="34">
        <v>-0.29541156274874947</v>
      </c>
      <c r="N56" s="34">
        <f t="shared" si="103"/>
        <v>-0.29541156274874947</v>
      </c>
      <c r="O56" s="34">
        <f t="shared" ref="O56:Q56" si="124">N56</f>
        <v>-0.29541156274874947</v>
      </c>
      <c r="P56" s="34">
        <f t="shared" si="124"/>
        <v>-0.29541156274874947</v>
      </c>
      <c r="Q56" s="34">
        <f t="shared" si="124"/>
        <v>-0.29541156274874947</v>
      </c>
    </row>
    <row r="57" spans="1:17" x14ac:dyDescent="0.2">
      <c r="A57" s="24" t="str">
        <f>"UC_"&amp;"NCAP"&amp;D57&amp;"P"</f>
        <v>UC_NCAPTLP</v>
      </c>
      <c r="B57" s="24" t="s">
        <v>70</v>
      </c>
      <c r="C57" s="24"/>
      <c r="D57" s="25" t="s">
        <v>9</v>
      </c>
      <c r="E57" s="25"/>
      <c r="F57" s="25"/>
      <c r="G57" s="25">
        <v>2020</v>
      </c>
      <c r="H57" s="27" t="s">
        <v>29</v>
      </c>
      <c r="I57" s="25">
        <v>0</v>
      </c>
      <c r="J57" s="25">
        <v>5</v>
      </c>
      <c r="K57" s="28"/>
      <c r="L57" s="28"/>
      <c r="M57" s="28">
        <f>1+M58</f>
        <v>0.86056219844796622</v>
      </c>
      <c r="N57" s="28">
        <f t="shared" ref="N57" si="125">1+N58</f>
        <v>0.86056219844796622</v>
      </c>
      <c r="O57" s="28">
        <f t="shared" ref="O57" si="126">1+O58</f>
        <v>0.86056219844796622</v>
      </c>
      <c r="P57" s="28">
        <f t="shared" ref="P57" si="127">1+P58</f>
        <v>0.86056219844796622</v>
      </c>
      <c r="Q57" s="28">
        <f t="shared" ref="Q57" si="128">1+Q58</f>
        <v>0.86056219844796622</v>
      </c>
    </row>
    <row r="58" spans="1:17" x14ac:dyDescent="0.2">
      <c r="A58" s="29"/>
      <c r="B58" s="24" t="s">
        <v>77</v>
      </c>
      <c r="C58" s="29"/>
      <c r="D58" s="25" t="s">
        <v>9</v>
      </c>
      <c r="E58" s="25"/>
      <c r="F58" s="25"/>
      <c r="G58" s="25">
        <v>2020</v>
      </c>
      <c r="H58" s="27"/>
      <c r="I58" s="25"/>
      <c r="J58" s="25"/>
      <c r="K58" s="30"/>
      <c r="L58" s="30"/>
      <c r="M58" s="30">
        <v>-0.13943780155203381</v>
      </c>
      <c r="N58" s="30">
        <f t="shared" si="57"/>
        <v>-0.13943780155203381</v>
      </c>
      <c r="O58" s="30">
        <f t="shared" ref="O58:Q58" si="129">N58</f>
        <v>-0.13943780155203381</v>
      </c>
      <c r="P58" s="30">
        <f t="shared" si="129"/>
        <v>-0.13943780155203381</v>
      </c>
      <c r="Q58" s="30">
        <f t="shared" si="129"/>
        <v>-0.13943780155203381</v>
      </c>
    </row>
    <row r="59" spans="1:17" x14ac:dyDescent="0.2">
      <c r="A59" s="29"/>
      <c r="B59" s="24" t="s">
        <v>70</v>
      </c>
      <c r="C59" s="24"/>
      <c r="D59" s="25" t="s">
        <v>9</v>
      </c>
      <c r="E59" s="25"/>
      <c r="F59" s="25"/>
      <c r="G59" s="25">
        <v>2030</v>
      </c>
      <c r="H59" s="27"/>
      <c r="I59" s="25"/>
      <c r="J59" s="25"/>
      <c r="K59" s="28"/>
      <c r="L59" s="28"/>
      <c r="M59" s="28">
        <f>1+M60</f>
        <v>0.87169527088461485</v>
      </c>
      <c r="N59" s="28">
        <f t="shared" ref="N59" si="130">1+N60</f>
        <v>0.87169527088461485</v>
      </c>
      <c r="O59" s="28">
        <f t="shared" ref="O59" si="131">1+O60</f>
        <v>0.87169527088461485</v>
      </c>
      <c r="P59" s="28">
        <f t="shared" ref="P59" si="132">1+P60</f>
        <v>0.87169527088461485</v>
      </c>
      <c r="Q59" s="28">
        <f t="shared" ref="Q59" si="133">1+Q60</f>
        <v>0.87169527088461485</v>
      </c>
    </row>
    <row r="60" spans="1:17" x14ac:dyDescent="0.2">
      <c r="A60" s="29"/>
      <c r="B60" s="24" t="s">
        <v>77</v>
      </c>
      <c r="C60" s="29"/>
      <c r="D60" s="25" t="s">
        <v>9</v>
      </c>
      <c r="E60" s="25"/>
      <c r="F60" s="25"/>
      <c r="G60" s="25">
        <v>2030</v>
      </c>
      <c r="H60" s="27"/>
      <c r="I60" s="25"/>
      <c r="J60" s="25"/>
      <c r="K60" s="30"/>
      <c r="L60" s="30"/>
      <c r="M60" s="30">
        <v>-0.12830472911538512</v>
      </c>
      <c r="N60" s="30">
        <f t="shared" si="57"/>
        <v>-0.12830472911538512</v>
      </c>
      <c r="O60" s="30">
        <f t="shared" ref="O60:Q60" si="134">N60</f>
        <v>-0.12830472911538512</v>
      </c>
      <c r="P60" s="30">
        <f t="shared" si="134"/>
        <v>-0.12830472911538512</v>
      </c>
      <c r="Q60" s="30">
        <f t="shared" si="134"/>
        <v>-0.12830472911538512</v>
      </c>
    </row>
    <row r="61" spans="1:17" x14ac:dyDescent="0.2">
      <c r="A61" s="29"/>
      <c r="B61" s="24" t="s">
        <v>70</v>
      </c>
      <c r="C61" s="24"/>
      <c r="D61" s="25" t="s">
        <v>9</v>
      </c>
      <c r="E61" s="25"/>
      <c r="F61" s="25"/>
      <c r="G61" s="25">
        <v>2040</v>
      </c>
      <c r="H61" s="27"/>
      <c r="I61" s="25"/>
      <c r="J61" s="25"/>
      <c r="K61" s="28"/>
      <c r="L61" s="28"/>
      <c r="M61" s="28">
        <f>1+M62</f>
        <v>0.88093311490369808</v>
      </c>
      <c r="N61" s="28">
        <f t="shared" ref="N61" si="135">1+N62</f>
        <v>0.88093311490369808</v>
      </c>
      <c r="O61" s="28">
        <f t="shared" ref="O61" si="136">1+O62</f>
        <v>0.88093311490369808</v>
      </c>
      <c r="P61" s="28">
        <f t="shared" ref="P61" si="137">1+P62</f>
        <v>0.88093311490369808</v>
      </c>
      <c r="Q61" s="28">
        <f t="shared" ref="Q61" si="138">1+Q62</f>
        <v>0.88093311490369808</v>
      </c>
    </row>
    <row r="62" spans="1:17" x14ac:dyDescent="0.2">
      <c r="A62" s="29"/>
      <c r="B62" s="24" t="s">
        <v>77</v>
      </c>
      <c r="C62" s="29"/>
      <c r="D62" s="25" t="s">
        <v>9</v>
      </c>
      <c r="E62" s="25"/>
      <c r="F62" s="25"/>
      <c r="G62" s="25">
        <v>2040</v>
      </c>
      <c r="H62" s="27"/>
      <c r="I62" s="25"/>
      <c r="J62" s="25"/>
      <c r="K62" s="30"/>
      <c r="L62" s="30"/>
      <c r="M62" s="30">
        <v>-0.11906688509630189</v>
      </c>
      <c r="N62" s="30">
        <f t="shared" si="57"/>
        <v>-0.11906688509630189</v>
      </c>
      <c r="O62" s="30">
        <f t="shared" ref="O62:Q62" si="139">N62</f>
        <v>-0.11906688509630189</v>
      </c>
      <c r="P62" s="30">
        <f t="shared" si="139"/>
        <v>-0.11906688509630189</v>
      </c>
      <c r="Q62" s="30">
        <f t="shared" si="139"/>
        <v>-0.11906688509630189</v>
      </c>
    </row>
    <row r="63" spans="1:17" x14ac:dyDescent="0.2">
      <c r="A63" s="29"/>
      <c r="B63" s="24" t="s">
        <v>70</v>
      </c>
      <c r="C63" s="24"/>
      <c r="D63" s="25" t="s">
        <v>9</v>
      </c>
      <c r="E63" s="25"/>
      <c r="F63" s="25"/>
      <c r="G63" s="25">
        <v>2050</v>
      </c>
      <c r="H63" s="27"/>
      <c r="I63" s="25"/>
      <c r="J63" s="25"/>
      <c r="K63" s="28"/>
      <c r="L63" s="28"/>
      <c r="M63" s="28">
        <f>1+M64</f>
        <v>0.88950484321411383</v>
      </c>
      <c r="N63" s="28">
        <f t="shared" ref="N63" si="140">1+N64</f>
        <v>0.88950484321411383</v>
      </c>
      <c r="O63" s="28">
        <f t="shared" ref="O63" si="141">1+O64</f>
        <v>0.88950484321411383</v>
      </c>
      <c r="P63" s="28">
        <f t="shared" ref="P63" si="142">1+P64</f>
        <v>0.88950484321411383</v>
      </c>
      <c r="Q63" s="28">
        <f t="shared" ref="Q63" si="143">1+Q64</f>
        <v>0.88950484321411383</v>
      </c>
    </row>
    <row r="64" spans="1:17" x14ac:dyDescent="0.2">
      <c r="A64" s="29"/>
      <c r="B64" s="24" t="s">
        <v>77</v>
      </c>
      <c r="C64" s="29"/>
      <c r="D64" s="25" t="s">
        <v>9</v>
      </c>
      <c r="E64" s="25"/>
      <c r="F64" s="25"/>
      <c r="G64" s="25">
        <v>2050</v>
      </c>
      <c r="H64" s="27"/>
      <c r="I64" s="25"/>
      <c r="J64" s="25"/>
      <c r="K64" s="30"/>
      <c r="L64" s="30"/>
      <c r="M64" s="30">
        <v>-0.11049515678588616</v>
      </c>
      <c r="N64" s="30">
        <f t="shared" si="57"/>
        <v>-0.11049515678588616</v>
      </c>
      <c r="O64" s="30">
        <f t="shared" ref="O64:Q64" si="144">N64</f>
        <v>-0.11049515678588616</v>
      </c>
      <c r="P64" s="30">
        <f t="shared" si="144"/>
        <v>-0.11049515678588616</v>
      </c>
      <c r="Q64" s="30">
        <f t="shared" si="144"/>
        <v>-0.11049515678588616</v>
      </c>
    </row>
    <row r="65" spans="1:17" x14ac:dyDescent="0.2">
      <c r="A65" s="29"/>
      <c r="B65" s="24" t="s">
        <v>70</v>
      </c>
      <c r="C65" s="25"/>
      <c r="D65" s="25" t="s">
        <v>9</v>
      </c>
      <c r="E65" s="25"/>
      <c r="F65" s="25"/>
      <c r="G65" s="25">
        <v>2055</v>
      </c>
      <c r="H65" s="27"/>
      <c r="I65" s="25"/>
      <c r="J65" s="25"/>
      <c r="K65" s="28"/>
      <c r="L65" s="28"/>
      <c r="M65" s="28">
        <f>1+M66</f>
        <v>0.88950484321411383</v>
      </c>
      <c r="N65" s="28">
        <f t="shared" ref="N65" si="145">1+N66</f>
        <v>0.88950484321411383</v>
      </c>
      <c r="O65" s="28">
        <f t="shared" ref="O65" si="146">1+O66</f>
        <v>0.88950484321411383</v>
      </c>
      <c r="P65" s="28">
        <f t="shared" ref="P65" si="147">1+P66</f>
        <v>0.88950484321411383</v>
      </c>
      <c r="Q65" s="28">
        <f t="shared" ref="Q65" si="148">1+Q66</f>
        <v>0.88950484321411383</v>
      </c>
    </row>
    <row r="66" spans="1:17" x14ac:dyDescent="0.2">
      <c r="A66" s="31"/>
      <c r="B66" s="32" t="s">
        <v>77</v>
      </c>
      <c r="C66" s="32"/>
      <c r="D66" s="32" t="s">
        <v>9</v>
      </c>
      <c r="E66" s="32"/>
      <c r="F66" s="32"/>
      <c r="G66" s="32">
        <v>2055</v>
      </c>
      <c r="H66" s="33"/>
      <c r="I66" s="32"/>
      <c r="J66" s="32"/>
      <c r="K66" s="34"/>
      <c r="L66" s="34"/>
      <c r="M66" s="34">
        <v>-0.11049515678588616</v>
      </c>
      <c r="N66" s="34">
        <f t="shared" si="57"/>
        <v>-0.11049515678588616</v>
      </c>
      <c r="O66" s="34">
        <f t="shared" ref="O66:Q66" si="149">N66</f>
        <v>-0.11049515678588616</v>
      </c>
      <c r="P66" s="34">
        <f t="shared" si="149"/>
        <v>-0.11049515678588616</v>
      </c>
      <c r="Q66" s="34">
        <f t="shared" si="149"/>
        <v>-0.11049515678588616</v>
      </c>
    </row>
    <row r="67" spans="1:17" x14ac:dyDescent="0.2">
      <c r="A67" s="24" t="str">
        <f>"UC_"&amp;"NCAP"&amp;D67&amp;"SS"</f>
        <v>UC_NCAPTLSS</v>
      </c>
      <c r="B67" s="24" t="s">
        <v>69</v>
      </c>
      <c r="C67" s="24"/>
      <c r="D67" s="25" t="s">
        <v>9</v>
      </c>
      <c r="E67" s="25"/>
      <c r="F67" s="25"/>
      <c r="G67" s="25">
        <v>2020</v>
      </c>
      <c r="H67" s="27" t="s">
        <v>29</v>
      </c>
      <c r="I67" s="25">
        <v>0</v>
      </c>
      <c r="J67" s="25">
        <v>5</v>
      </c>
      <c r="K67" s="28"/>
      <c r="L67" s="28"/>
      <c r="M67" s="28">
        <f>1+M68</f>
        <v>0.79604794329887862</v>
      </c>
      <c r="N67" s="28">
        <f t="shared" ref="N67" si="150">1+N68</f>
        <v>0.79604794329887862</v>
      </c>
      <c r="O67" s="28">
        <f t="shared" ref="O67" si="151">1+O68</f>
        <v>0.79604794329887862</v>
      </c>
      <c r="P67" s="28">
        <f t="shared" ref="P67" si="152">1+P68</f>
        <v>0.79604794329887862</v>
      </c>
      <c r="Q67" s="28">
        <f t="shared" ref="Q67" si="153">1+Q68</f>
        <v>0.79604794329887862</v>
      </c>
    </row>
    <row r="68" spans="1:17" x14ac:dyDescent="0.2">
      <c r="A68" s="29"/>
      <c r="B68" s="24" t="s">
        <v>78</v>
      </c>
      <c r="C68" s="29"/>
      <c r="D68" s="25" t="s">
        <v>9</v>
      </c>
      <c r="E68" s="25"/>
      <c r="F68" s="25"/>
      <c r="G68" s="25">
        <v>2020</v>
      </c>
      <c r="H68" s="27"/>
      <c r="I68" s="25"/>
      <c r="J68" s="25"/>
      <c r="K68" s="30"/>
      <c r="L68" s="30"/>
      <c r="M68" s="30">
        <v>-0.2039520567011214</v>
      </c>
      <c r="N68" s="30">
        <f t="shared" si="57"/>
        <v>-0.2039520567011214</v>
      </c>
      <c r="O68" s="30">
        <f t="shared" ref="O68:Q68" si="154">N68</f>
        <v>-0.2039520567011214</v>
      </c>
      <c r="P68" s="30">
        <f t="shared" si="154"/>
        <v>-0.2039520567011214</v>
      </c>
      <c r="Q68" s="30">
        <f t="shared" si="154"/>
        <v>-0.2039520567011214</v>
      </c>
    </row>
    <row r="69" spans="1:17" x14ac:dyDescent="0.2">
      <c r="A69" s="29"/>
      <c r="B69" s="24" t="s">
        <v>69</v>
      </c>
      <c r="C69" s="24"/>
      <c r="D69" s="25" t="s">
        <v>9</v>
      </c>
      <c r="E69" s="25"/>
      <c r="F69" s="25"/>
      <c r="G69" s="25">
        <v>2030</v>
      </c>
      <c r="H69" s="27"/>
      <c r="I69" s="25"/>
      <c r="J69" s="25"/>
      <c r="K69" s="28"/>
      <c r="L69" s="28"/>
      <c r="M69" s="28">
        <f>1+M70</f>
        <v>0.81407293978842965</v>
      </c>
      <c r="N69" s="28">
        <f t="shared" ref="N69" si="155">1+N70</f>
        <v>0.81407293978842965</v>
      </c>
      <c r="O69" s="28">
        <f t="shared" ref="O69" si="156">1+O70</f>
        <v>0.81407293978842965</v>
      </c>
      <c r="P69" s="28">
        <f t="shared" ref="P69" si="157">1+P70</f>
        <v>0.81407293978842965</v>
      </c>
      <c r="Q69" s="28">
        <f t="shared" ref="Q69" si="158">1+Q70</f>
        <v>0.81407293978842965</v>
      </c>
    </row>
    <row r="70" spans="1:17" x14ac:dyDescent="0.2">
      <c r="A70" s="29"/>
      <c r="B70" s="24" t="s">
        <v>78</v>
      </c>
      <c r="C70" s="29"/>
      <c r="D70" s="25" t="s">
        <v>9</v>
      </c>
      <c r="E70" s="25"/>
      <c r="F70" s="25"/>
      <c r="G70" s="25">
        <v>2030</v>
      </c>
      <c r="H70" s="27"/>
      <c r="I70" s="25"/>
      <c r="J70" s="25"/>
      <c r="K70" s="30"/>
      <c r="L70" s="30"/>
      <c r="M70" s="30">
        <v>-0.18592706021157029</v>
      </c>
      <c r="N70" s="30">
        <f t="shared" si="57"/>
        <v>-0.18592706021157029</v>
      </c>
      <c r="O70" s="30">
        <f t="shared" ref="O70:Q70" si="159">N70</f>
        <v>-0.18592706021157029</v>
      </c>
      <c r="P70" s="30">
        <f t="shared" si="159"/>
        <v>-0.18592706021157029</v>
      </c>
      <c r="Q70" s="30">
        <f t="shared" si="159"/>
        <v>-0.18592706021157029</v>
      </c>
    </row>
    <row r="71" spans="1:17" x14ac:dyDescent="0.2">
      <c r="A71" s="29"/>
      <c r="B71" s="24" t="s">
        <v>69</v>
      </c>
      <c r="C71" s="24"/>
      <c r="D71" s="25" t="s">
        <v>9</v>
      </c>
      <c r="E71" s="25"/>
      <c r="F71" s="25"/>
      <c r="G71" s="25">
        <v>2040</v>
      </c>
      <c r="H71" s="27"/>
      <c r="I71" s="25"/>
      <c r="J71" s="25"/>
      <c r="K71" s="28"/>
      <c r="L71" s="28"/>
      <c r="M71" s="28">
        <f>1+M72</f>
        <v>0.82738277399174098</v>
      </c>
      <c r="N71" s="28">
        <f t="shared" ref="N71" si="160">1+N72</f>
        <v>0.82738277399174098</v>
      </c>
      <c r="O71" s="28">
        <f t="shared" ref="O71" si="161">1+O72</f>
        <v>0.82738277399174098</v>
      </c>
      <c r="P71" s="28">
        <f t="shared" ref="P71" si="162">1+P72</f>
        <v>0.82738277399174098</v>
      </c>
      <c r="Q71" s="28">
        <f t="shared" ref="Q71" si="163">1+Q72</f>
        <v>0.82738277399174098</v>
      </c>
    </row>
    <row r="72" spans="1:17" x14ac:dyDescent="0.2">
      <c r="A72" s="29"/>
      <c r="B72" s="24" t="s">
        <v>78</v>
      </c>
      <c r="C72" s="29"/>
      <c r="D72" s="25" t="s">
        <v>9</v>
      </c>
      <c r="E72" s="25"/>
      <c r="F72" s="25"/>
      <c r="G72" s="25">
        <v>2040</v>
      </c>
      <c r="H72" s="27"/>
      <c r="I72" s="25"/>
      <c r="J72" s="25"/>
      <c r="K72" s="30"/>
      <c r="L72" s="30"/>
      <c r="M72" s="30">
        <v>-0.17261722600825896</v>
      </c>
      <c r="N72" s="30">
        <f t="shared" ref="N72:N76" si="164">M72</f>
        <v>-0.17261722600825896</v>
      </c>
      <c r="O72" s="30">
        <f t="shared" ref="O72:Q72" si="165">N72</f>
        <v>-0.17261722600825896</v>
      </c>
      <c r="P72" s="30">
        <f t="shared" si="165"/>
        <v>-0.17261722600825896</v>
      </c>
      <c r="Q72" s="30">
        <f t="shared" si="165"/>
        <v>-0.17261722600825896</v>
      </c>
    </row>
    <row r="73" spans="1:17" x14ac:dyDescent="0.2">
      <c r="A73" s="29"/>
      <c r="B73" s="24" t="s">
        <v>69</v>
      </c>
      <c r="C73" s="24"/>
      <c r="D73" s="25" t="s">
        <v>9</v>
      </c>
      <c r="E73" s="25"/>
      <c r="F73" s="25"/>
      <c r="G73" s="25">
        <v>2050</v>
      </c>
      <c r="H73" s="27"/>
      <c r="I73" s="25"/>
      <c r="J73" s="25"/>
      <c r="K73" s="28"/>
      <c r="L73" s="28"/>
      <c r="M73" s="28">
        <f>1+M74</f>
        <v>0.83973980613214638</v>
      </c>
      <c r="N73" s="28">
        <f t="shared" ref="N73" si="166">1+N74</f>
        <v>0.83973980613214638</v>
      </c>
      <c r="O73" s="28">
        <f t="shared" ref="O73" si="167">1+O74</f>
        <v>0.83973980613214638</v>
      </c>
      <c r="P73" s="28">
        <f t="shared" ref="P73" si="168">1+P74</f>
        <v>0.83973980613214638</v>
      </c>
      <c r="Q73" s="28">
        <f t="shared" ref="Q73" si="169">1+Q74</f>
        <v>0.83973980613214638</v>
      </c>
    </row>
    <row r="74" spans="1:17" x14ac:dyDescent="0.2">
      <c r="A74" s="29"/>
      <c r="B74" s="24" t="s">
        <v>78</v>
      </c>
      <c r="C74" s="29"/>
      <c r="D74" s="25" t="s">
        <v>9</v>
      </c>
      <c r="E74" s="25"/>
      <c r="F74" s="25"/>
      <c r="G74" s="25">
        <v>2050</v>
      </c>
      <c r="H74" s="27"/>
      <c r="I74" s="25"/>
      <c r="J74" s="25"/>
      <c r="K74" s="30"/>
      <c r="L74" s="30"/>
      <c r="M74" s="30">
        <v>-0.16026019386785365</v>
      </c>
      <c r="N74" s="30">
        <f t="shared" si="164"/>
        <v>-0.16026019386785365</v>
      </c>
      <c r="O74" s="30">
        <f t="shared" ref="O74:Q74" si="170">N74</f>
        <v>-0.16026019386785365</v>
      </c>
      <c r="P74" s="30">
        <f t="shared" si="170"/>
        <v>-0.16026019386785365</v>
      </c>
      <c r="Q74" s="30">
        <f t="shared" si="170"/>
        <v>-0.16026019386785365</v>
      </c>
    </row>
    <row r="75" spans="1:17" x14ac:dyDescent="0.2">
      <c r="A75" s="29"/>
      <c r="B75" s="24" t="s">
        <v>69</v>
      </c>
      <c r="C75" s="25"/>
      <c r="D75" s="25" t="s">
        <v>9</v>
      </c>
      <c r="E75" s="25"/>
      <c r="F75" s="25"/>
      <c r="G75" s="25">
        <v>2055</v>
      </c>
      <c r="H75" s="27"/>
      <c r="I75" s="25"/>
      <c r="J75" s="25"/>
      <c r="K75" s="28"/>
      <c r="L75" s="28"/>
      <c r="M75" s="28">
        <f>1+M76</f>
        <v>0.83973980613214638</v>
      </c>
      <c r="N75" s="28">
        <f t="shared" ref="N75" si="171">1+N76</f>
        <v>0.83973980613214638</v>
      </c>
      <c r="O75" s="28">
        <f t="shared" ref="O75" si="172">1+O76</f>
        <v>0.83973980613214638</v>
      </c>
      <c r="P75" s="28">
        <f t="shared" ref="P75" si="173">1+P76</f>
        <v>0.83973980613214638</v>
      </c>
      <c r="Q75" s="28">
        <f t="shared" ref="Q75" si="174">1+Q76</f>
        <v>0.83973980613214638</v>
      </c>
    </row>
    <row r="76" spans="1:17" x14ac:dyDescent="0.2">
      <c r="A76" s="31"/>
      <c r="B76" s="35" t="s">
        <v>78</v>
      </c>
      <c r="C76" s="32"/>
      <c r="D76" s="32" t="s">
        <v>9</v>
      </c>
      <c r="E76" s="32"/>
      <c r="F76" s="32"/>
      <c r="G76" s="32">
        <v>2055</v>
      </c>
      <c r="H76" s="33"/>
      <c r="I76" s="32"/>
      <c r="J76" s="32"/>
      <c r="K76" s="34"/>
      <c r="L76" s="34"/>
      <c r="M76" s="34">
        <v>-0.16026019386785365</v>
      </c>
      <c r="N76" s="34">
        <f t="shared" si="164"/>
        <v>-0.16026019386785365</v>
      </c>
      <c r="O76" s="34">
        <f t="shared" ref="O76:Q76" si="175">N76</f>
        <v>-0.16026019386785365</v>
      </c>
      <c r="P76" s="34">
        <f t="shared" si="175"/>
        <v>-0.16026019386785365</v>
      </c>
      <c r="Q76" s="34">
        <f t="shared" si="175"/>
        <v>-0.16026019386785365</v>
      </c>
    </row>
    <row r="80" spans="1:17" x14ac:dyDescent="0.2">
      <c r="A80" s="17" t="s">
        <v>53</v>
      </c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9"/>
      <c r="O80" s="19"/>
    </row>
    <row r="81" spans="1:17" x14ac:dyDescent="0.2">
      <c r="A81" s="18"/>
      <c r="B81" s="18"/>
      <c r="C81" s="18"/>
      <c r="D81" s="18"/>
      <c r="E81" s="12"/>
      <c r="F81" s="17" t="s">
        <v>61</v>
      </c>
      <c r="G81" s="18"/>
      <c r="H81" s="18"/>
      <c r="I81" s="18"/>
      <c r="J81" s="18"/>
      <c r="K81" s="18"/>
      <c r="L81" s="18"/>
      <c r="M81" s="18"/>
      <c r="N81" s="18"/>
      <c r="O81" s="18"/>
    </row>
    <row r="82" spans="1:17" ht="26.25" thickBot="1" x14ac:dyDescent="0.25">
      <c r="A82" s="20" t="s">
        <v>54</v>
      </c>
      <c r="B82" s="20" t="s">
        <v>62</v>
      </c>
      <c r="C82" s="20" t="s">
        <v>63</v>
      </c>
      <c r="D82" s="21" t="s">
        <v>55</v>
      </c>
      <c r="E82" s="21" t="s">
        <v>56</v>
      </c>
      <c r="F82" s="21" t="s">
        <v>57</v>
      </c>
      <c r="G82" s="20" t="s">
        <v>51</v>
      </c>
      <c r="H82" s="21" t="s">
        <v>52</v>
      </c>
      <c r="I82" s="22" t="s">
        <v>58</v>
      </c>
      <c r="J82" s="22" t="s">
        <v>59</v>
      </c>
      <c r="K82" s="23" t="s">
        <v>60</v>
      </c>
      <c r="L82" s="23" t="s">
        <v>26</v>
      </c>
      <c r="M82" s="23" t="s">
        <v>15</v>
      </c>
      <c r="N82" s="23" t="s">
        <v>16</v>
      </c>
      <c r="O82" s="23" t="s">
        <v>17</v>
      </c>
      <c r="P82" s="23" t="s">
        <v>18</v>
      </c>
      <c r="Q82" s="23" t="s">
        <v>19</v>
      </c>
    </row>
    <row r="83" spans="1:17" x14ac:dyDescent="0.2">
      <c r="A83" s="24" t="str">
        <f>"UC_"&amp;"NCAP"&amp;D83&amp;"ELCA"</f>
        <v>UC_NCAPTLELCA</v>
      </c>
      <c r="B83" s="24" t="s">
        <v>190</v>
      </c>
      <c r="C83" s="24" t="s">
        <v>71</v>
      </c>
      <c r="D83" s="25" t="s">
        <v>9</v>
      </c>
      <c r="E83" s="26"/>
      <c r="F83" s="25"/>
      <c r="G83" s="25">
        <v>2020</v>
      </c>
      <c r="H83" s="27" t="s">
        <v>30</v>
      </c>
      <c r="I83" s="25">
        <v>0</v>
      </c>
      <c r="J83" s="25">
        <v>5</v>
      </c>
      <c r="K83" s="28"/>
      <c r="L83" s="28"/>
      <c r="M83" s="28">
        <f>1+M84</f>
        <v>0.9</v>
      </c>
      <c r="N83" s="28">
        <f t="shared" ref="N83:Q83" si="176">1+N84</f>
        <v>0.9</v>
      </c>
      <c r="O83" s="28">
        <f t="shared" si="176"/>
        <v>0.9</v>
      </c>
      <c r="P83" s="28">
        <f t="shared" si="176"/>
        <v>0.9</v>
      </c>
      <c r="Q83" s="28">
        <f t="shared" si="176"/>
        <v>0.9</v>
      </c>
    </row>
    <row r="84" spans="1:17" x14ac:dyDescent="0.2">
      <c r="A84" s="29"/>
      <c r="B84" s="24" t="s">
        <v>190</v>
      </c>
      <c r="C84" s="42" t="s">
        <v>81</v>
      </c>
      <c r="D84" s="25" t="s">
        <v>9</v>
      </c>
      <c r="E84" s="25"/>
      <c r="F84" s="25"/>
      <c r="G84" s="25">
        <v>2020</v>
      </c>
      <c r="H84" s="27"/>
      <c r="I84" s="25"/>
      <c r="J84" s="25"/>
      <c r="K84" s="30"/>
      <c r="L84" s="30"/>
      <c r="M84" s="30">
        <v>-0.1</v>
      </c>
      <c r="N84" s="30">
        <f t="shared" ref="N84:N114" si="177">M84</f>
        <v>-0.1</v>
      </c>
      <c r="O84" s="30">
        <f t="shared" ref="O84:Q84" si="178">N84</f>
        <v>-0.1</v>
      </c>
      <c r="P84" s="30">
        <f t="shared" si="178"/>
        <v>-0.1</v>
      </c>
      <c r="Q84" s="30">
        <f t="shared" si="178"/>
        <v>-0.1</v>
      </c>
    </row>
    <row r="85" spans="1:17" x14ac:dyDescent="0.2">
      <c r="A85" s="29"/>
      <c r="B85" s="24" t="s">
        <v>190</v>
      </c>
      <c r="C85" s="24" t="s">
        <v>71</v>
      </c>
      <c r="D85" s="25" t="s">
        <v>9</v>
      </c>
      <c r="E85" s="25"/>
      <c r="F85" s="25"/>
      <c r="G85" s="25">
        <v>2025</v>
      </c>
      <c r="H85" s="27"/>
      <c r="I85" s="25"/>
      <c r="J85" s="25"/>
      <c r="K85" s="28"/>
      <c r="L85" s="28"/>
      <c r="M85" s="28">
        <f>1+M86</f>
        <v>0.85</v>
      </c>
      <c r="N85" s="28">
        <f t="shared" ref="N85" si="179">1+N86</f>
        <v>0.85</v>
      </c>
      <c r="O85" s="28">
        <f t="shared" ref="O85" si="180">1+O86</f>
        <v>0.85</v>
      </c>
      <c r="P85" s="28">
        <f t="shared" ref="P85" si="181">1+P86</f>
        <v>0.85</v>
      </c>
      <c r="Q85" s="28">
        <f t="shared" ref="Q85" si="182">1+Q86</f>
        <v>0.85</v>
      </c>
    </row>
    <row r="86" spans="1:17" x14ac:dyDescent="0.2">
      <c r="A86" s="29"/>
      <c r="B86" s="24" t="s">
        <v>190</v>
      </c>
      <c r="C86" s="25" t="s">
        <v>81</v>
      </c>
      <c r="D86" s="25" t="s">
        <v>9</v>
      </c>
      <c r="E86" s="25"/>
      <c r="F86" s="25"/>
      <c r="G86" s="25">
        <v>2025</v>
      </c>
      <c r="H86" s="27"/>
      <c r="I86" s="25"/>
      <c r="J86" s="25"/>
      <c r="K86" s="30"/>
      <c r="L86" s="30"/>
      <c r="M86" s="30">
        <v>-0.15</v>
      </c>
      <c r="N86" s="30">
        <f t="shared" si="177"/>
        <v>-0.15</v>
      </c>
      <c r="O86" s="30">
        <f t="shared" ref="O86:Q86" si="183">N86</f>
        <v>-0.15</v>
      </c>
      <c r="P86" s="30">
        <f t="shared" si="183"/>
        <v>-0.15</v>
      </c>
      <c r="Q86" s="30">
        <f t="shared" si="183"/>
        <v>-0.15</v>
      </c>
    </row>
    <row r="87" spans="1:17" x14ac:dyDescent="0.2">
      <c r="A87" s="29"/>
      <c r="B87" s="24" t="s">
        <v>190</v>
      </c>
      <c r="C87" s="24" t="s">
        <v>71</v>
      </c>
      <c r="D87" s="25" t="s">
        <v>9</v>
      </c>
      <c r="E87" s="25"/>
      <c r="F87" s="25"/>
      <c r="G87" s="25">
        <v>2030</v>
      </c>
      <c r="H87" s="27"/>
      <c r="I87" s="25"/>
      <c r="J87" s="25"/>
      <c r="K87" s="28"/>
      <c r="L87" s="28"/>
      <c r="M87" s="28">
        <f>1+M88</f>
        <v>0.8</v>
      </c>
      <c r="N87" s="28">
        <f t="shared" ref="N87" si="184">1+N88</f>
        <v>0.8</v>
      </c>
      <c r="O87" s="28">
        <f t="shared" ref="O87" si="185">1+O88</f>
        <v>0.8</v>
      </c>
      <c r="P87" s="28">
        <f t="shared" ref="P87" si="186">1+P88</f>
        <v>0.8</v>
      </c>
      <c r="Q87" s="28">
        <f t="shared" ref="Q87" si="187">1+Q88</f>
        <v>0.8</v>
      </c>
    </row>
    <row r="88" spans="1:17" x14ac:dyDescent="0.2">
      <c r="A88" s="29"/>
      <c r="B88" s="24" t="s">
        <v>190</v>
      </c>
      <c r="C88" s="25" t="s">
        <v>81</v>
      </c>
      <c r="D88" s="25" t="s">
        <v>9</v>
      </c>
      <c r="E88" s="25"/>
      <c r="F88" s="25"/>
      <c r="G88" s="25">
        <v>2030</v>
      </c>
      <c r="H88" s="27"/>
      <c r="I88" s="25"/>
      <c r="J88" s="25"/>
      <c r="K88" s="30"/>
      <c r="L88" s="30"/>
      <c r="M88" s="30">
        <v>-0.2</v>
      </c>
      <c r="N88" s="30">
        <f t="shared" si="177"/>
        <v>-0.2</v>
      </c>
      <c r="O88" s="30">
        <f t="shared" ref="O88:Q88" si="188">N88</f>
        <v>-0.2</v>
      </c>
      <c r="P88" s="30">
        <f t="shared" si="188"/>
        <v>-0.2</v>
      </c>
      <c r="Q88" s="30">
        <f t="shared" si="188"/>
        <v>-0.2</v>
      </c>
    </row>
    <row r="89" spans="1:17" x14ac:dyDescent="0.2">
      <c r="A89" s="29"/>
      <c r="B89" s="24" t="s">
        <v>190</v>
      </c>
      <c r="C89" s="24" t="s">
        <v>71</v>
      </c>
      <c r="D89" s="25" t="s">
        <v>9</v>
      </c>
      <c r="E89" s="25"/>
      <c r="F89" s="25"/>
      <c r="G89" s="25">
        <v>2035</v>
      </c>
      <c r="H89" s="27"/>
      <c r="I89" s="25"/>
      <c r="J89" s="25"/>
      <c r="K89" s="28"/>
      <c r="L89" s="28"/>
      <c r="M89" s="28">
        <f>1+M90</f>
        <v>0.8</v>
      </c>
      <c r="N89" s="28">
        <f t="shared" ref="N89" si="189">1+N90</f>
        <v>0.8</v>
      </c>
      <c r="O89" s="28">
        <f t="shared" ref="O89" si="190">1+O90</f>
        <v>0.8</v>
      </c>
      <c r="P89" s="28">
        <f t="shared" ref="P89" si="191">1+P90</f>
        <v>0.8</v>
      </c>
      <c r="Q89" s="28">
        <f t="shared" ref="Q89" si="192">1+Q90</f>
        <v>0.8</v>
      </c>
    </row>
    <row r="90" spans="1:17" x14ac:dyDescent="0.2">
      <c r="A90" s="29"/>
      <c r="B90" s="24" t="s">
        <v>190</v>
      </c>
      <c r="C90" s="25" t="s">
        <v>81</v>
      </c>
      <c r="D90" s="25" t="s">
        <v>9</v>
      </c>
      <c r="E90" s="25"/>
      <c r="F90" s="25"/>
      <c r="G90" s="25">
        <v>2035</v>
      </c>
      <c r="H90" s="27"/>
      <c r="I90" s="25"/>
      <c r="J90" s="25"/>
      <c r="K90" s="30"/>
      <c r="L90" s="30"/>
      <c r="M90" s="30">
        <v>-0.2</v>
      </c>
      <c r="N90" s="30">
        <f t="shared" si="177"/>
        <v>-0.2</v>
      </c>
      <c r="O90" s="30">
        <f t="shared" ref="O90:Q90" si="193">N90</f>
        <v>-0.2</v>
      </c>
      <c r="P90" s="30">
        <f t="shared" si="193"/>
        <v>-0.2</v>
      </c>
      <c r="Q90" s="30">
        <f t="shared" si="193"/>
        <v>-0.2</v>
      </c>
    </row>
    <row r="91" spans="1:17" x14ac:dyDescent="0.2">
      <c r="A91" s="29"/>
      <c r="B91" s="24" t="s">
        <v>190</v>
      </c>
      <c r="C91" s="24" t="s">
        <v>71</v>
      </c>
      <c r="D91" s="25" t="s">
        <v>9</v>
      </c>
      <c r="E91" s="25"/>
      <c r="F91" s="25"/>
      <c r="G91" s="25">
        <v>2040</v>
      </c>
      <c r="H91" s="27"/>
      <c r="I91" s="25"/>
      <c r="J91" s="25"/>
      <c r="K91" s="28"/>
      <c r="L91" s="28"/>
      <c r="M91" s="28">
        <f>1+M92</f>
        <v>0.75</v>
      </c>
      <c r="N91" s="28">
        <f t="shared" ref="N91" si="194">1+N92</f>
        <v>0.75</v>
      </c>
      <c r="O91" s="28">
        <f t="shared" ref="O91" si="195">1+O92</f>
        <v>0.75</v>
      </c>
      <c r="P91" s="28">
        <f t="shared" ref="P91" si="196">1+P92</f>
        <v>0.75</v>
      </c>
      <c r="Q91" s="28">
        <f t="shared" ref="Q91" si="197">1+Q92</f>
        <v>0.75</v>
      </c>
    </row>
    <row r="92" spans="1:17" x14ac:dyDescent="0.2">
      <c r="A92" s="29"/>
      <c r="B92" s="24" t="s">
        <v>190</v>
      </c>
      <c r="C92" s="25" t="s">
        <v>81</v>
      </c>
      <c r="D92" s="25" t="s">
        <v>9</v>
      </c>
      <c r="E92" s="25"/>
      <c r="F92" s="25"/>
      <c r="G92" s="25">
        <v>2040</v>
      </c>
      <c r="H92" s="27"/>
      <c r="I92" s="25"/>
      <c r="J92" s="25"/>
      <c r="K92" s="30"/>
      <c r="L92" s="30"/>
      <c r="M92" s="30">
        <v>-0.25</v>
      </c>
      <c r="N92" s="30">
        <f t="shared" si="177"/>
        <v>-0.25</v>
      </c>
      <c r="O92" s="30">
        <f t="shared" ref="O92:Q92" si="198">N92</f>
        <v>-0.25</v>
      </c>
      <c r="P92" s="30">
        <f t="shared" si="198"/>
        <v>-0.25</v>
      </c>
      <c r="Q92" s="30">
        <f t="shared" si="198"/>
        <v>-0.25</v>
      </c>
    </row>
    <row r="93" spans="1:17" x14ac:dyDescent="0.2">
      <c r="A93" s="29"/>
      <c r="B93" s="24" t="s">
        <v>190</v>
      </c>
      <c r="C93" s="24" t="s">
        <v>71</v>
      </c>
      <c r="D93" s="25" t="s">
        <v>9</v>
      </c>
      <c r="E93" s="25"/>
      <c r="F93" s="25"/>
      <c r="G93" s="25">
        <v>2045</v>
      </c>
      <c r="H93" s="27"/>
      <c r="I93" s="25"/>
      <c r="J93" s="25"/>
      <c r="K93" s="28"/>
      <c r="L93" s="28"/>
      <c r="M93" s="28">
        <f>1+M94</f>
        <v>0.75</v>
      </c>
      <c r="N93" s="28">
        <f t="shared" ref="N93" si="199">1+N94</f>
        <v>0.75</v>
      </c>
      <c r="O93" s="28">
        <f t="shared" ref="O93" si="200">1+O94</f>
        <v>0.75</v>
      </c>
      <c r="P93" s="28">
        <f t="shared" ref="P93" si="201">1+P94</f>
        <v>0.75</v>
      </c>
      <c r="Q93" s="28">
        <f t="shared" ref="Q93" si="202">1+Q94</f>
        <v>0.75</v>
      </c>
    </row>
    <row r="94" spans="1:17" x14ac:dyDescent="0.2">
      <c r="A94" s="29"/>
      <c r="B94" s="24" t="s">
        <v>190</v>
      </c>
      <c r="C94" s="25" t="s">
        <v>81</v>
      </c>
      <c r="D94" s="25" t="s">
        <v>9</v>
      </c>
      <c r="E94" s="25"/>
      <c r="F94" s="25"/>
      <c r="G94" s="25">
        <v>2045</v>
      </c>
      <c r="H94" s="27"/>
      <c r="I94" s="25"/>
      <c r="J94" s="25"/>
      <c r="K94" s="30"/>
      <c r="L94" s="30"/>
      <c r="M94" s="30">
        <v>-0.25</v>
      </c>
      <c r="N94" s="30">
        <f t="shared" si="177"/>
        <v>-0.25</v>
      </c>
      <c r="O94" s="30">
        <f t="shared" ref="O94:Q94" si="203">N94</f>
        <v>-0.25</v>
      </c>
      <c r="P94" s="30">
        <f t="shared" si="203"/>
        <v>-0.25</v>
      </c>
      <c r="Q94" s="30">
        <f t="shared" si="203"/>
        <v>-0.25</v>
      </c>
    </row>
    <row r="95" spans="1:17" x14ac:dyDescent="0.2">
      <c r="A95" s="29"/>
      <c r="B95" s="24" t="s">
        <v>190</v>
      </c>
      <c r="C95" s="24" t="s">
        <v>71</v>
      </c>
      <c r="D95" s="25" t="s">
        <v>9</v>
      </c>
      <c r="E95" s="25"/>
      <c r="F95" s="25"/>
      <c r="G95" s="25">
        <v>2050</v>
      </c>
      <c r="H95" s="27"/>
      <c r="I95" s="25"/>
      <c r="J95" s="25"/>
      <c r="K95" s="28"/>
      <c r="L95" s="28"/>
      <c r="M95" s="28">
        <f>1+M96</f>
        <v>0.7</v>
      </c>
      <c r="N95" s="28">
        <f t="shared" ref="N95" si="204">1+N96</f>
        <v>0.7</v>
      </c>
      <c r="O95" s="28">
        <f t="shared" ref="O95" si="205">1+O96</f>
        <v>0.7</v>
      </c>
      <c r="P95" s="28">
        <f t="shared" ref="P95" si="206">1+P96</f>
        <v>0.7</v>
      </c>
      <c r="Q95" s="28">
        <f t="shared" ref="Q95" si="207">1+Q96</f>
        <v>0.7</v>
      </c>
    </row>
    <row r="96" spans="1:17" x14ac:dyDescent="0.2">
      <c r="A96" s="29"/>
      <c r="B96" s="24" t="s">
        <v>190</v>
      </c>
      <c r="C96" s="25" t="s">
        <v>81</v>
      </c>
      <c r="D96" s="25" t="s">
        <v>9</v>
      </c>
      <c r="E96" s="25"/>
      <c r="F96" s="25"/>
      <c r="G96" s="25">
        <v>2050</v>
      </c>
      <c r="H96" s="27"/>
      <c r="I96" s="25"/>
      <c r="J96" s="25"/>
      <c r="K96" s="30"/>
      <c r="L96" s="30"/>
      <c r="M96" s="30">
        <v>-0.3</v>
      </c>
      <c r="N96" s="30">
        <f t="shared" si="177"/>
        <v>-0.3</v>
      </c>
      <c r="O96" s="30">
        <f t="shared" ref="O96:Q96" si="208">N96</f>
        <v>-0.3</v>
      </c>
      <c r="P96" s="30">
        <f t="shared" si="208"/>
        <v>-0.3</v>
      </c>
      <c r="Q96" s="30">
        <f t="shared" si="208"/>
        <v>-0.3</v>
      </c>
    </row>
    <row r="97" spans="1:17" x14ac:dyDescent="0.2">
      <c r="A97" s="29"/>
      <c r="B97" s="24" t="s">
        <v>190</v>
      </c>
      <c r="C97" s="24" t="s">
        <v>71</v>
      </c>
      <c r="D97" s="25" t="s">
        <v>9</v>
      </c>
      <c r="E97" s="25"/>
      <c r="F97" s="25"/>
      <c r="G97" s="25">
        <v>2055</v>
      </c>
      <c r="H97" s="27"/>
      <c r="I97" s="25"/>
      <c r="J97" s="25"/>
      <c r="K97" s="28"/>
      <c r="L97" s="28"/>
      <c r="M97" s="28">
        <f>1+M98</f>
        <v>0.7</v>
      </c>
      <c r="N97" s="28">
        <f t="shared" ref="N97" si="209">1+N98</f>
        <v>0.7</v>
      </c>
      <c r="O97" s="28">
        <f t="shared" ref="O97" si="210">1+O98</f>
        <v>0.7</v>
      </c>
      <c r="P97" s="28">
        <f t="shared" ref="P97" si="211">1+P98</f>
        <v>0.7</v>
      </c>
      <c r="Q97" s="28">
        <f t="shared" ref="Q97" si="212">1+Q98</f>
        <v>0.7</v>
      </c>
    </row>
    <row r="98" spans="1:17" x14ac:dyDescent="0.2">
      <c r="A98" s="31"/>
      <c r="B98" s="35" t="s">
        <v>190</v>
      </c>
      <c r="C98" s="32" t="s">
        <v>81</v>
      </c>
      <c r="D98" s="32" t="s">
        <v>9</v>
      </c>
      <c r="E98" s="32"/>
      <c r="F98" s="32"/>
      <c r="G98" s="32">
        <v>2055</v>
      </c>
      <c r="H98" s="33"/>
      <c r="I98" s="32"/>
      <c r="J98" s="32"/>
      <c r="K98" s="34"/>
      <c r="L98" s="34"/>
      <c r="M98" s="34">
        <v>-0.3</v>
      </c>
      <c r="N98" s="34">
        <f t="shared" si="177"/>
        <v>-0.3</v>
      </c>
      <c r="O98" s="34">
        <f t="shared" ref="O98:Q98" si="213">N98</f>
        <v>-0.3</v>
      </c>
      <c r="P98" s="34">
        <f t="shared" si="213"/>
        <v>-0.3</v>
      </c>
      <c r="Q98" s="34">
        <f t="shared" si="213"/>
        <v>-0.3</v>
      </c>
    </row>
    <row r="99" spans="1:17" x14ac:dyDescent="0.2">
      <c r="A99" s="24" t="str">
        <f>"UC_"&amp;"NCAP"&amp;D99&amp;"ELCB"</f>
        <v>UC_NCAPTLELCB</v>
      </c>
      <c r="B99" s="24" t="s">
        <v>190</v>
      </c>
      <c r="C99" s="24" t="s">
        <v>72</v>
      </c>
      <c r="D99" s="25" t="s">
        <v>9</v>
      </c>
      <c r="E99" s="25"/>
      <c r="F99" s="25"/>
      <c r="G99" s="25">
        <v>2020</v>
      </c>
      <c r="H99" s="27" t="s">
        <v>30</v>
      </c>
      <c r="I99" s="25">
        <v>0</v>
      </c>
      <c r="J99" s="25">
        <v>5</v>
      </c>
      <c r="K99" s="28"/>
      <c r="L99" s="28"/>
      <c r="M99" s="28">
        <f>1+M100</f>
        <v>0.35</v>
      </c>
      <c r="N99" s="28">
        <f t="shared" ref="N99" si="214">1+N100</f>
        <v>0.35</v>
      </c>
      <c r="O99" s="28">
        <f t="shared" ref="O99" si="215">1+O100</f>
        <v>0.35</v>
      </c>
      <c r="P99" s="28">
        <f t="shared" ref="P99" si="216">1+P100</f>
        <v>0.35</v>
      </c>
      <c r="Q99" s="28">
        <f t="shared" ref="Q99" si="217">1+Q100</f>
        <v>0.35</v>
      </c>
    </row>
    <row r="100" spans="1:17" x14ac:dyDescent="0.2">
      <c r="A100" s="29"/>
      <c r="B100" s="24" t="s">
        <v>190</v>
      </c>
      <c r="C100" s="42" t="s">
        <v>82</v>
      </c>
      <c r="D100" s="25" t="s">
        <v>9</v>
      </c>
      <c r="E100" s="25"/>
      <c r="F100" s="25"/>
      <c r="G100" s="25">
        <v>2020</v>
      </c>
      <c r="H100" s="27"/>
      <c r="I100" s="25"/>
      <c r="J100" s="25"/>
      <c r="K100" s="30"/>
      <c r="L100" s="30"/>
      <c r="M100" s="30">
        <v>-0.65</v>
      </c>
      <c r="N100" s="30">
        <f t="shared" si="177"/>
        <v>-0.65</v>
      </c>
      <c r="O100" s="30">
        <f t="shared" ref="O100:Q100" si="218">N100</f>
        <v>-0.65</v>
      </c>
      <c r="P100" s="30">
        <f t="shared" si="218"/>
        <v>-0.65</v>
      </c>
      <c r="Q100" s="30">
        <f t="shared" si="218"/>
        <v>-0.65</v>
      </c>
    </row>
    <row r="101" spans="1:17" x14ac:dyDescent="0.2">
      <c r="A101" s="29"/>
      <c r="B101" s="24" t="s">
        <v>190</v>
      </c>
      <c r="C101" s="24" t="s">
        <v>72</v>
      </c>
      <c r="D101" s="25" t="s">
        <v>9</v>
      </c>
      <c r="E101" s="25"/>
      <c r="F101" s="25"/>
      <c r="G101" s="25">
        <v>2025</v>
      </c>
      <c r="H101" s="27"/>
      <c r="I101" s="25"/>
      <c r="J101" s="25"/>
      <c r="K101" s="28"/>
      <c r="L101" s="28"/>
      <c r="M101" s="28">
        <f>1+M102</f>
        <v>0.35</v>
      </c>
      <c r="N101" s="28">
        <f t="shared" ref="N101" si="219">1+N102</f>
        <v>0.35</v>
      </c>
      <c r="O101" s="28">
        <f t="shared" ref="O101" si="220">1+O102</f>
        <v>0.35</v>
      </c>
      <c r="P101" s="28">
        <f t="shared" ref="P101" si="221">1+P102</f>
        <v>0.35</v>
      </c>
      <c r="Q101" s="28">
        <f t="shared" ref="Q101" si="222">1+Q102</f>
        <v>0.35</v>
      </c>
    </row>
    <row r="102" spans="1:17" x14ac:dyDescent="0.2">
      <c r="A102" s="29"/>
      <c r="B102" s="24" t="s">
        <v>190</v>
      </c>
      <c r="C102" s="25" t="s">
        <v>82</v>
      </c>
      <c r="D102" s="25" t="s">
        <v>9</v>
      </c>
      <c r="E102" s="25"/>
      <c r="F102" s="25"/>
      <c r="G102" s="25">
        <v>2025</v>
      </c>
      <c r="H102" s="27"/>
      <c r="I102" s="25"/>
      <c r="J102" s="25"/>
      <c r="K102" s="30"/>
      <c r="L102" s="30"/>
      <c r="M102" s="30">
        <v>-0.65</v>
      </c>
      <c r="N102" s="30">
        <f t="shared" si="177"/>
        <v>-0.65</v>
      </c>
      <c r="O102" s="30">
        <f t="shared" ref="O102:Q102" si="223">N102</f>
        <v>-0.65</v>
      </c>
      <c r="P102" s="30">
        <f t="shared" si="223"/>
        <v>-0.65</v>
      </c>
      <c r="Q102" s="30">
        <f t="shared" si="223"/>
        <v>-0.65</v>
      </c>
    </row>
    <row r="103" spans="1:17" x14ac:dyDescent="0.2">
      <c r="A103" s="29"/>
      <c r="B103" s="24" t="s">
        <v>190</v>
      </c>
      <c r="C103" s="24" t="s">
        <v>72</v>
      </c>
      <c r="D103" s="25" t="s">
        <v>9</v>
      </c>
      <c r="E103" s="25"/>
      <c r="F103" s="25"/>
      <c r="G103" s="25">
        <v>2030</v>
      </c>
      <c r="H103" s="27"/>
      <c r="I103" s="25"/>
      <c r="J103" s="25"/>
      <c r="K103" s="28"/>
      <c r="L103" s="28"/>
      <c r="M103" s="28">
        <f>1+M104</f>
        <v>0.35</v>
      </c>
      <c r="N103" s="28">
        <f t="shared" ref="N103" si="224">1+N104</f>
        <v>0.35</v>
      </c>
      <c r="O103" s="28">
        <f t="shared" ref="O103" si="225">1+O104</f>
        <v>0.35</v>
      </c>
      <c r="P103" s="28">
        <f t="shared" ref="P103" si="226">1+P104</f>
        <v>0.35</v>
      </c>
      <c r="Q103" s="28">
        <f t="shared" ref="Q103" si="227">1+Q104</f>
        <v>0.35</v>
      </c>
    </row>
    <row r="104" spans="1:17" x14ac:dyDescent="0.2">
      <c r="A104" s="29"/>
      <c r="B104" s="24" t="s">
        <v>190</v>
      </c>
      <c r="C104" s="25" t="s">
        <v>82</v>
      </c>
      <c r="D104" s="25" t="s">
        <v>9</v>
      </c>
      <c r="E104" s="25"/>
      <c r="F104" s="25"/>
      <c r="G104" s="25">
        <v>2030</v>
      </c>
      <c r="H104" s="27"/>
      <c r="I104" s="25"/>
      <c r="J104" s="25"/>
      <c r="K104" s="30"/>
      <c r="L104" s="30"/>
      <c r="M104" s="30">
        <v>-0.65</v>
      </c>
      <c r="N104" s="30">
        <f t="shared" si="177"/>
        <v>-0.65</v>
      </c>
      <c r="O104" s="30">
        <f t="shared" ref="O104:Q104" si="228">N104</f>
        <v>-0.65</v>
      </c>
      <c r="P104" s="30">
        <f t="shared" si="228"/>
        <v>-0.65</v>
      </c>
      <c r="Q104" s="30">
        <f t="shared" si="228"/>
        <v>-0.65</v>
      </c>
    </row>
    <row r="105" spans="1:17" x14ac:dyDescent="0.2">
      <c r="A105" s="29"/>
      <c r="B105" s="24" t="s">
        <v>190</v>
      </c>
      <c r="C105" s="24" t="s">
        <v>72</v>
      </c>
      <c r="D105" s="25" t="s">
        <v>9</v>
      </c>
      <c r="E105" s="25"/>
      <c r="F105" s="25"/>
      <c r="G105" s="25">
        <v>2035</v>
      </c>
      <c r="H105" s="27"/>
      <c r="I105" s="25"/>
      <c r="J105" s="25"/>
      <c r="K105" s="28"/>
      <c r="L105" s="28"/>
      <c r="M105" s="28">
        <f>1+M106</f>
        <v>0.30000000000000004</v>
      </c>
      <c r="N105" s="28">
        <f t="shared" ref="N105" si="229">1+N106</f>
        <v>0.30000000000000004</v>
      </c>
      <c r="O105" s="28">
        <f t="shared" ref="O105" si="230">1+O106</f>
        <v>0.30000000000000004</v>
      </c>
      <c r="P105" s="28">
        <f t="shared" ref="P105" si="231">1+P106</f>
        <v>0.30000000000000004</v>
      </c>
      <c r="Q105" s="28">
        <f t="shared" ref="Q105" si="232">1+Q106</f>
        <v>0.30000000000000004</v>
      </c>
    </row>
    <row r="106" spans="1:17" x14ac:dyDescent="0.2">
      <c r="A106" s="29"/>
      <c r="B106" s="24" t="s">
        <v>190</v>
      </c>
      <c r="C106" s="25" t="s">
        <v>82</v>
      </c>
      <c r="D106" s="25" t="s">
        <v>9</v>
      </c>
      <c r="E106" s="25"/>
      <c r="F106" s="25"/>
      <c r="G106" s="25">
        <v>2035</v>
      </c>
      <c r="H106" s="27"/>
      <c r="I106" s="25"/>
      <c r="J106" s="25"/>
      <c r="K106" s="30"/>
      <c r="L106" s="30"/>
      <c r="M106" s="30">
        <v>-0.7</v>
      </c>
      <c r="N106" s="30">
        <f t="shared" si="177"/>
        <v>-0.7</v>
      </c>
      <c r="O106" s="30">
        <f t="shared" ref="O106:Q106" si="233">N106</f>
        <v>-0.7</v>
      </c>
      <c r="P106" s="30">
        <f t="shared" si="233"/>
        <v>-0.7</v>
      </c>
      <c r="Q106" s="30">
        <f t="shared" si="233"/>
        <v>-0.7</v>
      </c>
    </row>
    <row r="107" spans="1:17" x14ac:dyDescent="0.2">
      <c r="A107" s="29"/>
      <c r="B107" s="24" t="s">
        <v>190</v>
      </c>
      <c r="C107" s="24" t="s">
        <v>72</v>
      </c>
      <c r="D107" s="25" t="s">
        <v>9</v>
      </c>
      <c r="E107" s="25"/>
      <c r="F107" s="25"/>
      <c r="G107" s="25">
        <v>2040</v>
      </c>
      <c r="H107" s="27"/>
      <c r="I107" s="25"/>
      <c r="J107" s="25"/>
      <c r="K107" s="28"/>
      <c r="L107" s="28"/>
      <c r="M107" s="28">
        <f>1+M108</f>
        <v>0.30000000000000004</v>
      </c>
      <c r="N107" s="28">
        <f t="shared" ref="N107" si="234">1+N108</f>
        <v>0.30000000000000004</v>
      </c>
      <c r="O107" s="28">
        <f t="shared" ref="O107" si="235">1+O108</f>
        <v>0.30000000000000004</v>
      </c>
      <c r="P107" s="28">
        <f t="shared" ref="P107" si="236">1+P108</f>
        <v>0.30000000000000004</v>
      </c>
      <c r="Q107" s="28">
        <f t="shared" ref="Q107" si="237">1+Q108</f>
        <v>0.30000000000000004</v>
      </c>
    </row>
    <row r="108" spans="1:17" x14ac:dyDescent="0.2">
      <c r="A108" s="29"/>
      <c r="B108" s="24" t="s">
        <v>190</v>
      </c>
      <c r="C108" s="25" t="s">
        <v>82</v>
      </c>
      <c r="D108" s="25" t="s">
        <v>9</v>
      </c>
      <c r="E108" s="25"/>
      <c r="F108" s="25"/>
      <c r="G108" s="25">
        <v>2040</v>
      </c>
      <c r="H108" s="27"/>
      <c r="I108" s="25"/>
      <c r="J108" s="25"/>
      <c r="K108" s="30"/>
      <c r="L108" s="30"/>
      <c r="M108" s="30">
        <v>-0.7</v>
      </c>
      <c r="N108" s="30">
        <f t="shared" si="177"/>
        <v>-0.7</v>
      </c>
      <c r="O108" s="30">
        <f t="shared" ref="O108:Q108" si="238">N108</f>
        <v>-0.7</v>
      </c>
      <c r="P108" s="30">
        <f t="shared" si="238"/>
        <v>-0.7</v>
      </c>
      <c r="Q108" s="30">
        <f t="shared" si="238"/>
        <v>-0.7</v>
      </c>
    </row>
    <row r="109" spans="1:17" x14ac:dyDescent="0.2">
      <c r="A109" s="29"/>
      <c r="B109" s="24" t="s">
        <v>190</v>
      </c>
      <c r="C109" s="24" t="s">
        <v>72</v>
      </c>
      <c r="D109" s="25" t="s">
        <v>9</v>
      </c>
      <c r="E109" s="25"/>
      <c r="F109" s="25"/>
      <c r="G109" s="25">
        <v>2045</v>
      </c>
      <c r="H109" s="27"/>
      <c r="I109" s="25"/>
      <c r="J109" s="25"/>
      <c r="K109" s="28"/>
      <c r="L109" s="28"/>
      <c r="M109" s="28">
        <f>1+M110</f>
        <v>0.30000000000000004</v>
      </c>
      <c r="N109" s="28">
        <f t="shared" ref="N109" si="239">1+N110</f>
        <v>0.30000000000000004</v>
      </c>
      <c r="O109" s="28">
        <f t="shared" ref="O109" si="240">1+O110</f>
        <v>0.30000000000000004</v>
      </c>
      <c r="P109" s="28">
        <f t="shared" ref="P109" si="241">1+P110</f>
        <v>0.30000000000000004</v>
      </c>
      <c r="Q109" s="28">
        <f t="shared" ref="Q109" si="242">1+Q110</f>
        <v>0.30000000000000004</v>
      </c>
    </row>
    <row r="110" spans="1:17" x14ac:dyDescent="0.2">
      <c r="A110" s="29"/>
      <c r="B110" s="24" t="s">
        <v>190</v>
      </c>
      <c r="C110" s="25" t="s">
        <v>82</v>
      </c>
      <c r="D110" s="25" t="s">
        <v>9</v>
      </c>
      <c r="E110" s="25"/>
      <c r="F110" s="25"/>
      <c r="G110" s="25">
        <v>2045</v>
      </c>
      <c r="H110" s="27"/>
      <c r="I110" s="25"/>
      <c r="J110" s="25"/>
      <c r="K110" s="30"/>
      <c r="L110" s="30"/>
      <c r="M110" s="30">
        <v>-0.7</v>
      </c>
      <c r="N110" s="30">
        <f t="shared" si="177"/>
        <v>-0.7</v>
      </c>
      <c r="O110" s="30">
        <f t="shared" ref="O110:Q110" si="243">N110</f>
        <v>-0.7</v>
      </c>
      <c r="P110" s="30">
        <f t="shared" si="243"/>
        <v>-0.7</v>
      </c>
      <c r="Q110" s="30">
        <f t="shared" si="243"/>
        <v>-0.7</v>
      </c>
    </row>
    <row r="111" spans="1:17" x14ac:dyDescent="0.2">
      <c r="A111" s="29"/>
      <c r="B111" s="24" t="s">
        <v>190</v>
      </c>
      <c r="C111" s="24" t="s">
        <v>72</v>
      </c>
      <c r="D111" s="25" t="s">
        <v>9</v>
      </c>
      <c r="E111" s="25"/>
      <c r="F111" s="25"/>
      <c r="G111" s="25">
        <v>2050</v>
      </c>
      <c r="H111" s="27"/>
      <c r="I111" s="25"/>
      <c r="J111" s="25"/>
      <c r="K111" s="28"/>
      <c r="L111" s="28"/>
      <c r="M111" s="28">
        <f>1+M112</f>
        <v>0.25</v>
      </c>
      <c r="N111" s="28">
        <f t="shared" ref="N111" si="244">1+N112</f>
        <v>0.25</v>
      </c>
      <c r="O111" s="28">
        <f t="shared" ref="O111" si="245">1+O112</f>
        <v>0.25</v>
      </c>
      <c r="P111" s="28">
        <f t="shared" ref="P111" si="246">1+P112</f>
        <v>0.25</v>
      </c>
      <c r="Q111" s="28">
        <f t="shared" ref="Q111" si="247">1+Q112</f>
        <v>0.25</v>
      </c>
    </row>
    <row r="112" spans="1:17" x14ac:dyDescent="0.2">
      <c r="A112" s="29"/>
      <c r="B112" s="24" t="s">
        <v>190</v>
      </c>
      <c r="C112" s="25" t="s">
        <v>82</v>
      </c>
      <c r="D112" s="25" t="s">
        <v>9</v>
      </c>
      <c r="E112" s="25"/>
      <c r="F112" s="25"/>
      <c r="G112" s="25">
        <v>2050</v>
      </c>
      <c r="H112" s="27"/>
      <c r="I112" s="25"/>
      <c r="J112" s="25"/>
      <c r="K112" s="30"/>
      <c r="L112" s="30"/>
      <c r="M112" s="30">
        <v>-0.75</v>
      </c>
      <c r="N112" s="30">
        <f t="shared" si="177"/>
        <v>-0.75</v>
      </c>
      <c r="O112" s="30">
        <f t="shared" ref="O112:Q112" si="248">N112</f>
        <v>-0.75</v>
      </c>
      <c r="P112" s="30">
        <f t="shared" si="248"/>
        <v>-0.75</v>
      </c>
      <c r="Q112" s="30">
        <f t="shared" si="248"/>
        <v>-0.75</v>
      </c>
    </row>
    <row r="113" spans="1:17" x14ac:dyDescent="0.2">
      <c r="A113" s="29"/>
      <c r="B113" s="24" t="s">
        <v>190</v>
      </c>
      <c r="C113" s="24" t="s">
        <v>72</v>
      </c>
      <c r="D113" s="25" t="s">
        <v>9</v>
      </c>
      <c r="E113" s="25"/>
      <c r="F113" s="25"/>
      <c r="G113" s="25">
        <v>2055</v>
      </c>
      <c r="H113" s="27"/>
      <c r="I113" s="25"/>
      <c r="J113" s="25"/>
      <c r="K113" s="28"/>
      <c r="L113" s="28"/>
      <c r="M113" s="28">
        <f>1+M114</f>
        <v>0.25</v>
      </c>
      <c r="N113" s="28">
        <f t="shared" ref="N113" si="249">1+N114</f>
        <v>0.25</v>
      </c>
      <c r="O113" s="28">
        <f t="shared" ref="O113" si="250">1+O114</f>
        <v>0.25</v>
      </c>
      <c r="P113" s="28">
        <f t="shared" ref="P113" si="251">1+P114</f>
        <v>0.25</v>
      </c>
      <c r="Q113" s="28">
        <f t="shared" ref="Q113" si="252">1+Q114</f>
        <v>0.25</v>
      </c>
    </row>
    <row r="114" spans="1:17" x14ac:dyDescent="0.2">
      <c r="A114" s="31"/>
      <c r="B114" s="35" t="s">
        <v>190</v>
      </c>
      <c r="C114" s="32" t="s">
        <v>82</v>
      </c>
      <c r="D114" s="32" t="s">
        <v>9</v>
      </c>
      <c r="E114" s="32"/>
      <c r="F114" s="32"/>
      <c r="G114" s="32">
        <v>2055</v>
      </c>
      <c r="H114" s="33"/>
      <c r="I114" s="32"/>
      <c r="J114" s="32"/>
      <c r="K114" s="34"/>
      <c r="L114" s="34"/>
      <c r="M114" s="34">
        <v>-0.75</v>
      </c>
      <c r="N114" s="34">
        <f t="shared" si="177"/>
        <v>-0.75</v>
      </c>
      <c r="O114" s="34">
        <f t="shared" ref="O114:Q114" si="253">N114</f>
        <v>-0.75</v>
      </c>
      <c r="P114" s="34">
        <f t="shared" si="253"/>
        <v>-0.75</v>
      </c>
      <c r="Q114" s="34">
        <f t="shared" si="253"/>
        <v>-0.75</v>
      </c>
    </row>
    <row r="115" spans="1:17" x14ac:dyDescent="0.2">
      <c r="A115" s="24" t="str">
        <f>"UC_"&amp;"NCAP"&amp;D115&amp;"H2G"</f>
        <v>UC_NCAPTLH2G</v>
      </c>
      <c r="B115" s="24" t="s">
        <v>64</v>
      </c>
      <c r="C115" s="24"/>
      <c r="D115" s="25" t="s">
        <v>9</v>
      </c>
      <c r="E115" s="25" t="s">
        <v>8</v>
      </c>
      <c r="F115" s="25"/>
      <c r="G115" s="25">
        <v>2020</v>
      </c>
      <c r="H115" s="27" t="s">
        <v>30</v>
      </c>
      <c r="I115" s="25">
        <v>0</v>
      </c>
      <c r="J115" s="25">
        <v>-1</v>
      </c>
      <c r="K115" s="28"/>
      <c r="L115" s="28"/>
      <c r="M115" s="28">
        <f>1+M116</f>
        <v>1</v>
      </c>
      <c r="N115" s="28">
        <f t="shared" ref="N115" si="254">1+N116</f>
        <v>1</v>
      </c>
      <c r="O115" s="28">
        <f t="shared" ref="O115" si="255">1+O116</f>
        <v>1</v>
      </c>
      <c r="P115" s="28">
        <f t="shared" ref="P115" si="256">1+P116</f>
        <v>1</v>
      </c>
      <c r="Q115" s="28">
        <f t="shared" ref="Q115" si="257">1+Q116</f>
        <v>1</v>
      </c>
    </row>
    <row r="116" spans="1:17" x14ac:dyDescent="0.2">
      <c r="A116" s="29"/>
      <c r="B116" s="24" t="s">
        <v>64</v>
      </c>
      <c r="C116" s="25"/>
      <c r="D116" s="25" t="s">
        <v>9</v>
      </c>
      <c r="E116" s="42" t="s">
        <v>83</v>
      </c>
      <c r="F116" s="25"/>
      <c r="G116" s="25">
        <v>2020</v>
      </c>
      <c r="H116" s="27"/>
      <c r="I116" s="25"/>
      <c r="J116" s="25"/>
      <c r="K116" s="30"/>
      <c r="L116" s="30"/>
      <c r="M116" s="30">
        <v>0</v>
      </c>
      <c r="N116" s="30">
        <f t="shared" ref="N116:N118" si="258">M116</f>
        <v>0</v>
      </c>
      <c r="O116" s="30">
        <f t="shared" ref="O116:Q116" si="259">N116</f>
        <v>0</v>
      </c>
      <c r="P116" s="30">
        <f t="shared" si="259"/>
        <v>0</v>
      </c>
      <c r="Q116" s="30">
        <f t="shared" si="259"/>
        <v>0</v>
      </c>
    </row>
    <row r="117" spans="1:17" x14ac:dyDescent="0.2">
      <c r="A117" s="29"/>
      <c r="B117" s="24" t="s">
        <v>64</v>
      </c>
      <c r="C117" s="24"/>
      <c r="D117" s="25" t="s">
        <v>9</v>
      </c>
      <c r="E117" s="25" t="s">
        <v>8</v>
      </c>
      <c r="F117" s="25"/>
      <c r="G117" s="25">
        <v>2025</v>
      </c>
      <c r="H117" s="27"/>
      <c r="I117" s="25"/>
      <c r="J117" s="25"/>
      <c r="K117" s="28"/>
      <c r="L117" s="28"/>
      <c r="M117" s="28">
        <f>1+M118</f>
        <v>1</v>
      </c>
      <c r="N117" s="28">
        <f t="shared" ref="N117" si="260">1+N118</f>
        <v>1</v>
      </c>
      <c r="O117" s="28">
        <f t="shared" ref="O117" si="261">1+O118</f>
        <v>1</v>
      </c>
      <c r="P117" s="28">
        <f t="shared" ref="P117" si="262">1+P118</f>
        <v>1</v>
      </c>
      <c r="Q117" s="28">
        <f t="shared" ref="Q117" si="263">1+Q118</f>
        <v>1</v>
      </c>
    </row>
    <row r="118" spans="1:17" x14ac:dyDescent="0.2">
      <c r="A118" s="31"/>
      <c r="B118" s="35" t="s">
        <v>64</v>
      </c>
      <c r="C118" s="32"/>
      <c r="D118" s="32" t="s">
        <v>9</v>
      </c>
      <c r="E118" s="43" t="s">
        <v>83</v>
      </c>
      <c r="F118" s="32"/>
      <c r="G118" s="32">
        <v>2025</v>
      </c>
      <c r="H118" s="33"/>
      <c r="I118" s="32"/>
      <c r="J118" s="32"/>
      <c r="K118" s="34"/>
      <c r="L118" s="34"/>
      <c r="M118" s="34">
        <v>0</v>
      </c>
      <c r="N118" s="34">
        <f t="shared" si="258"/>
        <v>0</v>
      </c>
      <c r="O118" s="34">
        <f t="shared" ref="O118:Q118" si="264">N118</f>
        <v>0</v>
      </c>
      <c r="P118" s="34">
        <f t="shared" si="264"/>
        <v>0</v>
      </c>
      <c r="Q118" s="34">
        <f t="shared" si="264"/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06DAF-9BD2-4B41-828D-64B0B0601192}">
  <sheetPr>
    <tabColor theme="8"/>
  </sheetPr>
  <dimension ref="A1:O50"/>
  <sheetViews>
    <sheetView topLeftCell="A19" zoomScale="85" zoomScaleNormal="85" workbookViewId="0">
      <selection activeCell="S45" sqref="S45"/>
    </sheetView>
  </sheetViews>
  <sheetFormatPr defaultColWidth="18.85546875" defaultRowHeight="12.75" x14ac:dyDescent="0.2"/>
  <cols>
    <col min="6" max="6" width="25.5703125" bestFit="1" customWidth="1"/>
    <col min="7" max="7" width="20.5703125" customWidth="1"/>
    <col min="8" max="8" width="13.85546875" bestFit="1" customWidth="1"/>
    <col min="9" max="9" width="8.42578125" bestFit="1" customWidth="1"/>
    <col min="10" max="10" width="9.5703125" bestFit="1" customWidth="1"/>
    <col min="11" max="11" width="8.42578125" bestFit="1" customWidth="1"/>
    <col min="12" max="12" width="13" customWidth="1"/>
    <col min="13" max="13" width="11.140625" customWidth="1"/>
    <col min="14" max="14" width="12.5703125" customWidth="1"/>
    <col min="15" max="15" width="7.7109375" customWidth="1"/>
    <col min="16" max="16" width="6.85546875" bestFit="1" customWidth="1"/>
  </cols>
  <sheetData>
    <row r="1" spans="1:15" s="16" customFormat="1" ht="18" x14ac:dyDescent="0.25">
      <c r="A1" s="111" t="s">
        <v>187</v>
      </c>
    </row>
    <row r="4" spans="1:15" x14ac:dyDescent="0.2">
      <c r="G4" s="12"/>
      <c r="H4" s="12"/>
      <c r="I4" s="12"/>
      <c r="J4" s="12"/>
      <c r="K4" s="12"/>
      <c r="L4" s="12"/>
      <c r="M4" s="12"/>
    </row>
    <row r="5" spans="1:15" x14ac:dyDescent="0.2">
      <c r="F5" s="36" t="s">
        <v>188</v>
      </c>
      <c r="G5" s="12"/>
      <c r="H5" s="12"/>
      <c r="I5" s="12"/>
      <c r="J5" s="12"/>
      <c r="K5" s="12"/>
      <c r="L5" s="12"/>
      <c r="M5" s="12"/>
    </row>
    <row r="6" spans="1:15" x14ac:dyDescent="0.2">
      <c r="F6" s="37"/>
      <c r="G6" s="12"/>
      <c r="H6" s="12"/>
      <c r="I6" s="12"/>
      <c r="J6" s="12"/>
      <c r="K6" s="12"/>
      <c r="L6" s="12"/>
      <c r="M6" s="12"/>
      <c r="N6" s="12"/>
      <c r="O6" s="12"/>
    </row>
    <row r="7" spans="1:15" x14ac:dyDescent="0.2">
      <c r="F7" s="12"/>
      <c r="G7" s="12"/>
      <c r="I7" s="12"/>
      <c r="J7" s="12"/>
      <c r="K7" s="36" t="s">
        <v>186</v>
      </c>
      <c r="L7" s="12"/>
      <c r="M7" s="12"/>
      <c r="N7" s="12"/>
      <c r="O7" s="12"/>
    </row>
    <row r="8" spans="1:15" ht="26.25" thickBot="1" x14ac:dyDescent="0.25">
      <c r="F8" s="38" t="s">
        <v>54</v>
      </c>
      <c r="G8" s="38" t="s">
        <v>62</v>
      </c>
      <c r="H8" s="38" t="s">
        <v>63</v>
      </c>
      <c r="I8" s="38" t="s">
        <v>56</v>
      </c>
      <c r="J8" s="38" t="s">
        <v>57</v>
      </c>
      <c r="K8" s="38" t="s">
        <v>51</v>
      </c>
      <c r="L8" s="21" t="s">
        <v>52</v>
      </c>
      <c r="M8" s="22" t="s">
        <v>58</v>
      </c>
      <c r="N8" s="22" t="s">
        <v>59</v>
      </c>
      <c r="O8" s="38" t="s">
        <v>189</v>
      </c>
    </row>
    <row r="9" spans="1:15" ht="12" customHeight="1" x14ac:dyDescent="0.25">
      <c r="A9">
        <v>2015</v>
      </c>
      <c r="B9" s="12" t="str">
        <f>'ON-Road Historical share'!L34</f>
        <v>TL</v>
      </c>
      <c r="C9" s="12" t="str">
        <f>'ON-Road Historical share'!M34</f>
        <v>CNG</v>
      </c>
      <c r="D9" s="12"/>
      <c r="F9" s="39" t="str">
        <f>"UC_"&amp;J9&amp;C9&amp;"FX"&amp;A9</f>
        <v>UC_TLCNGFX2015</v>
      </c>
      <c r="G9" s="40" t="str">
        <f>IF(D9="",B9&amp;"*"&amp;C9&amp;"*",B9&amp;"*"&amp;C9&amp;"*"&amp;",-"&amp;B9&amp;"*"&amp;D9)</f>
        <v>TL*CNG*</v>
      </c>
      <c r="H9" s="40"/>
      <c r="I9" s="110"/>
      <c r="J9" s="110" t="str">
        <f>B9</f>
        <v>TL</v>
      </c>
      <c r="K9" s="25">
        <f>A9</f>
        <v>2015</v>
      </c>
      <c r="L9" s="25" t="s">
        <v>31</v>
      </c>
      <c r="M9" s="25">
        <v>0</v>
      </c>
      <c r="N9" s="25">
        <v>-1</v>
      </c>
      <c r="O9" s="41">
        <f>O10-1</f>
        <v>-1</v>
      </c>
    </row>
    <row r="10" spans="1:15" ht="12" customHeight="1" x14ac:dyDescent="0.25">
      <c r="B10" s="12"/>
      <c r="C10" s="12"/>
      <c r="D10" s="12"/>
      <c r="F10" s="39"/>
      <c r="G10" s="40" t="str">
        <f>IF(D9="",B9&amp;"*"&amp;",-"&amp;B9&amp;"*"&amp;C9&amp;"*",B9&amp;"*"&amp;",-"&amp;B9&amp;"*"&amp;C9&amp;"*"&amp;","&amp;B9&amp;"*"&amp;D9&amp;"*")</f>
        <v>TL*,-TL*CNG*</v>
      </c>
      <c r="H10" s="40"/>
      <c r="I10" s="110"/>
      <c r="J10" s="110" t="str">
        <f>J9</f>
        <v>TL</v>
      </c>
      <c r="K10" s="25">
        <f>K9</f>
        <v>2015</v>
      </c>
      <c r="L10" s="25"/>
      <c r="M10" s="25"/>
      <c r="N10" s="25"/>
      <c r="O10" s="41">
        <f>'ON-Road Historical share'!U34</f>
        <v>0</v>
      </c>
    </row>
    <row r="11" spans="1:15" ht="15" x14ac:dyDescent="0.25">
      <c r="A11">
        <v>2020</v>
      </c>
      <c r="B11" t="str">
        <f>B9</f>
        <v>TL</v>
      </c>
      <c r="C11" t="str">
        <f>C9</f>
        <v>CNG</v>
      </c>
      <c r="F11" s="39" t="str">
        <f>"UC_"&amp;J11&amp;C11&amp;"FX"&amp;A11</f>
        <v>UC_TLCNGFX2020</v>
      </c>
      <c r="G11" s="40" t="str">
        <f t="shared" ref="G11:G49" si="0">IF(D11="",B11&amp;"*"&amp;C11&amp;"*",B11&amp;"*"&amp;C11&amp;"*"&amp;",-"&amp;B11&amp;"*"&amp;D11)</f>
        <v>TL*CNG*</v>
      </c>
      <c r="H11" s="40"/>
      <c r="I11" s="110"/>
      <c r="J11" s="110" t="str">
        <f t="shared" ref="J11" si="1">B11</f>
        <v>TL</v>
      </c>
      <c r="K11" s="25">
        <f t="shared" ref="K11:K49" si="2">A11</f>
        <v>2020</v>
      </c>
      <c r="L11" s="25" t="s">
        <v>31</v>
      </c>
      <c r="M11" s="25">
        <v>0</v>
      </c>
      <c r="N11" s="25">
        <v>-1</v>
      </c>
      <c r="O11" s="41">
        <f>O12-1</f>
        <v>-1</v>
      </c>
    </row>
    <row r="12" spans="1:15" ht="12" customHeight="1" x14ac:dyDescent="0.25">
      <c r="B12" s="12"/>
      <c r="C12" s="12"/>
      <c r="D12" s="12"/>
      <c r="F12" s="39"/>
      <c r="G12" s="40" t="str">
        <f>IF(D11="",B11&amp;"*"&amp;",-"&amp;B11&amp;"*"&amp;C11&amp;"*",B11&amp;"*"&amp;",-"&amp;B11&amp;"*"&amp;C11&amp;"*"&amp;","&amp;B11&amp;"*"&amp;D11&amp;"*")</f>
        <v>TL*,-TL*CNG*</v>
      </c>
      <c r="H12" s="40"/>
      <c r="I12" s="110"/>
      <c r="J12" s="110" t="str">
        <f>J11</f>
        <v>TL</v>
      </c>
      <c r="K12" s="25">
        <f>K11</f>
        <v>2020</v>
      </c>
      <c r="L12" s="25"/>
      <c r="M12" s="25"/>
      <c r="N12" s="25"/>
      <c r="O12" s="41">
        <f>'ON-Road Historical share'!W34</f>
        <v>0</v>
      </c>
    </row>
    <row r="13" spans="1:15" ht="15" x14ac:dyDescent="0.25">
      <c r="A13">
        <v>2025</v>
      </c>
      <c r="B13" t="str">
        <f>B11</f>
        <v>TL</v>
      </c>
      <c r="C13" t="str">
        <f>C11</f>
        <v>CNG</v>
      </c>
      <c r="F13" s="39" t="str">
        <f>"UC_"&amp;J13&amp;C13&amp;"FX"&amp;A13</f>
        <v>UC_TLCNGFX2025</v>
      </c>
      <c r="G13" s="40" t="str">
        <f t="shared" si="0"/>
        <v>TL*CNG*</v>
      </c>
      <c r="H13" s="40"/>
      <c r="I13" s="110"/>
      <c r="J13" s="110" t="str">
        <f t="shared" ref="J13:J49" si="3">B13</f>
        <v>TL</v>
      </c>
      <c r="K13" s="25">
        <f t="shared" si="2"/>
        <v>2025</v>
      </c>
      <c r="L13" s="25" t="s">
        <v>31</v>
      </c>
      <c r="M13" s="25">
        <v>0</v>
      </c>
      <c r="N13" s="25">
        <v>-1</v>
      </c>
      <c r="O13" s="41">
        <f>O14-1</f>
        <v>-1</v>
      </c>
    </row>
    <row r="14" spans="1:15" ht="12" customHeight="1" x14ac:dyDescent="0.25">
      <c r="B14" s="12"/>
      <c r="C14" s="12"/>
      <c r="D14" s="12"/>
      <c r="F14" s="39"/>
      <c r="G14" s="40" t="str">
        <f>IF(D13="",B13&amp;"*"&amp;",-"&amp;B13&amp;"*"&amp;C13&amp;"*",B13&amp;"*"&amp;",-"&amp;B13&amp;"*"&amp;C13&amp;"*"&amp;","&amp;B13&amp;"*"&amp;D13&amp;"*")</f>
        <v>TL*,-TL*CNG*</v>
      </c>
      <c r="H14" s="40"/>
      <c r="I14" s="110"/>
      <c r="J14" s="110" t="str">
        <f>J13</f>
        <v>TL</v>
      </c>
      <c r="K14" s="25">
        <f>K13</f>
        <v>2025</v>
      </c>
      <c r="L14" s="25"/>
      <c r="M14" s="25"/>
      <c r="N14" s="25"/>
      <c r="O14" s="41">
        <f>'ON-Road Historical share'!X34</f>
        <v>0</v>
      </c>
    </row>
    <row r="15" spans="1:15" ht="15" x14ac:dyDescent="0.25">
      <c r="A15">
        <f>A9</f>
        <v>2015</v>
      </c>
      <c r="B15" s="12" t="str">
        <f>'ON-Road Historical share'!L35</f>
        <v>TL</v>
      </c>
      <c r="C15" s="12" t="str">
        <f>'ON-Road Historical share'!M35</f>
        <v>DSL</v>
      </c>
      <c r="D15" s="12" t="str">
        <f>'ON-Road Historical share'!N35</f>
        <v>DHEV</v>
      </c>
      <c r="F15" s="39" t="str">
        <f>"UC_"&amp;J15&amp;C15&amp;"FX"&amp;A15</f>
        <v>UC_TLDSLFX2015</v>
      </c>
      <c r="G15" s="40" t="str">
        <f>IF(D15="",B15&amp;"*"&amp;C15&amp;"*",B15&amp;"*"&amp;C15&amp;"*"&amp;",-"&amp;B15&amp;"*"&amp;D15&amp;"*")</f>
        <v>TL*DSL*,-TL*DHEV*</v>
      </c>
      <c r="H15" s="40"/>
      <c r="I15" s="110"/>
      <c r="J15" s="110" t="str">
        <f t="shared" si="3"/>
        <v>TL</v>
      </c>
      <c r="K15" s="25">
        <f>A15</f>
        <v>2015</v>
      </c>
      <c r="L15" s="25" t="s">
        <v>31</v>
      </c>
      <c r="M15" s="25">
        <v>0</v>
      </c>
      <c r="N15" s="25">
        <v>-1</v>
      </c>
      <c r="O15" s="41">
        <f>O16-1</f>
        <v>-0.98811287520675239</v>
      </c>
    </row>
    <row r="16" spans="1:15" ht="12" customHeight="1" x14ac:dyDescent="0.25">
      <c r="B16" s="12"/>
      <c r="C16" s="12"/>
      <c r="D16" s="12"/>
      <c r="F16" s="39"/>
      <c r="G16" s="40" t="str">
        <f>IF(D15="",B15&amp;"*"&amp;",-"&amp;B15&amp;"*"&amp;C15&amp;"*",B15&amp;"*"&amp;",-"&amp;B15&amp;"*"&amp;C15&amp;"*"&amp;","&amp;B15&amp;"*"&amp;D15&amp;"*")</f>
        <v>TL*,-TL*DSL*,TL*DHEV*</v>
      </c>
      <c r="H16" s="40"/>
      <c r="I16" s="110"/>
      <c r="J16" s="110" t="str">
        <f>J15</f>
        <v>TL</v>
      </c>
      <c r="K16" s="25">
        <f>K15</f>
        <v>2015</v>
      </c>
      <c r="L16" s="25"/>
      <c r="M16" s="25"/>
      <c r="N16" s="25"/>
      <c r="O16" s="41">
        <f>'ON-Road Historical share'!V35</f>
        <v>1.1887124793247638E-2</v>
      </c>
    </row>
    <row r="17" spans="1:15" ht="15" x14ac:dyDescent="0.25">
      <c r="A17">
        <f>A11</f>
        <v>2020</v>
      </c>
      <c r="B17" t="str">
        <f>B15</f>
        <v>TL</v>
      </c>
      <c r="C17" t="str">
        <f>C15</f>
        <v>DSL</v>
      </c>
      <c r="D17" s="12" t="str">
        <f>D15</f>
        <v>DHEV</v>
      </c>
      <c r="F17" s="39" t="str">
        <f>"UC_"&amp;J17&amp;C17&amp;"FX"&amp;A17</f>
        <v>UC_TLDSLFX2020</v>
      </c>
      <c r="G17" s="40" t="str">
        <f t="shared" ref="G17:G19" si="4">IF(D17="",B17&amp;"*"&amp;C17&amp;"*",B17&amp;"*"&amp;C17&amp;"*"&amp;",-"&amp;B17&amp;"*"&amp;D17&amp;"*")</f>
        <v>TL*DSL*,-TL*DHEV*</v>
      </c>
      <c r="H17" s="40"/>
      <c r="I17" s="110"/>
      <c r="J17" s="110" t="str">
        <f t="shared" si="3"/>
        <v>TL</v>
      </c>
      <c r="K17" s="25">
        <f t="shared" si="2"/>
        <v>2020</v>
      </c>
      <c r="L17" s="25" t="s">
        <v>31</v>
      </c>
      <c r="M17" s="25">
        <v>0</v>
      </c>
      <c r="N17" s="25">
        <v>-1</v>
      </c>
      <c r="O17" s="41">
        <f>O18-1</f>
        <v>-0.99201253446706916</v>
      </c>
    </row>
    <row r="18" spans="1:15" ht="15" x14ac:dyDescent="0.25">
      <c r="D18" s="12"/>
      <c r="F18" s="39"/>
      <c r="G18" s="40" t="str">
        <f>IF(D17="",B17&amp;"*"&amp;",-"&amp;B17&amp;"*"&amp;C17&amp;"*",B17&amp;"*"&amp;",-"&amp;B17&amp;"*"&amp;C17&amp;"*"&amp;","&amp;B17&amp;"*"&amp;D17&amp;"*")</f>
        <v>TL*,-TL*DSL*,TL*DHEV*</v>
      </c>
      <c r="H18" s="40"/>
      <c r="I18" s="110"/>
      <c r="J18" s="110" t="str">
        <f>J17</f>
        <v>TL</v>
      </c>
      <c r="K18" s="25">
        <f>K17</f>
        <v>2020</v>
      </c>
      <c r="L18" s="25"/>
      <c r="M18" s="25"/>
      <c r="N18" s="25"/>
      <c r="O18" s="41">
        <f>'ON-Road Historical share'!W35</f>
        <v>7.9874655329308306E-3</v>
      </c>
    </row>
    <row r="19" spans="1:15" ht="15" x14ac:dyDescent="0.25">
      <c r="A19">
        <f>A13</f>
        <v>2025</v>
      </c>
      <c r="B19" t="str">
        <f t="shared" ref="B19" si="5">B17</f>
        <v>TL</v>
      </c>
      <c r="C19" t="str">
        <f t="shared" ref="C19" si="6">C17</f>
        <v>DSL</v>
      </c>
      <c r="D19" s="12" t="str">
        <f t="shared" ref="D19" si="7">D17</f>
        <v>DHEV</v>
      </c>
      <c r="F19" s="39" t="str">
        <f>"UC_"&amp;J19&amp;C19&amp;"FX"&amp;A19</f>
        <v>UC_TLDSLFX2025</v>
      </c>
      <c r="G19" s="40" t="str">
        <f t="shared" si="4"/>
        <v>TL*DSL*,-TL*DHEV*</v>
      </c>
      <c r="H19" s="40"/>
      <c r="I19" s="110"/>
      <c r="J19" s="110" t="str">
        <f t="shared" si="3"/>
        <v>TL</v>
      </c>
      <c r="K19" s="25">
        <f t="shared" si="2"/>
        <v>2025</v>
      </c>
      <c r="L19" s="25" t="s">
        <v>31</v>
      </c>
      <c r="M19" s="25">
        <v>0</v>
      </c>
      <c r="N19" s="25">
        <v>-1</v>
      </c>
      <c r="O19" s="41">
        <f>O20-1</f>
        <v>-0.99586311281087903</v>
      </c>
    </row>
    <row r="20" spans="1:15" ht="15" x14ac:dyDescent="0.25">
      <c r="D20" s="12"/>
      <c r="F20" s="39"/>
      <c r="G20" s="40" t="str">
        <f>IF(D19="",B19&amp;"*"&amp;",-"&amp;B19&amp;"*"&amp;C19&amp;"*",B19&amp;"*"&amp;",-"&amp;B19&amp;"*"&amp;C19&amp;"*"&amp;","&amp;B19&amp;"*"&amp;D19&amp;"*")</f>
        <v>TL*,-TL*DSL*,TL*DHEV*</v>
      </c>
      <c r="H20" s="40"/>
      <c r="I20" s="110"/>
      <c r="J20" s="110" t="str">
        <f>J19</f>
        <v>TL</v>
      </c>
      <c r="K20" s="25">
        <f>K19</f>
        <v>2025</v>
      </c>
      <c r="L20" s="25"/>
      <c r="M20" s="25"/>
      <c r="N20" s="25"/>
      <c r="O20" s="41">
        <f>'ON-Road Historical share'!X35</f>
        <v>4.1368871891210024E-3</v>
      </c>
    </row>
    <row r="21" spans="1:15" ht="15" x14ac:dyDescent="0.25">
      <c r="A21">
        <f>A15</f>
        <v>2015</v>
      </c>
      <c r="B21" s="12" t="str">
        <f>'ON-Road Historical share'!L36</f>
        <v>TL</v>
      </c>
      <c r="C21" s="12" t="str">
        <f>'ON-Road Historical share'!M36</f>
        <v>DHEV</v>
      </c>
      <c r="F21" s="39" t="str">
        <f>"UC_"&amp;J21&amp;C21&amp;"FX"&amp;A21</f>
        <v>UC_TLDHEVFX2015</v>
      </c>
      <c r="G21" s="40" t="str">
        <f t="shared" si="0"/>
        <v>TL*DHEV*</v>
      </c>
      <c r="H21" s="40"/>
      <c r="I21" s="110"/>
      <c r="J21" s="110" t="str">
        <f t="shared" si="3"/>
        <v>TL</v>
      </c>
      <c r="K21" s="25">
        <f>A21</f>
        <v>2015</v>
      </c>
      <c r="L21" s="25" t="s">
        <v>31</v>
      </c>
      <c r="M21" s="25">
        <v>0</v>
      </c>
      <c r="N21" s="25">
        <v>-1</v>
      </c>
      <c r="O21" s="41">
        <f>O22-1</f>
        <v>-1</v>
      </c>
    </row>
    <row r="22" spans="1:15" ht="15" x14ac:dyDescent="0.25">
      <c r="D22" s="12"/>
      <c r="F22" s="39"/>
      <c r="G22" s="40" t="str">
        <f>IF(D21="",B21&amp;"*"&amp;",-"&amp;B21&amp;"*"&amp;C21&amp;"*",B21&amp;"*"&amp;",-"&amp;B21&amp;"*"&amp;C21&amp;"*"&amp;","&amp;B21&amp;"*"&amp;D21&amp;"*")</f>
        <v>TL*,-TL*DHEV*</v>
      </c>
      <c r="H22" s="40"/>
      <c r="I22" s="110"/>
      <c r="J22" s="110" t="str">
        <f>J21</f>
        <v>TL</v>
      </c>
      <c r="K22" s="25">
        <f>K21</f>
        <v>2015</v>
      </c>
      <c r="L22" s="25"/>
      <c r="M22" s="25"/>
      <c r="N22" s="25"/>
      <c r="O22" s="41">
        <f>'ON-Road Historical share'!V36</f>
        <v>0</v>
      </c>
    </row>
    <row r="23" spans="1:15" ht="15" x14ac:dyDescent="0.25">
      <c r="A23">
        <f>A17</f>
        <v>2020</v>
      </c>
      <c r="B23" t="str">
        <f>B21</f>
        <v>TL</v>
      </c>
      <c r="C23" t="str">
        <f>C21</f>
        <v>DHEV</v>
      </c>
      <c r="F23" s="39" t="str">
        <f>"UC_"&amp;J23&amp;C23&amp;"FX"&amp;A23</f>
        <v>UC_TLDHEVFX2020</v>
      </c>
      <c r="G23" s="40" t="str">
        <f t="shared" si="0"/>
        <v>TL*DHEV*</v>
      </c>
      <c r="H23" s="40"/>
      <c r="I23" s="110"/>
      <c r="J23" s="110" t="str">
        <f t="shared" si="3"/>
        <v>TL</v>
      </c>
      <c r="K23" s="25">
        <f t="shared" si="2"/>
        <v>2020</v>
      </c>
      <c r="L23" s="25" t="s">
        <v>31</v>
      </c>
      <c r="M23" s="25">
        <v>0</v>
      </c>
      <c r="N23" s="25">
        <v>-1</v>
      </c>
      <c r="O23" s="41">
        <f>O24-1</f>
        <v>-1</v>
      </c>
    </row>
    <row r="24" spans="1:15" ht="15" x14ac:dyDescent="0.25">
      <c r="D24" s="12"/>
      <c r="F24" s="39"/>
      <c r="G24" s="40" t="str">
        <f>IF(D23="",B23&amp;"*"&amp;",-"&amp;B23&amp;"*"&amp;C23&amp;"*",B23&amp;"*"&amp;",-"&amp;B23&amp;"*"&amp;C23&amp;"*"&amp;","&amp;B23&amp;"*"&amp;D23&amp;"*")</f>
        <v>TL*,-TL*DHEV*</v>
      </c>
      <c r="H24" s="40"/>
      <c r="I24" s="110"/>
      <c r="J24" s="110" t="str">
        <f>J23</f>
        <v>TL</v>
      </c>
      <c r="K24" s="25">
        <f>K23</f>
        <v>2020</v>
      </c>
      <c r="L24" s="25"/>
      <c r="M24" s="25"/>
      <c r="N24" s="25"/>
      <c r="O24" s="41">
        <f>'ON-Road Historical share'!W36</f>
        <v>0</v>
      </c>
    </row>
    <row r="25" spans="1:15" ht="15" x14ac:dyDescent="0.25">
      <c r="A25">
        <f>A19</f>
        <v>2025</v>
      </c>
      <c r="B25" t="str">
        <f t="shared" ref="B25" si="8">B23</f>
        <v>TL</v>
      </c>
      <c r="C25" t="str">
        <f t="shared" ref="C25" si="9">C23</f>
        <v>DHEV</v>
      </c>
      <c r="F25" s="39" t="str">
        <f>"UC_"&amp;J25&amp;C25&amp;"FX"&amp;A25</f>
        <v>UC_TLDHEVFX2025</v>
      </c>
      <c r="G25" s="40" t="str">
        <f t="shared" si="0"/>
        <v>TL*DHEV*</v>
      </c>
      <c r="H25" s="40"/>
      <c r="I25" s="110"/>
      <c r="J25" s="110" t="str">
        <f t="shared" si="3"/>
        <v>TL</v>
      </c>
      <c r="K25" s="25">
        <f t="shared" si="2"/>
        <v>2025</v>
      </c>
      <c r="L25" s="25" t="s">
        <v>31</v>
      </c>
      <c r="M25" s="25">
        <v>0</v>
      </c>
      <c r="N25" s="25">
        <v>-1</v>
      </c>
      <c r="O25" s="41">
        <f>O26-1</f>
        <v>-1</v>
      </c>
    </row>
    <row r="26" spans="1:15" ht="15" x14ac:dyDescent="0.25">
      <c r="D26" s="12"/>
      <c r="F26" s="39"/>
      <c r="G26" s="40" t="str">
        <f>IF(D25="",B25&amp;"*"&amp;",-"&amp;B25&amp;"*"&amp;C25&amp;"*",B25&amp;"*"&amp;",-"&amp;B25&amp;"*"&amp;C25&amp;"*"&amp;","&amp;B25&amp;"*"&amp;D25&amp;"*")</f>
        <v>TL*,-TL*DHEV*</v>
      </c>
      <c r="H26" s="40"/>
      <c r="I26" s="110"/>
      <c r="J26" s="110" t="str">
        <f>J25</f>
        <v>TL</v>
      </c>
      <c r="K26" s="25">
        <f>K25</f>
        <v>2025</v>
      </c>
      <c r="L26" s="25"/>
      <c r="M26" s="25"/>
      <c r="N26" s="25"/>
      <c r="O26" s="41">
        <f>'ON-Road Historical share'!X36</f>
        <v>0</v>
      </c>
    </row>
    <row r="27" spans="1:15" ht="15" x14ac:dyDescent="0.25">
      <c r="A27">
        <f>A21</f>
        <v>2015</v>
      </c>
      <c r="B27" s="12" t="str">
        <f>'ON-Road Historical share'!L37</f>
        <v>TL</v>
      </c>
      <c r="C27" s="12" t="str">
        <f>'ON-Road Historical share'!M37</f>
        <v>ELC</v>
      </c>
      <c r="F27" s="39" t="str">
        <f>"UC_"&amp;J27&amp;C27&amp;"FX"&amp;A27</f>
        <v>UC_TLELCFX2015</v>
      </c>
      <c r="G27" s="40" t="str">
        <f t="shared" si="0"/>
        <v>TL*ELC*</v>
      </c>
      <c r="H27" s="40"/>
      <c r="I27" s="110"/>
      <c r="J27" s="110" t="str">
        <f t="shared" si="3"/>
        <v>TL</v>
      </c>
      <c r="K27" s="25">
        <f>A27</f>
        <v>2015</v>
      </c>
      <c r="L27" s="25" t="s">
        <v>31</v>
      </c>
      <c r="M27" s="25">
        <v>0</v>
      </c>
      <c r="N27" s="25">
        <v>-1</v>
      </c>
      <c r="O27" s="41">
        <f>O28-1</f>
        <v>-0.99990777577613354</v>
      </c>
    </row>
    <row r="28" spans="1:15" ht="15" x14ac:dyDescent="0.25">
      <c r="D28" s="12"/>
      <c r="F28" s="39"/>
      <c r="G28" s="40" t="str">
        <f>IF(D27="",B27&amp;"*"&amp;",-"&amp;B27&amp;"*"&amp;C27&amp;"*",B27&amp;"*"&amp;",-"&amp;B27&amp;"*"&amp;C27&amp;"*"&amp;","&amp;B27&amp;"*"&amp;D27&amp;"*")</f>
        <v>TL*,-TL*ELC*</v>
      </c>
      <c r="H28" s="40"/>
      <c r="I28" s="110"/>
      <c r="J28" s="110" t="str">
        <f>J27</f>
        <v>TL</v>
      </c>
      <c r="K28" s="25">
        <f>K27</f>
        <v>2015</v>
      </c>
      <c r="L28" s="25"/>
      <c r="M28" s="25"/>
      <c r="N28" s="25"/>
      <c r="O28" s="41">
        <f>'ON-Road Historical share'!V37</f>
        <v>9.2224223866489531E-5</v>
      </c>
    </row>
    <row r="29" spans="1:15" ht="15" x14ac:dyDescent="0.25">
      <c r="A29">
        <f>A23</f>
        <v>2020</v>
      </c>
      <c r="B29" t="str">
        <f>B27</f>
        <v>TL</v>
      </c>
      <c r="C29" t="str">
        <f>C27</f>
        <v>ELC</v>
      </c>
      <c r="F29" s="39" t="str">
        <f>"UC_"&amp;J29&amp;C29&amp;"FX"&amp;A29</f>
        <v>UC_TLELCFX2020</v>
      </c>
      <c r="G29" s="40" t="str">
        <f t="shared" si="0"/>
        <v>TL*ELC*</v>
      </c>
      <c r="H29" s="40"/>
      <c r="I29" s="110"/>
      <c r="J29" s="110" t="str">
        <f t="shared" si="3"/>
        <v>TL</v>
      </c>
      <c r="K29" s="25">
        <f t="shared" si="2"/>
        <v>2020</v>
      </c>
      <c r="L29" s="25" t="s">
        <v>31</v>
      </c>
      <c r="M29" s="25">
        <v>0</v>
      </c>
      <c r="N29" s="25">
        <v>-1</v>
      </c>
      <c r="O29" s="41">
        <f>O30-1</f>
        <v>-0.98169970680048868</v>
      </c>
    </row>
    <row r="30" spans="1:15" ht="15" x14ac:dyDescent="0.25">
      <c r="D30" s="12"/>
      <c r="F30" s="39"/>
      <c r="G30" s="40" t="str">
        <f>IF(D29="",B29&amp;"*"&amp;",-"&amp;B29&amp;"*"&amp;C29&amp;"*",B29&amp;"*"&amp;",-"&amp;B29&amp;"*"&amp;C29&amp;"*"&amp;","&amp;B29&amp;"*"&amp;D29&amp;"*")</f>
        <v>TL*,-TL*ELC*</v>
      </c>
      <c r="H30" s="40"/>
      <c r="I30" s="110"/>
      <c r="J30" s="110" t="str">
        <f>J29</f>
        <v>TL</v>
      </c>
      <c r="K30" s="25">
        <f>K29</f>
        <v>2020</v>
      </c>
      <c r="L30" s="25"/>
      <c r="M30" s="25"/>
      <c r="N30" s="25"/>
      <c r="O30" s="41">
        <f>'ON-Road Historical share'!W37</f>
        <v>1.8300293199511285E-2</v>
      </c>
    </row>
    <row r="31" spans="1:15" ht="15" x14ac:dyDescent="0.25">
      <c r="A31">
        <f>A25</f>
        <v>2025</v>
      </c>
      <c r="B31" t="str">
        <f t="shared" ref="B31" si="10">B29</f>
        <v>TL</v>
      </c>
      <c r="C31" t="str">
        <f t="shared" ref="C31" si="11">C29</f>
        <v>ELC</v>
      </c>
      <c r="F31" s="39" t="str">
        <f>"UC_"&amp;J31&amp;C31&amp;"FX"&amp;A31</f>
        <v>UC_TLELCFX2025</v>
      </c>
      <c r="G31" s="40" t="str">
        <f t="shared" si="0"/>
        <v>TL*ELC*</v>
      </c>
      <c r="H31" s="40"/>
      <c r="I31" s="110"/>
      <c r="J31" s="110" t="str">
        <f t="shared" si="3"/>
        <v>TL</v>
      </c>
      <c r="K31" s="25">
        <f t="shared" si="2"/>
        <v>2025</v>
      </c>
      <c r="L31" s="25" t="s">
        <v>31</v>
      </c>
      <c r="M31" s="25">
        <v>0</v>
      </c>
      <c r="N31" s="25">
        <v>-1</v>
      </c>
      <c r="O31" s="41">
        <f>O32-1</f>
        <v>-0.96452202992384639</v>
      </c>
    </row>
    <row r="32" spans="1:15" ht="15" x14ac:dyDescent="0.25">
      <c r="D32" s="12"/>
      <c r="F32" s="39"/>
      <c r="G32" s="40" t="str">
        <f>IF(D31="",B31&amp;"*"&amp;",-"&amp;B31&amp;"*"&amp;C31&amp;"*",B31&amp;"*"&amp;",-"&amp;B31&amp;"*"&amp;C31&amp;"*"&amp;","&amp;B31&amp;"*"&amp;D31&amp;"*")</f>
        <v>TL*,-TL*ELC*</v>
      </c>
      <c r="H32" s="40"/>
      <c r="I32" s="110"/>
      <c r="J32" s="110" t="str">
        <f>J31</f>
        <v>TL</v>
      </c>
      <c r="K32" s="25">
        <f>K31</f>
        <v>2025</v>
      </c>
      <c r="L32" s="25"/>
      <c r="M32" s="25"/>
      <c r="N32" s="25"/>
      <c r="O32" s="41">
        <f>'ON-Road Historical share'!X37</f>
        <v>3.547797007615363E-2</v>
      </c>
    </row>
    <row r="33" spans="1:15" ht="15" x14ac:dyDescent="0.25">
      <c r="A33">
        <f>A27</f>
        <v>2015</v>
      </c>
      <c r="B33" s="12" t="str">
        <f>'ON-Road Historical share'!L38</f>
        <v>TL</v>
      </c>
      <c r="C33" s="12" t="str">
        <f>'ON-Road Historical share'!M38</f>
        <v>FCH</v>
      </c>
      <c r="F33" s="39" t="str">
        <f>"UC_"&amp;J33&amp;C33&amp;"FX"&amp;A33</f>
        <v>UC_TLFCHFX2015</v>
      </c>
      <c r="G33" s="40" t="str">
        <f t="shared" si="0"/>
        <v>TL*FCH*</v>
      </c>
      <c r="H33" s="40"/>
      <c r="I33" s="40"/>
      <c r="J33" s="110" t="str">
        <f t="shared" si="3"/>
        <v>TL</v>
      </c>
      <c r="K33" s="25">
        <f>A33</f>
        <v>2015</v>
      </c>
      <c r="L33" s="25" t="s">
        <v>31</v>
      </c>
      <c r="M33" s="25">
        <v>0</v>
      </c>
      <c r="N33" s="25">
        <v>-1</v>
      </c>
      <c r="O33" s="41">
        <f>O34-1</f>
        <v>-1</v>
      </c>
    </row>
    <row r="34" spans="1:15" ht="15" x14ac:dyDescent="0.25">
      <c r="D34" s="12"/>
      <c r="F34" s="39"/>
      <c r="G34" s="40" t="str">
        <f>IF(D33="",B33&amp;"*"&amp;",-"&amp;B33&amp;"*"&amp;C33&amp;"*",B33&amp;"*"&amp;",-"&amp;B33&amp;"*"&amp;C33&amp;"*"&amp;","&amp;B33&amp;"*"&amp;D33&amp;"*")</f>
        <v>TL*,-TL*FCH*</v>
      </c>
      <c r="H34" s="40"/>
      <c r="I34" s="110"/>
      <c r="J34" s="110" t="str">
        <f>J33</f>
        <v>TL</v>
      </c>
      <c r="K34" s="25">
        <f>K33</f>
        <v>2015</v>
      </c>
      <c r="L34" s="25"/>
      <c r="M34" s="25"/>
      <c r="N34" s="25"/>
      <c r="O34" s="41">
        <f>'ON-Road Historical share'!V38</f>
        <v>0</v>
      </c>
    </row>
    <row r="35" spans="1:15" ht="15" x14ac:dyDescent="0.25">
      <c r="A35">
        <f>A29</f>
        <v>2020</v>
      </c>
      <c r="B35" t="str">
        <f>B33</f>
        <v>TL</v>
      </c>
      <c r="C35" t="str">
        <f>C33</f>
        <v>FCH</v>
      </c>
      <c r="F35" s="39" t="str">
        <f>"UC_"&amp;J35&amp;C35&amp;"FX"&amp;A35</f>
        <v>UC_TLFCHFX2020</v>
      </c>
      <c r="G35" s="40" t="str">
        <f t="shared" si="0"/>
        <v>TL*FCH*</v>
      </c>
      <c r="H35" s="40"/>
      <c r="I35" s="40"/>
      <c r="J35" s="110" t="str">
        <f t="shared" si="3"/>
        <v>TL</v>
      </c>
      <c r="K35" s="25">
        <f t="shared" si="2"/>
        <v>2020</v>
      </c>
      <c r="L35" s="25" t="s">
        <v>31</v>
      </c>
      <c r="M35" s="25">
        <v>0</v>
      </c>
      <c r="N35" s="25">
        <v>-1</v>
      </c>
      <c r="O35" s="41">
        <f>O36-1</f>
        <v>-1</v>
      </c>
    </row>
    <row r="36" spans="1:15" ht="15" x14ac:dyDescent="0.25">
      <c r="D36" s="12"/>
      <c r="F36" s="39"/>
      <c r="G36" s="40" t="str">
        <f>IF(D35="",B35&amp;"*"&amp;",-"&amp;B35&amp;"*"&amp;C35&amp;"*",B35&amp;"*"&amp;",-"&amp;B35&amp;"*"&amp;C35&amp;"*"&amp;","&amp;B35&amp;"*"&amp;D35&amp;"*")</f>
        <v>TL*,-TL*FCH*</v>
      </c>
      <c r="H36" s="40"/>
      <c r="I36" s="110"/>
      <c r="J36" s="110" t="str">
        <f>J35</f>
        <v>TL</v>
      </c>
      <c r="K36" s="25">
        <f>K35</f>
        <v>2020</v>
      </c>
      <c r="L36" s="25"/>
      <c r="M36" s="25"/>
      <c r="N36" s="25"/>
      <c r="O36" s="41">
        <f>'ON-Road Historical share'!W38</f>
        <v>0</v>
      </c>
    </row>
    <row r="37" spans="1:15" ht="15" x14ac:dyDescent="0.25">
      <c r="A37">
        <f>A31</f>
        <v>2025</v>
      </c>
      <c r="B37" t="str">
        <f t="shared" ref="B37" si="12">B35</f>
        <v>TL</v>
      </c>
      <c r="C37" t="str">
        <f t="shared" ref="C37" si="13">C35</f>
        <v>FCH</v>
      </c>
      <c r="F37" s="39" t="str">
        <f>"UC_"&amp;J37&amp;C37&amp;"FX"&amp;A37</f>
        <v>UC_TLFCHFX2025</v>
      </c>
      <c r="G37" s="40" t="str">
        <f t="shared" si="0"/>
        <v>TL*FCH*</v>
      </c>
      <c r="H37" s="40"/>
      <c r="I37" s="40"/>
      <c r="J37" s="110" t="str">
        <f t="shared" si="3"/>
        <v>TL</v>
      </c>
      <c r="K37" s="25">
        <f t="shared" si="2"/>
        <v>2025</v>
      </c>
      <c r="L37" s="25" t="s">
        <v>31</v>
      </c>
      <c r="M37" s="25">
        <v>0</v>
      </c>
      <c r="N37" s="25">
        <v>-1</v>
      </c>
      <c r="O37" s="41">
        <f>O38-1</f>
        <v>-1</v>
      </c>
    </row>
    <row r="38" spans="1:15" ht="15" x14ac:dyDescent="0.25">
      <c r="D38" s="12"/>
      <c r="F38" s="39"/>
      <c r="G38" s="40" t="str">
        <f>IF(D37="",B37&amp;"*"&amp;",-"&amp;B37&amp;"*"&amp;C37&amp;"*",B37&amp;"*"&amp;",-"&amp;B37&amp;"*"&amp;C37&amp;"*"&amp;","&amp;B37&amp;"*"&amp;D37&amp;"*")</f>
        <v>TL*,-TL*FCH*</v>
      </c>
      <c r="H38" s="40"/>
      <c r="I38" s="110"/>
      <c r="J38" s="110" t="str">
        <f>J37</f>
        <v>TL</v>
      </c>
      <c r="K38" s="25">
        <f>K37</f>
        <v>2025</v>
      </c>
      <c r="L38" s="25"/>
      <c r="M38" s="25"/>
      <c r="N38" s="25"/>
      <c r="O38" s="41">
        <f>'ON-Road Historical share'!X38</f>
        <v>0</v>
      </c>
    </row>
    <row r="39" spans="1:15" ht="15" x14ac:dyDescent="0.25">
      <c r="A39">
        <f>A33</f>
        <v>2015</v>
      </c>
      <c r="B39" s="12" t="str">
        <f>'ON-Road Historical share'!L39</f>
        <v>TL</v>
      </c>
      <c r="C39" s="12" t="str">
        <f>'ON-Road Historical share'!M39</f>
        <v>GSL</v>
      </c>
      <c r="D39" s="12" t="str">
        <f>'ON-Road Historical share'!N39</f>
        <v>G*HEV</v>
      </c>
      <c r="F39" s="39" t="str">
        <f>"UC_"&amp;J39&amp;C39&amp;"FX"&amp;A39</f>
        <v>UC_TLGSLFX2015</v>
      </c>
      <c r="G39" s="40" t="str">
        <f>IF(D39="",B39&amp;"*"&amp;C39&amp;"*",B39&amp;"*"&amp;C39&amp;"*"&amp;",-"&amp;B39&amp;"*"&amp;D39&amp;"*")</f>
        <v>TL*GSL*,-TL*G*HEV*</v>
      </c>
      <c r="H39" s="40"/>
      <c r="I39" s="40"/>
      <c r="J39" s="110" t="str">
        <f t="shared" si="3"/>
        <v>TL</v>
      </c>
      <c r="K39" s="25">
        <f>A39</f>
        <v>2015</v>
      </c>
      <c r="L39" s="25" t="s">
        <v>31</v>
      </c>
      <c r="M39" s="25">
        <v>0</v>
      </c>
      <c r="N39" s="25">
        <v>-1</v>
      </c>
      <c r="O39" s="41">
        <f>O40-1</f>
        <v>-1.6279563040486833E-2</v>
      </c>
    </row>
    <row r="40" spans="1:15" ht="15" x14ac:dyDescent="0.25">
      <c r="D40" s="12"/>
      <c r="F40" s="39"/>
      <c r="G40" s="40" t="str">
        <f>IF(D39="",B39&amp;"*"&amp;",-"&amp;B39&amp;"*"&amp;C39&amp;"*",B39&amp;"*"&amp;",-"&amp;B39&amp;"*"&amp;C39&amp;"*"&amp;","&amp;B39&amp;"*"&amp;D39&amp;"*")</f>
        <v>TL*,-TL*GSL*,TL*G*HEV*</v>
      </c>
      <c r="H40" s="40"/>
      <c r="I40" s="110"/>
      <c r="J40" s="110" t="str">
        <f>J39</f>
        <v>TL</v>
      </c>
      <c r="K40" s="25">
        <f>K39</f>
        <v>2015</v>
      </c>
      <c r="L40" s="25"/>
      <c r="M40" s="25"/>
      <c r="N40" s="25"/>
      <c r="O40" s="41">
        <f>'ON-Road Historical share'!V39</f>
        <v>0.98372043695951317</v>
      </c>
    </row>
    <row r="41" spans="1:15" ht="15" x14ac:dyDescent="0.25">
      <c r="A41">
        <f>A35</f>
        <v>2020</v>
      </c>
      <c r="B41" t="str">
        <f>B39</f>
        <v>TL</v>
      </c>
      <c r="C41" t="str">
        <f>C39</f>
        <v>GSL</v>
      </c>
      <c r="D41" s="12" t="str">
        <f>D39</f>
        <v>G*HEV</v>
      </c>
      <c r="F41" s="39" t="str">
        <f>"UC_"&amp;J41&amp;C41&amp;"FX"&amp;A41</f>
        <v>UC_TLGSLFX2020</v>
      </c>
      <c r="G41" s="40" t="str">
        <f t="shared" ref="G41:G43" si="14">IF(D41="",B41&amp;"*"&amp;C41&amp;"*",B41&amp;"*"&amp;C41&amp;"*"&amp;",-"&amp;B41&amp;"*"&amp;D41&amp;"*")</f>
        <v>TL*GSL*,-TL*G*HEV*</v>
      </c>
      <c r="H41" s="40"/>
      <c r="I41" s="40"/>
      <c r="J41" s="110" t="str">
        <f t="shared" si="3"/>
        <v>TL</v>
      </c>
      <c r="K41" s="25">
        <f t="shared" si="2"/>
        <v>2020</v>
      </c>
      <c r="L41" s="25" t="s">
        <v>31</v>
      </c>
      <c r="M41" s="25">
        <v>0</v>
      </c>
      <c r="N41" s="25">
        <v>-1</v>
      </c>
      <c r="O41" s="41">
        <f>O42-1</f>
        <v>-6.6438979246951857E-2</v>
      </c>
    </row>
    <row r="42" spans="1:15" ht="15" x14ac:dyDescent="0.25">
      <c r="D42" s="12"/>
      <c r="F42" s="39"/>
      <c r="G42" s="40" t="str">
        <f>IF(D41="",B41&amp;"*"&amp;",-"&amp;B41&amp;"*"&amp;C41&amp;"*",B41&amp;"*"&amp;",-"&amp;B41&amp;"*"&amp;C41&amp;"*"&amp;","&amp;B41&amp;"*"&amp;D41&amp;"*")</f>
        <v>TL*,-TL*GSL*,TL*G*HEV*</v>
      </c>
      <c r="H42" s="40"/>
      <c r="I42" s="110"/>
      <c r="J42" s="110" t="str">
        <f>J41</f>
        <v>TL</v>
      </c>
      <c r="K42" s="25">
        <f>K41</f>
        <v>2020</v>
      </c>
      <c r="L42" s="25"/>
      <c r="M42" s="25"/>
      <c r="N42" s="25"/>
      <c r="O42" s="41">
        <f>'ON-Road Historical share'!W39</f>
        <v>0.93356102075304814</v>
      </c>
    </row>
    <row r="43" spans="1:15" ht="15" x14ac:dyDescent="0.25">
      <c r="A43">
        <f>A37</f>
        <v>2025</v>
      </c>
      <c r="B43" t="str">
        <f t="shared" ref="B43" si="15">B41</f>
        <v>TL</v>
      </c>
      <c r="C43" t="str">
        <f t="shared" ref="C43" si="16">C41</f>
        <v>GSL</v>
      </c>
      <c r="D43" s="12" t="str">
        <f t="shared" ref="D43" si="17">D41</f>
        <v>G*HEV</v>
      </c>
      <c r="F43" s="39" t="str">
        <f>"UC_"&amp;J43&amp;C43&amp;"FX"&amp;A43</f>
        <v>UC_TLGSLFX2025</v>
      </c>
      <c r="G43" s="40" t="str">
        <f t="shared" si="14"/>
        <v>TL*GSL*,-TL*G*HEV*</v>
      </c>
      <c r="H43" s="40"/>
      <c r="I43" s="40"/>
      <c r="J43" s="110" t="str">
        <f t="shared" si="3"/>
        <v>TL</v>
      </c>
      <c r="K43" s="25">
        <f t="shared" si="2"/>
        <v>2025</v>
      </c>
      <c r="L43" s="25" t="s">
        <v>31</v>
      </c>
      <c r="M43" s="25">
        <v>0</v>
      </c>
      <c r="N43" s="25">
        <v>-1</v>
      </c>
      <c r="O43" s="41">
        <f>O44-1</f>
        <v>-0.11526222821609855</v>
      </c>
    </row>
    <row r="44" spans="1:15" ht="15" x14ac:dyDescent="0.25">
      <c r="D44" s="12"/>
      <c r="F44" s="39"/>
      <c r="G44" s="40" t="str">
        <f>IF(D43="",B43&amp;"*"&amp;",-"&amp;B43&amp;"*"&amp;C43&amp;"*",B43&amp;"*"&amp;",-"&amp;B43&amp;"*"&amp;C43&amp;"*"&amp;","&amp;B43&amp;"*"&amp;D43&amp;"*")</f>
        <v>TL*,-TL*GSL*,TL*G*HEV*</v>
      </c>
      <c r="H44" s="40"/>
      <c r="I44" s="110"/>
      <c r="J44" s="110" t="str">
        <f>J43</f>
        <v>TL</v>
      </c>
      <c r="K44" s="25">
        <f>K43</f>
        <v>2025</v>
      </c>
      <c r="L44" s="25"/>
      <c r="M44" s="25"/>
      <c r="N44" s="25"/>
      <c r="O44" s="41">
        <f>'ON-Road Historical share'!X39</f>
        <v>0.88473777178390145</v>
      </c>
    </row>
    <row r="45" spans="1:15" ht="15.75" customHeight="1" x14ac:dyDescent="0.25">
      <c r="A45">
        <f>A39</f>
        <v>2015</v>
      </c>
      <c r="B45" s="12" t="str">
        <f>'ON-Road Historical share'!L40</f>
        <v>TL</v>
      </c>
      <c r="C45" s="12" t="str">
        <f>'ON-Road Historical share'!M40</f>
        <v>G*HEV</v>
      </c>
      <c r="D45" s="12"/>
      <c r="F45" s="39" t="str">
        <f>"UC_"&amp;J45&amp;C45&amp;"FX"&amp;A45</f>
        <v>UC_TLG*HEVFX2015</v>
      </c>
      <c r="G45" s="40" t="str">
        <f t="shared" si="0"/>
        <v>TL*G*HEV*</v>
      </c>
      <c r="H45" s="40"/>
      <c r="I45" s="40"/>
      <c r="J45" s="110" t="str">
        <f t="shared" si="3"/>
        <v>TL</v>
      </c>
      <c r="K45" s="25">
        <f>A45</f>
        <v>2015</v>
      </c>
      <c r="L45" s="25" t="s">
        <v>31</v>
      </c>
      <c r="M45" s="25">
        <v>0</v>
      </c>
      <c r="N45" s="25">
        <v>-1</v>
      </c>
      <c r="O45" s="41">
        <f>O46-1</f>
        <v>-0.99569978597662723</v>
      </c>
    </row>
    <row r="46" spans="1:15" ht="15" x14ac:dyDescent="0.25">
      <c r="D46" s="12"/>
      <c r="F46" s="39"/>
      <c r="G46" s="40" t="str">
        <f>IF(D45="",B45&amp;"*"&amp;",-"&amp;B45&amp;"*"&amp;C45&amp;"*",B45&amp;"*"&amp;",-"&amp;B45&amp;"*"&amp;C45&amp;"*"&amp;","&amp;B45&amp;"*"&amp;D45&amp;"*")</f>
        <v>TL*,-TL*G*HEV*</v>
      </c>
      <c r="H46" s="40"/>
      <c r="I46" s="110"/>
      <c r="J46" s="110" t="str">
        <f>J45</f>
        <v>TL</v>
      </c>
      <c r="K46" s="25">
        <f>K45</f>
        <v>2015</v>
      </c>
      <c r="L46" s="25"/>
      <c r="M46" s="25"/>
      <c r="N46" s="25"/>
      <c r="O46" s="41">
        <f>'ON-Road Historical share'!V40</f>
        <v>4.300214023372783E-3</v>
      </c>
    </row>
    <row r="47" spans="1:15" ht="15" x14ac:dyDescent="0.25">
      <c r="A47">
        <f>A41</f>
        <v>2020</v>
      </c>
      <c r="B47" t="str">
        <f>B45</f>
        <v>TL</v>
      </c>
      <c r="C47" t="str">
        <f>C45</f>
        <v>G*HEV</v>
      </c>
      <c r="F47" s="39" t="str">
        <f>"UC_"&amp;J47&amp;C47&amp;"FX"&amp;A47</f>
        <v>UC_TLG*HEVFX2020</v>
      </c>
      <c r="G47" s="40" t="str">
        <f t="shared" si="0"/>
        <v>TL*G*HEV*</v>
      </c>
      <c r="H47" s="40"/>
      <c r="I47" s="40"/>
      <c r="J47" s="110" t="str">
        <f t="shared" si="3"/>
        <v>TL</v>
      </c>
      <c r="K47" s="25">
        <f t="shared" si="2"/>
        <v>2020</v>
      </c>
      <c r="L47" s="25" t="s">
        <v>31</v>
      </c>
      <c r="M47" s="25">
        <v>0</v>
      </c>
      <c r="N47" s="25">
        <v>-1</v>
      </c>
      <c r="O47" s="41">
        <f>O48-1</f>
        <v>-0.9598487794854903</v>
      </c>
    </row>
    <row r="48" spans="1:15" ht="15" x14ac:dyDescent="0.25">
      <c r="D48" s="12"/>
      <c r="F48" s="39"/>
      <c r="G48" s="40" t="str">
        <f>IF(D47="",B47&amp;"*"&amp;",-"&amp;B47&amp;"*"&amp;C47&amp;"*",B47&amp;"*"&amp;",-"&amp;B47&amp;"*"&amp;C47&amp;"*"&amp;","&amp;B47&amp;"*"&amp;D47&amp;"*")</f>
        <v>TL*,-TL*G*HEV*</v>
      </c>
      <c r="H48" s="40"/>
      <c r="I48" s="110"/>
      <c r="J48" s="110" t="str">
        <f>J47</f>
        <v>TL</v>
      </c>
      <c r="K48" s="25">
        <f>K47</f>
        <v>2020</v>
      </c>
      <c r="L48" s="25"/>
      <c r="M48" s="25"/>
      <c r="N48" s="25"/>
      <c r="O48" s="41">
        <f>'ON-Road Historical share'!W40</f>
        <v>4.0151220514509707E-2</v>
      </c>
    </row>
    <row r="49" spans="1:15" ht="15" x14ac:dyDescent="0.25">
      <c r="A49">
        <f>A43</f>
        <v>2025</v>
      </c>
      <c r="B49" t="str">
        <f t="shared" ref="B49" si="18">B47</f>
        <v>TL</v>
      </c>
      <c r="C49" t="str">
        <f t="shared" ref="C49" si="19">C47</f>
        <v>G*HEV</v>
      </c>
      <c r="F49" s="39" t="str">
        <f>"UC_"&amp;J49&amp;C49&amp;"FX"&amp;A49</f>
        <v>UC_TLG*HEVFX2025</v>
      </c>
      <c r="G49" s="40" t="str">
        <f t="shared" si="0"/>
        <v>TL*G*HEV*</v>
      </c>
      <c r="H49" s="40"/>
      <c r="I49" s="40"/>
      <c r="J49" s="110" t="str">
        <f t="shared" si="3"/>
        <v>TL</v>
      </c>
      <c r="K49" s="25">
        <f t="shared" si="2"/>
        <v>2025</v>
      </c>
      <c r="L49" s="25" t="s">
        <v>31</v>
      </c>
      <c r="M49" s="25">
        <v>0</v>
      </c>
      <c r="N49" s="25">
        <v>-1</v>
      </c>
      <c r="O49" s="41">
        <f>O50-1</f>
        <v>-0.92435262904917614</v>
      </c>
    </row>
    <row r="50" spans="1:15" ht="15" x14ac:dyDescent="0.25">
      <c r="D50" s="12"/>
      <c r="F50" s="39"/>
      <c r="G50" s="40" t="str">
        <f>IF(D49="",B49&amp;"*"&amp;",-"&amp;B49&amp;"*"&amp;C49&amp;"*",B49&amp;"*"&amp;",-"&amp;B49&amp;"*"&amp;C49&amp;"*"&amp;","&amp;B49&amp;"*"&amp;D49&amp;"*")</f>
        <v>TL*,-TL*G*HEV*</v>
      </c>
      <c r="H50" s="40"/>
      <c r="I50" s="110"/>
      <c r="J50" s="110" t="str">
        <f>J49</f>
        <v>TL</v>
      </c>
      <c r="K50" s="25">
        <f>K49</f>
        <v>2025</v>
      </c>
      <c r="L50" s="25"/>
      <c r="M50" s="25"/>
      <c r="N50" s="25"/>
      <c r="O50" s="41">
        <f>'ON-Road Historical share'!X40</f>
        <v>7.5647370950823856E-2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5435B-838E-4174-97FB-9C1D587321DC}">
  <sheetPr>
    <tabColor rgb="FF00B050"/>
  </sheetPr>
  <dimension ref="A2:AZ67"/>
  <sheetViews>
    <sheetView showFormulas="1" tabSelected="1" zoomScale="85" zoomScaleNormal="85" workbookViewId="0">
      <selection activeCell="Q32" sqref="Q32"/>
    </sheetView>
  </sheetViews>
  <sheetFormatPr defaultColWidth="8.85546875" defaultRowHeight="15" x14ac:dyDescent="0.25"/>
  <cols>
    <col min="1" max="1" width="21.85546875" style="44" customWidth="1"/>
    <col min="2" max="2" width="24.7109375" style="44" bestFit="1" customWidth="1"/>
    <col min="3" max="6" width="15" style="44" bestFit="1" customWidth="1"/>
    <col min="7" max="9" width="15" style="44" customWidth="1"/>
    <col min="10" max="25" width="21.85546875" style="44" customWidth="1"/>
    <col min="26" max="26" width="43.140625" style="44" customWidth="1"/>
    <col min="27" max="28" width="23.7109375" style="44" customWidth="1"/>
    <col min="29" max="29" width="16.28515625" style="44" customWidth="1"/>
    <col min="30" max="31" width="23" style="44" customWidth="1"/>
    <col min="32" max="32" width="15.85546875" style="44" customWidth="1"/>
    <col min="33" max="33" width="19.28515625" style="44" customWidth="1"/>
    <col min="34" max="34" width="17.42578125" style="44" customWidth="1"/>
    <col min="35" max="35" width="22.7109375" style="44" customWidth="1"/>
    <col min="36" max="36" width="31.140625" style="44" customWidth="1"/>
    <col min="37" max="37" width="27.5703125" style="44" customWidth="1"/>
    <col min="38" max="38" width="27.42578125" style="44" customWidth="1"/>
    <col min="39" max="39" width="26.85546875" style="44" bestFit="1" customWidth="1"/>
    <col min="40" max="41" width="27.42578125" style="44" bestFit="1" customWidth="1"/>
    <col min="42" max="42" width="26.42578125" style="44" bestFit="1" customWidth="1"/>
    <col min="43" max="43" width="25.85546875" style="44" bestFit="1" customWidth="1"/>
    <col min="44" max="44" width="26.42578125" style="44" bestFit="1" customWidth="1"/>
    <col min="45" max="45" width="28" style="44" bestFit="1" customWidth="1"/>
    <col min="46" max="46" width="26.85546875" style="44" bestFit="1" customWidth="1"/>
    <col min="47" max="47" width="27.42578125" style="44" bestFit="1" customWidth="1"/>
    <col min="48" max="49" width="28" style="44" bestFit="1" customWidth="1"/>
    <col min="50" max="50" width="27.42578125" style="44" bestFit="1" customWidth="1"/>
    <col min="51" max="51" width="26.85546875" style="44" bestFit="1" customWidth="1"/>
    <col min="52" max="52" width="28" style="44" bestFit="1" customWidth="1"/>
    <col min="53" max="53" width="8.85546875" style="44"/>
    <col min="54" max="54" width="16.28515625" style="44" bestFit="1" customWidth="1"/>
    <col min="55" max="55" width="12.85546875" style="44" bestFit="1" customWidth="1"/>
    <col min="56" max="56" width="11.140625" style="44" customWidth="1"/>
    <col min="57" max="65" width="12.140625" style="44" customWidth="1"/>
    <col min="66" max="66" width="12.140625" style="44" bestFit="1" customWidth="1"/>
    <col min="67" max="67" width="10.7109375" style="44" bestFit="1" customWidth="1"/>
    <col min="68" max="68" width="11.140625" style="44" bestFit="1" customWidth="1"/>
    <col min="69" max="16384" width="8.85546875" style="44"/>
  </cols>
  <sheetData>
    <row r="2" spans="1:52" ht="23.25" x14ac:dyDescent="0.35">
      <c r="AA2" s="45" t="s">
        <v>84</v>
      </c>
    </row>
    <row r="3" spans="1:52" ht="21" x14ac:dyDescent="0.35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  <c r="AA3" s="46"/>
      <c r="AB3" s="46"/>
      <c r="AY3" s="47"/>
      <c r="AZ3" s="48"/>
    </row>
    <row r="4" spans="1:52" ht="18.75" x14ac:dyDescent="0.3">
      <c r="A4" s="49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  <c r="S4" s="49"/>
      <c r="T4" s="49"/>
      <c r="U4" s="49"/>
      <c r="V4" s="49"/>
      <c r="W4" s="49"/>
      <c r="X4" s="49"/>
      <c r="Y4" s="49"/>
      <c r="Z4" s="49"/>
      <c r="AA4" s="50" t="s">
        <v>85</v>
      </c>
      <c r="AB4" s="51"/>
      <c r="AC4" s="49"/>
      <c r="AD4" s="44" t="s">
        <v>86</v>
      </c>
    </row>
    <row r="5" spans="1:52" ht="18.75" x14ac:dyDescent="0.25">
      <c r="A5" s="52"/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  <c r="AA5" s="53" t="s">
        <v>87</v>
      </c>
      <c r="AB5" s="54" t="s">
        <v>88</v>
      </c>
      <c r="AD5" s="44" t="s">
        <v>89</v>
      </c>
    </row>
    <row r="6" spans="1:52" x14ac:dyDescent="0.25">
      <c r="AA6" s="55" t="s">
        <v>87</v>
      </c>
      <c r="AB6" s="54" t="s">
        <v>90</v>
      </c>
    </row>
    <row r="7" spans="1:52" x14ac:dyDescent="0.25">
      <c r="Z7" s="56"/>
      <c r="AA7" s="57" t="s">
        <v>87</v>
      </c>
      <c r="AB7" s="54" t="s">
        <v>91</v>
      </c>
      <c r="AX7" s="58"/>
    </row>
    <row r="9" spans="1:52" x14ac:dyDescent="0.25">
      <c r="AD9" s="59">
        <v>1000</v>
      </c>
      <c r="AE9" s="59"/>
      <c r="AF9" s="59"/>
      <c r="AG9" s="44" t="s">
        <v>92</v>
      </c>
    </row>
    <row r="10" spans="1:52" x14ac:dyDescent="0.25">
      <c r="AD10" s="60">
        <v>1E-3</v>
      </c>
      <c r="AE10" s="60"/>
      <c r="AF10" s="61"/>
      <c r="AG10" s="62" t="s">
        <v>93</v>
      </c>
    </row>
    <row r="11" spans="1:52" ht="18.75" x14ac:dyDescent="0.25">
      <c r="A11" s="52"/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AA11" s="63" t="s">
        <v>94</v>
      </c>
      <c r="AD11" s="64"/>
      <c r="AE11" s="64"/>
      <c r="AF11" s="64"/>
      <c r="AG11" s="65"/>
      <c r="AH11" s="64"/>
      <c r="AI11" s="64"/>
      <c r="AJ11" s="64"/>
      <c r="AK11" s="64"/>
      <c r="AL11" s="64"/>
      <c r="AM11" s="64"/>
      <c r="AN11" s="64"/>
      <c r="AO11" s="65"/>
      <c r="AP11" s="64"/>
      <c r="AQ11" s="64"/>
      <c r="AR11" s="65"/>
      <c r="AS11" s="64"/>
      <c r="AT11" s="64"/>
      <c r="AU11" s="65"/>
      <c r="AV11" s="64"/>
      <c r="AW11" s="64"/>
      <c r="AX11" s="65"/>
      <c r="AY11" s="64"/>
      <c r="AZ11" s="64"/>
    </row>
    <row r="12" spans="1:52" ht="18.75" x14ac:dyDescent="0.25">
      <c r="A12" s="52"/>
      <c r="B12"/>
      <c r="C1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66" t="s">
        <v>95</v>
      </c>
      <c r="AA12" s="67" t="s">
        <v>96</v>
      </c>
      <c r="AB12" s="68" t="s">
        <v>97</v>
      </c>
      <c r="AC12" s="68" t="s">
        <v>98</v>
      </c>
      <c r="AD12" s="68" t="s">
        <v>99</v>
      </c>
      <c r="AE12" s="68" t="s">
        <v>174</v>
      </c>
      <c r="AF12" s="68" t="s">
        <v>100</v>
      </c>
      <c r="AG12" s="68" t="s">
        <v>101</v>
      </c>
      <c r="AH12" s="68" t="s">
        <v>102</v>
      </c>
      <c r="AI12" s="69" t="s">
        <v>103</v>
      </c>
      <c r="AJ12" s="69" t="s">
        <v>104</v>
      </c>
      <c r="AK12" s="69" t="s">
        <v>105</v>
      </c>
      <c r="AL12" s="69" t="s">
        <v>106</v>
      </c>
      <c r="AM12" s="69" t="s">
        <v>107</v>
      </c>
      <c r="AN12" s="69" t="s">
        <v>108</v>
      </c>
      <c r="AO12" s="69" t="s">
        <v>109</v>
      </c>
      <c r="AP12" s="69" t="s">
        <v>110</v>
      </c>
      <c r="AQ12" s="69" t="s">
        <v>111</v>
      </c>
      <c r="AR12" s="69" t="s">
        <v>112</v>
      </c>
      <c r="AS12" s="69" t="s">
        <v>113</v>
      </c>
      <c r="AT12" s="69" t="s">
        <v>114</v>
      </c>
      <c r="AU12" s="69" t="s">
        <v>115</v>
      </c>
      <c r="AV12" s="69" t="s">
        <v>116</v>
      </c>
      <c r="AW12" s="69" t="s">
        <v>117</v>
      </c>
      <c r="AX12" s="69" t="s">
        <v>118</v>
      </c>
      <c r="AY12" s="69" t="s">
        <v>119</v>
      </c>
      <c r="AZ12" s="70" t="s">
        <v>120</v>
      </c>
    </row>
    <row r="13" spans="1:52" ht="18.75" x14ac:dyDescent="0.25">
      <c r="A13" s="52"/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72" t="s">
        <v>121</v>
      </c>
      <c r="AA13" s="44" t="s">
        <v>122</v>
      </c>
      <c r="AB13" s="73" t="s">
        <v>50</v>
      </c>
      <c r="AC13" s="73" t="s">
        <v>123</v>
      </c>
      <c r="AD13" s="74" t="s">
        <v>48</v>
      </c>
      <c r="AE13" s="74" t="s">
        <v>48</v>
      </c>
      <c r="AF13" s="74" t="s">
        <v>124</v>
      </c>
      <c r="AG13" s="74" t="s">
        <v>24</v>
      </c>
      <c r="AH13" s="75" t="s">
        <v>46</v>
      </c>
      <c r="AI13" s="76">
        <v>6398791.5082985815</v>
      </c>
      <c r="AJ13" s="76">
        <v>5317833.7706844471</v>
      </c>
      <c r="AK13" s="76">
        <v>4068498.6942784912</v>
      </c>
      <c r="AL13" s="76">
        <v>3481673.6742869718</v>
      </c>
      <c r="AM13" s="76">
        <v>2552442.8854823965</v>
      </c>
      <c r="AN13" s="76">
        <v>1633232.7674664152</v>
      </c>
      <c r="AO13" s="76">
        <v>805661.85476631252</v>
      </c>
      <c r="AP13" s="76">
        <v>0</v>
      </c>
      <c r="AQ13" s="76">
        <v>0</v>
      </c>
      <c r="AR13" s="76">
        <v>0</v>
      </c>
      <c r="AS13" s="76">
        <v>0</v>
      </c>
      <c r="AT13" s="76">
        <v>0</v>
      </c>
      <c r="AU13" s="76">
        <v>0</v>
      </c>
      <c r="AV13" s="76">
        <v>0</v>
      </c>
      <c r="AW13" s="76">
        <v>0</v>
      </c>
      <c r="AX13" s="76">
        <v>0</v>
      </c>
      <c r="AY13" s="76">
        <v>0</v>
      </c>
      <c r="AZ13" s="77">
        <v>0</v>
      </c>
    </row>
    <row r="14" spans="1:52" ht="18.75" x14ac:dyDescent="0.25">
      <c r="A14" s="52"/>
      <c r="B14" s="14" t="s">
        <v>37</v>
      </c>
      <c r="C14" t="s">
        <v>182</v>
      </c>
      <c r="D14" t="s">
        <v>183</v>
      </c>
      <c r="E14" t="s">
        <v>167</v>
      </c>
      <c r="F14" t="s">
        <v>168</v>
      </c>
      <c r="G14" t="s">
        <v>169</v>
      </c>
      <c r="H14"/>
      <c r="I14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71" t="s">
        <v>125</v>
      </c>
      <c r="AA14" s="44" t="s">
        <v>122</v>
      </c>
      <c r="AB14" s="44" t="s">
        <v>50</v>
      </c>
      <c r="AC14" s="44" t="s">
        <v>123</v>
      </c>
      <c r="AD14" s="54" t="s">
        <v>48</v>
      </c>
      <c r="AE14" s="54" t="s">
        <v>48</v>
      </c>
      <c r="AF14" s="54" t="s">
        <v>124</v>
      </c>
      <c r="AG14" s="54" t="s">
        <v>25</v>
      </c>
      <c r="AH14" s="78" t="s">
        <v>46</v>
      </c>
      <c r="AI14" s="76">
        <v>550157467.73155105</v>
      </c>
      <c r="AJ14" s="76">
        <v>535970547.29218686</v>
      </c>
      <c r="AK14" s="76">
        <v>494403715.31603754</v>
      </c>
      <c r="AL14" s="76">
        <v>531367979.76104367</v>
      </c>
      <c r="AM14" s="76">
        <v>521844282.5381366</v>
      </c>
      <c r="AN14" s="76">
        <v>503211266.42482841</v>
      </c>
      <c r="AO14" s="76">
        <v>498757032.40200406</v>
      </c>
      <c r="AP14" s="76">
        <v>491885550.3203702</v>
      </c>
      <c r="AQ14" s="76">
        <v>480193962.2196762</v>
      </c>
      <c r="AR14" s="76">
        <v>493952732.95324385</v>
      </c>
      <c r="AS14" s="76">
        <v>492043155.70142436</v>
      </c>
      <c r="AT14" s="76">
        <v>500937964.87540305</v>
      </c>
      <c r="AU14" s="76">
        <v>502436220.30535114</v>
      </c>
      <c r="AV14" s="76">
        <v>450585081.3971684</v>
      </c>
      <c r="AW14" s="76">
        <v>492226733.11696744</v>
      </c>
      <c r="AX14" s="76">
        <v>514591976.82215136</v>
      </c>
      <c r="AY14" s="76">
        <v>504520445.04982251</v>
      </c>
      <c r="AZ14" s="79">
        <v>493402660.93015885</v>
      </c>
    </row>
    <row r="15" spans="1:52" ht="18.75" x14ac:dyDescent="0.25">
      <c r="A15" s="52"/>
      <c r="B15" s="13" t="s">
        <v>50</v>
      </c>
      <c r="C15">
        <v>20844644289.907169</v>
      </c>
      <c r="D15">
        <v>20891817298.220219</v>
      </c>
      <c r="E15">
        <v>22863426228.664799</v>
      </c>
      <c r="F15">
        <v>21505802732.11105</v>
      </c>
      <c r="G15">
        <v>22706669371.305878</v>
      </c>
      <c r="H15"/>
      <c r="I15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71" t="s">
        <v>126</v>
      </c>
      <c r="AA15" s="44" t="s">
        <v>122</v>
      </c>
      <c r="AB15" s="44" t="s">
        <v>50</v>
      </c>
      <c r="AC15" s="44" t="s">
        <v>123</v>
      </c>
      <c r="AD15" s="54" t="s">
        <v>48</v>
      </c>
      <c r="AE15" s="54" t="s">
        <v>48</v>
      </c>
      <c r="AF15" s="54" t="s">
        <v>124</v>
      </c>
      <c r="AG15" s="54" t="s">
        <v>7</v>
      </c>
      <c r="AH15" s="78" t="s">
        <v>46</v>
      </c>
      <c r="AI15" s="76">
        <v>0</v>
      </c>
      <c r="AJ15" s="76">
        <v>0</v>
      </c>
      <c r="AK15" s="76">
        <v>0</v>
      </c>
      <c r="AL15" s="76">
        <v>0</v>
      </c>
      <c r="AM15" s="76">
        <v>0</v>
      </c>
      <c r="AN15" s="76">
        <v>0</v>
      </c>
      <c r="AO15" s="76">
        <v>0</v>
      </c>
      <c r="AP15" s="76">
        <v>0</v>
      </c>
      <c r="AQ15" s="76">
        <v>0</v>
      </c>
      <c r="AR15" s="76">
        <v>0</v>
      </c>
      <c r="AS15" s="76">
        <v>0</v>
      </c>
      <c r="AT15" s="76">
        <v>0</v>
      </c>
      <c r="AU15" s="76">
        <v>0</v>
      </c>
      <c r="AV15" s="76">
        <v>0</v>
      </c>
      <c r="AW15" s="76">
        <v>0</v>
      </c>
      <c r="AX15" s="76">
        <v>0</v>
      </c>
      <c r="AY15" s="76">
        <v>0</v>
      </c>
      <c r="AZ15" s="79">
        <v>0</v>
      </c>
    </row>
    <row r="16" spans="1:52" ht="18.75" x14ac:dyDescent="0.25">
      <c r="A16" s="52"/>
      <c r="B16" s="15" t="s">
        <v>123</v>
      </c>
      <c r="C16">
        <v>20844644289.907169</v>
      </c>
      <c r="D16">
        <v>20891817298.220219</v>
      </c>
      <c r="E16">
        <v>22863426228.664799</v>
      </c>
      <c r="F16">
        <v>21505802732.11105</v>
      </c>
      <c r="G16">
        <v>22706669371.305878</v>
      </c>
      <c r="H16"/>
      <c r="I16"/>
      <c r="J16" s="52"/>
      <c r="K16" s="52"/>
      <c r="L16" s="52"/>
      <c r="M16" s="52"/>
      <c r="N16" s="52"/>
      <c r="O16" s="52"/>
      <c r="P16" s="52"/>
      <c r="Q16" s="52"/>
      <c r="R16" s="52">
        <v>2019</v>
      </c>
      <c r="S16" s="52"/>
      <c r="T16" s="52"/>
      <c r="U16" s="52"/>
      <c r="V16" s="52"/>
      <c r="W16" s="52"/>
      <c r="X16" s="52"/>
      <c r="Y16" s="52"/>
      <c r="Z16" s="71" t="s">
        <v>127</v>
      </c>
      <c r="AA16" s="44" t="s">
        <v>122</v>
      </c>
      <c r="AB16" s="44" t="s">
        <v>50</v>
      </c>
      <c r="AC16" s="44" t="s">
        <v>123</v>
      </c>
      <c r="AD16" s="54" t="s">
        <v>48</v>
      </c>
      <c r="AE16" s="54" t="s">
        <v>48</v>
      </c>
      <c r="AF16" s="54" t="s">
        <v>124</v>
      </c>
      <c r="AG16" s="54" t="s">
        <v>23</v>
      </c>
      <c r="AH16" s="78" t="s">
        <v>46</v>
      </c>
      <c r="AI16" s="76">
        <v>11503964.516724583</v>
      </c>
      <c r="AJ16" s="76">
        <v>9560569.4310341086</v>
      </c>
      <c r="AK16" s="76">
        <v>7314461.9133830667</v>
      </c>
      <c r="AL16" s="76">
        <v>6259434.0111422874</v>
      </c>
      <c r="AM16" s="76">
        <v>4588820.1221223949</v>
      </c>
      <c r="AN16" s="76">
        <v>2936223.3282055035</v>
      </c>
      <c r="AO16" s="76">
        <v>1448377.6008272388</v>
      </c>
      <c r="AP16" s="76">
        <v>0</v>
      </c>
      <c r="AQ16" s="76">
        <v>0</v>
      </c>
      <c r="AR16" s="76">
        <v>0</v>
      </c>
      <c r="AS16" s="76">
        <v>0</v>
      </c>
      <c r="AT16" s="76">
        <v>0</v>
      </c>
      <c r="AU16" s="76">
        <v>0</v>
      </c>
      <c r="AV16" s="76">
        <v>0</v>
      </c>
      <c r="AW16" s="76">
        <v>0</v>
      </c>
      <c r="AX16" s="76">
        <v>0</v>
      </c>
      <c r="AY16" s="76">
        <v>0</v>
      </c>
      <c r="AZ16" s="79">
        <v>0</v>
      </c>
    </row>
    <row r="17" spans="1:52" ht="18.75" x14ac:dyDescent="0.25">
      <c r="A17" s="52"/>
      <c r="B17" s="106" t="s">
        <v>49</v>
      </c>
      <c r="C17">
        <v>58802169.375</v>
      </c>
      <c r="D17">
        <v>66295313.75</v>
      </c>
      <c r="E17">
        <v>72286276.721248284</v>
      </c>
      <c r="F17">
        <v>75285301.620508283</v>
      </c>
      <c r="G17">
        <v>77867821.726614997</v>
      </c>
      <c r="H17"/>
      <c r="I17"/>
      <c r="J17" s="52"/>
      <c r="K17" s="52"/>
      <c r="L17" s="52"/>
      <c r="M17" s="52"/>
      <c r="N17" s="52"/>
      <c r="O17" s="52"/>
      <c r="P17" s="52">
        <v>2010</v>
      </c>
      <c r="Q17" s="52">
        <v>2015</v>
      </c>
      <c r="R17" s="52">
        <v>2021</v>
      </c>
      <c r="S17" s="52">
        <v>2022</v>
      </c>
      <c r="T17" s="52"/>
      <c r="U17" s="52"/>
      <c r="V17" s="52"/>
      <c r="W17" s="52"/>
      <c r="X17" s="52"/>
      <c r="Y17" s="52"/>
      <c r="Z17" s="80" t="s">
        <v>128</v>
      </c>
      <c r="AA17" s="81" t="s">
        <v>122</v>
      </c>
      <c r="AB17" s="81" t="s">
        <v>50</v>
      </c>
      <c r="AC17" s="81" t="s">
        <v>123</v>
      </c>
      <c r="AD17" s="82" t="s">
        <v>48</v>
      </c>
      <c r="AE17" s="82" t="s">
        <v>48</v>
      </c>
      <c r="AF17" s="82" t="s">
        <v>129</v>
      </c>
      <c r="AG17" s="82" t="s">
        <v>25</v>
      </c>
      <c r="AH17" s="83" t="s">
        <v>46</v>
      </c>
      <c r="AI17" s="84">
        <v>101490737.48891042</v>
      </c>
      <c r="AJ17" s="84">
        <v>98705424.914493799</v>
      </c>
      <c r="AK17" s="84">
        <v>90896734.958219707</v>
      </c>
      <c r="AL17" s="84">
        <v>97529071.384398967</v>
      </c>
      <c r="AM17" s="84">
        <v>95621909.786303684</v>
      </c>
      <c r="AN17" s="84">
        <v>92055591.396256</v>
      </c>
      <c r="AO17" s="84">
        <v>91091462.391398102</v>
      </c>
      <c r="AP17" s="84">
        <v>89690606.712007299</v>
      </c>
      <c r="AQ17" s="84">
        <v>87558751.130154893</v>
      </c>
      <c r="AR17" s="84">
        <v>90067523.704193354</v>
      </c>
      <c r="AS17" s="84">
        <v>89719323.754654601</v>
      </c>
      <c r="AT17" s="84">
        <v>91341199.364705473</v>
      </c>
      <c r="AU17" s="84">
        <v>91614384.696067631</v>
      </c>
      <c r="AV17" s="84">
        <v>91587215.911270365</v>
      </c>
      <c r="AW17" s="84">
        <v>100051409.74077001</v>
      </c>
      <c r="AX17" s="84">
        <v>104597424.89086135</v>
      </c>
      <c r="AY17" s="84">
        <v>102550248.85487439</v>
      </c>
      <c r="AZ17" s="85">
        <v>100290408.94801094</v>
      </c>
    </row>
    <row r="18" spans="1:52" ht="18.75" x14ac:dyDescent="0.25">
      <c r="A18" s="52"/>
      <c r="B18" s="107" t="s">
        <v>25</v>
      </c>
      <c r="C18">
        <v>58802169.375</v>
      </c>
      <c r="D18">
        <v>66295313.75</v>
      </c>
      <c r="E18">
        <v>45357984.857832432</v>
      </c>
      <c r="F18">
        <v>33218125.504947431</v>
      </c>
      <c r="G18">
        <v>27085732.650959998</v>
      </c>
      <c r="H18"/>
      <c r="I18"/>
      <c r="J18" s="52"/>
      <c r="K18" s="52"/>
      <c r="L18" s="52"/>
      <c r="M18" s="52"/>
      <c r="N18" s="52"/>
      <c r="O18" s="52"/>
      <c r="P18" s="52"/>
      <c r="Q18" s="52"/>
      <c r="Y18" s="52"/>
      <c r="Z18" s="80" t="s">
        <v>130</v>
      </c>
      <c r="AA18" s="81" t="s">
        <v>122</v>
      </c>
      <c r="AB18" s="81" t="s">
        <v>50</v>
      </c>
      <c r="AC18" s="81" t="s">
        <v>123</v>
      </c>
      <c r="AD18" s="82" t="s">
        <v>48</v>
      </c>
      <c r="AE18" s="82" t="s">
        <v>48</v>
      </c>
      <c r="AF18" s="82" t="s">
        <v>129</v>
      </c>
      <c r="AG18" s="82" t="s">
        <v>35</v>
      </c>
      <c r="AH18" s="83" t="s">
        <v>46</v>
      </c>
      <c r="AI18" s="84">
        <v>1348977.7461387624</v>
      </c>
      <c r="AJ18" s="84">
        <v>1121090.5118065106</v>
      </c>
      <c r="AK18" s="84">
        <v>857706.75748764165</v>
      </c>
      <c r="AL18" s="84">
        <v>733991.12989199604</v>
      </c>
      <c r="AM18" s="84">
        <v>538090.85281931912</v>
      </c>
      <c r="AN18" s="84">
        <v>344303.40547524387</v>
      </c>
      <c r="AO18" s="84">
        <v>169834.92659067427</v>
      </c>
      <c r="AP18" s="84">
        <v>0</v>
      </c>
      <c r="AQ18" s="84">
        <v>0</v>
      </c>
      <c r="AR18" s="84">
        <v>0</v>
      </c>
      <c r="AS18" s="84">
        <v>0</v>
      </c>
      <c r="AT18" s="84">
        <v>0</v>
      </c>
      <c r="AU18" s="84">
        <v>0</v>
      </c>
      <c r="AV18" s="84">
        <v>0</v>
      </c>
      <c r="AW18" s="84">
        <v>0</v>
      </c>
      <c r="AX18" s="84">
        <v>0</v>
      </c>
      <c r="AY18" s="84">
        <v>0</v>
      </c>
      <c r="AZ18" s="85">
        <v>0</v>
      </c>
    </row>
    <row r="19" spans="1:52" ht="18.75" x14ac:dyDescent="0.25">
      <c r="A19" s="52"/>
      <c r="B19" s="107" t="s">
        <v>7</v>
      </c>
      <c r="C19">
        <v>0</v>
      </c>
      <c r="D19">
        <v>0</v>
      </c>
      <c r="E19">
        <v>0</v>
      </c>
      <c r="F19">
        <v>0</v>
      </c>
      <c r="G19">
        <v>23359.4355</v>
      </c>
      <c r="H19"/>
      <c r="I19"/>
      <c r="J19" s="52"/>
      <c r="K19" s="52"/>
      <c r="L19" s="12"/>
      <c r="N19" s="12"/>
      <c r="O19" s="12"/>
      <c r="P19" s="12" t="s">
        <v>172</v>
      </c>
      <c r="Q19" s="12" t="s">
        <v>172</v>
      </c>
      <c r="R19" s="12" t="s">
        <v>172</v>
      </c>
      <c r="S19" s="12" t="s">
        <v>172</v>
      </c>
      <c r="T19" s="12" t="s">
        <v>172</v>
      </c>
      <c r="U19" s="12"/>
      <c r="V19" s="12"/>
      <c r="W19" s="12"/>
      <c r="X19" s="12"/>
      <c r="Y19" s="52"/>
      <c r="Z19" s="80" t="s">
        <v>131</v>
      </c>
      <c r="AA19" s="81" t="s">
        <v>122</v>
      </c>
      <c r="AB19" s="81" t="s">
        <v>50</v>
      </c>
      <c r="AC19" s="81" t="s">
        <v>123</v>
      </c>
      <c r="AD19" s="82" t="s">
        <v>48</v>
      </c>
      <c r="AE19" s="82" t="s">
        <v>48</v>
      </c>
      <c r="AF19" s="82" t="s">
        <v>129</v>
      </c>
      <c r="AG19" s="82" t="s">
        <v>23</v>
      </c>
      <c r="AH19" s="83" t="s">
        <v>46</v>
      </c>
      <c r="AI19" s="84">
        <v>793516.32125809556</v>
      </c>
      <c r="AJ19" s="84">
        <v>659465.00694500632</v>
      </c>
      <c r="AK19" s="84">
        <v>504533.38675743632</v>
      </c>
      <c r="AL19" s="84">
        <v>431759.48817176238</v>
      </c>
      <c r="AM19" s="84">
        <v>316524.03107018769</v>
      </c>
      <c r="AN19" s="84">
        <v>202531.41498543756</v>
      </c>
      <c r="AO19" s="84">
        <v>99902.897994514278</v>
      </c>
      <c r="AP19" s="84">
        <v>0</v>
      </c>
      <c r="AQ19" s="84">
        <v>0</v>
      </c>
      <c r="AR19" s="84">
        <v>0</v>
      </c>
      <c r="AS19" s="84">
        <v>0</v>
      </c>
      <c r="AT19" s="84">
        <v>0</v>
      </c>
      <c r="AU19" s="84">
        <v>0</v>
      </c>
      <c r="AV19" s="84">
        <v>0</v>
      </c>
      <c r="AW19" s="84">
        <v>0</v>
      </c>
      <c r="AX19" s="84">
        <v>0</v>
      </c>
      <c r="AY19" s="84">
        <v>0</v>
      </c>
      <c r="AZ19" s="85">
        <v>0</v>
      </c>
    </row>
    <row r="20" spans="1:52" s="87" customFormat="1" ht="18.75" x14ac:dyDescent="0.25">
      <c r="A20" s="52"/>
      <c r="B20" s="107" t="s">
        <v>23</v>
      </c>
      <c r="C20">
        <v>0</v>
      </c>
      <c r="D20">
        <v>0</v>
      </c>
      <c r="E20">
        <v>26928291.863415856</v>
      </c>
      <c r="F20">
        <v>42067176.115560852</v>
      </c>
      <c r="G20">
        <v>50758729.640155002</v>
      </c>
      <c r="H20"/>
      <c r="I20"/>
      <c r="J20" s="52"/>
      <c r="K20" s="52"/>
      <c r="L20" s="52"/>
      <c r="M20" s="52"/>
      <c r="N20" s="52"/>
      <c r="O20" s="52"/>
      <c r="P20" s="1">
        <v>2010</v>
      </c>
      <c r="Q20" s="1">
        <v>2015</v>
      </c>
      <c r="R20" s="1">
        <v>2020</v>
      </c>
      <c r="S20" s="1">
        <v>2022</v>
      </c>
      <c r="T20" s="1">
        <v>2025</v>
      </c>
      <c r="U20" s="1" t="s">
        <v>184</v>
      </c>
      <c r="V20" s="1" t="s">
        <v>185</v>
      </c>
      <c r="W20" s="1" t="s">
        <v>180</v>
      </c>
      <c r="X20" s="1" t="s">
        <v>181</v>
      </c>
      <c r="Y20" s="52"/>
      <c r="Z20" s="86" t="s">
        <v>132</v>
      </c>
      <c r="AA20" s="87" t="s">
        <v>122</v>
      </c>
      <c r="AB20" s="87" t="s">
        <v>50</v>
      </c>
      <c r="AC20" s="87" t="s">
        <v>123</v>
      </c>
      <c r="AD20" s="88" t="s">
        <v>47</v>
      </c>
      <c r="AE20" s="88" t="s">
        <v>47</v>
      </c>
      <c r="AF20" s="88" t="s">
        <v>124</v>
      </c>
      <c r="AG20" s="88" t="s">
        <v>24</v>
      </c>
      <c r="AH20" s="89" t="s">
        <v>46</v>
      </c>
      <c r="AI20" s="90">
        <v>0</v>
      </c>
      <c r="AJ20" s="90">
        <v>0</v>
      </c>
      <c r="AK20" s="90">
        <v>0</v>
      </c>
      <c r="AL20" s="90">
        <v>0</v>
      </c>
      <c r="AM20" s="90">
        <v>0</v>
      </c>
      <c r="AN20" s="90">
        <v>0</v>
      </c>
      <c r="AO20" s="90">
        <v>0</v>
      </c>
      <c r="AP20" s="90">
        <v>0</v>
      </c>
      <c r="AQ20" s="90">
        <v>0</v>
      </c>
      <c r="AR20" s="90">
        <v>0</v>
      </c>
      <c r="AS20" s="90">
        <v>0</v>
      </c>
      <c r="AT20" s="90">
        <v>0</v>
      </c>
      <c r="AU20" s="90">
        <v>0</v>
      </c>
      <c r="AV20" s="90">
        <v>0</v>
      </c>
      <c r="AW20" s="90">
        <v>0</v>
      </c>
      <c r="AX20" s="90">
        <v>0</v>
      </c>
      <c r="AY20" s="90">
        <v>0</v>
      </c>
      <c r="AZ20" s="91">
        <v>0</v>
      </c>
    </row>
    <row r="21" spans="1:52" s="87" customFormat="1" ht="18.75" x14ac:dyDescent="0.25">
      <c r="A21" s="52"/>
      <c r="B21" s="106" t="s">
        <v>48</v>
      </c>
      <c r="C21">
        <v>594050605.00141883</v>
      </c>
      <c r="D21">
        <v>581576157.03237748</v>
      </c>
      <c r="E21">
        <v>639803909.44893563</v>
      </c>
      <c r="F21">
        <v>651334930.92715073</v>
      </c>
      <c r="G21">
        <v>671693455.31288159</v>
      </c>
      <c r="H21"/>
      <c r="I21"/>
      <c r="J21" s="106" t="s">
        <v>48</v>
      </c>
      <c r="K21" s="107" t="s">
        <v>24</v>
      </c>
      <c r="L21" s="12" t="s">
        <v>44</v>
      </c>
      <c r="M21" s="12" t="s">
        <v>24</v>
      </c>
      <c r="N21" s="12"/>
      <c r="O21" s="12"/>
      <c r="P21" s="108">
        <f>(GETPIVOTDATA("Sum of CY"&amp;$P$17,$B$14,"GPC Sector","Transportation","GPC Sub-sector","On-road","GPC Sub-sector class agg",$J21,"Fuel type",$K21))/10^6</f>
        <v>0</v>
      </c>
      <c r="Q21" s="108">
        <f>(GETPIVOTDATA("Sum of CY"&amp;$Q$17,$B$14,"GPC Sector","Transportation","GPC Sub-sector","On-road","GPC Sub-sector class agg",$J21,"Fuel type",$K21))/10^6</f>
        <v>0</v>
      </c>
      <c r="R21" s="108">
        <f t="shared" ref="R21:R34" si="0">(GETPIVOTDATA("Sum of CY"&amp;$R$17,$B$14,"GPC Sector","Transportation","GPC Sub-sector","On-road","GPC Sub-sector class agg",$J21,"Fuel type",$K21)+GETPIVOTDATA("Sum of CY"&amp;$R$16,$B$14,"GPC Sector","Transportation","GPC Sub-sector","On-road","GPC Sub-sector class agg",$J21,"Fuel type",$K21))/2/10^6</f>
        <v>4.39975372248571</v>
      </c>
      <c r="S21" s="108">
        <f t="shared" ref="S21:S34" si="1">(GETPIVOTDATA("Sum of CY"&amp;$S$17,$B$14,"GPC Sector","Transportation","GPC Sub-sector","On-road","GPC Sub-sector class agg",$J21,"Fuel type",$K21))/10^6</f>
        <v>6.3987915082985811</v>
      </c>
      <c r="T21" s="108">
        <f>IF(R21+(S21-R21)*5/2&lt;0,0,R21+(S21-R21)*5/2)</f>
        <v>9.3973481870178865</v>
      </c>
      <c r="U21" s="109">
        <f t="shared" ref="U21:V21" si="2">P21/SUMIFS(P:P,$L:$L,$L21)</f>
        <v>0</v>
      </c>
      <c r="V21" s="109">
        <f t="shared" si="2"/>
        <v>0</v>
      </c>
      <c r="W21" s="109">
        <f>R21/SUMIFS(R:R,$L:$L,$L21)</f>
        <v>6.8153068979074907E-3</v>
      </c>
      <c r="X21" s="109">
        <f>S21/SUMIFS(S:S,$L:$L,$L21)</f>
        <v>9.5263567892260627E-3</v>
      </c>
      <c r="Y21" s="52"/>
      <c r="Z21" s="86" t="s">
        <v>133</v>
      </c>
      <c r="AA21" s="87" t="s">
        <v>122</v>
      </c>
      <c r="AB21" s="87" t="s">
        <v>50</v>
      </c>
      <c r="AC21" s="87" t="s">
        <v>123</v>
      </c>
      <c r="AD21" s="88" t="s">
        <v>47</v>
      </c>
      <c r="AE21" s="88" t="s">
        <v>47</v>
      </c>
      <c r="AF21" s="88" t="s">
        <v>124</v>
      </c>
      <c r="AG21" s="88" t="s">
        <v>25</v>
      </c>
      <c r="AH21" s="89" t="s">
        <v>46</v>
      </c>
      <c r="AI21" s="90">
        <v>11279306.501100672</v>
      </c>
      <c r="AJ21" s="90">
        <v>27518399.32316548</v>
      </c>
      <c r="AK21" s="90">
        <v>40144152.850659974</v>
      </c>
      <c r="AL21" s="90">
        <v>65719095.652302049</v>
      </c>
      <c r="AM21" s="90">
        <v>82839476.72831358</v>
      </c>
      <c r="AN21" s="90">
        <v>97508881.781650409</v>
      </c>
      <c r="AO21" s="90">
        <v>112357749.48273887</v>
      </c>
      <c r="AP21" s="90">
        <v>127588894.34823449</v>
      </c>
      <c r="AQ21" s="90">
        <v>120487925.67305024</v>
      </c>
      <c r="AR21" s="90">
        <v>114115858.28635602</v>
      </c>
      <c r="AS21" s="90">
        <v>108109077.55182287</v>
      </c>
      <c r="AT21" s="90">
        <v>106050268.11699355</v>
      </c>
      <c r="AU21" s="90">
        <v>105452598.6251785</v>
      </c>
      <c r="AV21" s="90">
        <v>101805141.437767</v>
      </c>
      <c r="AW21" s="90">
        <v>104638981.67139532</v>
      </c>
      <c r="AX21" s="90">
        <v>103180427.25800413</v>
      </c>
      <c r="AY21" s="90">
        <v>98103288.9197907</v>
      </c>
      <c r="AZ21" s="91">
        <v>92375248.395058021</v>
      </c>
    </row>
    <row r="22" spans="1:52" s="87" customFormat="1" ht="18.75" x14ac:dyDescent="0.25">
      <c r="A22" s="52"/>
      <c r="B22" s="107" t="s">
        <v>24</v>
      </c>
      <c r="C22">
        <v>0</v>
      </c>
      <c r="D22">
        <v>0</v>
      </c>
      <c r="E22">
        <v>3481673.6742869718</v>
      </c>
      <c r="F22">
        <v>5317833.7706844471</v>
      </c>
      <c r="G22">
        <v>6398791.5082985815</v>
      </c>
      <c r="H22"/>
      <c r="I22"/>
      <c r="J22" s="106" t="s">
        <v>48</v>
      </c>
      <c r="K22" s="107" t="s">
        <v>25</v>
      </c>
      <c r="L22" s="12" t="s">
        <v>44</v>
      </c>
      <c r="M22" s="12" t="s">
        <v>33</v>
      </c>
      <c r="N22" s="12" t="s">
        <v>170</v>
      </c>
      <c r="O22" s="12"/>
      <c r="P22" s="108">
        <f t="shared" ref="P22:P40" si="3">(GETPIVOTDATA("Sum of CY"&amp;$P$17,$B$14,"GPC Sector","Transportation","GPC Sub-sector","On-road","GPC Sub-sector class agg",$J22,"Fuel type",$K22))/10^6</f>
        <v>594.05060500141883</v>
      </c>
      <c r="Q22" s="108">
        <f t="shared" ref="Q22:Q40" si="4">(GETPIVOTDATA("Sum of CY"&amp;$Q$17,$B$14,"GPC Sector","Transportation","GPC Sub-sector","On-road","GPC Sub-sector class agg",$J22,"Fuel type",$K22))/10^6</f>
        <v>581.57615703237752</v>
      </c>
      <c r="R22" s="108">
        <f t="shared" si="0"/>
        <v>631.78651167606165</v>
      </c>
      <c r="S22" s="108">
        <f t="shared" si="1"/>
        <v>651.64820522046148</v>
      </c>
      <c r="T22" s="108">
        <f t="shared" ref="T22:T34" si="5">IF(R22+(S22-R22)*5/2&lt;0,0,R22+(S22-R22)*5/2)</f>
        <v>681.44074553706128</v>
      </c>
      <c r="U22" s="109">
        <f t="shared" ref="U22:U40" si="6">P22/SUMIFS(P:P,$L:$L,$L22)</f>
        <v>1</v>
      </c>
      <c r="V22" s="109">
        <f t="shared" ref="V22:V40" si="7">Q22/SUMIFS(Q:Q,$L:$L,$L22)</f>
        <v>1</v>
      </c>
      <c r="W22" s="109">
        <f t="shared" ref="W22:W40" si="8">R22/SUMIFS(R:R,L:L,L22)</f>
        <v>0.97864999784536444</v>
      </c>
      <c r="X22" s="109">
        <f t="shared" ref="X22:X39" si="9">T22/SUMIFS(T:T,L:L,L22)</f>
        <v>0.95858825281671789</v>
      </c>
      <c r="Y22" s="52"/>
      <c r="Z22" s="86" t="s">
        <v>134</v>
      </c>
      <c r="AA22" s="87" t="s">
        <v>122</v>
      </c>
      <c r="AB22" s="87" t="s">
        <v>50</v>
      </c>
      <c r="AC22" s="87" t="s">
        <v>123</v>
      </c>
      <c r="AD22" s="88" t="s">
        <v>47</v>
      </c>
      <c r="AE22" s="88" t="s">
        <v>47</v>
      </c>
      <c r="AF22" s="88" t="s">
        <v>124</v>
      </c>
      <c r="AG22" s="88" t="s">
        <v>7</v>
      </c>
      <c r="AH22" s="89" t="s">
        <v>46</v>
      </c>
      <c r="AI22" s="90">
        <v>6205269.6451339955</v>
      </c>
      <c r="AJ22" s="90">
        <v>4937836.332506327</v>
      </c>
      <c r="AK22" s="90">
        <v>3706644.4324507955</v>
      </c>
      <c r="AL22" s="90">
        <v>3511328.1529879486</v>
      </c>
      <c r="AM22" s="90">
        <v>2600150.8543641581</v>
      </c>
      <c r="AN22" s="90">
        <v>1676984.2428304008</v>
      </c>
      <c r="AO22" s="90">
        <v>820134.06643057277</v>
      </c>
      <c r="AP22" s="90">
        <v>0</v>
      </c>
      <c r="AQ22" s="90">
        <v>0</v>
      </c>
      <c r="AR22" s="90">
        <v>0</v>
      </c>
      <c r="AS22" s="90">
        <v>0</v>
      </c>
      <c r="AT22" s="90">
        <v>0</v>
      </c>
      <c r="AU22" s="90">
        <v>0</v>
      </c>
      <c r="AV22" s="90">
        <v>0</v>
      </c>
      <c r="AW22" s="90">
        <v>0</v>
      </c>
      <c r="AX22" s="90">
        <v>0</v>
      </c>
      <c r="AY22" s="90">
        <v>0</v>
      </c>
      <c r="AZ22" s="91">
        <v>0</v>
      </c>
    </row>
    <row r="23" spans="1:52" s="87" customFormat="1" ht="18.75" x14ac:dyDescent="0.25">
      <c r="A23" s="52"/>
      <c r="B23" s="107" t="s">
        <v>25</v>
      </c>
      <c r="C23">
        <v>594050605.00141883</v>
      </c>
      <c r="D23">
        <v>581576157.03237748</v>
      </c>
      <c r="E23">
        <v>628897051.14544261</v>
      </c>
      <c r="F23">
        <v>634675972.20668066</v>
      </c>
      <c r="G23">
        <v>651648205.22046149</v>
      </c>
      <c r="H23"/>
      <c r="I23"/>
      <c r="J23" s="106" t="s">
        <v>48</v>
      </c>
      <c r="K23" s="107" t="s">
        <v>35</v>
      </c>
      <c r="L23" s="12" t="s">
        <v>44</v>
      </c>
      <c r="M23" s="12" t="s">
        <v>170</v>
      </c>
      <c r="N23" s="12"/>
      <c r="O23" s="12"/>
      <c r="P23" s="108">
        <f t="shared" si="3"/>
        <v>0</v>
      </c>
      <c r="Q23" s="108">
        <f t="shared" si="4"/>
        <v>0</v>
      </c>
      <c r="R23" s="108">
        <f t="shared" si="0"/>
        <v>0.92754082084925338</v>
      </c>
      <c r="S23" s="108">
        <f t="shared" si="1"/>
        <v>1.3489777461387624</v>
      </c>
      <c r="T23" s="108">
        <f t="shared" si="5"/>
        <v>1.9811331340730258</v>
      </c>
      <c r="U23" s="109">
        <f t="shared" si="6"/>
        <v>0</v>
      </c>
      <c r="V23" s="109">
        <f t="shared" si="7"/>
        <v>0</v>
      </c>
      <c r="W23" s="109">
        <f t="shared" si="8"/>
        <v>1.4367793638352276E-3</v>
      </c>
      <c r="X23" s="109">
        <f t="shared" si="9"/>
        <v>2.7868761327027006E-3</v>
      </c>
      <c r="Y23" s="52"/>
      <c r="Z23" s="86" t="s">
        <v>135</v>
      </c>
      <c r="AA23" s="87" t="s">
        <v>122</v>
      </c>
      <c r="AB23" s="87" t="s">
        <v>50</v>
      </c>
      <c r="AC23" s="87" t="s">
        <v>123</v>
      </c>
      <c r="AD23" s="88" t="s">
        <v>47</v>
      </c>
      <c r="AE23" s="88" t="s">
        <v>47</v>
      </c>
      <c r="AF23" s="88" t="s">
        <v>124</v>
      </c>
      <c r="AG23" s="88" t="s">
        <v>23</v>
      </c>
      <c r="AH23" s="89" t="s">
        <v>46</v>
      </c>
      <c r="AI23" s="90">
        <v>505504205.15258175</v>
      </c>
      <c r="AJ23" s="90">
        <v>453106356.57721841</v>
      </c>
      <c r="AK23" s="90">
        <v>393571008.41517633</v>
      </c>
      <c r="AL23" s="90">
        <v>448770021.86549371</v>
      </c>
      <c r="AM23" s="90">
        <v>426035064.1798259</v>
      </c>
      <c r="AN23" s="90">
        <v>395661634.8440975</v>
      </c>
      <c r="AO23" s="90">
        <v>370852167.68571413</v>
      </c>
      <c r="AP23" s="90">
        <v>349903529.65055144</v>
      </c>
      <c r="AQ23" s="90">
        <v>339392818.51568449</v>
      </c>
      <c r="AR23" s="90">
        <v>330277354.78087687</v>
      </c>
      <c r="AS23" s="90">
        <v>321607356.38231379</v>
      </c>
      <c r="AT23" s="90">
        <v>324393176.27147388</v>
      </c>
      <c r="AU23" s="90">
        <v>331807888.89695334</v>
      </c>
      <c r="AV23" s="90">
        <v>329648214.98453367</v>
      </c>
      <c r="AW23" s="90">
        <v>348832991.12083042</v>
      </c>
      <c r="AX23" s="90">
        <v>354295608.42519772</v>
      </c>
      <c r="AY23" s="90">
        <v>347142982.33415836</v>
      </c>
      <c r="AZ23" s="91">
        <v>337023462.61716706</v>
      </c>
    </row>
    <row r="24" spans="1:52" ht="18.75" x14ac:dyDescent="0.25">
      <c r="A24" s="52"/>
      <c r="B24" s="107" t="s">
        <v>35</v>
      </c>
      <c r="C24">
        <v>0</v>
      </c>
      <c r="D24">
        <v>0</v>
      </c>
      <c r="E24">
        <v>733991.12989199604</v>
      </c>
      <c r="F24">
        <v>1121090.5118065106</v>
      </c>
      <c r="G24">
        <v>1348977.7461387624</v>
      </c>
      <c r="H24"/>
      <c r="I24"/>
      <c r="J24" s="106" t="s">
        <v>48</v>
      </c>
      <c r="K24" s="107" t="s">
        <v>7</v>
      </c>
      <c r="L24" s="12" t="s">
        <v>44</v>
      </c>
      <c r="M24" s="12" t="s">
        <v>6</v>
      </c>
      <c r="N24" s="12"/>
      <c r="O24" s="12"/>
      <c r="P24" s="108">
        <f t="shared" si="3"/>
        <v>0</v>
      </c>
      <c r="Q24" s="108">
        <f t="shared" si="4"/>
        <v>0</v>
      </c>
      <c r="R24" s="108">
        <f t="shared" si="0"/>
        <v>0</v>
      </c>
      <c r="S24" s="108">
        <f t="shared" si="1"/>
        <v>0</v>
      </c>
      <c r="T24" s="108">
        <f t="shared" si="5"/>
        <v>0</v>
      </c>
      <c r="U24" s="109">
        <f t="shared" si="6"/>
        <v>0</v>
      </c>
      <c r="V24" s="109">
        <f t="shared" si="7"/>
        <v>0</v>
      </c>
      <c r="W24" s="109">
        <f t="shared" si="8"/>
        <v>0</v>
      </c>
      <c r="X24" s="109">
        <f t="shared" si="9"/>
        <v>0</v>
      </c>
      <c r="Y24" s="52"/>
      <c r="Z24" s="86" t="s">
        <v>136</v>
      </c>
      <c r="AA24" s="87" t="s">
        <v>122</v>
      </c>
      <c r="AB24" s="87" t="s">
        <v>50</v>
      </c>
      <c r="AC24" s="87" t="s">
        <v>123</v>
      </c>
      <c r="AD24" s="88" t="s">
        <v>47</v>
      </c>
      <c r="AE24" s="88" t="s">
        <v>47</v>
      </c>
      <c r="AF24" s="88" t="s">
        <v>129</v>
      </c>
      <c r="AG24" s="88" t="s">
        <v>24</v>
      </c>
      <c r="AH24" s="89" t="s">
        <v>46</v>
      </c>
      <c r="AI24" s="90">
        <v>203240.43319435013</v>
      </c>
      <c r="AJ24" s="90">
        <v>479415.07273665356</v>
      </c>
      <c r="AK24" s="90">
        <v>693742.48314754153</v>
      </c>
      <c r="AL24" s="90">
        <v>1131591.099927373</v>
      </c>
      <c r="AM24" s="90">
        <v>1423438.4031479838</v>
      </c>
      <c r="AN24" s="90">
        <v>1673274.9870592062</v>
      </c>
      <c r="AO24" s="90">
        <v>1926293.0628704189</v>
      </c>
      <c r="AP24" s="90">
        <v>2185919.7593063484</v>
      </c>
      <c r="AQ24" s="90">
        <v>1892491.381971922</v>
      </c>
      <c r="AR24" s="90">
        <v>1625562.0649770314</v>
      </c>
      <c r="AS24" s="90">
        <v>1375390.8468369064</v>
      </c>
      <c r="AT24" s="90">
        <v>1180900.8921370679</v>
      </c>
      <c r="AU24" s="90">
        <v>999669.21232221345</v>
      </c>
      <c r="AV24" s="90">
        <v>804110.86536835332</v>
      </c>
      <c r="AW24" s="90">
        <v>633860.61531633826</v>
      </c>
      <c r="AX24" s="90">
        <v>426304.95756827615</v>
      </c>
      <c r="AY24" s="90">
        <v>207454.23509131093</v>
      </c>
      <c r="AZ24" s="91">
        <v>0</v>
      </c>
    </row>
    <row r="25" spans="1:52" ht="18.75" x14ac:dyDescent="0.25">
      <c r="A25" s="52"/>
      <c r="B25" s="107" t="s">
        <v>7</v>
      </c>
      <c r="C25">
        <v>0</v>
      </c>
      <c r="D25">
        <v>0</v>
      </c>
      <c r="E25">
        <v>0</v>
      </c>
      <c r="F25">
        <v>0</v>
      </c>
      <c r="G25">
        <v>0</v>
      </c>
      <c r="H25"/>
      <c r="I25"/>
      <c r="J25" s="106" t="s">
        <v>48</v>
      </c>
      <c r="K25" s="107" t="s">
        <v>23</v>
      </c>
      <c r="L25" s="12" t="s">
        <v>44</v>
      </c>
      <c r="M25" s="12" t="s">
        <v>32</v>
      </c>
      <c r="N25" s="12" t="s">
        <v>171</v>
      </c>
      <c r="O25" s="12"/>
      <c r="P25" s="108">
        <f t="shared" si="3"/>
        <v>0</v>
      </c>
      <c r="Q25" s="108">
        <f t="shared" si="4"/>
        <v>0</v>
      </c>
      <c r="R25" s="108">
        <f t="shared" si="0"/>
        <v>8.455613968646583</v>
      </c>
      <c r="S25" s="108">
        <f t="shared" si="1"/>
        <v>12.297480837982679</v>
      </c>
      <c r="T25" s="108">
        <f t="shared" si="5"/>
        <v>18.06028114198682</v>
      </c>
      <c r="U25" s="109">
        <f t="shared" si="6"/>
        <v>0</v>
      </c>
      <c r="V25" s="109">
        <f t="shared" si="7"/>
        <v>0</v>
      </c>
      <c r="W25" s="109">
        <f t="shared" si="8"/>
        <v>1.3097915892892834E-2</v>
      </c>
      <c r="X25" s="109">
        <f t="shared" si="9"/>
        <v>2.5405544735414273E-2</v>
      </c>
      <c r="Y25" s="52"/>
      <c r="Z25" s="86" t="s">
        <v>137</v>
      </c>
      <c r="AA25" s="87" t="s">
        <v>122</v>
      </c>
      <c r="AB25" s="87" t="s">
        <v>50</v>
      </c>
      <c r="AC25" s="87" t="s">
        <v>123</v>
      </c>
      <c r="AD25" s="88" t="s">
        <v>47</v>
      </c>
      <c r="AE25" s="88" t="s">
        <v>47</v>
      </c>
      <c r="AF25" s="88" t="s">
        <v>129</v>
      </c>
      <c r="AG25" s="88" t="s">
        <v>25</v>
      </c>
      <c r="AH25" s="89" t="s">
        <v>46</v>
      </c>
      <c r="AI25" s="90">
        <v>29125917.464698024</v>
      </c>
      <c r="AJ25" s="90">
        <v>27669746.166062884</v>
      </c>
      <c r="AK25" s="90">
        <v>25492231.664958369</v>
      </c>
      <c r="AL25" s="90">
        <v>30858137.962952547</v>
      </c>
      <c r="AM25" s="90">
        <v>31130768.967980113</v>
      </c>
      <c r="AN25" s="90">
        <v>30758549.333157994</v>
      </c>
      <c r="AO25" s="90">
        <v>30711877.55253011</v>
      </c>
      <c r="AP25" s="90">
        <v>30914243.107631937</v>
      </c>
      <c r="AQ25" s="90">
        <v>29858652.543390006</v>
      </c>
      <c r="AR25" s="90">
        <v>28932713.889126267</v>
      </c>
      <c r="AS25" s="90">
        <v>28054155.764045727</v>
      </c>
      <c r="AT25" s="90">
        <v>28178738.974876728</v>
      </c>
      <c r="AU25" s="90">
        <v>28703354.380625769</v>
      </c>
      <c r="AV25" s="90">
        <v>28939167.308614086</v>
      </c>
      <c r="AW25" s="90">
        <v>30498827.111598898</v>
      </c>
      <c r="AX25" s="90">
        <v>30851646.424120888</v>
      </c>
      <c r="AY25" s="90">
        <v>30108173.724063024</v>
      </c>
      <c r="AZ25" s="91">
        <v>29114934.563511766</v>
      </c>
    </row>
    <row r="26" spans="1:52" ht="18.75" x14ac:dyDescent="0.25">
      <c r="A26" s="52"/>
      <c r="B26" s="107" t="s">
        <v>23</v>
      </c>
      <c r="C26">
        <v>0</v>
      </c>
      <c r="D26">
        <v>0</v>
      </c>
      <c r="E26">
        <v>6691193.4993140502</v>
      </c>
      <c r="F26">
        <v>10220034.437979115</v>
      </c>
      <c r="G26">
        <v>12297480.837982679</v>
      </c>
      <c r="H26"/>
      <c r="I26"/>
      <c r="J26" s="106" t="s">
        <v>47</v>
      </c>
      <c r="K26" s="107" t="s">
        <v>24</v>
      </c>
      <c r="L26" s="12" t="s">
        <v>173</v>
      </c>
      <c r="M26" s="12" t="s">
        <v>24</v>
      </c>
      <c r="N26" s="12"/>
      <c r="O26" s="12"/>
      <c r="P26" s="108">
        <f t="shared" si="3"/>
        <v>0.99966921232221351</v>
      </c>
      <c r="Q26" s="108">
        <f t="shared" si="4"/>
        <v>2.1859197593063482</v>
      </c>
      <c r="R26" s="108">
        <f t="shared" si="0"/>
        <v>1.0298960108108799</v>
      </c>
      <c r="S26" s="108">
        <f t="shared" si="1"/>
        <v>0.51914420611113654</v>
      </c>
      <c r="T26" s="108">
        <f t="shared" si="5"/>
        <v>0</v>
      </c>
      <c r="U26" s="109">
        <f t="shared" si="6"/>
        <v>1.869384962232482E-3</v>
      </c>
      <c r="V26" s="109">
        <f t="shared" si="7"/>
        <v>3.7619680286801898E-3</v>
      </c>
      <c r="W26" s="109">
        <f t="shared" si="8"/>
        <v>1.6907618289349982E-3</v>
      </c>
      <c r="X26" s="109">
        <f t="shared" si="9"/>
        <v>0</v>
      </c>
      <c r="Y26" s="52"/>
      <c r="Z26" s="86" t="s">
        <v>138</v>
      </c>
      <c r="AA26" s="87" t="s">
        <v>122</v>
      </c>
      <c r="AB26" s="87" t="s">
        <v>50</v>
      </c>
      <c r="AC26" s="87" t="s">
        <v>123</v>
      </c>
      <c r="AD26" s="88" t="s">
        <v>47</v>
      </c>
      <c r="AE26" s="88" t="s">
        <v>47</v>
      </c>
      <c r="AF26" s="88" t="s">
        <v>129</v>
      </c>
      <c r="AG26" s="88" t="s">
        <v>7</v>
      </c>
      <c r="AH26" s="89" t="s">
        <v>46</v>
      </c>
      <c r="AI26" s="90">
        <v>109437.15633541931</v>
      </c>
      <c r="AJ26" s="90">
        <v>87084.344162985275</v>
      </c>
      <c r="AK26" s="90">
        <v>65370.721219108913</v>
      </c>
      <c r="AL26" s="90">
        <v>0</v>
      </c>
      <c r="AM26" s="90">
        <v>0</v>
      </c>
      <c r="AN26" s="90">
        <v>0</v>
      </c>
      <c r="AO26" s="90">
        <v>0</v>
      </c>
      <c r="AP26" s="90">
        <v>0</v>
      </c>
      <c r="AQ26" s="90">
        <v>0</v>
      </c>
      <c r="AR26" s="90">
        <v>0</v>
      </c>
      <c r="AS26" s="90">
        <v>0</v>
      </c>
      <c r="AT26" s="90">
        <v>0</v>
      </c>
      <c r="AU26" s="90">
        <v>0</v>
      </c>
      <c r="AV26" s="90">
        <v>0</v>
      </c>
      <c r="AW26" s="90">
        <v>0</v>
      </c>
      <c r="AX26" s="90">
        <v>0</v>
      </c>
      <c r="AY26" s="90">
        <v>0</v>
      </c>
      <c r="AZ26" s="91">
        <v>0</v>
      </c>
    </row>
    <row r="27" spans="1:52" ht="18.75" x14ac:dyDescent="0.25">
      <c r="A27" s="52"/>
      <c r="B27" s="106" t="s">
        <v>47</v>
      </c>
      <c r="C27">
        <v>534758347.00648022</v>
      </c>
      <c r="D27">
        <v>581057505.71017849</v>
      </c>
      <c r="E27">
        <v>627410704.00466907</v>
      </c>
      <c r="F27">
        <v>590976632.64916551</v>
      </c>
      <c r="G27">
        <v>633516447.60533941</v>
      </c>
      <c r="H27"/>
      <c r="I27"/>
      <c r="J27" s="106" t="s">
        <v>47</v>
      </c>
      <c r="K27" s="107" t="s">
        <v>25</v>
      </c>
      <c r="L27" s="12" t="s">
        <v>173</v>
      </c>
      <c r="M27" s="12" t="s">
        <v>33</v>
      </c>
      <c r="N27" s="12" t="s">
        <v>170</v>
      </c>
      <c r="O27" s="12"/>
      <c r="P27" s="108">
        <f t="shared" si="3"/>
        <v>173.46368700580427</v>
      </c>
      <c r="Q27" s="108">
        <f t="shared" si="4"/>
        <v>198.5240401176558</v>
      </c>
      <c r="R27" s="108">
        <f t="shared" si="0"/>
        <v>114.84175273986187</v>
      </c>
      <c r="S27" s="108">
        <f t="shared" si="1"/>
        <v>78.928817997429988</v>
      </c>
      <c r="T27" s="108">
        <f t="shared" si="5"/>
        <v>25.059415883782151</v>
      </c>
      <c r="U27" s="109">
        <f t="shared" si="6"/>
        <v>0.32437770813085082</v>
      </c>
      <c r="V27" s="109">
        <f t="shared" si="7"/>
        <v>0.34165988420546484</v>
      </c>
      <c r="W27" s="109">
        <f t="shared" si="8"/>
        <v>0.18853364792399918</v>
      </c>
      <c r="X27" s="109">
        <f t="shared" si="9"/>
        <v>3.7395319789119322E-2</v>
      </c>
      <c r="Y27" s="52"/>
      <c r="Z27" s="86" t="s">
        <v>139</v>
      </c>
      <c r="AA27" s="87" t="s">
        <v>122</v>
      </c>
      <c r="AB27" s="87" t="s">
        <v>50</v>
      </c>
      <c r="AC27" s="87" t="s">
        <v>123</v>
      </c>
      <c r="AD27" s="88" t="s">
        <v>47</v>
      </c>
      <c r="AE27" s="88" t="s">
        <v>47</v>
      </c>
      <c r="AF27" s="88" t="s">
        <v>129</v>
      </c>
      <c r="AG27" s="88" t="s">
        <v>23</v>
      </c>
      <c r="AH27" s="89" t="s">
        <v>46</v>
      </c>
      <c r="AI27" s="90">
        <v>38365540.235302716</v>
      </c>
      <c r="AJ27" s="90">
        <v>34953813.291112214</v>
      </c>
      <c r="AK27" s="90">
        <v>30888268.680852097</v>
      </c>
      <c r="AL27" s="90">
        <v>35867767.520685479</v>
      </c>
      <c r="AM27" s="90">
        <v>34714445.182165928</v>
      </c>
      <c r="AN27" s="90">
        <v>32907374.543723743</v>
      </c>
      <c r="AO27" s="90">
        <v>31524379.490892936</v>
      </c>
      <c r="AP27" s="90">
        <v>30444016.182664875</v>
      </c>
      <c r="AQ27" s="90">
        <v>29449261.149572559</v>
      </c>
      <c r="AR27" s="90">
        <v>28581065.725305144</v>
      </c>
      <c r="AS27" s="90">
        <v>27756625.650464114</v>
      </c>
      <c r="AT27" s="90">
        <v>27923281.715309963</v>
      </c>
      <c r="AU27" s="90">
        <v>28487101.891400401</v>
      </c>
      <c r="AV27" s="90">
        <v>28765218.792339262</v>
      </c>
      <c r="AW27" s="90">
        <v>30361707.81834222</v>
      </c>
      <c r="AX27" s="90">
        <v>30759426.410633527</v>
      </c>
      <c r="AY27" s="90">
        <v>30063296.38445323</v>
      </c>
      <c r="AZ27" s="91">
        <v>29114934.563511766</v>
      </c>
    </row>
    <row r="28" spans="1:52" ht="18.75" x14ac:dyDescent="0.25">
      <c r="A28" s="52"/>
      <c r="B28" s="107" t="s">
        <v>24</v>
      </c>
      <c r="C28">
        <v>999669.21232221345</v>
      </c>
      <c r="D28">
        <v>2185919.7593063484</v>
      </c>
      <c r="E28">
        <v>1310439.0937359659</v>
      </c>
      <c r="F28">
        <v>749352.92788579385</v>
      </c>
      <c r="G28">
        <v>519144.20611113659</v>
      </c>
      <c r="H28"/>
      <c r="I28"/>
      <c r="J28" s="106" t="s">
        <v>47</v>
      </c>
      <c r="K28" s="107" t="s">
        <v>7</v>
      </c>
      <c r="L28" s="12" t="s">
        <v>173</v>
      </c>
      <c r="M28" s="12" t="s">
        <v>6</v>
      </c>
      <c r="N28" s="12"/>
      <c r="O28" s="12"/>
      <c r="P28" s="108">
        <f t="shared" si="3"/>
        <v>0</v>
      </c>
      <c r="Q28" s="108">
        <f t="shared" si="4"/>
        <v>0</v>
      </c>
      <c r="R28" s="108">
        <f t="shared" si="0"/>
        <v>4.2681244148286304</v>
      </c>
      <c r="S28" s="108">
        <f t="shared" si="1"/>
        <v>6.3147068014694145</v>
      </c>
      <c r="T28" s="108">
        <f t="shared" si="5"/>
        <v>9.3845803814305917</v>
      </c>
      <c r="U28" s="109">
        <f t="shared" si="6"/>
        <v>0</v>
      </c>
      <c r="V28" s="109">
        <f t="shared" si="7"/>
        <v>0</v>
      </c>
      <c r="W28" s="109">
        <f t="shared" si="8"/>
        <v>7.0069033824648142E-3</v>
      </c>
      <c r="X28" s="109">
        <f t="shared" si="9"/>
        <v>1.4004292281904779E-2</v>
      </c>
      <c r="Y28" s="52"/>
      <c r="Z28" s="86" t="s">
        <v>140</v>
      </c>
      <c r="AA28" s="87" t="s">
        <v>122</v>
      </c>
      <c r="AB28" s="87" t="s">
        <v>50</v>
      </c>
      <c r="AC28" s="87" t="s">
        <v>123</v>
      </c>
      <c r="AD28" s="88" t="s">
        <v>47</v>
      </c>
      <c r="AE28" s="88" t="s">
        <v>47</v>
      </c>
      <c r="AF28" s="88" t="s">
        <v>129</v>
      </c>
      <c r="AG28" s="88" t="s">
        <v>34</v>
      </c>
      <c r="AH28" s="89" t="s">
        <v>46</v>
      </c>
      <c r="AI28" s="90">
        <v>1829163.8987491515</v>
      </c>
      <c r="AJ28" s="90">
        <v>1455552.6095813254</v>
      </c>
      <c r="AK28" s="90">
        <v>1092624.9118051063</v>
      </c>
      <c r="AL28" s="90">
        <v>1035046.8809435047</v>
      </c>
      <c r="AM28" s="90">
        <v>766451.24476420844</v>
      </c>
      <c r="AN28" s="90">
        <v>494321.77608025161</v>
      </c>
      <c r="AO28" s="90">
        <v>241740.78580654139</v>
      </c>
      <c r="AP28" s="90">
        <v>0</v>
      </c>
      <c r="AQ28" s="90">
        <v>0</v>
      </c>
      <c r="AR28" s="90">
        <v>0</v>
      </c>
      <c r="AS28" s="90">
        <v>0</v>
      </c>
      <c r="AT28" s="90">
        <v>0</v>
      </c>
      <c r="AU28" s="90">
        <v>0</v>
      </c>
      <c r="AV28" s="90">
        <v>0</v>
      </c>
      <c r="AW28" s="90">
        <v>0</v>
      </c>
      <c r="AX28" s="90">
        <v>0</v>
      </c>
      <c r="AY28" s="90">
        <v>0</v>
      </c>
      <c r="AZ28" s="91">
        <v>0</v>
      </c>
    </row>
    <row r="29" spans="1:52" ht="18.75" x14ac:dyDescent="0.25">
      <c r="A29" s="52"/>
      <c r="B29" s="107" t="s">
        <v>25</v>
      </c>
      <c r="C29">
        <v>173463687.00580427</v>
      </c>
      <c r="D29">
        <v>198524040.11765581</v>
      </c>
      <c r="E29">
        <v>135752742.26024482</v>
      </c>
      <c r="F29">
        <v>93930763.219478935</v>
      </c>
      <c r="G29">
        <v>78928817.997429982</v>
      </c>
      <c r="H29"/>
      <c r="I29"/>
      <c r="J29" s="106" t="s">
        <v>47</v>
      </c>
      <c r="K29" s="107" t="s">
        <v>23</v>
      </c>
      <c r="L29" s="12" t="s">
        <v>173</v>
      </c>
      <c r="M29" s="12" t="s">
        <v>32</v>
      </c>
      <c r="N29" s="12" t="s">
        <v>175</v>
      </c>
      <c r="O29" s="12"/>
      <c r="P29" s="108">
        <f t="shared" si="3"/>
        <v>360.29499078835374</v>
      </c>
      <c r="Q29" s="108">
        <f t="shared" si="4"/>
        <v>380.34754583321632</v>
      </c>
      <c r="R29" s="108">
        <f t="shared" si="0"/>
        <v>487.74626255332453</v>
      </c>
      <c r="S29" s="108">
        <f t="shared" si="1"/>
        <v>545.83686154897885</v>
      </c>
      <c r="T29" s="108">
        <f t="shared" si="5"/>
        <v>632.97276004246032</v>
      </c>
      <c r="U29" s="109">
        <f t="shared" si="6"/>
        <v>0.67375290690691669</v>
      </c>
      <c r="V29" s="109">
        <f t="shared" si="7"/>
        <v>0.65457814776585499</v>
      </c>
      <c r="W29" s="109">
        <f t="shared" si="8"/>
        <v>0.80072430058407307</v>
      </c>
      <c r="X29" s="109">
        <f t="shared" si="9"/>
        <v>0.94456386730498731</v>
      </c>
      <c r="Y29" s="52"/>
      <c r="Z29" s="71" t="s">
        <v>141</v>
      </c>
      <c r="AA29" s="44" t="s">
        <v>122</v>
      </c>
      <c r="AB29" s="44" t="s">
        <v>50</v>
      </c>
      <c r="AC29" s="44" t="s">
        <v>123</v>
      </c>
      <c r="AD29" s="54" t="s">
        <v>45</v>
      </c>
      <c r="AE29" s="54" t="s">
        <v>45</v>
      </c>
      <c r="AF29" s="54" t="s">
        <v>124</v>
      </c>
      <c r="AG29" s="54" t="s">
        <v>24</v>
      </c>
      <c r="AH29" s="78" t="s">
        <v>46</v>
      </c>
      <c r="AI29" s="76">
        <v>0</v>
      </c>
      <c r="AJ29" s="76">
        <v>0</v>
      </c>
      <c r="AK29" s="76">
        <v>0</v>
      </c>
      <c r="AL29" s="76">
        <v>0</v>
      </c>
      <c r="AM29" s="76">
        <v>0</v>
      </c>
      <c r="AN29" s="76">
        <v>0</v>
      </c>
      <c r="AO29" s="76">
        <v>0</v>
      </c>
      <c r="AP29" s="76">
        <v>0</v>
      </c>
      <c r="AQ29" s="76">
        <v>0</v>
      </c>
      <c r="AR29" s="76">
        <v>0</v>
      </c>
      <c r="AS29" s="76">
        <v>0</v>
      </c>
      <c r="AT29" s="76">
        <v>0</v>
      </c>
      <c r="AU29" s="76">
        <v>0</v>
      </c>
      <c r="AV29" s="76">
        <v>0</v>
      </c>
      <c r="AW29" s="76">
        <v>0</v>
      </c>
      <c r="AX29" s="76">
        <v>0</v>
      </c>
      <c r="AY29" s="76">
        <v>0</v>
      </c>
      <c r="AZ29" s="79">
        <v>0</v>
      </c>
    </row>
    <row r="30" spans="1:52" ht="18.75" x14ac:dyDescent="0.25">
      <c r="A30" s="52"/>
      <c r="B30" s="107" t="s">
        <v>35</v>
      </c>
      <c r="C30">
        <v>0</v>
      </c>
      <c r="D30">
        <v>0</v>
      </c>
      <c r="E30">
        <v>49681.189775435392</v>
      </c>
      <c r="F30">
        <v>74984.535882415264</v>
      </c>
      <c r="G30">
        <v>87753.152600925881</v>
      </c>
      <c r="H30"/>
      <c r="I30"/>
      <c r="J30" s="106" t="s">
        <v>47</v>
      </c>
      <c r="K30" s="107" t="s">
        <v>34</v>
      </c>
      <c r="L30" s="12" t="s">
        <v>173</v>
      </c>
      <c r="M30" s="12" t="s">
        <v>175</v>
      </c>
      <c r="N30" s="12"/>
      <c r="O30" s="12"/>
      <c r="P30" s="108">
        <f t="shared" si="3"/>
        <v>0</v>
      </c>
      <c r="Q30" s="108">
        <f t="shared" si="4"/>
        <v>0</v>
      </c>
      <c r="R30" s="108">
        <f t="shared" si="0"/>
        <v>1.245299745262415</v>
      </c>
      <c r="S30" s="108">
        <f t="shared" si="1"/>
        <v>1.8291638987491514</v>
      </c>
      <c r="T30" s="108">
        <f t="shared" si="5"/>
        <v>2.704960128979256</v>
      </c>
      <c r="U30" s="109">
        <f t="shared" si="6"/>
        <v>0</v>
      </c>
      <c r="V30" s="109">
        <f t="shared" si="7"/>
        <v>0</v>
      </c>
      <c r="W30" s="109">
        <f t="shared" si="8"/>
        <v>2.0443862805278917E-3</v>
      </c>
      <c r="X30" s="109">
        <f t="shared" si="9"/>
        <v>4.0365206239887028E-3</v>
      </c>
      <c r="Y30" s="52"/>
      <c r="Z30" s="71" t="s">
        <v>142</v>
      </c>
      <c r="AA30" s="44" t="s">
        <v>122</v>
      </c>
      <c r="AB30" s="44" t="s">
        <v>50</v>
      </c>
      <c r="AC30" s="92" t="s">
        <v>123</v>
      </c>
      <c r="AD30" s="54" t="s">
        <v>45</v>
      </c>
      <c r="AE30" s="54" t="s">
        <v>45</v>
      </c>
      <c r="AF30" s="54" t="s">
        <v>124</v>
      </c>
      <c r="AG30" s="54" t="s">
        <v>25</v>
      </c>
      <c r="AH30" s="78" t="s">
        <v>46</v>
      </c>
      <c r="AI30" s="76">
        <v>135695002.44297975</v>
      </c>
      <c r="AJ30" s="76">
        <v>144370440.59139225</v>
      </c>
      <c r="AK30" s="76">
        <v>131730310.94514021</v>
      </c>
      <c r="AL30" s="76">
        <v>187827739.21854678</v>
      </c>
      <c r="AM30" s="76">
        <v>200564013.76268339</v>
      </c>
      <c r="AN30" s="76">
        <v>210559937.1522114</v>
      </c>
      <c r="AO30" s="76">
        <v>224496864.81549126</v>
      </c>
      <c r="AP30" s="76">
        <v>233735207.27606833</v>
      </c>
      <c r="AQ30" s="76">
        <v>213389125.75360289</v>
      </c>
      <c r="AR30" s="76">
        <v>200718655.41790351</v>
      </c>
      <c r="AS30" s="76">
        <v>187342379.14000723</v>
      </c>
      <c r="AT30" s="76">
        <v>176815038.94447309</v>
      </c>
      <c r="AU30" s="76">
        <v>168467152.73383325</v>
      </c>
      <c r="AV30" s="76">
        <v>147748296.79095906</v>
      </c>
      <c r="AW30" s="76">
        <v>136708161.32987881</v>
      </c>
      <c r="AX30" s="76">
        <v>128283661.98485114</v>
      </c>
      <c r="AY30" s="76">
        <v>114874122.3101624</v>
      </c>
      <c r="AZ30" s="79">
        <v>101510478.71653253</v>
      </c>
    </row>
    <row r="31" spans="1:52" ht="18.75" x14ac:dyDescent="0.25">
      <c r="A31" s="52"/>
      <c r="B31" s="107" t="s">
        <v>7</v>
      </c>
      <c r="C31">
        <v>0</v>
      </c>
      <c r="D31">
        <v>0</v>
      </c>
      <c r="E31">
        <v>3511328.1529879486</v>
      </c>
      <c r="F31">
        <v>5024920.6766693126</v>
      </c>
      <c r="G31">
        <v>6314706.8014694145</v>
      </c>
      <c r="H31"/>
      <c r="I31"/>
      <c r="J31" s="106" t="s">
        <v>49</v>
      </c>
      <c r="K31" s="107" t="s">
        <v>25</v>
      </c>
      <c r="L31" s="12" t="s">
        <v>43</v>
      </c>
      <c r="M31" s="12" t="s">
        <v>33</v>
      </c>
      <c r="N31" s="12" t="s">
        <v>176</v>
      </c>
      <c r="O31" s="12"/>
      <c r="P31" s="108">
        <f t="shared" si="3"/>
        <v>58.802169374999998</v>
      </c>
      <c r="Q31" s="108">
        <f t="shared" si="4"/>
        <v>66.295313750000005</v>
      </c>
      <c r="R31" s="108">
        <f t="shared" si="0"/>
        <v>39.288055181389929</v>
      </c>
      <c r="S31" s="108">
        <f t="shared" si="1"/>
        <v>27.085732650959997</v>
      </c>
      <c r="T31" s="108">
        <f t="shared" si="5"/>
        <v>8.7822488553150997</v>
      </c>
      <c r="U31" s="109">
        <f t="shared" si="6"/>
        <v>1</v>
      </c>
      <c r="V31" s="109">
        <f t="shared" si="7"/>
        <v>1</v>
      </c>
      <c r="W31" s="109">
        <f t="shared" si="8"/>
        <v>0.5324610012695522</v>
      </c>
      <c r="X31" s="109">
        <f t="shared" si="9"/>
        <v>0.104561945801221</v>
      </c>
      <c r="Y31" s="52"/>
      <c r="Z31" s="71" t="s">
        <v>143</v>
      </c>
      <c r="AA31" s="44" t="s">
        <v>122</v>
      </c>
      <c r="AB31" s="44" t="s">
        <v>50</v>
      </c>
      <c r="AC31" s="92" t="s">
        <v>123</v>
      </c>
      <c r="AD31" s="54" t="s">
        <v>45</v>
      </c>
      <c r="AE31" s="54" t="s">
        <v>45</v>
      </c>
      <c r="AF31" s="54" t="s">
        <v>124</v>
      </c>
      <c r="AG31" s="54" t="s">
        <v>35</v>
      </c>
      <c r="AH31" s="78" t="s">
        <v>46</v>
      </c>
      <c r="AI31" s="76">
        <v>0</v>
      </c>
      <c r="AJ31" s="76">
        <v>0</v>
      </c>
      <c r="AK31" s="76">
        <v>0</v>
      </c>
      <c r="AL31" s="76">
        <v>0</v>
      </c>
      <c r="AM31" s="76">
        <v>0</v>
      </c>
      <c r="AN31" s="76">
        <v>0</v>
      </c>
      <c r="AO31" s="76">
        <v>0</v>
      </c>
      <c r="AP31" s="76">
        <v>0</v>
      </c>
      <c r="AQ31" s="76">
        <v>0</v>
      </c>
      <c r="AR31" s="76">
        <v>0</v>
      </c>
      <c r="AS31" s="76">
        <v>0</v>
      </c>
      <c r="AT31" s="76">
        <v>0</v>
      </c>
      <c r="AU31" s="76">
        <v>0</v>
      </c>
      <c r="AV31" s="76">
        <v>0</v>
      </c>
      <c r="AW31" s="76">
        <v>0</v>
      </c>
      <c r="AX31" s="76">
        <v>0</v>
      </c>
      <c r="AY31" s="76">
        <v>0</v>
      </c>
      <c r="AZ31" s="79">
        <v>0</v>
      </c>
    </row>
    <row r="32" spans="1:52" s="87" customFormat="1" ht="18.75" x14ac:dyDescent="0.25">
      <c r="A32" s="52"/>
      <c r="B32" s="107" t="s">
        <v>23</v>
      </c>
      <c r="C32">
        <v>360294990.78835374</v>
      </c>
      <c r="D32">
        <v>380347545.83321631</v>
      </c>
      <c r="E32">
        <v>485751466.42698133</v>
      </c>
      <c r="F32">
        <v>489741058.67966771</v>
      </c>
      <c r="G32">
        <v>545836861.54897881</v>
      </c>
      <c r="H32"/>
      <c r="I32"/>
      <c r="J32" s="106" t="s">
        <v>49</v>
      </c>
      <c r="K32" s="107" t="s">
        <v>7</v>
      </c>
      <c r="L32" s="12" t="s">
        <v>43</v>
      </c>
      <c r="M32" s="12" t="s">
        <v>6</v>
      </c>
      <c r="N32" s="12"/>
      <c r="O32" s="12"/>
      <c r="P32" s="108">
        <f t="shared" si="3"/>
        <v>0</v>
      </c>
      <c r="Q32" s="108">
        <f t="shared" si="4"/>
        <v>0</v>
      </c>
      <c r="R32" s="108">
        <f t="shared" si="0"/>
        <v>0</v>
      </c>
      <c r="S32" s="108">
        <f t="shared" si="1"/>
        <v>2.3359435500000001E-2</v>
      </c>
      <c r="T32" s="108">
        <f t="shared" si="5"/>
        <v>5.8398588750000001E-2</v>
      </c>
      <c r="U32" s="109">
        <f t="shared" si="6"/>
        <v>0</v>
      </c>
      <c r="V32" s="109">
        <f t="shared" si="7"/>
        <v>0</v>
      </c>
      <c r="W32" s="109">
        <f t="shared" si="8"/>
        <v>0</v>
      </c>
      <c r="X32" s="109">
        <f t="shared" si="9"/>
        <v>6.952968621527642E-4</v>
      </c>
      <c r="Y32" s="52"/>
      <c r="Z32" s="71" t="s">
        <v>144</v>
      </c>
      <c r="AA32" s="44" t="s">
        <v>122</v>
      </c>
      <c r="AB32" s="44" t="s">
        <v>50</v>
      </c>
      <c r="AC32" s="44" t="s">
        <v>123</v>
      </c>
      <c r="AD32" s="54" t="s">
        <v>45</v>
      </c>
      <c r="AE32" s="54" t="s">
        <v>45</v>
      </c>
      <c r="AF32" s="54" t="s">
        <v>124</v>
      </c>
      <c r="AG32" s="54" t="s">
        <v>7</v>
      </c>
      <c r="AH32" s="78" t="s">
        <v>46</v>
      </c>
      <c r="AI32" s="76">
        <v>516052206.26042241</v>
      </c>
      <c r="AJ32" s="76">
        <v>421249905.07271683</v>
      </c>
      <c r="AK32" s="76">
        <v>290898837.02035594</v>
      </c>
      <c r="AL32" s="76">
        <v>305562616.46085668</v>
      </c>
      <c r="AM32" s="76">
        <v>228969762.41710162</v>
      </c>
      <c r="AN32" s="76">
        <v>153840592.39229095</v>
      </c>
      <c r="AO32" s="76">
        <v>84861122.108948901</v>
      </c>
      <c r="AP32" s="76">
        <v>0</v>
      </c>
      <c r="AQ32" s="76">
        <v>0</v>
      </c>
      <c r="AR32" s="76">
        <v>0</v>
      </c>
      <c r="AS32" s="76">
        <v>0</v>
      </c>
      <c r="AT32" s="76">
        <v>0</v>
      </c>
      <c r="AU32" s="76">
        <v>0</v>
      </c>
      <c r="AV32" s="76">
        <v>0</v>
      </c>
      <c r="AW32" s="76">
        <v>0</v>
      </c>
      <c r="AX32" s="76">
        <v>0</v>
      </c>
      <c r="AY32" s="76">
        <v>0</v>
      </c>
      <c r="AZ32" s="79">
        <v>0</v>
      </c>
    </row>
    <row r="33" spans="1:52" s="87" customFormat="1" ht="18.75" x14ac:dyDescent="0.25">
      <c r="A33" s="52"/>
      <c r="B33" s="107" t="s">
        <v>34</v>
      </c>
      <c r="C33">
        <v>0</v>
      </c>
      <c r="D33">
        <v>0</v>
      </c>
      <c r="E33">
        <v>1035046.8809435047</v>
      </c>
      <c r="F33">
        <v>1455552.6095813254</v>
      </c>
      <c r="G33">
        <v>1829163.8987491515</v>
      </c>
      <c r="H33"/>
      <c r="I33"/>
      <c r="J33" s="106" t="s">
        <v>49</v>
      </c>
      <c r="K33" s="107" t="s">
        <v>23</v>
      </c>
      <c r="L33" s="12" t="s">
        <v>43</v>
      </c>
      <c r="M33" s="12" t="s">
        <v>32</v>
      </c>
      <c r="N33" s="12" t="s">
        <v>175</v>
      </c>
      <c r="O33" s="12"/>
      <c r="P33" s="108">
        <f t="shared" si="3"/>
        <v>0</v>
      </c>
      <c r="Q33" s="108">
        <f t="shared" si="4"/>
        <v>0</v>
      </c>
      <c r="R33" s="108">
        <f t="shared" si="0"/>
        <v>34.497733989488353</v>
      </c>
      <c r="S33" s="108">
        <f t="shared" si="1"/>
        <v>50.758729640155003</v>
      </c>
      <c r="T33" s="108">
        <f t="shared" si="5"/>
        <v>75.150223116154976</v>
      </c>
      <c r="U33" s="109">
        <f t="shared" si="6"/>
        <v>0</v>
      </c>
      <c r="V33" s="109">
        <f t="shared" si="7"/>
        <v>0</v>
      </c>
      <c r="W33" s="109">
        <f t="shared" si="8"/>
        <v>0.46753899873044791</v>
      </c>
      <c r="X33" s="109">
        <f t="shared" si="9"/>
        <v>0.89474275733662623</v>
      </c>
      <c r="Y33" s="52"/>
      <c r="Z33" s="71" t="s">
        <v>145</v>
      </c>
      <c r="AA33" s="44" t="s">
        <v>122</v>
      </c>
      <c r="AB33" s="44" t="s">
        <v>50</v>
      </c>
      <c r="AC33" s="44" t="s">
        <v>123</v>
      </c>
      <c r="AD33" s="54" t="s">
        <v>45</v>
      </c>
      <c r="AE33" s="54" t="s">
        <v>45</v>
      </c>
      <c r="AF33" s="54" t="s">
        <v>124</v>
      </c>
      <c r="AG33" s="54" t="s">
        <v>36</v>
      </c>
      <c r="AH33" s="78" t="s">
        <v>46</v>
      </c>
      <c r="AI33" s="76">
        <v>0</v>
      </c>
      <c r="AJ33" s="76">
        <v>0</v>
      </c>
      <c r="AK33" s="76">
        <v>0</v>
      </c>
      <c r="AL33" s="76">
        <v>0</v>
      </c>
      <c r="AM33" s="76">
        <v>0</v>
      </c>
      <c r="AN33" s="76">
        <v>0</v>
      </c>
      <c r="AO33" s="76">
        <v>0</v>
      </c>
      <c r="AP33" s="76">
        <v>0</v>
      </c>
      <c r="AQ33" s="76">
        <v>0</v>
      </c>
      <c r="AR33" s="76">
        <v>0</v>
      </c>
      <c r="AS33" s="76">
        <v>0</v>
      </c>
      <c r="AT33" s="76">
        <v>0</v>
      </c>
      <c r="AU33" s="76">
        <v>0</v>
      </c>
      <c r="AV33" s="76">
        <v>0</v>
      </c>
      <c r="AW33" s="76">
        <v>0</v>
      </c>
      <c r="AX33" s="76">
        <v>0</v>
      </c>
      <c r="AY33" s="76">
        <v>0</v>
      </c>
      <c r="AZ33" s="79">
        <v>0</v>
      </c>
    </row>
    <row r="34" spans="1:52" s="87" customFormat="1" ht="18.75" x14ac:dyDescent="0.25">
      <c r="A34" s="52"/>
      <c r="B34" s="106" t="s">
        <v>45</v>
      </c>
      <c r="C34">
        <v>19657033168.524273</v>
      </c>
      <c r="D34">
        <v>19662888321.727665</v>
      </c>
      <c r="E34">
        <v>21523925338.489948</v>
      </c>
      <c r="F34">
        <v>20188205866.914227</v>
      </c>
      <c r="G34">
        <v>21323591646.661045</v>
      </c>
      <c r="H34"/>
      <c r="I34"/>
      <c r="J34" s="106" t="s">
        <v>45</v>
      </c>
      <c r="K34" s="107" t="s">
        <v>24</v>
      </c>
      <c r="L34" s="12" t="s">
        <v>9</v>
      </c>
      <c r="M34" s="12" t="s">
        <v>24</v>
      </c>
      <c r="N34" s="12"/>
      <c r="O34" s="12"/>
      <c r="P34" s="108">
        <f t="shared" si="3"/>
        <v>0</v>
      </c>
      <c r="Q34" s="108">
        <f t="shared" si="4"/>
        <v>0</v>
      </c>
      <c r="R34" s="108">
        <f t="shared" si="0"/>
        <v>0</v>
      </c>
      <c r="S34" s="108">
        <f t="shared" si="1"/>
        <v>0</v>
      </c>
      <c r="T34" s="108">
        <f t="shared" si="5"/>
        <v>0</v>
      </c>
      <c r="U34" s="112">
        <f t="shared" si="6"/>
        <v>0</v>
      </c>
      <c r="V34" s="112">
        <f t="shared" si="7"/>
        <v>0</v>
      </c>
      <c r="W34" s="112">
        <f t="shared" si="8"/>
        <v>0</v>
      </c>
      <c r="X34" s="109">
        <f t="shared" si="9"/>
        <v>0</v>
      </c>
      <c r="Y34" s="52"/>
      <c r="Z34" s="71" t="s">
        <v>146</v>
      </c>
      <c r="AA34" s="44" t="s">
        <v>122</v>
      </c>
      <c r="AB34" s="44" t="s">
        <v>50</v>
      </c>
      <c r="AC34" s="92" t="s">
        <v>123</v>
      </c>
      <c r="AD34" s="54" t="s">
        <v>45</v>
      </c>
      <c r="AE34" s="54" t="s">
        <v>45</v>
      </c>
      <c r="AF34" s="54" t="s">
        <v>124</v>
      </c>
      <c r="AG34" s="54" t="s">
        <v>23</v>
      </c>
      <c r="AH34" s="78" t="s">
        <v>46</v>
      </c>
      <c r="AI34" s="76">
        <v>19416549926.585327</v>
      </c>
      <c r="AJ34" s="76">
        <v>18575339163.754768</v>
      </c>
      <c r="AK34" s="76">
        <v>15425812292.703026</v>
      </c>
      <c r="AL34" s="76">
        <v>20215103866.158669</v>
      </c>
      <c r="AM34" s="76">
        <v>20000031418.792645</v>
      </c>
      <c r="AN34" s="76">
        <v>19586528602.364891</v>
      </c>
      <c r="AO34" s="76">
        <v>19592915980.390472</v>
      </c>
      <c r="AP34" s="76">
        <v>19234200482.675129</v>
      </c>
      <c r="AQ34" s="76">
        <v>18617847739.964611</v>
      </c>
      <c r="AR34" s="76">
        <v>18632352658.980202</v>
      </c>
      <c r="AS34" s="76">
        <v>18575945525.737743</v>
      </c>
      <c r="AT34" s="76">
        <v>18811295822.828991</v>
      </c>
      <c r="AU34" s="76">
        <v>19330346471.372349</v>
      </c>
      <c r="AV34" s="76">
        <v>18393859855.70919</v>
      </c>
      <c r="AW34" s="76">
        <v>18596344347.752155</v>
      </c>
      <c r="AX34" s="76">
        <v>19227860011.250507</v>
      </c>
      <c r="AY34" s="76">
        <v>19165762678.406345</v>
      </c>
      <c r="AZ34" s="79">
        <v>19090939606.358875</v>
      </c>
    </row>
    <row r="35" spans="1:52" s="87" customFormat="1" ht="18.75" x14ac:dyDescent="0.25">
      <c r="A35" s="52"/>
      <c r="B35" s="107" t="s">
        <v>24</v>
      </c>
      <c r="C35">
        <v>0</v>
      </c>
      <c r="D35">
        <v>0</v>
      </c>
      <c r="E35">
        <v>0</v>
      </c>
      <c r="F35">
        <v>0</v>
      </c>
      <c r="G35">
        <v>0</v>
      </c>
      <c r="H35"/>
      <c r="I35"/>
      <c r="J35" s="106" t="s">
        <v>45</v>
      </c>
      <c r="K35" s="107" t="s">
        <v>25</v>
      </c>
      <c r="L35" s="12" t="s">
        <v>9</v>
      </c>
      <c r="M35" s="12" t="s">
        <v>33</v>
      </c>
      <c r="N35" s="12" t="s">
        <v>178</v>
      </c>
      <c r="O35" s="12"/>
      <c r="P35" s="108">
        <f t="shared" si="3"/>
        <v>168.46715273383325</v>
      </c>
      <c r="Q35" s="108">
        <f t="shared" si="4"/>
        <v>233.73520727606834</v>
      </c>
      <c r="R35" s="108">
        <f t="shared" ref="R35:R40" si="10">(GETPIVOTDATA("Sum of CY"&amp;$R$17,$B$14,"GPC Sector","Transportation","GPC Sub-sector","On-road","GPC Sub-sector class agg",$J35,"Fuel type",$K35)+GETPIVOTDATA("Sum of CY"&amp;$R$16,$B$14,"GPC Sector","Transportation","GPC Sub-sector","On-road","GPC Sub-sector class agg",$J35,"Fuel type",$K35))/2/10^6</f>
        <v>166.58710515412716</v>
      </c>
      <c r="S35" s="108">
        <f t="shared" ref="S35:S40" si="11">(GETPIVOTDATA("Sum of CY"&amp;$S$17,$B$14,"GPC Sector","Transportation","GPC Sub-sector","On-road","GPC Sub-sector class agg",$J35,"Fuel type",$K35))/10^6</f>
        <v>136.39804183722472</v>
      </c>
      <c r="T35" s="108">
        <f t="shared" ref="T35:T40" si="12">IF(R35+(S35-R35)*5/2&lt;0,0,R35+(S35-R35)*5/2)</f>
        <v>91.114446861871073</v>
      </c>
      <c r="U35" s="112">
        <f t="shared" si="6"/>
        <v>8.5703244884172275E-3</v>
      </c>
      <c r="V35" s="112">
        <f t="shared" si="7"/>
        <v>1.1887124793247638E-2</v>
      </c>
      <c r="W35" s="112">
        <f t="shared" si="8"/>
        <v>7.9874655329308306E-3</v>
      </c>
      <c r="X35" s="109">
        <f t="shared" si="9"/>
        <v>4.1368871891210024E-3</v>
      </c>
      <c r="Y35" s="52"/>
      <c r="Z35" s="71" t="s">
        <v>147</v>
      </c>
      <c r="AA35" s="44" t="s">
        <v>122</v>
      </c>
      <c r="AB35" s="44" t="s">
        <v>50</v>
      </c>
      <c r="AC35" s="92" t="s">
        <v>123</v>
      </c>
      <c r="AD35" s="54" t="s">
        <v>45</v>
      </c>
      <c r="AE35" s="54" t="s">
        <v>45</v>
      </c>
      <c r="AF35" s="54" t="s">
        <v>124</v>
      </c>
      <c r="AG35" s="54" t="s">
        <v>34</v>
      </c>
      <c r="AH35" s="78" t="s">
        <v>46</v>
      </c>
      <c r="AI35" s="76">
        <v>1123424407.8517919</v>
      </c>
      <c r="AJ35" s="76">
        <v>922399512.96754491</v>
      </c>
      <c r="AK35" s="76">
        <v>642078914.22929823</v>
      </c>
      <c r="AL35" s="76">
        <v>682327752.37371874</v>
      </c>
      <c r="AM35" s="76">
        <v>520828154.63053977</v>
      </c>
      <c r="AN35" s="76">
        <v>362016830.98571759</v>
      </c>
      <c r="AO35" s="76">
        <v>216963547.52024707</v>
      </c>
      <c r="AP35" s="76">
        <v>73260465.670201734</v>
      </c>
      <c r="AQ35" s="76">
        <v>63748539.12213771</v>
      </c>
      <c r="AR35" s="76">
        <v>56644696.437776148</v>
      </c>
      <c r="AS35" s="76">
        <v>49357649.739185631</v>
      </c>
      <c r="AT35" s="76">
        <v>42793719.29804574</v>
      </c>
      <c r="AU35" s="76">
        <v>36603697.327306986</v>
      </c>
      <c r="AV35" s="76">
        <v>27832625.591237482</v>
      </c>
      <c r="AW35" s="76">
        <v>21080314.990358599</v>
      </c>
      <c r="AX35" s="76">
        <v>0</v>
      </c>
      <c r="AY35" s="76">
        <v>0</v>
      </c>
      <c r="AZ35" s="79">
        <v>0</v>
      </c>
    </row>
    <row r="36" spans="1:52" s="87" customFormat="1" ht="18.75" x14ac:dyDescent="0.25">
      <c r="A36" s="52"/>
      <c r="B36" s="107" t="s">
        <v>25</v>
      </c>
      <c r="C36">
        <v>168467152.73383325</v>
      </c>
      <c r="D36">
        <v>233735207.27606833</v>
      </c>
      <c r="E36">
        <v>188233250.47201985</v>
      </c>
      <c r="F36">
        <v>144940959.83623445</v>
      </c>
      <c r="G36">
        <v>136398041.83722472</v>
      </c>
      <c r="H36"/>
      <c r="I36"/>
      <c r="J36" s="106" t="s">
        <v>45</v>
      </c>
      <c r="K36" s="107" t="s">
        <v>35</v>
      </c>
      <c r="L36" s="12" t="s">
        <v>9</v>
      </c>
      <c r="M36" s="12" t="s">
        <v>178</v>
      </c>
      <c r="N36" s="12"/>
      <c r="O36" s="12"/>
      <c r="P36" s="108">
        <f t="shared" si="3"/>
        <v>0</v>
      </c>
      <c r="Q36" s="108">
        <f t="shared" si="4"/>
        <v>0</v>
      </c>
      <c r="R36" s="108">
        <f t="shared" si="10"/>
        <v>0</v>
      </c>
      <c r="S36" s="108">
        <f t="shared" si="11"/>
        <v>0</v>
      </c>
      <c r="T36" s="108">
        <f t="shared" si="12"/>
        <v>0</v>
      </c>
      <c r="U36" s="112">
        <f t="shared" si="6"/>
        <v>0</v>
      </c>
      <c r="V36" s="112">
        <f t="shared" si="7"/>
        <v>0</v>
      </c>
      <c r="W36" s="112">
        <f t="shared" si="8"/>
        <v>0</v>
      </c>
      <c r="X36" s="109">
        <f t="shared" si="9"/>
        <v>0</v>
      </c>
      <c r="Y36" s="52"/>
      <c r="Z36" s="71" t="s">
        <v>148</v>
      </c>
      <c r="AA36" s="44" t="s">
        <v>122</v>
      </c>
      <c r="AB36" s="44" t="s">
        <v>50</v>
      </c>
      <c r="AC36" s="44" t="s">
        <v>123</v>
      </c>
      <c r="AD36" s="54" t="s">
        <v>45</v>
      </c>
      <c r="AE36" s="54" t="s">
        <v>45</v>
      </c>
      <c r="AF36" s="54" t="s">
        <v>129</v>
      </c>
      <c r="AG36" s="54" t="s">
        <v>25</v>
      </c>
      <c r="AH36" s="78" t="s">
        <v>46</v>
      </c>
      <c r="AI36" s="76">
        <v>703039.3942449739</v>
      </c>
      <c r="AJ36" s="76">
        <v>570519.24484220229</v>
      </c>
      <c r="AK36" s="76">
        <v>390768.71723817301</v>
      </c>
      <c r="AL36" s="76">
        <v>405511.25347308465</v>
      </c>
      <c r="AM36" s="76">
        <v>297871.46664370387</v>
      </c>
      <c r="AN36" s="76">
        <v>192538.86079942097</v>
      </c>
      <c r="AO36" s="76">
        <v>0</v>
      </c>
      <c r="AP36" s="76">
        <v>0</v>
      </c>
      <c r="AQ36" s="76">
        <v>0</v>
      </c>
      <c r="AR36" s="76">
        <v>0</v>
      </c>
      <c r="AS36" s="76">
        <v>0</v>
      </c>
      <c r="AT36" s="76">
        <v>0</v>
      </c>
      <c r="AU36" s="76">
        <v>0</v>
      </c>
      <c r="AV36" s="76">
        <v>0</v>
      </c>
      <c r="AW36" s="76">
        <v>0</v>
      </c>
      <c r="AX36" s="76">
        <v>0</v>
      </c>
      <c r="AY36" s="76">
        <v>0</v>
      </c>
      <c r="AZ36" s="79">
        <v>0</v>
      </c>
    </row>
    <row r="37" spans="1:52" s="81" customFormat="1" ht="18.75" x14ac:dyDescent="0.25">
      <c r="A37" s="52"/>
      <c r="B37" s="107" t="s">
        <v>35</v>
      </c>
      <c r="C37">
        <v>0</v>
      </c>
      <c r="D37">
        <v>0</v>
      </c>
      <c r="E37">
        <v>0</v>
      </c>
      <c r="F37">
        <v>0</v>
      </c>
      <c r="G37">
        <v>0</v>
      </c>
      <c r="H37"/>
      <c r="I37"/>
      <c r="J37" s="106" t="s">
        <v>45</v>
      </c>
      <c r="K37" s="107" t="s">
        <v>7</v>
      </c>
      <c r="L37" s="12" t="s">
        <v>9</v>
      </c>
      <c r="M37" s="12" t="s">
        <v>6</v>
      </c>
      <c r="N37" s="12"/>
      <c r="O37" s="12"/>
      <c r="P37" s="108">
        <f t="shared" si="3"/>
        <v>0.90905831131246562</v>
      </c>
      <c r="Q37" s="108">
        <f t="shared" si="4"/>
        <v>1.8133946144447946</v>
      </c>
      <c r="R37" s="108">
        <f t="shared" si="10"/>
        <v>381.6721155176902</v>
      </c>
      <c r="S37" s="108">
        <f t="shared" si="11"/>
        <v>541.5624928515972</v>
      </c>
      <c r="T37" s="108">
        <f t="shared" si="12"/>
        <v>781.39805885245778</v>
      </c>
      <c r="U37" s="112">
        <f t="shared" si="6"/>
        <v>4.6245957033235858E-5</v>
      </c>
      <c r="V37" s="112">
        <f t="shared" si="7"/>
        <v>9.2224223866489531E-5</v>
      </c>
      <c r="W37" s="112">
        <f t="shared" si="8"/>
        <v>1.8300293199511285E-2</v>
      </c>
      <c r="X37" s="109">
        <f t="shared" si="9"/>
        <v>3.547797007615363E-2</v>
      </c>
      <c r="Y37" s="52"/>
      <c r="Z37" s="71" t="s">
        <v>149</v>
      </c>
      <c r="AA37" s="44" t="s">
        <v>122</v>
      </c>
      <c r="AB37" s="44" t="s">
        <v>50</v>
      </c>
      <c r="AC37" s="44" t="s">
        <v>123</v>
      </c>
      <c r="AD37" s="54" t="s">
        <v>45</v>
      </c>
      <c r="AE37" s="54" t="s">
        <v>45</v>
      </c>
      <c r="AF37" s="54" t="s">
        <v>129</v>
      </c>
      <c r="AG37" s="54" t="s">
        <v>7</v>
      </c>
      <c r="AH37" s="78" t="s">
        <v>46</v>
      </c>
      <c r="AI37" s="76">
        <v>25510286.591174766</v>
      </c>
      <c r="AJ37" s="76">
        <v>20967447.535472274</v>
      </c>
      <c r="AK37" s="76">
        <v>14616172.422838418</v>
      </c>
      <c r="AL37" s="76">
        <v>15564261.966334576</v>
      </c>
      <c r="AM37" s="76">
        <v>11918472.839543432</v>
      </c>
      <c r="AN37" s="76">
        <v>8331685.9886581441</v>
      </c>
      <c r="AO37" s="76">
        <v>5058829.8514060853</v>
      </c>
      <c r="AP37" s="76">
        <v>1813394.6144447946</v>
      </c>
      <c r="AQ37" s="76">
        <v>1583208.2842541197</v>
      </c>
      <c r="AR37" s="76">
        <v>1406782.3457929706</v>
      </c>
      <c r="AS37" s="76">
        <v>1225806.5017187092</v>
      </c>
      <c r="AT37" s="76">
        <v>1062789.3808192408</v>
      </c>
      <c r="AU37" s="76">
        <v>909058.31131246558</v>
      </c>
      <c r="AV37" s="76">
        <v>726947.07883634267</v>
      </c>
      <c r="AW37" s="76">
        <v>550585.47246928851</v>
      </c>
      <c r="AX37" s="76">
        <v>379090.94009809394</v>
      </c>
      <c r="AY37" s="76">
        <v>188719.01816915098</v>
      </c>
      <c r="AZ37" s="79">
        <v>0</v>
      </c>
    </row>
    <row r="38" spans="1:52" s="81" customFormat="1" ht="18.75" x14ac:dyDescent="0.25">
      <c r="A38" s="52"/>
      <c r="B38" s="107" t="s">
        <v>7</v>
      </c>
      <c r="C38">
        <v>909058.31131246558</v>
      </c>
      <c r="D38">
        <v>1813394.6144447946</v>
      </c>
      <c r="E38">
        <v>321126878.42719126</v>
      </c>
      <c r="F38">
        <v>442217352.60818911</v>
      </c>
      <c r="G38">
        <v>541562492.85159719</v>
      </c>
      <c r="H38"/>
      <c r="I38"/>
      <c r="J38" s="106" t="s">
        <v>45</v>
      </c>
      <c r="K38" s="107" t="s">
        <v>36</v>
      </c>
      <c r="L38" s="12" t="s">
        <v>9</v>
      </c>
      <c r="M38" s="12" t="s">
        <v>179</v>
      </c>
      <c r="N38" s="12"/>
      <c r="O38" s="12"/>
      <c r="P38" s="108">
        <f t="shared" si="3"/>
        <v>0</v>
      </c>
      <c r="Q38" s="108">
        <f t="shared" si="4"/>
        <v>0</v>
      </c>
      <c r="R38" s="108">
        <f t="shared" si="10"/>
        <v>0</v>
      </c>
      <c r="S38" s="108">
        <f t="shared" si="11"/>
        <v>0</v>
      </c>
      <c r="T38" s="108">
        <f t="shared" si="12"/>
        <v>0</v>
      </c>
      <c r="U38" s="112">
        <f t="shared" si="6"/>
        <v>0</v>
      </c>
      <c r="V38" s="112">
        <f t="shared" si="7"/>
        <v>0</v>
      </c>
      <c r="W38" s="112">
        <f t="shared" si="8"/>
        <v>0</v>
      </c>
      <c r="X38" s="109">
        <f t="shared" si="9"/>
        <v>0</v>
      </c>
      <c r="Y38" s="52"/>
      <c r="Z38" s="71" t="s">
        <v>150</v>
      </c>
      <c r="AA38" s="44" t="s">
        <v>122</v>
      </c>
      <c r="AB38" s="44" t="s">
        <v>50</v>
      </c>
      <c r="AC38" s="44" t="s">
        <v>123</v>
      </c>
      <c r="AD38" s="54" t="s">
        <v>45</v>
      </c>
      <c r="AE38" s="54" t="s">
        <v>45</v>
      </c>
      <c r="AF38" s="54" t="s">
        <v>129</v>
      </c>
      <c r="AG38" s="54" t="s">
        <v>23</v>
      </c>
      <c r="AH38" s="78" t="s">
        <v>46</v>
      </c>
      <c r="AI38" s="76">
        <v>60193563.373926811</v>
      </c>
      <c r="AJ38" s="76">
        <v>64760163.816391975</v>
      </c>
      <c r="AK38" s="76">
        <v>59615495.376085073</v>
      </c>
      <c r="AL38" s="76">
        <v>85616592.172367245</v>
      </c>
      <c r="AM38" s="76">
        <v>91969012.485852376</v>
      </c>
      <c r="AN38" s="76">
        <v>97039031.147618726</v>
      </c>
      <c r="AO38" s="76">
        <v>103906928.68373246</v>
      </c>
      <c r="AP38" s="76">
        <v>108584609.06091581</v>
      </c>
      <c r="AQ38" s="76">
        <v>106258470.39643957</v>
      </c>
      <c r="AR38" s="76">
        <v>107487098.89925833</v>
      </c>
      <c r="AS38" s="76">
        <v>108301460.76278643</v>
      </c>
      <c r="AT38" s="76">
        <v>110825172.6158096</v>
      </c>
      <c r="AU38" s="76">
        <v>115063766.78373487</v>
      </c>
      <c r="AV38" s="76">
        <v>116326245.60188769</v>
      </c>
      <c r="AW38" s="76">
        <v>118795882.40658739</v>
      </c>
      <c r="AX38" s="76">
        <v>124056761.79214382</v>
      </c>
      <c r="AY38" s="76">
        <v>124876053.50806956</v>
      </c>
      <c r="AZ38" s="79">
        <v>125600960.79437032</v>
      </c>
    </row>
    <row r="39" spans="1:52" s="81" customFormat="1" ht="18.75" x14ac:dyDescent="0.25">
      <c r="A39" s="52"/>
      <c r="B39" s="107" t="s">
        <v>36</v>
      </c>
      <c r="C39">
        <v>0</v>
      </c>
      <c r="D39">
        <v>0</v>
      </c>
      <c r="E39">
        <v>0</v>
      </c>
      <c r="F39">
        <v>0</v>
      </c>
      <c r="G39">
        <v>0</v>
      </c>
      <c r="H39"/>
      <c r="I39"/>
      <c r="J39" s="106" t="s">
        <v>45</v>
      </c>
      <c r="K39" s="107" t="s">
        <v>23</v>
      </c>
      <c r="L39" s="12" t="s">
        <v>9</v>
      </c>
      <c r="M39" s="12" t="s">
        <v>32</v>
      </c>
      <c r="N39" s="12" t="s">
        <v>177</v>
      </c>
      <c r="O39" s="12"/>
      <c r="P39" s="108">
        <f t="shared" si="3"/>
        <v>19445.410238156081</v>
      </c>
      <c r="Q39" s="108">
        <f t="shared" si="4"/>
        <v>19342.785091736045</v>
      </c>
      <c r="R39" s="108">
        <f t="shared" si="10"/>
        <v>19470.409892951095</v>
      </c>
      <c r="S39" s="108">
        <f t="shared" si="11"/>
        <v>19476.743489959255</v>
      </c>
      <c r="T39" s="108">
        <f t="shared" si="12"/>
        <v>19486.243885471496</v>
      </c>
      <c r="U39" s="112">
        <f t="shared" si="6"/>
        <v>0.98923423852654169</v>
      </c>
      <c r="V39" s="112">
        <f t="shared" si="7"/>
        <v>0.98372043695951317</v>
      </c>
      <c r="W39" s="112">
        <f>R39/SUMIFS(R:R,L:L,L39)</f>
        <v>0.93356102075304814</v>
      </c>
      <c r="X39" s="109">
        <f t="shared" si="9"/>
        <v>0.88473777178390145</v>
      </c>
      <c r="Y39" s="52"/>
      <c r="Z39" s="71" t="s">
        <v>151</v>
      </c>
      <c r="AA39" s="44" t="s">
        <v>122</v>
      </c>
      <c r="AB39" s="44" t="s">
        <v>50</v>
      </c>
      <c r="AC39" s="44" t="s">
        <v>123</v>
      </c>
      <c r="AD39" s="54" t="s">
        <v>45</v>
      </c>
      <c r="AE39" s="54" t="s">
        <v>45</v>
      </c>
      <c r="AF39" s="54" t="s">
        <v>129</v>
      </c>
      <c r="AG39" s="54" t="s">
        <v>34</v>
      </c>
      <c r="AH39" s="78" t="s">
        <v>46</v>
      </c>
      <c r="AI39" s="76">
        <v>45463214.161174975</v>
      </c>
      <c r="AJ39" s="76">
        <v>38548713.93109908</v>
      </c>
      <c r="AK39" s="76">
        <v>27990496.748721235</v>
      </c>
      <c r="AL39" s="76">
        <v>31516998.885981433</v>
      </c>
      <c r="AM39" s="76">
        <v>26175605.485484347</v>
      </c>
      <c r="AN39" s="76">
        <v>20829477.420449659</v>
      </c>
      <c r="AO39" s="76">
        <v>16124533.916025104</v>
      </c>
      <c r="AP39" s="76">
        <v>11294162.430904491</v>
      </c>
      <c r="AQ39" s="76">
        <v>9827839.4913739283</v>
      </c>
      <c r="AR39" s="76">
        <v>8732667.2246825304</v>
      </c>
      <c r="AS39" s="76">
        <v>7609251.2060405547</v>
      </c>
      <c r="AT39" s="76">
        <v>6597314.8016648917</v>
      </c>
      <c r="AU39" s="76">
        <v>5643021.9957365645</v>
      </c>
      <c r="AV39" s="76">
        <v>4512558.0004734201</v>
      </c>
      <c r="AW39" s="76">
        <v>3417785.0782657475</v>
      </c>
      <c r="AX39" s="76">
        <v>2353224.7455825685</v>
      </c>
      <c r="AY39" s="76">
        <v>1171482.1340831229</v>
      </c>
      <c r="AZ39" s="79">
        <v>0</v>
      </c>
    </row>
    <row r="40" spans="1:52" s="81" customFormat="1" ht="18.75" x14ac:dyDescent="0.25">
      <c r="A40" s="52"/>
      <c r="B40" s="107" t="s">
        <v>23</v>
      </c>
      <c r="C40">
        <v>19445410238.156082</v>
      </c>
      <c r="D40">
        <v>19342785091.736046</v>
      </c>
      <c r="E40">
        <v>20300720458.331036</v>
      </c>
      <c r="F40">
        <v>18640099327.571159</v>
      </c>
      <c r="G40">
        <v>19476743489.959255</v>
      </c>
      <c r="H40"/>
      <c r="I40"/>
      <c r="J40" s="106" t="s">
        <v>45</v>
      </c>
      <c r="K40" s="107" t="s">
        <v>34</v>
      </c>
      <c r="L40" s="12" t="s">
        <v>9</v>
      </c>
      <c r="M40" s="12" t="s">
        <v>177</v>
      </c>
      <c r="N40" s="12"/>
      <c r="O40" s="12"/>
      <c r="P40" s="108">
        <f t="shared" si="3"/>
        <v>42.24671932304355</v>
      </c>
      <c r="Q40" s="108">
        <f t="shared" si="4"/>
        <v>84.554628101106232</v>
      </c>
      <c r="R40" s="108">
        <f t="shared" si="10"/>
        <v>837.39648907917217</v>
      </c>
      <c r="S40" s="108">
        <f t="shared" si="11"/>
        <v>1168.8876220129669</v>
      </c>
      <c r="T40" s="108">
        <f t="shared" si="12"/>
        <v>1666.1243214136589</v>
      </c>
      <c r="U40" s="112">
        <f t="shared" si="6"/>
        <v>2.1491910280077718E-3</v>
      </c>
      <c r="V40" s="112">
        <f t="shared" si="7"/>
        <v>4.300214023372783E-3</v>
      </c>
      <c r="W40" s="112">
        <f t="shared" si="8"/>
        <v>4.0151220514509707E-2</v>
      </c>
      <c r="X40" s="109">
        <f>T40/SUMIFS(T:T,L:L,L40)</f>
        <v>7.5647370950823856E-2</v>
      </c>
      <c r="Y40" s="52"/>
      <c r="Z40" s="71" t="s">
        <v>152</v>
      </c>
      <c r="AA40" s="44" t="s">
        <v>122</v>
      </c>
      <c r="AB40" s="44" t="s">
        <v>50</v>
      </c>
      <c r="AC40" s="44" t="s">
        <v>123</v>
      </c>
      <c r="AD40" s="54" t="s">
        <v>153</v>
      </c>
      <c r="AE40" s="54" t="s">
        <v>49</v>
      </c>
      <c r="AF40" s="54" t="s">
        <v>124</v>
      </c>
      <c r="AG40" s="54" t="s">
        <v>25</v>
      </c>
      <c r="AH40" s="78" t="s">
        <v>46</v>
      </c>
      <c r="AI40" s="93">
        <v>27085732.650959998</v>
      </c>
      <c r="AJ40" s="93">
        <v>33218125.504947431</v>
      </c>
      <c r="AK40" s="93">
        <v>39431287.077003576</v>
      </c>
      <c r="AL40" s="93">
        <v>45357984.857832432</v>
      </c>
      <c r="AM40" s="93">
        <v>51012826.676171504</v>
      </c>
      <c r="AN40" s="93">
        <v>56388433.686208285</v>
      </c>
      <c r="AO40" s="93">
        <v>61478026.493680283</v>
      </c>
      <c r="AP40" s="93">
        <v>66295313.75</v>
      </c>
      <c r="AQ40" s="93">
        <v>64796684.875</v>
      </c>
      <c r="AR40" s="93">
        <v>63298056</v>
      </c>
      <c r="AS40" s="93">
        <v>61799427.125</v>
      </c>
      <c r="AT40" s="93">
        <v>60300798.25</v>
      </c>
      <c r="AU40" s="93">
        <v>58802169.375</v>
      </c>
      <c r="AV40" s="93">
        <v>57303540.5</v>
      </c>
      <c r="AW40" s="93">
        <v>55804911.625</v>
      </c>
      <c r="AX40" s="93">
        <v>54306282.75</v>
      </c>
      <c r="AY40" s="93">
        <v>52807653.875</v>
      </c>
      <c r="AZ40" s="79">
        <v>51309025</v>
      </c>
    </row>
    <row r="41" spans="1:52" s="81" customFormat="1" ht="18.75" x14ac:dyDescent="0.25">
      <c r="A41" s="52"/>
      <c r="B41" s="107" t="s">
        <v>34</v>
      </c>
      <c r="C41">
        <v>42246719.323043548</v>
      </c>
      <c r="D41">
        <v>84554628.101106226</v>
      </c>
      <c r="E41">
        <v>713844751.25970018</v>
      </c>
      <c r="F41">
        <v>960948226.89864397</v>
      </c>
      <c r="G41">
        <v>1168887622.0129669</v>
      </c>
      <c r="H41"/>
      <c r="I41"/>
      <c r="J41" s="106"/>
      <c r="K41" s="5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52"/>
      <c r="Z41" s="71" t="s">
        <v>154</v>
      </c>
      <c r="AA41" s="44" t="s">
        <v>122</v>
      </c>
      <c r="AB41" s="44" t="s">
        <v>50</v>
      </c>
      <c r="AC41" s="44" t="s">
        <v>123</v>
      </c>
      <c r="AD41" s="54" t="s">
        <v>153</v>
      </c>
      <c r="AE41" s="54" t="s">
        <v>49</v>
      </c>
      <c r="AF41" s="54" t="s">
        <v>124</v>
      </c>
      <c r="AG41" s="54" t="s">
        <v>7</v>
      </c>
      <c r="AH41" s="78" t="s">
        <v>46</v>
      </c>
      <c r="AI41" s="94">
        <v>23359.4355</v>
      </c>
      <c r="AJ41" s="93">
        <v>0</v>
      </c>
      <c r="AK41" s="93">
        <v>0</v>
      </c>
      <c r="AL41" s="93">
        <v>0</v>
      </c>
      <c r="AM41" s="93">
        <v>0</v>
      </c>
      <c r="AN41" s="93">
        <v>0</v>
      </c>
      <c r="AO41" s="93">
        <v>0</v>
      </c>
      <c r="AP41" s="93">
        <v>0</v>
      </c>
      <c r="AQ41" s="93">
        <v>0</v>
      </c>
      <c r="AR41" s="93">
        <v>0</v>
      </c>
      <c r="AS41" s="93">
        <v>0</v>
      </c>
      <c r="AT41" s="93">
        <v>0</v>
      </c>
      <c r="AU41" s="93">
        <v>0</v>
      </c>
      <c r="AV41" s="93">
        <v>0</v>
      </c>
      <c r="AW41" s="93">
        <v>0</v>
      </c>
      <c r="AX41" s="93">
        <v>0</v>
      </c>
      <c r="AY41" s="93">
        <v>0</v>
      </c>
      <c r="AZ41" s="79">
        <v>0</v>
      </c>
    </row>
    <row r="42" spans="1:52" s="81" customFormat="1" ht="18.75" x14ac:dyDescent="0.25">
      <c r="A42" s="52"/>
      <c r="B42" s="13" t="s">
        <v>38</v>
      </c>
      <c r="C42">
        <v>20844644289.907169</v>
      </c>
      <c r="D42">
        <v>20891817298.220219</v>
      </c>
      <c r="E42">
        <v>22863426228.664799</v>
      </c>
      <c r="F42">
        <v>21505802732.11105</v>
      </c>
      <c r="G42">
        <v>22706669371.305878</v>
      </c>
      <c r="H42"/>
      <c r="I42"/>
      <c r="J42" s="52"/>
      <c r="K42" s="5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52"/>
      <c r="Z42" s="71" t="s">
        <v>155</v>
      </c>
      <c r="AA42" s="44" t="s">
        <v>122</v>
      </c>
      <c r="AB42" s="44" t="s">
        <v>50</v>
      </c>
      <c r="AC42" s="44" t="s">
        <v>123</v>
      </c>
      <c r="AD42" s="54" t="s">
        <v>153</v>
      </c>
      <c r="AE42" s="54" t="s">
        <v>49</v>
      </c>
      <c r="AF42" s="54" t="s">
        <v>124</v>
      </c>
      <c r="AG42" s="54" t="s">
        <v>23</v>
      </c>
      <c r="AH42" s="78" t="s">
        <v>46</v>
      </c>
      <c r="AI42" s="93">
        <v>50758729.640155002</v>
      </c>
      <c r="AJ42" s="93">
        <v>42067176.115560852</v>
      </c>
      <c r="AK42" s="93">
        <v>34358172.462785266</v>
      </c>
      <c r="AL42" s="93">
        <v>26928291.863415856</v>
      </c>
      <c r="AM42" s="93">
        <v>19777534.317452624</v>
      </c>
      <c r="AN42" s="93">
        <v>12905899.82489557</v>
      </c>
      <c r="AO42" s="93">
        <v>6313388.3857446965</v>
      </c>
      <c r="AP42" s="93">
        <v>0</v>
      </c>
      <c r="AQ42" s="93">
        <v>0</v>
      </c>
      <c r="AR42" s="93">
        <v>0</v>
      </c>
      <c r="AS42" s="93">
        <v>0</v>
      </c>
      <c r="AT42" s="93">
        <v>0</v>
      </c>
      <c r="AU42" s="93">
        <v>0</v>
      </c>
      <c r="AV42" s="93">
        <v>0</v>
      </c>
      <c r="AW42" s="93">
        <v>0</v>
      </c>
      <c r="AX42" s="93">
        <v>0</v>
      </c>
      <c r="AY42" s="93">
        <v>0</v>
      </c>
      <c r="AZ42" s="79">
        <v>0</v>
      </c>
    </row>
    <row r="43" spans="1:52" s="81" customFormat="1" ht="18.75" x14ac:dyDescent="0.25">
      <c r="A43" s="52"/>
      <c r="B43"/>
      <c r="C43"/>
      <c r="D43"/>
      <c r="E43"/>
      <c r="F43" s="52"/>
      <c r="G43" s="52"/>
      <c r="H43" s="52"/>
      <c r="I43" s="52"/>
      <c r="J43" s="52"/>
      <c r="K43" s="5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52"/>
      <c r="Z43" s="80" t="s">
        <v>156</v>
      </c>
      <c r="AA43" s="81" t="s">
        <v>122</v>
      </c>
      <c r="AB43" s="81" t="s">
        <v>50</v>
      </c>
      <c r="AC43" s="81" t="s">
        <v>123</v>
      </c>
      <c r="AD43" s="82" t="s">
        <v>157</v>
      </c>
      <c r="AE43" s="82" t="s">
        <v>47</v>
      </c>
      <c r="AF43" s="82" t="s">
        <v>124</v>
      </c>
      <c r="AG43" s="82" t="s">
        <v>24</v>
      </c>
      <c r="AH43" s="83" t="s">
        <v>46</v>
      </c>
      <c r="AI43" s="95">
        <v>74582.603264240301</v>
      </c>
      <c r="AJ43" s="95">
        <v>63730.38147249836</v>
      </c>
      <c r="AK43" s="95">
        <v>52944.523205146004</v>
      </c>
      <c r="AL43" s="95">
        <v>42224.72192614575</v>
      </c>
      <c r="AM43" s="95">
        <v>31570.672360292403</v>
      </c>
      <c r="AN43" s="95">
        <v>0</v>
      </c>
      <c r="AO43" s="95">
        <v>0</v>
      </c>
      <c r="AP43" s="95">
        <v>0</v>
      </c>
      <c r="AQ43" s="95">
        <v>0</v>
      </c>
      <c r="AR43" s="95">
        <v>0</v>
      </c>
      <c r="AS43" s="95">
        <v>0</v>
      </c>
      <c r="AT43" s="95">
        <v>0</v>
      </c>
      <c r="AU43" s="95">
        <v>0</v>
      </c>
      <c r="AV43" s="95">
        <v>0</v>
      </c>
      <c r="AW43" s="95">
        <v>0</v>
      </c>
      <c r="AX43" s="95">
        <v>0</v>
      </c>
      <c r="AY43" s="95">
        <v>0</v>
      </c>
      <c r="AZ43" s="85">
        <v>0</v>
      </c>
    </row>
    <row r="44" spans="1:52" s="81" customFormat="1" ht="18.75" x14ac:dyDescent="0.25">
      <c r="A44" s="52"/>
      <c r="B44"/>
      <c r="C44"/>
      <c r="D44"/>
      <c r="E44"/>
      <c r="F44" s="52"/>
      <c r="G44" s="52"/>
      <c r="H44" s="52"/>
      <c r="I44" s="52"/>
      <c r="J44" s="52"/>
      <c r="K44" s="5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52"/>
      <c r="Z44" s="80" t="s">
        <v>158</v>
      </c>
      <c r="AA44" s="81" t="s">
        <v>122</v>
      </c>
      <c r="AB44" s="81" t="s">
        <v>50</v>
      </c>
      <c r="AC44" s="81" t="s">
        <v>123</v>
      </c>
      <c r="AD44" s="82" t="s">
        <v>157</v>
      </c>
      <c r="AE44" s="82" t="s">
        <v>47</v>
      </c>
      <c r="AF44" s="82" t="s">
        <v>124</v>
      </c>
      <c r="AG44" s="82" t="s">
        <v>25</v>
      </c>
      <c r="AH44" s="83" t="s">
        <v>46</v>
      </c>
      <c r="AI44" s="84">
        <v>21989437.529073495</v>
      </c>
      <c r="AJ44" s="84">
        <v>22212693.37572702</v>
      </c>
      <c r="AK44" s="84">
        <v>22434359.299460519</v>
      </c>
      <c r="AL44" s="84">
        <v>22654442.995083969</v>
      </c>
      <c r="AM44" s="84">
        <v>22872952.125031825</v>
      </c>
      <c r="AN44" s="84">
        <v>23089894.319489632</v>
      </c>
      <c r="AO44" s="84">
        <v>23305277.17652018</v>
      </c>
      <c r="AP44" s="84">
        <v>23519108.262189183</v>
      </c>
      <c r="AQ44" s="84">
        <v>23433919.231933162</v>
      </c>
      <c r="AR44" s="84">
        <v>23351480.631094594</v>
      </c>
      <c r="AS44" s="84">
        <v>23267666.815547302</v>
      </c>
      <c r="AT44" s="84">
        <v>23183853</v>
      </c>
      <c r="AU44" s="84">
        <v>23100000</v>
      </c>
      <c r="AV44" s="84">
        <v>23016328.948381927</v>
      </c>
      <c r="AW44" s="84">
        <v>22932960.963641729</v>
      </c>
      <c r="AX44" s="84">
        <v>22849894.948033761</v>
      </c>
      <c r="AY44" s="84">
        <v>22767129.807788547</v>
      </c>
      <c r="AZ44" s="85">
        <v>22684664.453098383</v>
      </c>
    </row>
    <row r="45" spans="1:52" s="81" customFormat="1" ht="18.75" x14ac:dyDescent="0.25">
      <c r="A45" s="52"/>
      <c r="B45"/>
      <c r="C45"/>
      <c r="D45"/>
      <c r="E45"/>
      <c r="F45" s="52"/>
      <c r="G45" s="52"/>
      <c r="H45" s="52"/>
      <c r="I45" s="52"/>
      <c r="J45" s="52"/>
      <c r="K45" s="5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52"/>
      <c r="Z45" s="80" t="s">
        <v>159</v>
      </c>
      <c r="AA45" s="81" t="s">
        <v>122</v>
      </c>
      <c r="AB45" s="81" t="s">
        <v>50</v>
      </c>
      <c r="AC45" s="81" t="s">
        <v>123</v>
      </c>
      <c r="AD45" s="82" t="s">
        <v>157</v>
      </c>
      <c r="AE45" s="82" t="s">
        <v>47</v>
      </c>
      <c r="AF45" s="82" t="s">
        <v>124</v>
      </c>
      <c r="AG45" s="82" t="s">
        <v>23</v>
      </c>
      <c r="AH45" s="83" t="s">
        <v>46</v>
      </c>
      <c r="AI45" s="84">
        <v>1967116.1610943358</v>
      </c>
      <c r="AJ45" s="84">
        <v>1680888.8113371427</v>
      </c>
      <c r="AK45" s="84">
        <v>1396411.7995357246</v>
      </c>
      <c r="AL45" s="84">
        <v>1113677.040802093</v>
      </c>
      <c r="AM45" s="84">
        <v>832676.4835027114</v>
      </c>
      <c r="AN45" s="84">
        <v>553402.10913017066</v>
      </c>
      <c r="AO45" s="84">
        <v>275845.93217534176</v>
      </c>
      <c r="AP45" s="84">
        <v>0</v>
      </c>
      <c r="AQ45" s="84">
        <v>0</v>
      </c>
      <c r="AR45" s="84">
        <v>0</v>
      </c>
      <c r="AS45" s="84">
        <v>0</v>
      </c>
      <c r="AT45" s="84">
        <v>0</v>
      </c>
      <c r="AU45" s="84">
        <v>0</v>
      </c>
      <c r="AV45" s="84">
        <v>0</v>
      </c>
      <c r="AW45" s="84">
        <v>0</v>
      </c>
      <c r="AX45" s="84">
        <v>0</v>
      </c>
      <c r="AY45" s="84">
        <v>0</v>
      </c>
      <c r="AZ45" s="85">
        <v>0</v>
      </c>
    </row>
    <row r="46" spans="1:52" ht="18.75" x14ac:dyDescent="0.25">
      <c r="A46" s="52"/>
      <c r="B46"/>
      <c r="C46"/>
      <c r="D46"/>
      <c r="E46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96" t="s">
        <v>160</v>
      </c>
      <c r="AA46" s="81" t="s">
        <v>122</v>
      </c>
      <c r="AB46" s="81" t="s">
        <v>50</v>
      </c>
      <c r="AC46" s="81" t="s">
        <v>123</v>
      </c>
      <c r="AD46" s="82" t="s">
        <v>157</v>
      </c>
      <c r="AE46" s="82" t="s">
        <v>47</v>
      </c>
      <c r="AF46" s="82" t="s">
        <v>129</v>
      </c>
      <c r="AG46" s="82" t="s">
        <v>24</v>
      </c>
      <c r="AH46" s="83" t="s">
        <v>46</v>
      </c>
      <c r="AI46" s="84">
        <v>241321.16965254617</v>
      </c>
      <c r="AJ46" s="84">
        <v>206207.47367664197</v>
      </c>
      <c r="AK46" s="84">
        <v>171308.50503160365</v>
      </c>
      <c r="AL46" s="84">
        <v>136623.2718824473</v>
      </c>
      <c r="AM46" s="84">
        <v>102150.78647376678</v>
      </c>
      <c r="AN46" s="84">
        <v>67890.06511399115</v>
      </c>
      <c r="AO46" s="84">
        <v>33840.1281597005</v>
      </c>
      <c r="AP46" s="84">
        <v>0</v>
      </c>
      <c r="AQ46" s="84">
        <v>0</v>
      </c>
      <c r="AR46" s="84">
        <v>0</v>
      </c>
      <c r="AS46" s="84">
        <v>0</v>
      </c>
      <c r="AT46" s="84">
        <v>0</v>
      </c>
      <c r="AU46" s="84">
        <v>0</v>
      </c>
      <c r="AV46" s="84">
        <v>0</v>
      </c>
      <c r="AW46" s="84">
        <v>0</v>
      </c>
      <c r="AX46" s="84">
        <v>0</v>
      </c>
      <c r="AY46" s="84">
        <v>0</v>
      </c>
      <c r="AZ46" s="85">
        <v>0</v>
      </c>
    </row>
    <row r="47" spans="1:52" ht="18.75" x14ac:dyDescent="0.25">
      <c r="A47" s="52"/>
      <c r="B47"/>
      <c r="C47"/>
      <c r="D47"/>
      <c r="E47"/>
      <c r="F47" s="52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96" t="s">
        <v>161</v>
      </c>
      <c r="AA47" s="81" t="s">
        <v>122</v>
      </c>
      <c r="AB47" s="81" t="s">
        <v>50</v>
      </c>
      <c r="AC47" s="81" t="s">
        <v>123</v>
      </c>
      <c r="AD47" s="82" t="s">
        <v>157</v>
      </c>
      <c r="AE47" s="82" t="s">
        <v>47</v>
      </c>
      <c r="AF47" s="82" t="s">
        <v>129</v>
      </c>
      <c r="AG47" s="82" t="s">
        <v>25</v>
      </c>
      <c r="AH47" s="83" t="s">
        <v>46</v>
      </c>
      <c r="AI47" s="84">
        <v>16534156.502557784</v>
      </c>
      <c r="AJ47" s="84">
        <v>16529924.35452354</v>
      </c>
      <c r="AK47" s="84">
        <v>16525560.452048697</v>
      </c>
      <c r="AL47" s="84">
        <v>16521065.64990624</v>
      </c>
      <c r="AM47" s="84">
        <v>16516440.798844293</v>
      </c>
      <c r="AN47" s="84">
        <v>16511686.745602818</v>
      </c>
      <c r="AO47" s="84">
        <v>16506804.332930272</v>
      </c>
      <c r="AP47" s="84">
        <v>16501794.399600195</v>
      </c>
      <c r="AQ47" s="84">
        <v>16442022.92158688</v>
      </c>
      <c r="AR47" s="84">
        <v>16384181.237010097</v>
      </c>
      <c r="AS47" s="84">
        <v>16325374.655715052</v>
      </c>
      <c r="AT47" s="84">
        <v>16266568.074419999</v>
      </c>
      <c r="AU47" s="84">
        <v>16207734</v>
      </c>
      <c r="AV47" s="84">
        <v>16149027.586661212</v>
      </c>
      <c r="AW47" s="84">
        <v>16090533.815198649</v>
      </c>
      <c r="AX47" s="84">
        <v>16032251.915397184</v>
      </c>
      <c r="AY47" s="84">
        <v>15974181.119831508</v>
      </c>
      <c r="AZ47" s="85">
        <v>15916320.663856016</v>
      </c>
    </row>
    <row r="48" spans="1:52" ht="18.75" x14ac:dyDescent="0.25">
      <c r="A48" s="52"/>
      <c r="B48"/>
      <c r="C48"/>
      <c r="D48"/>
      <c r="E48"/>
      <c r="F48" s="52"/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97" t="s">
        <v>162</v>
      </c>
      <c r="AA48" s="98" t="s">
        <v>122</v>
      </c>
      <c r="AB48" s="98" t="s">
        <v>50</v>
      </c>
      <c r="AC48" s="98" t="s">
        <v>123</v>
      </c>
      <c r="AD48" s="99" t="s">
        <v>157</v>
      </c>
      <c r="AE48" s="99" t="s">
        <v>47</v>
      </c>
      <c r="AF48" s="99" t="s">
        <v>129</v>
      </c>
      <c r="AG48" s="99" t="s">
        <v>35</v>
      </c>
      <c r="AH48" s="100" t="s">
        <v>46</v>
      </c>
      <c r="AI48" s="101">
        <v>87753.152600925881</v>
      </c>
      <c r="AJ48" s="101">
        <v>74984.535882415264</v>
      </c>
      <c r="AK48" s="101">
        <v>62294.00182967406</v>
      </c>
      <c r="AL48" s="101">
        <v>49681.189775435392</v>
      </c>
      <c r="AM48" s="101">
        <v>37145.740535915204</v>
      </c>
      <c r="AN48" s="101">
        <v>24687.296405087694</v>
      </c>
      <c r="AO48" s="101">
        <v>0</v>
      </c>
      <c r="AP48" s="101">
        <v>0</v>
      </c>
      <c r="AQ48" s="101">
        <v>0</v>
      </c>
      <c r="AR48" s="101">
        <v>0</v>
      </c>
      <c r="AS48" s="101">
        <v>0</v>
      </c>
      <c r="AT48" s="101">
        <v>0</v>
      </c>
      <c r="AU48" s="101">
        <v>0</v>
      </c>
      <c r="AV48" s="101">
        <v>0</v>
      </c>
      <c r="AW48" s="101">
        <v>0</v>
      </c>
      <c r="AX48" s="101">
        <v>0</v>
      </c>
      <c r="AY48" s="101">
        <v>0</v>
      </c>
      <c r="AZ48" s="102">
        <v>0</v>
      </c>
    </row>
    <row r="49" spans="1:52" ht="18.75" x14ac:dyDescent="0.3">
      <c r="A49" s="52"/>
      <c r="B49"/>
      <c r="C49"/>
      <c r="D49"/>
      <c r="E49"/>
      <c r="F49" s="52"/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AD49" s="54"/>
      <c r="AE49" s="54"/>
      <c r="AF49" s="54"/>
      <c r="AG49" s="54"/>
      <c r="AI49" s="103">
        <v>22706669371.305874</v>
      </c>
      <c r="AJ49" s="103">
        <v>21505802732.111046</v>
      </c>
      <c r="AK49" s="103">
        <v>17801265321.470036</v>
      </c>
      <c r="AL49" s="103">
        <v>22863426228.664795</v>
      </c>
      <c r="AM49" s="103">
        <v>22396909475.257351</v>
      </c>
      <c r="AN49" s="103">
        <v>21709944760.605293</v>
      </c>
      <c r="AO49" s="103">
        <v>21493047603.936092</v>
      </c>
      <c r="AP49" s="103">
        <v>20891817298.220222</v>
      </c>
      <c r="AQ49" s="103">
        <v>20206161412.654442</v>
      </c>
      <c r="AR49" s="103">
        <v>20197929088.577797</v>
      </c>
      <c r="AS49" s="103">
        <v>20099839627.335304</v>
      </c>
      <c r="AT49" s="103">
        <v>20329146607.405121</v>
      </c>
      <c r="AU49" s="103">
        <v>20844644289.907173</v>
      </c>
      <c r="AV49" s="103">
        <v>19819609576.504684</v>
      </c>
      <c r="AW49" s="103">
        <v>20078969994.628773</v>
      </c>
      <c r="AX49" s="103">
        <v>20714823995.515152</v>
      </c>
      <c r="AY49" s="103">
        <v>20611117909.681705</v>
      </c>
      <c r="AZ49" s="103">
        <v>20489282706.00415</v>
      </c>
    </row>
    <row r="50" spans="1:52" ht="18.75" x14ac:dyDescent="0.25">
      <c r="A50" s="52"/>
      <c r="B50"/>
      <c r="C50"/>
      <c r="D50"/>
      <c r="E50"/>
      <c r="F50" s="52"/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</row>
    <row r="51" spans="1:52" ht="18.75" x14ac:dyDescent="0.25">
      <c r="A51" s="52"/>
      <c r="B51"/>
      <c r="C51"/>
      <c r="D51"/>
      <c r="E51"/>
      <c r="F51" s="52"/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AH51" s="44">
        <v>2022</v>
      </c>
      <c r="AI51" s="44" t="s">
        <v>163</v>
      </c>
      <c r="AJ51" s="104">
        <v>233000000</v>
      </c>
    </row>
    <row r="52" spans="1:52" x14ac:dyDescent="0.25">
      <c r="B52"/>
      <c r="C52"/>
      <c r="D52"/>
      <c r="E52"/>
      <c r="AH52" s="44">
        <v>2023</v>
      </c>
      <c r="AI52" s="44" t="s">
        <v>163</v>
      </c>
      <c r="AJ52" s="105">
        <f>AJ51/SUM(AJ28:AJ31,AJ13:AJ19)</f>
        <v>0.29228728221323469</v>
      </c>
    </row>
    <row r="53" spans="1:52" x14ac:dyDescent="0.25">
      <c r="B53"/>
      <c r="C53"/>
      <c r="D53"/>
      <c r="E53"/>
      <c r="AH53" s="44">
        <v>2024</v>
      </c>
      <c r="AI53" s="44" t="s">
        <v>164</v>
      </c>
    </row>
    <row r="54" spans="1:52" x14ac:dyDescent="0.25">
      <c r="B54"/>
      <c r="C54"/>
      <c r="D54"/>
      <c r="E54"/>
      <c r="AH54" s="44">
        <v>2025</v>
      </c>
      <c r="AI54" s="44" t="s">
        <v>165</v>
      </c>
    </row>
    <row r="55" spans="1:52" x14ac:dyDescent="0.25">
      <c r="B55"/>
      <c r="C55"/>
      <c r="D55"/>
      <c r="E55"/>
      <c r="AH55" s="44">
        <v>2026</v>
      </c>
      <c r="AI55" s="44" t="s">
        <v>166</v>
      </c>
    </row>
    <row r="56" spans="1:52" x14ac:dyDescent="0.25">
      <c r="B56"/>
      <c r="C56"/>
      <c r="D56"/>
      <c r="E56"/>
    </row>
    <row r="57" spans="1:52" x14ac:dyDescent="0.25">
      <c r="B57"/>
      <c r="C57"/>
      <c r="D57"/>
      <c r="E57"/>
      <c r="AI57" s="44">
        <f>AI18/SUM(AI13:AI18)</f>
        <v>2.010698865416956E-3</v>
      </c>
    </row>
    <row r="58" spans="1:52" x14ac:dyDescent="0.25">
      <c r="B58"/>
      <c r="C58"/>
      <c r="D58"/>
      <c r="E58"/>
    </row>
    <row r="59" spans="1:52" x14ac:dyDescent="0.25">
      <c r="B59"/>
      <c r="C59"/>
      <c r="D59"/>
      <c r="E59"/>
    </row>
    <row r="60" spans="1:52" x14ac:dyDescent="0.25">
      <c r="B60"/>
      <c r="C60"/>
      <c r="D60"/>
      <c r="E60"/>
    </row>
    <row r="61" spans="1:52" x14ac:dyDescent="0.25">
      <c r="B61"/>
      <c r="C61"/>
      <c r="D61"/>
      <c r="E61"/>
    </row>
    <row r="62" spans="1:52" x14ac:dyDescent="0.25">
      <c r="B62"/>
      <c r="C62"/>
      <c r="D62"/>
      <c r="E62"/>
    </row>
    <row r="63" spans="1:52" x14ac:dyDescent="0.25">
      <c r="B63"/>
      <c r="C63"/>
      <c r="D63"/>
      <c r="E63"/>
    </row>
    <row r="64" spans="1:52" x14ac:dyDescent="0.25">
      <c r="B64"/>
      <c r="C64"/>
      <c r="D64"/>
      <c r="E64"/>
    </row>
    <row r="65" spans="2:5" x14ac:dyDescent="0.25">
      <c r="B65"/>
      <c r="C65"/>
      <c r="D65"/>
      <c r="E65"/>
    </row>
    <row r="66" spans="2:5" x14ac:dyDescent="0.25">
      <c r="B66"/>
      <c r="C66"/>
      <c r="D66"/>
      <c r="E66"/>
    </row>
    <row r="67" spans="2:5" x14ac:dyDescent="0.25">
      <c r="B67"/>
      <c r="C67"/>
      <c r="D67"/>
      <c r="E67"/>
    </row>
  </sheetData>
  <autoFilter ref="A12:AZ12" xr:uid="{36D6FAF9-66B5-477F-A749-2F7BB711ED8E}">
    <sortState xmlns:xlrd2="http://schemas.microsoft.com/office/spreadsheetml/2017/richdata2" ref="A13:AZ49">
      <sortCondition ref="Z12"/>
    </sortState>
  </autoFilter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9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28515625" customWidth="1"/>
    <col min="4" max="4" width="9.710937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10</v>
      </c>
      <c r="B1" s="12"/>
    </row>
    <row r="4" spans="1:12" ht="18" customHeight="1" x14ac:dyDescent="0.2"/>
    <row r="7" spans="1:12" x14ac:dyDescent="0.2">
      <c r="B7" s="1" t="s">
        <v>11</v>
      </c>
      <c r="C7" s="1" t="s">
        <v>12</v>
      </c>
      <c r="D7" s="1" t="s">
        <v>13</v>
      </c>
      <c r="E7" s="1" t="s">
        <v>14</v>
      </c>
      <c r="F7" s="1" t="s">
        <v>4</v>
      </c>
      <c r="G7" s="1" t="s">
        <v>5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7349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57349" r:id="rId4" name="cmdRefreshUnits"/>
      </mc:Fallback>
    </mc:AlternateContent>
    <mc:AlternateContent xmlns:mc="http://schemas.openxmlformats.org/markup-compatibility/2006">
      <mc:Choice Requires="x14">
        <control shapeId="57348" r:id="rId6" name="cmdTCAPUnit">
          <controlPr defaultSize="0" autoLine="0" r:id="rId7">
            <anchor moveWithCells="1">
              <from>
                <xdr:col>4</xdr:col>
                <xdr:colOff>9525</xdr:colOff>
                <xdr:row>4</xdr:row>
                <xdr:rowOff>19050</xdr:rowOff>
              </from>
              <to>
                <xdr:col>4</xdr:col>
                <xdr:colOff>647700</xdr:colOff>
                <xdr:row>5</xdr:row>
                <xdr:rowOff>95250</xdr:rowOff>
              </to>
            </anchor>
          </controlPr>
        </control>
      </mc:Choice>
      <mc:Fallback>
        <control shapeId="57348" r:id="rId6" name="cmdTCAPUnit"/>
      </mc:Fallback>
    </mc:AlternateContent>
    <mc:AlternateContent xmlns:mc="http://schemas.openxmlformats.org/markup-compatibility/2006">
      <mc:Choice Requires="x14">
        <control shapeId="57347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19050</xdr:rowOff>
              </from>
              <to>
                <xdr:col>4</xdr:col>
                <xdr:colOff>0</xdr:colOff>
                <xdr:row>5</xdr:row>
                <xdr:rowOff>95250</xdr:rowOff>
              </to>
            </anchor>
          </controlPr>
        </control>
      </mc:Choice>
      <mc:Fallback>
        <control shapeId="57347" r:id="rId8" name="cmdTACTUnit"/>
      </mc:Fallback>
    </mc:AlternateContent>
    <mc:AlternateContent xmlns:mc="http://schemas.openxmlformats.org/markup-compatibility/2006">
      <mc:Choice Requires="x14">
        <control shapeId="57346" r:id="rId10" name="cmdCheckTechnologies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57346" r:id="rId10" name="cmdCheckTechnologiesSheet"/>
      </mc:Fallback>
    </mc:AlternateContent>
    <mc:AlternateContent xmlns:mc="http://schemas.openxmlformats.org/markup-compatibility/2006">
      <mc:Choice Requires="x14">
        <control shapeId="57345" r:id="rId12" name="cmdTechnologySets">
          <controlPr defaultSize="0" autoLine="0" r:id="rId13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57345" r:id="rId12" name="cmdTechnologySets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.42578125" customWidth="1"/>
    <col min="2" max="2" width="11.140625" customWidth="1"/>
    <col min="3" max="3" width="27.28515625" customWidth="1"/>
    <col min="4" max="4" width="9.7109375" customWidth="1"/>
    <col min="5" max="5" width="9.85546875" customWidth="1"/>
    <col min="6" max="6" width="30.42578125" customWidth="1"/>
    <col min="7" max="7" width="10.42578125" customWidth="1"/>
  </cols>
  <sheetData>
    <row r="1" spans="1:12" x14ac:dyDescent="0.2">
      <c r="A1" s="1" t="s">
        <v>10</v>
      </c>
      <c r="B1" s="12"/>
    </row>
    <row r="4" spans="1:12" ht="18" customHeight="1" x14ac:dyDescent="0.2"/>
    <row r="7" spans="1:12" x14ac:dyDescent="0.2">
      <c r="B7" s="1" t="s">
        <v>11</v>
      </c>
      <c r="C7" s="1" t="s">
        <v>12</v>
      </c>
      <c r="D7" s="1" t="s">
        <v>13</v>
      </c>
      <c r="E7" s="1" t="s">
        <v>14</v>
      </c>
      <c r="F7" s="1" t="s">
        <v>4</v>
      </c>
      <c r="G7" s="1" t="s">
        <v>5</v>
      </c>
    </row>
    <row r="8" spans="1:12" x14ac:dyDescent="0.2">
      <c r="B8" s="1"/>
      <c r="C8" s="1"/>
      <c r="D8" s="1"/>
      <c r="E8" s="1"/>
      <c r="F8" s="1"/>
      <c r="G8" s="1"/>
    </row>
    <row r="9" spans="1:12" x14ac:dyDescent="0.2">
      <c r="D9" s="2"/>
      <c r="E9" s="2"/>
      <c r="F9" s="2"/>
    </row>
    <row r="10" spans="1:12" x14ac:dyDescent="0.2">
      <c r="F10" s="2"/>
    </row>
    <row r="11" spans="1:12" x14ac:dyDescent="0.2">
      <c r="B11" s="1"/>
      <c r="C11" s="1"/>
      <c r="D11" s="11"/>
      <c r="E11" s="11"/>
    </row>
    <row r="12" spans="1:12" x14ac:dyDescent="0.2">
      <c r="B12" s="7"/>
      <c r="C12" s="2"/>
      <c r="F12" s="11"/>
    </row>
    <row r="13" spans="1:12" x14ac:dyDescent="0.2">
      <c r="B13" s="2"/>
      <c r="C13" s="2"/>
    </row>
    <row r="14" spans="1:12" x14ac:dyDescent="0.2">
      <c r="B14" s="2"/>
      <c r="C14" s="2"/>
      <c r="D14" s="5"/>
      <c r="F14" s="2"/>
      <c r="L14" s="4"/>
    </row>
    <row r="15" spans="1:12" x14ac:dyDescent="0.2">
      <c r="B15" s="2"/>
      <c r="C15" s="2"/>
      <c r="E15" s="5"/>
      <c r="F15" s="2"/>
    </row>
    <row r="16" spans="1:12" x14ac:dyDescent="0.2">
      <c r="B16" s="2"/>
      <c r="C16" s="2"/>
      <c r="F16" s="2"/>
    </row>
    <row r="17" spans="2:6" x14ac:dyDescent="0.2">
      <c r="D17" s="5"/>
    </row>
    <row r="18" spans="2:6" x14ac:dyDescent="0.2">
      <c r="E18" s="5"/>
    </row>
    <row r="20" spans="2:6" x14ac:dyDescent="0.2">
      <c r="B20" s="2"/>
      <c r="C20" s="2"/>
      <c r="F20" s="8"/>
    </row>
    <row r="21" spans="2:6" x14ac:dyDescent="0.2">
      <c r="B21" s="2"/>
      <c r="C21" s="2"/>
    </row>
    <row r="22" spans="2:6" x14ac:dyDescent="0.2">
      <c r="B22" s="2"/>
      <c r="C22" s="2"/>
      <c r="D22" s="2"/>
      <c r="E22" s="2"/>
      <c r="F22" s="2"/>
    </row>
    <row r="23" spans="2:6" x14ac:dyDescent="0.2">
      <c r="B23" s="2"/>
      <c r="C23" s="2"/>
    </row>
    <row r="24" spans="2:6" x14ac:dyDescent="0.2">
      <c r="B24" s="2"/>
      <c r="C24" s="2"/>
    </row>
    <row r="25" spans="2:6" x14ac:dyDescent="0.2">
      <c r="D25" s="5"/>
      <c r="E25" s="5"/>
    </row>
    <row r="26" spans="2:6" x14ac:dyDescent="0.2">
      <c r="F26" s="2"/>
    </row>
    <row r="27" spans="2:6" x14ac:dyDescent="0.2">
      <c r="B27" s="3"/>
      <c r="C27" s="2"/>
      <c r="D27" s="5"/>
      <c r="E27" s="5"/>
    </row>
    <row r="28" spans="2:6" x14ac:dyDescent="0.2">
      <c r="B28" s="2"/>
      <c r="C28" s="2"/>
      <c r="D28" s="8"/>
      <c r="E28" s="2"/>
      <c r="F28" s="2"/>
    </row>
    <row r="29" spans="2:6" x14ac:dyDescent="0.2">
      <c r="B29" s="2"/>
      <c r="C29" s="2"/>
    </row>
    <row r="30" spans="2:6" x14ac:dyDescent="0.2">
      <c r="B30" s="2"/>
      <c r="C30" s="2"/>
    </row>
    <row r="31" spans="2:6" x14ac:dyDescent="0.2">
      <c r="B31" s="2"/>
      <c r="C31" s="2"/>
    </row>
    <row r="32" spans="2:6" x14ac:dyDescent="0.2">
      <c r="B32" s="2"/>
      <c r="C32" s="2"/>
    </row>
    <row r="33" spans="2:6" x14ac:dyDescent="0.2">
      <c r="B33" s="2"/>
      <c r="C33" s="2"/>
    </row>
    <row r="37" spans="2:6" x14ac:dyDescent="0.2">
      <c r="B37" s="2"/>
      <c r="C37" s="2"/>
      <c r="F37" s="2"/>
    </row>
    <row r="38" spans="2:6" x14ac:dyDescent="0.2">
      <c r="B38" s="3"/>
      <c r="C38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5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285750</xdr:colOff>
                <xdr:row>3</xdr:row>
                <xdr:rowOff>200025</xdr:rowOff>
              </to>
            </anchor>
          </controlPr>
        </control>
      </mc:Choice>
      <mc:Fallback>
        <control shapeId="1135" r:id="rId4" name="cmdRefreshUnits"/>
      </mc:Fallback>
    </mc:AlternateContent>
    <mc:AlternateContent xmlns:mc="http://schemas.openxmlformats.org/markup-compatibility/2006">
      <mc:Choice Requires="x14">
        <control shapeId="1036" r:id="rId6" name="cmdTCAPUnit">
          <controlPr defaultSize="0" autoLine="0" r:id="rId7">
            <anchor moveWithCells="1">
              <from>
                <xdr:col>4</xdr:col>
                <xdr:colOff>9525</xdr:colOff>
                <xdr:row>4</xdr:row>
                <xdr:rowOff>19050</xdr:rowOff>
              </from>
              <to>
                <xdr:col>4</xdr:col>
                <xdr:colOff>647700</xdr:colOff>
                <xdr:row>5</xdr:row>
                <xdr:rowOff>95250</xdr:rowOff>
              </to>
            </anchor>
          </controlPr>
        </control>
      </mc:Choice>
      <mc:Fallback>
        <control shapeId="1036" r:id="rId6" name="cmdTCAPUni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9525</xdr:colOff>
                <xdr:row>4</xdr:row>
                <xdr:rowOff>19050</xdr:rowOff>
              </from>
              <to>
                <xdr:col>4</xdr:col>
                <xdr:colOff>0</xdr:colOff>
                <xdr:row>5</xdr:row>
                <xdr:rowOff>95250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4" r:id="rId10" name="cmdCheckTechnologiesSheet">
          <controlPr defaultSize="0" autoLine="0" autoPict="0" r:id="rId11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10" name="cmdCheckTechnologiesSheet"/>
      </mc:Fallback>
    </mc:AlternateContent>
    <mc:AlternateContent xmlns:mc="http://schemas.openxmlformats.org/markup-compatibility/2006">
      <mc:Choice Requires="x14">
        <control shapeId="1025" r:id="rId12" name="cmdTechnologySets">
          <controlPr defaultSize="0" autoLine="0" r:id="rId13">
            <anchor moveWithCells="1">
              <from>
                <xdr:col>5</xdr:col>
                <xdr:colOff>19050</xdr:colOff>
                <xdr:row>4</xdr:row>
                <xdr:rowOff>19050</xdr:rowOff>
              </from>
              <to>
                <xdr:col>5</xdr:col>
                <xdr:colOff>1819275</xdr:colOff>
                <xdr:row>5</xdr:row>
                <xdr:rowOff>95250</xdr:rowOff>
              </to>
            </anchor>
          </controlPr>
        </control>
      </mc:Choice>
      <mc:Fallback>
        <control shapeId="1025" r:id="rId12" name="cmdTechnologySets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11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140625" customWidth="1"/>
    <col min="6" max="6" width="10.28515625" customWidth="1"/>
  </cols>
  <sheetData>
    <row r="1" spans="1:6" x14ac:dyDescent="0.2">
      <c r="A1" s="1" t="s">
        <v>39</v>
      </c>
      <c r="B1" s="12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27</v>
      </c>
      <c r="C7" s="1" t="s">
        <v>28</v>
      </c>
      <c r="D7" s="1" t="s">
        <v>20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59396" r:id="rId4" name="cmdRefreshUnits">
          <controlPr defaultSize="0" autoLine="0" r:id="rId5">
            <anchor moveWithCells="1">
              <from>
                <xdr:col>3</xdr:col>
                <xdr:colOff>19050</xdr:colOff>
                <xdr:row>2</xdr:row>
                <xdr:rowOff>47625</xdr:rowOff>
              </from>
              <to>
                <xdr:col>3</xdr:col>
                <xdr:colOff>571500</xdr:colOff>
                <xdr:row>4</xdr:row>
                <xdr:rowOff>19050</xdr:rowOff>
              </to>
            </anchor>
          </controlPr>
        </control>
      </mc:Choice>
      <mc:Fallback>
        <control shapeId="59396" r:id="rId4" name="cmdRefreshUnits"/>
      </mc:Fallback>
    </mc:AlternateContent>
    <mc:AlternateContent xmlns:mc="http://schemas.openxmlformats.org/markup-compatibility/2006">
      <mc:Choice Requires="x14">
        <control shapeId="59395" r:id="rId6" name="cmdConstraintUnit">
          <controlPr defaultSize="0" autoLine="0" r:id="rId7">
            <anchor moveWithCells="1">
              <from>
                <xdr:col>3</xdr:col>
                <xdr:colOff>19050</xdr:colOff>
                <xdr:row>4</xdr:row>
                <xdr:rowOff>9525</xdr:rowOff>
              </from>
              <to>
                <xdr:col>3</xdr:col>
                <xdr:colOff>571500</xdr:colOff>
                <xdr:row>5</xdr:row>
                <xdr:rowOff>28575</xdr:rowOff>
              </to>
            </anchor>
          </controlPr>
        </control>
      </mc:Choice>
      <mc:Fallback>
        <control shapeId="59395" r:id="rId6" name="cmdConstraintUnit"/>
      </mc:Fallback>
    </mc:AlternateContent>
    <mc:AlternateContent xmlns:mc="http://schemas.openxmlformats.org/markup-compatibility/2006">
      <mc:Choice Requires="x14">
        <control shapeId="59394" r:id="rId8" name="cmdCheckConstraintsSheet">
          <controlPr defaultSize="0" autoLine="0" r:id="rId9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59394" r:id="rId8" name="cmdCheckConstraintsSheet"/>
      </mc:Fallback>
    </mc:AlternateContent>
    <mc:AlternateContent xmlns:mc="http://schemas.openxmlformats.org/markup-compatibility/2006">
      <mc:Choice Requires="x14">
        <control shapeId="59393" r:id="rId10" name="cmdConstraintSets">
          <controlPr defaultSize="0" autoLine="0" r:id="rId11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59393" r:id="rId10" name="cmdConstraintSets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2.75" x14ac:dyDescent="0.2"/>
  <cols>
    <col min="1" max="1" width="12" customWidth="1"/>
    <col min="2" max="2" width="11.7109375" customWidth="1"/>
    <col min="3" max="3" width="21.42578125" customWidth="1"/>
    <col min="4" max="4" width="8.7109375" customWidth="1"/>
    <col min="5" max="5" width="18.140625" customWidth="1"/>
    <col min="6" max="6" width="10.28515625" customWidth="1"/>
  </cols>
  <sheetData>
    <row r="1" spans="1:6" x14ac:dyDescent="0.2">
      <c r="A1" s="1" t="s">
        <v>39</v>
      </c>
      <c r="B1" s="12"/>
    </row>
    <row r="4" spans="1:6" ht="18.75" customHeight="1" x14ac:dyDescent="0.2"/>
    <row r="5" spans="1:6" ht="17.25" customHeight="1" x14ac:dyDescent="0.2">
      <c r="C5" s="2"/>
    </row>
    <row r="6" spans="1:6" ht="15.75" customHeight="1" x14ac:dyDescent="0.2"/>
    <row r="7" spans="1:6" x14ac:dyDescent="0.2">
      <c r="B7" s="3" t="s">
        <v>27</v>
      </c>
      <c r="C7" s="1" t="s">
        <v>28</v>
      </c>
      <c r="D7" s="1" t="s">
        <v>20</v>
      </c>
      <c r="E7" s="1" t="s">
        <v>4</v>
      </c>
      <c r="F7" s="1" t="s">
        <v>5</v>
      </c>
    </row>
    <row r="8" spans="1:6" x14ac:dyDescent="0.2">
      <c r="B8" s="1"/>
      <c r="C8" s="1"/>
      <c r="D8" s="1"/>
      <c r="E8" s="2"/>
      <c r="F8" s="1"/>
    </row>
    <row r="10" spans="1:6" x14ac:dyDescent="0.2">
      <c r="B10" s="2"/>
      <c r="C10" s="2"/>
      <c r="D10" s="11"/>
      <c r="E10" s="11"/>
    </row>
    <row r="11" spans="1:6" x14ac:dyDescent="0.2">
      <c r="B11" s="2"/>
      <c r="C11" s="2"/>
    </row>
    <row r="12" spans="1:6" x14ac:dyDescent="0.2">
      <c r="B12" s="2"/>
      <c r="C12" s="2"/>
      <c r="D12" s="2"/>
      <c r="E12" s="2"/>
    </row>
    <row r="13" spans="1:6" x14ac:dyDescent="0.2">
      <c r="B13" s="2"/>
      <c r="C13" s="2"/>
      <c r="D13" s="5"/>
      <c r="E13" s="2"/>
    </row>
    <row r="14" spans="1:6" x14ac:dyDescent="0.2">
      <c r="B14" s="2"/>
      <c r="C14" s="2"/>
      <c r="D14" s="2"/>
      <c r="E14" s="2"/>
    </row>
    <row r="15" spans="1:6" x14ac:dyDescent="0.2">
      <c r="B15" s="2"/>
      <c r="C15" s="2"/>
      <c r="E15" s="2"/>
    </row>
    <row r="16" spans="1:6" x14ac:dyDescent="0.2">
      <c r="B16" s="2"/>
      <c r="C16" s="2"/>
    </row>
    <row r="17" spans="2:5" x14ac:dyDescent="0.2">
      <c r="B17" s="2"/>
      <c r="C17" s="2"/>
      <c r="D17" s="5"/>
      <c r="E17" s="2"/>
    </row>
    <row r="18" spans="2:5" x14ac:dyDescent="0.2">
      <c r="B18" s="3"/>
      <c r="C18" s="2"/>
      <c r="E18" s="2"/>
    </row>
    <row r="19" spans="2:5" x14ac:dyDescent="0.2">
      <c r="E19" s="2"/>
    </row>
    <row r="21" spans="2:5" x14ac:dyDescent="0.2">
      <c r="B21" s="2"/>
      <c r="C21" s="2"/>
      <c r="D21" s="2"/>
      <c r="E21" s="2"/>
    </row>
    <row r="22" spans="2:5" x14ac:dyDescent="0.2">
      <c r="B22" s="2"/>
      <c r="C22" s="2"/>
    </row>
    <row r="23" spans="2:5" x14ac:dyDescent="0.2">
      <c r="B23" s="2"/>
      <c r="C23" s="2"/>
      <c r="E23" s="2"/>
    </row>
    <row r="24" spans="2:5" x14ac:dyDescent="0.2">
      <c r="D24" s="2"/>
      <c r="E24" s="2"/>
    </row>
  </sheetData>
  <phoneticPr fontId="0" type="noConversion"/>
  <pageMargins left="0.75" right="0.75" top="1" bottom="1" header="0.5" footer="0.5"/>
  <pageSetup paperSize="9" orientation="portrait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359" r:id="rId4" name="cmdRefreshUnits">
          <controlPr defaultSize="0" autoLine="0" r:id="rId5">
            <anchor moveWithCells="1">
              <from>
                <xdr:col>3</xdr:col>
                <xdr:colOff>19050</xdr:colOff>
                <xdr:row>2</xdr:row>
                <xdr:rowOff>47625</xdr:rowOff>
              </from>
              <to>
                <xdr:col>3</xdr:col>
                <xdr:colOff>571500</xdr:colOff>
                <xdr:row>4</xdr:row>
                <xdr:rowOff>19050</xdr:rowOff>
              </to>
            </anchor>
          </controlPr>
        </control>
      </mc:Choice>
      <mc:Fallback>
        <control shapeId="10359" r:id="rId4" name="cmdRefreshUnits"/>
      </mc:Fallback>
    </mc:AlternateContent>
    <mc:AlternateContent xmlns:mc="http://schemas.openxmlformats.org/markup-compatibility/2006">
      <mc:Choice Requires="x14">
        <control shapeId="10247" r:id="rId6" name="cmdConstraintUnit">
          <controlPr defaultSize="0" autoLine="0" r:id="rId7">
            <anchor moveWithCells="1">
              <from>
                <xdr:col>3</xdr:col>
                <xdr:colOff>19050</xdr:colOff>
                <xdr:row>4</xdr:row>
                <xdr:rowOff>9525</xdr:rowOff>
              </from>
              <to>
                <xdr:col>3</xdr:col>
                <xdr:colOff>571500</xdr:colOff>
                <xdr:row>5</xdr:row>
                <xdr:rowOff>28575</xdr:rowOff>
              </to>
            </anchor>
          </controlPr>
        </control>
      </mc:Choice>
      <mc:Fallback>
        <control shapeId="10247" r:id="rId6" name="cmdConstraintUnit"/>
      </mc:Fallback>
    </mc:AlternateContent>
    <mc:AlternateContent xmlns:mc="http://schemas.openxmlformats.org/markup-compatibility/2006">
      <mc:Choice Requires="x14">
        <control shapeId="10246" r:id="rId8" name="cmdCheckConstraintsSheet">
          <controlPr defaultSize="0" autoLine="0" r:id="rId9">
            <anchor moveWithCells="1">
              <from>
                <xdr:col>0</xdr:col>
                <xdr:colOff>9525</xdr:colOff>
                <xdr:row>3</xdr:row>
                <xdr:rowOff>0</xdr:rowOff>
              </from>
              <to>
                <xdr:col>0</xdr:col>
                <xdr:colOff>790575</xdr:colOff>
                <xdr:row>4</xdr:row>
                <xdr:rowOff>0</xdr:rowOff>
              </to>
            </anchor>
          </controlPr>
        </control>
      </mc:Choice>
      <mc:Fallback>
        <control shapeId="10246" r:id="rId8" name="cmdCheckConstraintsSheet"/>
      </mc:Fallback>
    </mc:AlternateContent>
    <mc:AlternateContent xmlns:mc="http://schemas.openxmlformats.org/markup-compatibility/2006">
      <mc:Choice Requires="x14">
        <control shapeId="10242" r:id="rId10" name="cmdConstraintSets">
          <controlPr defaultSize="0" autoLine="0" r:id="rId11">
            <anchor moveWithCells="1">
              <from>
                <xdr:col>4</xdr:col>
                <xdr:colOff>19050</xdr:colOff>
                <xdr:row>4</xdr:row>
                <xdr:rowOff>19050</xdr:rowOff>
              </from>
              <to>
                <xdr:col>4</xdr:col>
                <xdr:colOff>990600</xdr:colOff>
                <xdr:row>5</xdr:row>
                <xdr:rowOff>38100</xdr:rowOff>
              </to>
            </anchor>
          </controlPr>
        </control>
      </mc:Choice>
      <mc:Fallback>
        <control shapeId="10242" r:id="rId10" name="cmdConstraintSets"/>
      </mc:Fallback>
    </mc:AlternateContent>
  </control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40</v>
      </c>
      <c r="B1" s="12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11</v>
      </c>
      <c r="C7" s="1" t="s">
        <v>12</v>
      </c>
      <c r="D7" s="1" t="s">
        <v>20</v>
      </c>
      <c r="E7" s="1" t="s">
        <v>21</v>
      </c>
      <c r="F7" s="1" t="s">
        <v>22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2471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28575</xdr:colOff>
                <xdr:row>4</xdr:row>
                <xdr:rowOff>9525</xdr:rowOff>
              </to>
            </anchor>
          </controlPr>
        </control>
      </mc:Choice>
      <mc:Fallback>
        <control shapeId="62471" r:id="rId4" name="cmdRefreshUnits"/>
      </mc:Fallback>
    </mc:AlternateContent>
    <mc:AlternateContent xmlns:mc="http://schemas.openxmlformats.org/markup-compatibility/2006">
      <mc:Choice Requires="x14">
        <control shapeId="62470" r:id="rId6" name="cmdCheckTechData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62470" r:id="rId6" name="cmdCheckTechDataSheet"/>
      </mc:Fallback>
    </mc:AlternateContent>
    <mc:AlternateContent xmlns:mc="http://schemas.openxmlformats.org/markup-compatibility/2006">
      <mc:Choice Requires="x14">
        <control shapeId="62469" r:id="rId8" name="cmdAddParamQualifier">
          <controlPr defaultSize="0" autoLine="0" autoPict="0" r:id="rId9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62469" r:id="rId8" name="cmdAddParamQualifier"/>
      </mc:Fallback>
    </mc:AlternateContent>
    <mc:AlternateContent xmlns:mc="http://schemas.openxmlformats.org/markup-compatibility/2006">
      <mc:Choice Requires="x14">
        <control shapeId="62468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9525</xdr:colOff>
                <xdr:row>4</xdr:row>
                <xdr:rowOff>219075</xdr:rowOff>
              </to>
            </anchor>
          </controlPr>
        </control>
      </mc:Choice>
      <mc:Fallback>
        <control shapeId="62468" r:id="rId10" name="cmdAddParameter"/>
      </mc:Fallback>
    </mc:AlternateContent>
    <mc:AlternateContent xmlns:mc="http://schemas.openxmlformats.org/markup-compatibility/2006">
      <mc:Choice Requires="x14">
        <control shapeId="62467" r:id="rId12" name="cmdCommOUT">
          <controlPr defaultSize="0" autoLine="0" r:id="rId13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2467" r:id="rId12" name="cmdCommOUT"/>
      </mc:Fallback>
    </mc:AlternateContent>
    <mc:AlternateContent xmlns:mc="http://schemas.openxmlformats.org/markup-compatibility/2006">
      <mc:Choice Requires="x14">
        <control shapeId="62466" r:id="rId14" name="cmdCommIN">
          <controlPr defaultSize="0" autoLine="0" r:id="rId15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62466" r:id="rId14" name="cmdCommIN"/>
      </mc:Fallback>
    </mc:AlternateContent>
    <mc:AlternateContent xmlns:mc="http://schemas.openxmlformats.org/markup-compatibility/2006">
      <mc:Choice Requires="x14">
        <control shapeId="62465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62465" r:id="rId16" name="cmdTechNameAndDesc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41</v>
      </c>
      <c r="B1" s="12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1</v>
      </c>
      <c r="C7" s="1" t="s">
        <v>2</v>
      </c>
      <c r="D7" s="1" t="s">
        <v>20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445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1445" r:id="rId4" name="cmdRefreshUnits"/>
      </mc:Fallback>
    </mc:AlternateContent>
    <mc:AlternateContent xmlns:mc="http://schemas.openxmlformats.org/markup-compatibility/2006">
      <mc:Choice Requires="x14">
        <control shapeId="61444" r:id="rId6" name="cmdCheckCommDataSheet">
          <controlPr defaultSize="0" autoLine="0" r:id="rId7">
            <anchor moveWithCells="1">
              <from>
                <xdr:col>0</xdr:col>
                <xdr:colOff>9525</xdr:colOff>
                <xdr:row>3</xdr:row>
                <xdr:rowOff>19050</xdr:rowOff>
              </from>
              <to>
                <xdr:col>0</xdr:col>
                <xdr:colOff>695325</xdr:colOff>
                <xdr:row>4</xdr:row>
                <xdr:rowOff>0</xdr:rowOff>
              </to>
            </anchor>
          </controlPr>
        </control>
      </mc:Choice>
      <mc:Fallback>
        <control shapeId="61444" r:id="rId6" name="cmdCheckCommDataSheet"/>
      </mc:Fallback>
    </mc:AlternateContent>
    <mc:AlternateContent xmlns:mc="http://schemas.openxmlformats.org/markup-compatibility/2006">
      <mc:Choice Requires="x14">
        <control shapeId="61443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61443" r:id="rId8" name="cmdAddParamQualifier"/>
      </mc:Fallback>
    </mc:AlternateContent>
    <mc:AlternateContent xmlns:mc="http://schemas.openxmlformats.org/markup-compatibility/2006">
      <mc:Choice Requires="x14">
        <control shapeId="61442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61442" r:id="rId10" name="cmdCommNameAndDesc"/>
      </mc:Fallback>
    </mc:AlternateContent>
    <mc:AlternateContent xmlns:mc="http://schemas.openxmlformats.org/markup-compatibility/2006">
      <mc:Choice Requires="x14">
        <control shapeId="61441" r:id="rId12" name="cmdAddParameter">
          <controlPr defaultSize="0" autoLine="0" r:id="rId13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61441" r:id="rId12" name="cmdAddParameter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2.75" x14ac:dyDescent="0.2"/>
  <cols>
    <col min="1" max="1" width="10.5703125" customWidth="1"/>
    <col min="2" max="2" width="11.7109375" customWidth="1"/>
    <col min="3" max="3" width="24" customWidth="1"/>
    <col min="4" max="4" width="5.42578125" customWidth="1"/>
    <col min="6" max="6" width="10.140625" bestFit="1" customWidth="1"/>
  </cols>
  <sheetData>
    <row r="1" spans="1:8" x14ac:dyDescent="0.2">
      <c r="A1" s="1" t="s">
        <v>41</v>
      </c>
      <c r="B1" s="12"/>
    </row>
    <row r="3" spans="1:8" ht="15" customHeight="1" x14ac:dyDescent="0.2"/>
    <row r="4" spans="1:8" ht="20.25" customHeight="1" x14ac:dyDescent="0.2"/>
    <row r="5" spans="1:8" ht="19.5" customHeight="1" x14ac:dyDescent="0.2">
      <c r="E5" s="2"/>
      <c r="F5" s="2"/>
      <c r="G5" s="11"/>
      <c r="H5" s="11"/>
    </row>
    <row r="6" spans="1:8" ht="19.5" customHeight="1" x14ac:dyDescent="0.2">
      <c r="E6" s="8"/>
      <c r="F6" s="8"/>
      <c r="G6" s="11"/>
      <c r="H6" s="11"/>
    </row>
    <row r="7" spans="1:8" x14ac:dyDescent="0.2">
      <c r="B7" s="1" t="s">
        <v>1</v>
      </c>
      <c r="C7" s="1" t="s">
        <v>2</v>
      </c>
      <c r="D7" s="1" t="s">
        <v>20</v>
      </c>
      <c r="E7" s="10"/>
      <c r="F7" s="6"/>
      <c r="G7" s="6"/>
      <c r="H7" s="11"/>
    </row>
    <row r="9" spans="1:8" x14ac:dyDescent="0.2">
      <c r="B9" s="8"/>
      <c r="C9" s="8"/>
      <c r="D9" s="8"/>
    </row>
    <row r="10" spans="1:8" x14ac:dyDescent="0.2">
      <c r="B10" s="8"/>
      <c r="C10" s="8"/>
      <c r="D10" s="8"/>
    </row>
    <row r="13" spans="1:8" x14ac:dyDescent="0.2">
      <c r="B13" s="8"/>
      <c r="C13" s="8"/>
      <c r="D13" s="8"/>
    </row>
    <row r="15" spans="1:8" x14ac:dyDescent="0.2">
      <c r="B15" s="8"/>
      <c r="C15" s="8"/>
      <c r="D15" s="8"/>
    </row>
    <row r="17" spans="2:4" x14ac:dyDescent="0.2">
      <c r="B17" s="8"/>
      <c r="C17" s="8"/>
      <c r="D17" s="8"/>
    </row>
    <row r="19" spans="2:4" x14ac:dyDescent="0.2">
      <c r="B19" s="8"/>
      <c r="C19" s="8"/>
      <c r="D19" s="8"/>
    </row>
    <row r="21" spans="2:4" x14ac:dyDescent="0.2">
      <c r="B21" s="8"/>
      <c r="C21" s="8"/>
      <c r="D21" s="8"/>
    </row>
    <row r="23" spans="2:4" x14ac:dyDescent="0.2">
      <c r="B23" s="8"/>
      <c r="C23" s="8"/>
      <c r="D23" s="8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299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4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4299" r:id="rId4" name="cmdRefreshUnits"/>
      </mc:Fallback>
    </mc:AlternateContent>
    <mc:AlternateContent xmlns:mc="http://schemas.openxmlformats.org/markup-compatibility/2006">
      <mc:Choice Requires="x14">
        <control shapeId="4106" r:id="rId6" name="cmdCheckCommDataSheet">
          <controlPr defaultSize="0" autoLine="0" r:id="rId7">
            <anchor moveWithCells="1">
              <from>
                <xdr:col>0</xdr:col>
                <xdr:colOff>9525</xdr:colOff>
                <xdr:row>3</xdr:row>
                <xdr:rowOff>19050</xdr:rowOff>
              </from>
              <to>
                <xdr:col>0</xdr:col>
                <xdr:colOff>695325</xdr:colOff>
                <xdr:row>4</xdr:row>
                <xdr:rowOff>0</xdr:rowOff>
              </to>
            </anchor>
          </controlPr>
        </control>
      </mc:Choice>
      <mc:Fallback>
        <control shapeId="4106" r:id="rId6" name="cmdCheckCommDataSheet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0</xdr:col>
                <xdr:colOff>695325</xdr:colOff>
                <xdr:row>5</xdr:row>
                <xdr:rowOff>238125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098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19050</xdr:rowOff>
              </from>
              <to>
                <xdr:col>2</xdr:col>
                <xdr:colOff>1390650</xdr:colOff>
                <xdr:row>4</xdr:row>
                <xdr:rowOff>0</xdr:rowOff>
              </to>
            </anchor>
          </controlPr>
        </control>
      </mc:Choice>
      <mc:Fallback>
        <control shapeId="4098" r:id="rId10" name="cmdCommNameAndDesc"/>
      </mc:Fallback>
    </mc:AlternateContent>
    <mc:AlternateContent xmlns:mc="http://schemas.openxmlformats.org/markup-compatibility/2006">
      <mc:Choice Requires="x14">
        <control shapeId="4097" r:id="rId12" name="cmdAddParameter">
          <controlPr defaultSize="0" autoLine="0" r:id="rId13">
            <anchor moveWithCells="1">
              <from>
                <xdr:col>0</xdr:col>
                <xdr:colOff>9525</xdr:colOff>
                <xdr:row>4</xdr:row>
                <xdr:rowOff>9525</xdr:rowOff>
              </from>
              <to>
                <xdr:col>0</xdr:col>
                <xdr:colOff>695325</xdr:colOff>
                <xdr:row>5</xdr:row>
                <xdr:rowOff>0</xdr:rowOff>
              </to>
            </anchor>
          </controlPr>
        </control>
      </mc:Choice>
      <mc:Fallback>
        <control shapeId="4097" r:id="rId12" name="cmdAddParameter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2.75" x14ac:dyDescent="0.2"/>
  <cols>
    <col min="1" max="2" width="10.28515625" customWidth="1"/>
    <col min="3" max="3" width="24.28515625" customWidth="1"/>
    <col min="4" max="4" width="7.85546875" customWidth="1"/>
    <col min="6" max="6" width="10.5703125" customWidth="1"/>
    <col min="7" max="7" width="9.85546875" customWidth="1"/>
    <col min="8" max="8" width="8.140625" customWidth="1"/>
    <col min="9" max="11" width="9.28515625" customWidth="1"/>
    <col min="12" max="12" width="12.5703125" customWidth="1"/>
    <col min="13" max="13" width="12.42578125" customWidth="1"/>
  </cols>
  <sheetData>
    <row r="1" spans="1:16" x14ac:dyDescent="0.2">
      <c r="A1" s="1" t="s">
        <v>40</v>
      </c>
      <c r="B1" s="12"/>
    </row>
    <row r="4" spans="1:16" ht="17.25" customHeight="1" x14ac:dyDescent="0.2"/>
    <row r="5" spans="1:16" ht="18" customHeight="1" x14ac:dyDescent="0.2">
      <c r="G5" s="2"/>
      <c r="H5" s="2"/>
      <c r="I5" s="2"/>
      <c r="J5" s="11"/>
      <c r="K5" s="11"/>
      <c r="L5" s="2"/>
      <c r="M5" s="9"/>
      <c r="N5" s="2"/>
      <c r="O5" s="9"/>
      <c r="P5" s="9"/>
    </row>
    <row r="6" spans="1:16" ht="17.25" customHeight="1" x14ac:dyDescent="0.2">
      <c r="G6" s="2"/>
      <c r="H6" s="2"/>
      <c r="I6" s="2"/>
      <c r="J6" s="2"/>
      <c r="K6" s="2"/>
      <c r="L6" s="2"/>
      <c r="M6" s="8"/>
      <c r="N6" s="2"/>
      <c r="O6" s="8"/>
    </row>
    <row r="7" spans="1:16" ht="15.75" customHeight="1" x14ac:dyDescent="0.2">
      <c r="B7" s="1" t="s">
        <v>11</v>
      </c>
      <c r="C7" s="1" t="s">
        <v>12</v>
      </c>
      <c r="D7" s="1" t="s">
        <v>20</v>
      </c>
      <c r="E7" s="1" t="s">
        <v>21</v>
      </c>
      <c r="F7" s="1" t="s">
        <v>22</v>
      </c>
      <c r="G7" s="2"/>
      <c r="H7" s="2"/>
      <c r="I7" s="2"/>
      <c r="J7" s="11"/>
      <c r="K7" s="2"/>
      <c r="L7" s="2"/>
      <c r="M7" s="8"/>
      <c r="N7" s="2"/>
      <c r="P7" s="8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112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19050</xdr:rowOff>
              </from>
              <to>
                <xdr:col>4</xdr:col>
                <xdr:colOff>28575</xdr:colOff>
                <xdr:row>4</xdr:row>
                <xdr:rowOff>9525</xdr:rowOff>
              </to>
            </anchor>
          </controlPr>
        </control>
      </mc:Choice>
      <mc:Fallback>
        <control shapeId="3112" r:id="rId4" name="cmdRefreshUnits"/>
      </mc:Fallback>
    </mc:AlternateContent>
    <mc:AlternateContent xmlns:mc="http://schemas.openxmlformats.org/markup-compatibility/2006">
      <mc:Choice Requires="x14">
        <control shapeId="3080" r:id="rId6" name="cmdCheckTechDataSheet">
          <controlPr defaultSize="0" autoLine="0" autoPict="0" r:id="rId7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9525</xdr:colOff>
                <xdr:row>4</xdr:row>
                <xdr:rowOff>9525</xdr:rowOff>
              </to>
            </anchor>
          </controlPr>
        </control>
      </mc:Choice>
      <mc:Fallback>
        <control shapeId="3080" r:id="rId6" name="cmdCheckTechDataSheet"/>
      </mc:Fallback>
    </mc:AlternateContent>
    <mc:AlternateContent xmlns:mc="http://schemas.openxmlformats.org/markup-compatibility/2006">
      <mc:Choice Requires="x14">
        <control shapeId="3079" r:id="rId8" name="cmdAddParamQualifier">
          <controlPr defaultSize="0" autoLine="0" autoPict="0" r:id="rId9">
            <anchor moveWithCells="1">
              <from>
                <xdr:col>0</xdr:col>
                <xdr:colOff>9525</xdr:colOff>
                <xdr:row>5</xdr:row>
                <xdr:rowOff>9525</xdr:rowOff>
              </from>
              <to>
                <xdr:col>1</xdr:col>
                <xdr:colOff>9525</xdr:colOff>
                <xdr:row>6</xdr:row>
                <xdr:rowOff>28575</xdr:rowOff>
              </to>
            </anchor>
          </controlPr>
        </control>
      </mc:Choice>
      <mc:Fallback>
        <control shapeId="3079" r:id="rId8" name="cmdAddParamQualifier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9525</xdr:colOff>
                <xdr:row>3</xdr:row>
                <xdr:rowOff>200025</xdr:rowOff>
              </from>
              <to>
                <xdr:col>1</xdr:col>
                <xdr:colOff>9525</xdr:colOff>
                <xdr:row>4</xdr:row>
                <xdr:rowOff>219075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6" r:id="rId12" name="cmdCommOUT">
          <controlPr defaultSize="0" autoLine="0" r:id="rId13">
            <anchor moveWithCells="1">
              <from>
                <xdr:col>5</xdr:col>
                <xdr:colOff>9525</xdr:colOff>
                <xdr:row>2</xdr:row>
                <xdr:rowOff>142875</xdr:rowOff>
              </from>
              <to>
                <xdr:col>6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3076" r:id="rId12" name="cmdCommOUT"/>
      </mc:Fallback>
    </mc:AlternateContent>
    <mc:AlternateContent xmlns:mc="http://schemas.openxmlformats.org/markup-compatibility/2006">
      <mc:Choice Requires="x14">
        <control shapeId="3075" r:id="rId14" name="cmdCommIN">
          <controlPr defaultSize="0" autoLine="0" r:id="rId15">
            <anchor moveWithCells="1">
              <from>
                <xdr:col>4</xdr:col>
                <xdr:colOff>9525</xdr:colOff>
                <xdr:row>2</xdr:row>
                <xdr:rowOff>142875</xdr:rowOff>
              </from>
              <to>
                <xdr:col>4</xdr:col>
                <xdr:colOff>600075</xdr:colOff>
                <xdr:row>4</xdr:row>
                <xdr:rowOff>0</xdr:rowOff>
              </to>
            </anchor>
          </controlPr>
        </control>
      </mc:Choice>
      <mc:Fallback>
        <control shapeId="3075" r:id="rId14" name="cmdCommIN"/>
      </mc:Fallback>
    </mc:AlternateContent>
    <mc:AlternateContent xmlns:mc="http://schemas.openxmlformats.org/markup-compatibility/2006">
      <mc:Choice Requires="x14">
        <control shapeId="3074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1581150</xdr:colOff>
                <xdr:row>4</xdr:row>
                <xdr:rowOff>9525</xdr:rowOff>
              </to>
            </anchor>
          </controlPr>
        </control>
      </mc:Choice>
      <mc:Fallback>
        <control shapeId="3074" r:id="rId16" name="cmdTechNameAndDesc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42</v>
      </c>
      <c r="B1" s="1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27</v>
      </c>
      <c r="C7" s="1" t="s">
        <v>28</v>
      </c>
      <c r="D7" s="1" t="s">
        <v>20</v>
      </c>
      <c r="E7" s="1" t="s">
        <v>11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74" r:id="rId4" name="cmdRefreshUnits">
          <controlPr defaultSize="0" autoLine="0" r:id="rId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11374" r:id="rId4" name="cmdRefreshUnits"/>
      </mc:Fallback>
    </mc:AlternateContent>
    <mc:AlternateContent xmlns:mc="http://schemas.openxmlformats.org/markup-compatibility/2006">
      <mc:Choice Requires="x14">
        <control shapeId="11361" r:id="rId6" name="cmdAddParamQualifier">
          <controlPr defaultSize="0" autoLine="0" r:id="rId7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11361" r:id="rId6" name="cmdAddParamQualifier"/>
      </mc:Fallback>
    </mc:AlternateContent>
    <mc:AlternateContent xmlns:mc="http://schemas.openxmlformats.org/markup-compatibility/2006">
      <mc:Choice Requires="x14">
        <control shapeId="11271" r:id="rId8" name="cmdCheckConstrDataSheet">
          <controlPr defaultSize="0" autoLine="0" autoPict="0" r:id="rId9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11271" r:id="rId8" name="cmdCheckConstrDataSheet"/>
      </mc:Fallback>
    </mc:AlternateContent>
    <mc:AlternateContent xmlns:mc="http://schemas.openxmlformats.org/markup-compatibility/2006">
      <mc:Choice Requires="x14">
        <control shapeId="11268" r:id="rId10" name="cmdAddParameter">
          <controlPr defaultSize="0" autoLine="0" r:id="rId11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11268" r:id="rId10" name="cmdAddParameter"/>
      </mc:Fallback>
    </mc:AlternateContent>
    <mc:AlternateContent xmlns:mc="http://schemas.openxmlformats.org/markup-compatibility/2006">
      <mc:Choice Requires="x14">
        <control shapeId="11266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11266" r:id="rId12" name="cmdTechName"/>
      </mc:Fallback>
    </mc:AlternateContent>
    <mc:AlternateContent xmlns:mc="http://schemas.openxmlformats.org/markup-compatibility/2006">
      <mc:Choice Requires="x14">
        <control shapeId="11265" r:id="rId14" name="cmdConstrNameAndDesc">
          <controlPr defaultSize="0" autoLine="0" autoPict="0" r:id="rId1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19050</xdr:rowOff>
              </to>
            </anchor>
          </controlPr>
        </control>
      </mc:Choice>
      <mc:Fallback>
        <control shapeId="11265" r:id="rId14" name="cmdConstrNameAndDesc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 codeName="Sheet20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2.75" x14ac:dyDescent="0.2"/>
  <cols>
    <col min="1" max="1" width="10.42578125" customWidth="1"/>
    <col min="2" max="2" width="11.5703125" customWidth="1"/>
    <col min="3" max="3" width="17.5703125" customWidth="1"/>
    <col min="4" max="4" width="5.85546875" customWidth="1"/>
    <col min="5" max="5" width="10.140625" customWidth="1"/>
  </cols>
  <sheetData>
    <row r="1" spans="1:5" x14ac:dyDescent="0.2">
      <c r="A1" s="1" t="s">
        <v>42</v>
      </c>
      <c r="B1" s="12"/>
    </row>
    <row r="4" spans="1:5" ht="17.25" customHeight="1" x14ac:dyDescent="0.2"/>
    <row r="5" spans="1:5" ht="18" customHeight="1" x14ac:dyDescent="0.2"/>
    <row r="6" spans="1:5" ht="17.25" customHeight="1" x14ac:dyDescent="0.2"/>
    <row r="7" spans="1:5" ht="15.75" customHeight="1" x14ac:dyDescent="0.2">
      <c r="B7" s="1" t="s">
        <v>27</v>
      </c>
      <c r="C7" s="1" t="s">
        <v>28</v>
      </c>
      <c r="D7" s="1" t="s">
        <v>20</v>
      </c>
      <c r="E7" s="1" t="s">
        <v>11</v>
      </c>
    </row>
    <row r="8" spans="1:5" x14ac:dyDescent="0.2">
      <c r="B8" s="2"/>
      <c r="E8" s="2"/>
    </row>
    <row r="9" spans="1:5" x14ac:dyDescent="0.2">
      <c r="B9" s="7"/>
      <c r="E9" s="2"/>
    </row>
    <row r="10" spans="1:5" x14ac:dyDescent="0.2">
      <c r="B10" s="7"/>
      <c r="E10" s="2"/>
    </row>
    <row r="11" spans="1:5" x14ac:dyDescent="0.2">
      <c r="B11" s="7"/>
      <c r="E11" s="2"/>
    </row>
    <row r="14" spans="1:5" x14ac:dyDescent="0.2">
      <c r="A14" s="1"/>
    </row>
    <row r="18" spans="1:5" x14ac:dyDescent="0.2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8614" r:id="rId4" name="cmdRefreshUnits">
          <controlPr defaultSize="0" autoLine="0" r:id="rId5">
            <anchor moveWithCells="1">
              <from>
                <xdr:col>2</xdr:col>
                <xdr:colOff>1009650</xdr:colOff>
                <xdr:row>2</xdr:row>
                <xdr:rowOff>28575</xdr:rowOff>
              </from>
              <to>
                <xdr:col>4</xdr:col>
                <xdr:colOff>0</xdr:colOff>
                <xdr:row>4</xdr:row>
                <xdr:rowOff>19050</xdr:rowOff>
              </to>
            </anchor>
          </controlPr>
        </control>
      </mc:Choice>
      <mc:Fallback>
        <control shapeId="68614" r:id="rId4" name="cmdRefreshUnits"/>
      </mc:Fallback>
    </mc:AlternateContent>
    <mc:AlternateContent xmlns:mc="http://schemas.openxmlformats.org/markup-compatibility/2006">
      <mc:Choice Requires="x14">
        <control shapeId="68613" r:id="rId6" name="cmdAddParamQualifier">
          <controlPr defaultSize="0" autoLine="0" r:id="rId7">
            <anchor moveWithCells="1">
              <from>
                <xdr:col>0</xdr:col>
                <xdr:colOff>9525</xdr:colOff>
                <xdr:row>5</xdr:row>
                <xdr:rowOff>0</xdr:rowOff>
              </from>
              <to>
                <xdr:col>1</xdr:col>
                <xdr:colOff>0</xdr:colOff>
                <xdr:row>6</xdr:row>
                <xdr:rowOff>19050</xdr:rowOff>
              </to>
            </anchor>
          </controlPr>
        </control>
      </mc:Choice>
      <mc:Fallback>
        <control shapeId="68613" r:id="rId6" name="cmdAddParamQualifier"/>
      </mc:Fallback>
    </mc:AlternateContent>
    <mc:AlternateContent xmlns:mc="http://schemas.openxmlformats.org/markup-compatibility/2006">
      <mc:Choice Requires="x14">
        <control shapeId="68612" r:id="rId8" name="cmdCheckConstrDataSheet">
          <controlPr defaultSize="0" autoLine="0" autoPict="0" r:id="rId9">
            <anchor moveWithCells="1">
              <from>
                <xdr:col>0</xdr:col>
                <xdr:colOff>9525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9525</xdr:rowOff>
              </to>
            </anchor>
          </controlPr>
        </control>
      </mc:Choice>
      <mc:Fallback>
        <control shapeId="68612" r:id="rId8" name="cmdCheckConstrDataSheet"/>
      </mc:Fallback>
    </mc:AlternateContent>
    <mc:AlternateContent xmlns:mc="http://schemas.openxmlformats.org/markup-compatibility/2006">
      <mc:Choice Requires="x14">
        <control shapeId="68611" r:id="rId10" name="cmdAddParameter">
          <controlPr defaultSize="0" autoLine="0" r:id="rId11">
            <anchor moveWithCells="1">
              <from>
                <xdr:col>0</xdr:col>
                <xdr:colOff>9525</xdr:colOff>
                <xdr:row>4</xdr:row>
                <xdr:rowOff>0</xdr:rowOff>
              </from>
              <to>
                <xdr:col>1</xdr:col>
                <xdr:colOff>0</xdr:colOff>
                <xdr:row>5</xdr:row>
                <xdr:rowOff>9525</xdr:rowOff>
              </to>
            </anchor>
          </controlPr>
        </control>
      </mc:Choice>
      <mc:Fallback>
        <control shapeId="68611" r:id="rId10" name="cmdAddParameter"/>
      </mc:Fallback>
    </mc:AlternateContent>
    <mc:AlternateContent xmlns:mc="http://schemas.openxmlformats.org/markup-compatibility/2006">
      <mc:Choice Requires="x14">
        <control shapeId="68610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657225</xdr:colOff>
                <xdr:row>4</xdr:row>
                <xdr:rowOff>19050</xdr:rowOff>
              </to>
            </anchor>
          </controlPr>
        </control>
      </mc:Choice>
      <mc:Fallback>
        <control shapeId="68610" r:id="rId12" name="cmdTechName"/>
      </mc:Fallback>
    </mc:AlternateContent>
    <mc:AlternateContent xmlns:mc="http://schemas.openxmlformats.org/markup-compatibility/2006">
      <mc:Choice Requires="x14">
        <control shapeId="68609" r:id="rId14" name="cmdConstrNameAndDesc">
          <controlPr defaultSize="0" autoLine="0" autoPict="0" r:id="rId15">
            <anchor moveWithCells="1">
              <from>
                <xdr:col>1</xdr:col>
                <xdr:colOff>19050</xdr:colOff>
                <xdr:row>3</xdr:row>
                <xdr:rowOff>0</xdr:rowOff>
              </from>
              <to>
                <xdr:col>2</xdr:col>
                <xdr:colOff>1000125</xdr:colOff>
                <xdr:row>4</xdr:row>
                <xdr:rowOff>19050</xdr:rowOff>
              </to>
            </anchor>
          </controlPr>
        </control>
      </mc:Choice>
      <mc:Fallback>
        <control shapeId="68609" r:id="rId14" name="cmdConstrNameAndDesc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a45b8d2-5363-42cf-81ee-b666af54687e">
      <Terms xmlns="http://schemas.microsoft.com/office/infopath/2007/PartnerControls"/>
    </lcf76f155ced4ddcb4097134ff3c332f>
    <TaxCatchAll xmlns="4ffa91fb-a0ff-4ac5-b2db-65c790d184a4" xsi:nil="true"/>
    <_Source xmlns="http://schemas.microsoft.com/sharepoint/v3/fields" xsi:nil="true"/>
    <Language xmlns="http://schemas.microsoft.com/sharepoint/v3">English</Language>
    <j747ac98061d40f0aa7bd47e1db5675d xmlns="4ffa91fb-a0ff-4ac5-b2db-65c790d184a4">
      <Terms xmlns="http://schemas.microsoft.com/office/infopath/2007/PartnerControls"/>
    </j747ac98061d40f0aa7bd47e1db5675d>
    <External_x0020_Contributor xmlns="4ffa91fb-a0ff-4ac5-b2db-65c790d184a4" xsi:nil="true"/>
    <TaxKeywordTaxHTField xmlns="4ffa91fb-a0ff-4ac5-b2db-65c790d184a4">
      <Terms xmlns="http://schemas.microsoft.com/office/infopath/2007/PartnerControls"/>
    </TaxKeywordTaxHTField>
    <Record xmlns="4ffa91fb-a0ff-4ac5-b2db-65c790d184a4">Shared</Record>
    <Rights xmlns="4ffa91fb-a0ff-4ac5-b2db-65c790d184a4" xsi:nil="true"/>
    <Document_x0020_Creation_x0020_Date xmlns="4ffa91fb-a0ff-4ac5-b2db-65c790d184a4">2024-08-07T00:48:28+00:00</Document_x0020_Creation_x0020_Date>
    <EPA_x0020_Office xmlns="4ffa91fb-a0ff-4ac5-b2db-65c790d184a4" xsi:nil="true"/>
    <CategoryDescription xmlns="http://schemas.microsoft.com/sharepoint.v3" xsi:nil="true"/>
    <Identifier xmlns="4ffa91fb-a0ff-4ac5-b2db-65c790d184a4" xsi:nil="true"/>
    <_Coverage xmlns="http://schemas.microsoft.com/sharepoint/v3/fields" xsi:nil="true"/>
    <Creator xmlns="4ffa91fb-a0ff-4ac5-b2db-65c790d184a4">
      <UserInfo>
        <DisplayName/>
        <AccountId xsi:nil="true"/>
        <AccountType/>
      </UserInfo>
    </Creator>
    <EPA_x0020_Related_x0020_Documents xmlns="4ffa91fb-a0ff-4ac5-b2db-65c790d184a4" xsi:nil="true"/>
    <EPA_x0020_Contributor xmlns="4ffa91fb-a0ff-4ac5-b2db-65c790d184a4">
      <UserInfo>
        <DisplayName/>
        <AccountId xsi:nil="true"/>
        <AccountType/>
      </UserInfo>
    </EPA_x0020_Contributor>
  </documentManagement>
</p:properti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61017AFA5F1746B691F13D8A7002D3" ma:contentTypeVersion="13" ma:contentTypeDescription="Create a new document." ma:contentTypeScope="" ma:versionID="def7294f1d2309f0bb896a14731e0ee6">
  <xsd:schema xmlns:xsd="http://www.w3.org/2001/XMLSchema" xmlns:xs="http://www.w3.org/2001/XMLSchema" xmlns:p="http://schemas.microsoft.com/office/2006/metadata/properties" xmlns:ns1="http://schemas.microsoft.com/sharepoint/v3" xmlns:ns2="4ffa91fb-a0ff-4ac5-b2db-65c790d184a4" xmlns:ns3="http://schemas.microsoft.com/sharepoint.v3" xmlns:ns4="http://schemas.microsoft.com/sharepoint/v3/fields" xmlns:ns5="3a45b8d2-5363-42cf-81ee-b666af54687e" xmlns:ns6="100f1ce0-4af0-4d4f-96bb-1f04b8389ca2" targetNamespace="http://schemas.microsoft.com/office/2006/metadata/properties" ma:root="true" ma:fieldsID="041bcd49501e20998d0099c9940f8dab" ns1:_="" ns2:_="" ns3:_="" ns4:_="" ns5:_="" ns6:_="">
    <xsd:import namespace="http://schemas.microsoft.com/sharepoint/v3"/>
    <xsd:import namespace="4ffa91fb-a0ff-4ac5-b2db-65c790d184a4"/>
    <xsd:import namespace="http://schemas.microsoft.com/sharepoint.v3"/>
    <xsd:import namespace="http://schemas.microsoft.com/sharepoint/v3/fields"/>
    <xsd:import namespace="3a45b8d2-5363-42cf-81ee-b666af54687e"/>
    <xsd:import namespace="100f1ce0-4af0-4d4f-96bb-1f04b8389ca2"/>
    <xsd:element name="properties">
      <xsd:complexType>
        <xsd:sequence>
          <xsd:element name="documentManagement">
            <xsd:complexType>
              <xsd:all>
                <xsd:element ref="ns2:Document_x0020_Creation_x0020_Date" minOccurs="0"/>
                <xsd:element ref="ns2:Creator" minOccurs="0"/>
                <xsd:element ref="ns2:EPA_x0020_Office" minOccurs="0"/>
                <xsd:element ref="ns2:Record" minOccurs="0"/>
                <xsd:element ref="ns3:CategoryDescription" minOccurs="0"/>
                <xsd:element ref="ns2:Identifier" minOccurs="0"/>
                <xsd:element ref="ns2:EPA_x0020_Contributor" minOccurs="0"/>
                <xsd:element ref="ns2:External_x0020_Contributor" minOccurs="0"/>
                <xsd:element ref="ns4:_Coverage" minOccurs="0"/>
                <xsd:element ref="ns2:EPA_x0020_Related_x0020_Documents" minOccurs="0"/>
                <xsd:element ref="ns4:_Source" minOccurs="0"/>
                <xsd:element ref="ns2:Rights" minOccurs="0"/>
                <xsd:element ref="ns1:Language" minOccurs="0"/>
                <xsd:element ref="ns2:j747ac98061d40f0aa7bd47e1db5675d" minOccurs="0"/>
                <xsd:element ref="ns2:TaxKeywordTaxHTField" minOccurs="0"/>
                <xsd:element ref="ns2:TaxCatchAllLabel" minOccurs="0"/>
                <xsd:element ref="ns2:TaxCatchAll" minOccurs="0"/>
                <xsd:element ref="ns5:MediaServiceMetadata" minOccurs="0"/>
                <xsd:element ref="ns5:MediaServiceFastMetadata" minOccurs="0"/>
                <xsd:element ref="ns5:MediaServiceObjectDetectorVersions" minOccurs="0"/>
                <xsd:element ref="ns6:SharedWithUsers" minOccurs="0"/>
                <xsd:element ref="ns6:SharedWithDetails" minOccurs="0"/>
                <xsd:element ref="ns5:lcf76f155ced4ddcb4097134ff3c332f" minOccurs="0"/>
                <xsd:element ref="ns5:MediaServiceOCR" minOccurs="0"/>
                <xsd:element ref="ns5:MediaServiceGenerationTime" minOccurs="0"/>
                <xsd:element ref="ns5:MediaServiceEventHashCode" minOccurs="0"/>
                <xsd:element ref="ns5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Language" ma:index="17" nillable="true" ma:displayName="Language" ma:default="English" ma:description="Select the document language from the drop down." ma:format="Dropdown" ma:internalName="Language" ma:readOnly="false">
      <xsd:simpleType>
        <xsd:restriction base="dms:Choice">
          <xsd:enumeration value="Arabic (Saudi Arabia)"/>
          <xsd:enumeration value="Bulgarian (Bulgaria)"/>
          <xsd:enumeration value="Chinese (Hong Kong S.A.R.)"/>
          <xsd:enumeration value="Chinese (People's Republic of China)"/>
          <xsd:enumeration value="Chinese (Taiwan)"/>
          <xsd:enumeration value="Croatian (Croatia)"/>
          <xsd:enumeration value="Czech (Czech Republic)"/>
          <xsd:enumeration value="Danish (Denmark)"/>
          <xsd:enumeration value="Dutch (Netherlands)"/>
          <xsd:enumeration value="English"/>
          <xsd:enumeration value="Estonian (Estonia)"/>
          <xsd:enumeration value="Finnish (Finland)"/>
          <xsd:enumeration value="French (France)"/>
          <xsd:enumeration value="German (Germany)"/>
          <xsd:enumeration value="Greek (Greece)"/>
          <xsd:enumeration value="Hebrew (Israel)"/>
          <xsd:enumeration value="Hindi (India)"/>
          <xsd:enumeration value="Hungarian (Hungary)"/>
          <xsd:enumeration value="Indonesian (Indonesia)"/>
          <xsd:enumeration value="Italian (Italy)"/>
          <xsd:enumeration value="Japanese (Japan)"/>
          <xsd:enumeration value="Korean (Korea)"/>
          <xsd:enumeration value="Latvian (Latvia)"/>
          <xsd:enumeration value="Lithuanian (Lithuania)"/>
          <xsd:enumeration value="Malay (Malaysia)"/>
          <xsd:enumeration value="Norwegian (Bokmal) (Norway)"/>
          <xsd:enumeration value="Polish (Poland)"/>
          <xsd:enumeration value="Portuguese (Brazil)"/>
          <xsd:enumeration value="Portuguese (Portugal)"/>
          <xsd:enumeration value="Romanian (Romania)"/>
          <xsd:enumeration value="Russian (Russia)"/>
          <xsd:enumeration value="Serbian (Latin) (Serbia)"/>
          <xsd:enumeration value="Slovak (Slovakia)"/>
          <xsd:enumeration value="Slovenian (Slovenia)"/>
          <xsd:enumeration value="Spanish (Spain)"/>
          <xsd:enumeration value="Swedish (Sweden)"/>
          <xsd:enumeration value="Thai (Thailand)"/>
          <xsd:enumeration value="Turkish (Turkey)"/>
          <xsd:enumeration value="Ukrainian (Ukraine)"/>
          <xsd:enumeration value="Urdu (Islamic Republic of Pakistan)"/>
          <xsd:enumeration value="Vietnamese (Vietnam)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fa91fb-a0ff-4ac5-b2db-65c790d184a4" elementFormDefault="qualified">
    <xsd:import namespace="http://schemas.microsoft.com/office/2006/documentManagement/types"/>
    <xsd:import namespace="http://schemas.microsoft.com/office/infopath/2007/PartnerControls"/>
    <xsd:element name="Document_x0020_Creation_x0020_Date" ma:index="2" nillable="true" ma:displayName="Document Date" ma:default="[today]" ma:description="Enter the date this document was last modified. The upload date has been entered by default." ma:format="DateOnly" ma:internalName="Document_x0020_Creation_x0020_Date" ma:readOnly="false">
      <xsd:simpleType>
        <xsd:restriction base="dms:DateTime"/>
      </xsd:simpleType>
    </xsd:element>
    <xsd:element name="Creator" ma:index="3" nillable="true" ma:displayName="Creator" ma:description="Enter the person primarily responsible for the document. The name of the person uploading the document has been entered by default." ma:list="UserInfo" ma:SharePointGroup="0" ma:internalName="Crea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PA_x0020_Office" ma:index="4" nillable="true" ma:displayName="EPA Office" ma:description="Enter the EPA organization primarily responsible for the document. The office of the person uploading the document has been entered by default." ma:internalName="EPA_x0020_Office" ma:readOnly="false">
      <xsd:simpleType>
        <xsd:restriction base="dms:Text">
          <xsd:maxLength value="255"/>
        </xsd:restriction>
      </xsd:simpleType>
    </xsd:element>
    <xsd:element name="Record" ma:index="5" nillable="true" ma:displayName="Record" ma:default="Shared" ma:description="For documents that provide evidence of EPA decisions and actions, select &quot;Shared&quot; (open access) or &quot;Private&quot; (restricted access)." ma:format="Dropdown" ma:internalName="Record" ma:readOnly="false">
      <xsd:simpleType>
        <xsd:restriction base="dms:Choice">
          <xsd:enumeration value="None"/>
          <xsd:enumeration value="Shared"/>
          <xsd:enumeration value="Private"/>
        </xsd:restriction>
      </xsd:simpleType>
    </xsd:element>
    <xsd:element name="Identifier" ma:index="9" nillable="true" ma:displayName="Identifier" ma:description="Enter all EPA identification numbers applicable to this document, one on each line." ma:internalName="Identifier" ma:readOnly="false">
      <xsd:simpleType>
        <xsd:restriction base="dms:Note">
          <xsd:maxLength value="255"/>
        </xsd:restriction>
      </xsd:simpleType>
    </xsd:element>
    <xsd:element name="EPA_x0020_Contributor" ma:index="11" nillable="true" ma:displayName="EPA Contributor" ma:description="Enter an EPA person who contributed to the creation of the document but is not the primary author." ma:list="UserInfo" ma:SharePointGroup="0" ma:internalName="EPA_x0020_Contributo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xternal_x0020_Contributor" ma:index="12" nillable="true" ma:displayName="External Contributor" ma:description="Enter a non-EPA person who contributed to the creation of the document but is not the primary author." ma:internalName="External_x0020_Contributor" ma:readOnly="false">
      <xsd:simpleType>
        <xsd:restriction base="dms:Note">
          <xsd:maxLength value="255"/>
        </xsd:restriction>
      </xsd:simpleType>
    </xsd:element>
    <xsd:element name="EPA_x0020_Related_x0020_Documents" ma:index="14" nillable="true" ma:displayName="Other Related Documents" ma:description="Enter any related document." ma:internalName="EPA_x0020_Related_x0020_Documents" ma:readOnly="false">
      <xsd:simpleType>
        <xsd:restriction base="dms:Note">
          <xsd:maxLength value="255"/>
        </xsd:restriction>
      </xsd:simpleType>
    </xsd:element>
    <xsd:element name="Rights" ma:index="16" nillable="true" ma:displayName="Rights" ma:description="Enter information about intellectual property rights held over the document (e.g. copyright, patent, trademark)." ma:internalName="Rights" ma:readOnly="false">
      <xsd:simpleType>
        <xsd:restriction base="dms:Note">
          <xsd:maxLength value="255"/>
        </xsd:restriction>
      </xsd:simpleType>
    </xsd:element>
    <xsd:element name="j747ac98061d40f0aa7bd47e1db5675d" ma:index="19" nillable="true" ma:taxonomy="true" ma:internalName="j747ac98061d40f0aa7bd47e1db5675d" ma:taxonomyFieldName="Document_x0020_Type" ma:displayName="Document Type" ma:readOnly="false" ma:default="" ma:fieldId="{3747ac98-061d-40f0-aa7b-d47e1db5675d}" ma:sspId="29f62856-1543-49d4-a736-4569d363f533" ma:termSetId="e06cd6a9-a175-4da0-81cb-8dba7aa394a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KeywordTaxHTField" ma:index="21" nillable="true" ma:taxonomy="true" ma:internalName="TaxKeywordTaxHTField" ma:taxonomyFieldName="TaxKeyword" ma:displayName="Enterprise Keywords" ma:readOnly="false" ma:fieldId="{23f27201-bee3-471e-b2e7-b64fd8b7ca38}" ma:taxonomyMulti="true" ma:sspId="29f62856-1543-49d4-a736-4569d363f533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Label" ma:index="23" nillable="true" ma:displayName="Taxonomy Catch All Column1" ma:hidden="true" ma:list="{0eafa08c-da01-48e4-b4d7-151dfe2fdfac}" ma:internalName="TaxCatchAllLabel" ma:readOnly="true" ma:showField="CatchAllDataLabel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" ma:index="24" nillable="true" ma:displayName="Taxonomy Catch All Column" ma:hidden="true" ma:list="{0eafa08c-da01-48e4-b4d7-151dfe2fdfac}" ma:internalName="TaxCatchAll" ma:showField="CatchAllData" ma:web="100f1ce0-4af0-4d4f-96bb-1f04b8389ca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.v3" elementFormDefault="qualified">
    <xsd:import namespace="http://schemas.microsoft.com/office/2006/documentManagement/types"/>
    <xsd:import namespace="http://schemas.microsoft.com/office/infopath/2007/PartnerControls"/>
    <xsd:element name="CategoryDescription" ma:index="6" nillable="true" ma:displayName="Description" ma:description="Enter a brief description." ma:internalName="CategoryDescription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/fields" elementFormDefault="qualified">
    <xsd:import namespace="http://schemas.microsoft.com/office/2006/documentManagement/types"/>
    <xsd:import namespace="http://schemas.microsoft.com/office/infopath/2007/PartnerControls"/>
    <xsd:element name="_Coverage" ma:index="13" nillable="true" ma:displayName="Coverage" ma:description="Enter the geographic location, jurisdiction, or time period for which the document is relevant." ma:internalName="_Coverage" ma:readOnly="false">
      <xsd:simpleType>
        <xsd:restriction base="dms:Text">
          <xsd:maxLength value="255"/>
        </xsd:restriction>
      </xsd:simpleType>
    </xsd:element>
    <xsd:element name="_Source" ma:index="15" nillable="true" ma:displayName="Source" ma:description="Enter a source from which the document is derived." ma:internalName="_Source" ma:readOnly="fals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45b8d2-5363-42cf-81ee-b666af546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4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3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3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0f1ce0-4af0-4d4f-96bb-1f04b8389ca2" elementFormDefault="qualified">
    <xsd:import namespace="http://schemas.microsoft.com/office/2006/documentManagement/types"/>
    <xsd:import namespace="http://schemas.microsoft.com/office/infopath/2007/PartnerControls"/>
    <xsd:element name="SharedWithUsers" ma:index="3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5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BD4B6D-D0F4-429C-B455-46BC05B461FB}">
  <ds:schemaRefs>
    <ds:schemaRef ds:uri="http://schemas.microsoft.com/office/2006/metadata/properties"/>
    <ds:schemaRef ds:uri="http://schemas.microsoft.com/office/infopath/2007/PartnerControls"/>
    <ds:schemaRef ds:uri="http://schemas.microsoft.com/sharepoint/v3/fields"/>
    <ds:schemaRef ds:uri="http://schemas.microsoft.com/sharepoint/v3"/>
    <ds:schemaRef ds:uri="4ffa91fb-a0ff-4ac5-b2db-65c790d184a4"/>
    <ds:schemaRef ds:uri="http://schemas.microsoft.com/sharepoint.v3"/>
    <ds:schemaRef ds:uri="13d1ff91-c56c-48a5-881f-c0ec757c423c"/>
    <ds:schemaRef ds:uri="b61e3246-ffdd-47fd-afd5-fb211f629678"/>
    <ds:schemaRef ds:uri="3a45b8d2-5363-42cf-81ee-b666af54687e"/>
  </ds:schemaRefs>
</ds:datastoreItem>
</file>

<file path=customXml/itemProps2.xml><?xml version="1.0" encoding="utf-8"?>
<ds:datastoreItem xmlns:ds="http://schemas.openxmlformats.org/officeDocument/2006/customXml" ds:itemID="{6D002FBB-0DEF-4EA5-8E03-07DD926AD248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29E8B33C-548A-4E83-81C1-AB3C9F45B99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AC246EE-5BDD-4828-B4C9-F40A214E91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fa91fb-a0ff-4ac5-b2db-65c790d184a4"/>
    <ds:schemaRef ds:uri="http://schemas.microsoft.com/sharepoint.v3"/>
    <ds:schemaRef ds:uri="http://schemas.microsoft.com/sharepoint/v3/fields"/>
    <ds:schemaRef ds:uri="3a45b8d2-5363-42cf-81ee-b666af54687e"/>
    <ds:schemaRef ds:uri="100f1ce0-4af0-4d4f-96bb-1f04b8389c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UC_TRNLDVa</vt:lpstr>
      <vt:lpstr>UC_TRNLDVb</vt:lpstr>
      <vt:lpstr>ON-Road Historical share</vt:lpstr>
      <vt:lpstr>Full_OnRoad_Transpo</vt:lpstr>
      <vt:lpstr>On_Road_Transportation_Table</vt:lpstr>
      <vt:lpstr>On_Road_Transportation_Table_Years</vt:lpstr>
      <vt:lpstr>Onroad_tag</vt:lpstr>
    </vt:vector>
  </TitlesOfParts>
  <Manager/>
  <Company>Noble-Soft Systems Pty Ltd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Dr Ken Noble</dc:creator>
  <cp:keywords/>
  <dc:description/>
  <cp:lastModifiedBy>Carroll, Zane</cp:lastModifiedBy>
  <cp:revision/>
  <dcterms:created xsi:type="dcterms:W3CDTF">2005-05-01T12:39:10Z</dcterms:created>
  <dcterms:modified xsi:type="dcterms:W3CDTF">2025-06-02T18:59:57Z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0x01010092854A4B9DA56A4E9E67ED7952786595</vt:lpwstr>
  </property>
  <property fmtid="{D5CDD505-2E9C-101B-9397-08002B2CF9AE}" pid="3" name="IsMyDocuments">
    <vt:bool>true</vt:bool>
  </property>
  <property fmtid="{D5CDD505-2E9C-101B-9397-08002B2CF9AE}" pid="4" name="TaxKeyword">
    <vt:lpwstr/>
  </property>
  <property fmtid="{D5CDD505-2E9C-101B-9397-08002B2CF9AE}" pid="5" name="Document_x0020_Type">
    <vt:lpwstr/>
  </property>
  <property fmtid="{D5CDD505-2E9C-101B-9397-08002B2CF9AE}" pid="6" name="Document Type">
    <vt:lpwstr/>
  </property>
  <property fmtid="{D5CDD505-2E9C-101B-9397-08002B2CF9AE}" pid="7" name="SaveCode">
    <vt:r8>945304870605468</vt:r8>
  </property>
  <property fmtid="{D5CDD505-2E9C-101B-9397-08002B2CF9AE}" pid="8" name="MediaServiceImageTags">
    <vt:lpwstr/>
  </property>
</Properties>
</file>